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unamchand.bopulkar\Downloads\"/>
    </mc:Choice>
  </mc:AlternateContent>
  <xr:revisionPtr revIDLastSave="0" documentId="13_ncr:1_{3828F562-7DD6-40D4-A53C-A4496B918F2D}" xr6:coauthVersionLast="47" xr6:coauthVersionMax="47" xr10:uidLastSave="{00000000-0000-0000-0000-000000000000}"/>
  <bookViews>
    <workbookView xWindow="-110" yWindow="-110" windowWidth="19420" windowHeight="10300" tabRatio="896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Modelling New" sheetId="39" r:id="rId9"/>
    <sheet name="Plant_BD" sheetId="27" r:id="rId10"/>
    <sheet name="Grid_BD" sheetId="24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Basic Data" sheetId="22" r:id="rId19"/>
  </sheets>
  <definedNames>
    <definedName name="_xlnm._FilterDatabase" localSheetId="18" hidden="1">'Basic Data'!$N$1:$V$727</definedName>
  </definedNames>
  <calcPr calcId="191028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4" i="27" l="1"/>
  <c r="D194" i="27"/>
  <c r="G194" i="27"/>
  <c r="K29" i="27" l="1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G33" i="27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H32" i="27"/>
  <c r="H33" i="27"/>
  <c r="R30" i="27"/>
  <c r="R31" i="27"/>
  <c r="T31" i="27" s="1"/>
  <c r="R32" i="27"/>
  <c r="T32" i="27" s="1"/>
  <c r="R33" i="27"/>
  <c r="T33" i="27" s="1"/>
  <c r="R34" i="27"/>
  <c r="R35" i="27"/>
  <c r="T35" i="27" s="1"/>
  <c r="R36" i="27"/>
  <c r="S30" i="27"/>
  <c r="S31" i="27"/>
  <c r="S32" i="27"/>
  <c r="S33" i="27"/>
  <c r="S34" i="27"/>
  <c r="S35" i="27"/>
  <c r="S36" i="27"/>
  <c r="T36" i="27" s="1"/>
  <c r="T30" i="27"/>
  <c r="T34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R29" i="27"/>
  <c r="T29" i="27" s="1"/>
  <c r="U29" i="27" s="1"/>
  <c r="AL29" i="27" s="1"/>
  <c r="R37" i="27"/>
  <c r="R38" i="27"/>
  <c r="R39" i="27"/>
  <c r="T39" i="27" s="1"/>
  <c r="R40" i="27"/>
  <c r="T40" i="27" s="1"/>
  <c r="R41" i="27"/>
  <c r="T41" i="27" s="1"/>
  <c r="R42" i="27"/>
  <c r="T42" i="27" s="1"/>
  <c r="R43" i="27"/>
  <c r="T43" i="27" s="1"/>
  <c r="R44" i="27"/>
  <c r="T44" i="27" s="1"/>
  <c r="S29" i="27"/>
  <c r="S37" i="27"/>
  <c r="S38" i="27"/>
  <c r="S39" i="27"/>
  <c r="S40" i="27"/>
  <c r="S41" i="27"/>
  <c r="S42" i="27"/>
  <c r="S43" i="27"/>
  <c r="S44" i="27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H45" i="27"/>
  <c r="R45" i="27"/>
  <c r="S45" i="27"/>
  <c r="T45" i="27"/>
  <c r="U45" i="27" s="1"/>
  <c r="AD45" i="27"/>
  <c r="AE45" i="27"/>
  <c r="AF45" i="27"/>
  <c r="AG45" i="27"/>
  <c r="Z37" i="37"/>
  <c r="V37" i="37"/>
  <c r="J37" i="37"/>
  <c r="L37" i="37"/>
  <c r="F37" i="37"/>
  <c r="E37" i="37"/>
  <c r="D37" i="37"/>
  <c r="C37" i="37"/>
  <c r="B37" i="37"/>
  <c r="A36" i="37"/>
  <c r="C36" i="37"/>
  <c r="D36" i="37"/>
  <c r="E36" i="37" s="1"/>
  <c r="X36" i="37" s="1"/>
  <c r="Z36" i="37" s="1"/>
  <c r="L36" i="37" s="1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109" i="27"/>
  <c r="R110" i="27"/>
  <c r="U35" i="27" l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AL3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F36" i="37"/>
  <c r="R5" i="42"/>
  <c r="R6" i="42"/>
  <c r="R2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R111" i="27"/>
  <c r="S111" i="27"/>
  <c r="AD111" i="27"/>
  <c r="AE111" i="27"/>
  <c r="AF111" i="27"/>
  <c r="AG111" i="27"/>
  <c r="C112" i="27"/>
  <c r="D112" i="27"/>
  <c r="G112" i="27"/>
  <c r="H112" i="27"/>
  <c r="K112" i="27"/>
  <c r="R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R113" i="27" l="1"/>
  <c r="R114" i="27"/>
  <c r="S113" i="27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V35" i="3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C13" i="27"/>
  <c r="D13" i="27"/>
  <c r="G13" i="27"/>
  <c r="H13" i="27" s="1"/>
  <c r="K13" i="27"/>
  <c r="R13" i="27"/>
  <c r="T13" i="27" s="1"/>
  <c r="U13" i="27" s="1"/>
  <c r="S13" i="27"/>
  <c r="AD13" i="27"/>
  <c r="AE13" i="27"/>
  <c r="AF13" i="27"/>
  <c r="AG13" i="27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AL13" i="27" s="1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AL465" i="27" l="1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AD369" i="38" s="1"/>
  <c r="C369" i="38"/>
  <c r="B369" i="38"/>
  <c r="E27" i="37" l="1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U4" i="39" l="1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O32" i="29"/>
  <c r="P32" i="29"/>
  <c r="Q32" i="29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V33" i="37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U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AL197" i="27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R177" i="27"/>
  <c r="S177" i="27"/>
  <c r="AD177" i="27"/>
  <c r="AE177" i="27"/>
  <c r="AF177" i="27"/>
  <c r="AG177" i="27"/>
  <c r="K176" i="27"/>
  <c r="G176" i="27"/>
  <c r="C176" i="27"/>
  <c r="D176" i="27"/>
  <c r="R176" i="27"/>
  <c r="S176" i="27"/>
  <c r="AD176" i="27"/>
  <c r="AE176" i="27"/>
  <c r="AF176" i="27"/>
  <c r="AG176" i="27"/>
  <c r="K174" i="27"/>
  <c r="K175" i="27"/>
  <c r="G175" i="27"/>
  <c r="C175" i="27"/>
  <c r="D175" i="27"/>
  <c r="R175" i="27"/>
  <c r="S175" i="27"/>
  <c r="AD175" i="27"/>
  <c r="AE175" i="27"/>
  <c r="AF175" i="27"/>
  <c r="AG175" i="27"/>
  <c r="G174" i="27"/>
  <c r="C174" i="27"/>
  <c r="D174" i="27"/>
  <c r="R174" i="27"/>
  <c r="T174" i="27" s="1"/>
  <c r="U174" i="27" s="1"/>
  <c r="S174" i="27"/>
  <c r="AD174" i="27"/>
  <c r="AE174" i="27"/>
  <c r="AF174" i="27"/>
  <c r="AG174" i="27"/>
  <c r="K173" i="27"/>
  <c r="G173" i="27"/>
  <c r="C173" i="27"/>
  <c r="D173" i="27"/>
  <c r="R173" i="27"/>
  <c r="T173" i="27" s="1"/>
  <c r="S173" i="27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R172" i="27"/>
  <c r="S172" i="27"/>
  <c r="AD172" i="27"/>
  <c r="AE172" i="27"/>
  <c r="AF172" i="27"/>
  <c r="AG172" i="27"/>
  <c r="C169" i="27"/>
  <c r="C170" i="27"/>
  <c r="C171" i="27"/>
  <c r="D169" i="27"/>
  <c r="D170" i="27"/>
  <c r="D171" i="27"/>
  <c r="R169" i="27"/>
  <c r="T169" i="27" s="1"/>
  <c r="R170" i="27"/>
  <c r="R171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R167" i="27"/>
  <c r="T167" i="27" s="1"/>
  <c r="R168" i="27"/>
  <c r="T168" i="27" s="1"/>
  <c r="S167" i="27"/>
  <c r="S168" i="27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R166" i="27"/>
  <c r="T166" i="27" s="1"/>
  <c r="S166" i="27"/>
  <c r="AD166" i="27"/>
  <c r="AE166" i="27"/>
  <c r="AF166" i="27"/>
  <c r="AG166" i="27"/>
  <c r="C165" i="27"/>
  <c r="D165" i="27"/>
  <c r="R165" i="27"/>
  <c r="T165" i="27" s="1"/>
  <c r="S165" i="27"/>
  <c r="AD165" i="27"/>
  <c r="AE165" i="27"/>
  <c r="AF165" i="27"/>
  <c r="AG165" i="27"/>
  <c r="O30" i="29"/>
  <c r="P30" i="29"/>
  <c r="Q30" i="29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R140" i="27"/>
  <c r="S140" i="27"/>
  <c r="AD140" i="27"/>
  <c r="AE140" i="27"/>
  <c r="AF140" i="27"/>
  <c r="AG140" i="27"/>
  <c r="O29" i="29"/>
  <c r="P29" i="29"/>
  <c r="Q29" i="29"/>
  <c r="H140" i="27" l="1"/>
  <c r="T140" i="27"/>
  <c r="U140" i="27" s="1"/>
  <c r="AL140" i="27" s="1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G2" i="35" l="1"/>
  <c r="F25" i="35"/>
  <c r="AF80" i="27"/>
  <c r="C79" i="27"/>
  <c r="D79" i="27"/>
  <c r="H79" i="27"/>
  <c r="K79" i="27"/>
  <c r="H2" i="35" l="1"/>
  <c r="G25" i="35"/>
  <c r="K77" i="27"/>
  <c r="K78" i="27"/>
  <c r="AF69" i="27"/>
  <c r="AF70" i="27"/>
  <c r="AF71" i="27"/>
  <c r="I2" i="35" l="1"/>
  <c r="H25" i="35"/>
  <c r="C66" i="27"/>
  <c r="D66" i="27"/>
  <c r="H66" i="27"/>
  <c r="K66" i="27"/>
  <c r="R66" i="27"/>
  <c r="T66" i="27" s="1"/>
  <c r="S66" i="27"/>
  <c r="AD66" i="27"/>
  <c r="AE66" i="27"/>
  <c r="AF66" i="27"/>
  <c r="AG66" i="27"/>
  <c r="C67" i="27"/>
  <c r="D67" i="27"/>
  <c r="H67" i="27"/>
  <c r="K67" i="27"/>
  <c r="R67" i="27"/>
  <c r="S67" i="27"/>
  <c r="AD67" i="27"/>
  <c r="AE67" i="27"/>
  <c r="AF67" i="27"/>
  <c r="AG67" i="27"/>
  <c r="C68" i="27"/>
  <c r="D68" i="27"/>
  <c r="H68" i="27"/>
  <c r="K68" i="27"/>
  <c r="R68" i="27"/>
  <c r="S68" i="27"/>
  <c r="AD68" i="27"/>
  <c r="AE68" i="27"/>
  <c r="AF68" i="27"/>
  <c r="AG68" i="27"/>
  <c r="C69" i="27"/>
  <c r="D69" i="27"/>
  <c r="H69" i="27"/>
  <c r="K69" i="27"/>
  <c r="R69" i="27"/>
  <c r="T69" i="27" s="1"/>
  <c r="S69" i="27"/>
  <c r="AD69" i="27"/>
  <c r="AE69" i="27"/>
  <c r="AG69" i="27"/>
  <c r="C70" i="27"/>
  <c r="D70" i="27"/>
  <c r="H70" i="27"/>
  <c r="K70" i="27"/>
  <c r="R70" i="27"/>
  <c r="T70" i="27" s="1"/>
  <c r="S70" i="27"/>
  <c r="AD70" i="27"/>
  <c r="AE70" i="27"/>
  <c r="AG70" i="27"/>
  <c r="C71" i="27"/>
  <c r="D71" i="27"/>
  <c r="H71" i="27"/>
  <c r="K71" i="27"/>
  <c r="R71" i="27"/>
  <c r="T71" i="27" s="1"/>
  <c r="S71" i="27"/>
  <c r="AD71" i="27"/>
  <c r="AE71" i="27"/>
  <c r="AG71" i="27"/>
  <c r="C72" i="27"/>
  <c r="D72" i="27"/>
  <c r="H72" i="27"/>
  <c r="K72" i="27"/>
  <c r="R72" i="27"/>
  <c r="T72" i="27" s="1"/>
  <c r="S72" i="27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I25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R20" i="27"/>
  <c r="R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R22" i="27"/>
  <c r="R23" i="27"/>
  <c r="R24" i="27"/>
  <c r="R25" i="27"/>
  <c r="R26" i="27"/>
  <c r="R27" i="27"/>
  <c r="R28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73" i="27"/>
  <c r="T73" i="27" s="1"/>
  <c r="R74" i="27"/>
  <c r="T74" i="27" s="1"/>
  <c r="R75" i="27"/>
  <c r="R76" i="27"/>
  <c r="R77" i="27"/>
  <c r="T77" i="27" s="1"/>
  <c r="R78" i="27"/>
  <c r="T78" i="27" s="1"/>
  <c r="R79" i="27"/>
  <c r="T79" i="27" s="1"/>
  <c r="R80" i="27"/>
  <c r="T80" i="27" s="1"/>
  <c r="R81" i="27"/>
  <c r="T81" i="27" s="1"/>
  <c r="R82" i="27"/>
  <c r="T82" i="27" s="1"/>
  <c r="R83" i="27"/>
  <c r="T83" i="27" s="1"/>
  <c r="R84" i="27"/>
  <c r="T84" i="27" s="1"/>
  <c r="R85" i="27"/>
  <c r="R86" i="27"/>
  <c r="R87" i="27"/>
  <c r="T87" i="27" s="1"/>
  <c r="R88" i="27"/>
  <c r="T88" i="27" s="1"/>
  <c r="R89" i="27"/>
  <c r="R90" i="27"/>
  <c r="T90" i="27" s="1"/>
  <c r="R91" i="27"/>
  <c r="T91" i="27" s="1"/>
  <c r="R92" i="27"/>
  <c r="T92" i="27" s="1"/>
  <c r="R93" i="27"/>
  <c r="T93" i="27" s="1"/>
  <c r="R94" i="27"/>
  <c r="T94" i="27" s="1"/>
  <c r="R95" i="27"/>
  <c r="R96" i="27"/>
  <c r="T96" i="27" s="1"/>
  <c r="R97" i="27"/>
  <c r="R98" i="27"/>
  <c r="T98" i="27" s="1"/>
  <c r="R99" i="27"/>
  <c r="T99" i="27" s="1"/>
  <c r="R100" i="27"/>
  <c r="T100" i="27" s="1"/>
  <c r="R101" i="27"/>
  <c r="T101" i="27" s="1"/>
  <c r="R102" i="27"/>
  <c r="T102" i="27" s="1"/>
  <c r="R103" i="27"/>
  <c r="T103" i="27" s="1"/>
  <c r="R104" i="27"/>
  <c r="T104" i="27" s="1"/>
  <c r="R105" i="27"/>
  <c r="R106" i="27"/>
  <c r="R107" i="27"/>
  <c r="R108" i="27"/>
  <c r="T108" i="27" s="1"/>
  <c r="T113" i="27"/>
  <c r="U113" i="27" s="1"/>
  <c r="R115" i="27"/>
  <c r="R116" i="27"/>
  <c r="R117" i="27"/>
  <c r="R118" i="27"/>
  <c r="R119" i="27"/>
  <c r="R120" i="27"/>
  <c r="R121" i="27"/>
  <c r="R122" i="27"/>
  <c r="R123" i="27"/>
  <c r="T123" i="27" s="1"/>
  <c r="R124" i="27"/>
  <c r="T124" i="27" s="1"/>
  <c r="R125" i="27"/>
  <c r="R126" i="27"/>
  <c r="R127" i="27"/>
  <c r="R128" i="27"/>
  <c r="R129" i="27"/>
  <c r="R130" i="27"/>
  <c r="R131" i="27"/>
  <c r="R132" i="27"/>
  <c r="T132" i="27" s="1"/>
  <c r="R133" i="27"/>
  <c r="T133" i="27" s="1"/>
  <c r="R134" i="27"/>
  <c r="T134" i="27" s="1"/>
  <c r="R135" i="27"/>
  <c r="T135" i="27" s="1"/>
  <c r="R136" i="27"/>
  <c r="T136" i="27" s="1"/>
  <c r="R137" i="27"/>
  <c r="R138" i="27"/>
  <c r="R139" i="27"/>
  <c r="R141" i="27"/>
  <c r="R142" i="27"/>
  <c r="R143" i="27"/>
  <c r="R144" i="27"/>
  <c r="R145" i="27"/>
  <c r="T145" i="27" s="1"/>
  <c r="R146" i="27"/>
  <c r="R147" i="27"/>
  <c r="R148" i="27"/>
  <c r="T148" i="27" s="1"/>
  <c r="R149" i="27"/>
  <c r="T149" i="27" s="1"/>
  <c r="R150" i="27"/>
  <c r="T150" i="27" s="1"/>
  <c r="R151" i="27"/>
  <c r="R152" i="27"/>
  <c r="T152" i="27" s="1"/>
  <c r="R153" i="27"/>
  <c r="R154" i="27"/>
  <c r="R155" i="27"/>
  <c r="T155" i="27" s="1"/>
  <c r="R156" i="27"/>
  <c r="T156" i="27" s="1"/>
  <c r="R157" i="27"/>
  <c r="R158" i="27"/>
  <c r="T158" i="27" s="1"/>
  <c r="R159" i="27"/>
  <c r="T159" i="27" s="1"/>
  <c r="R160" i="27"/>
  <c r="T160" i="27" s="1"/>
  <c r="R161" i="27"/>
  <c r="T161" i="27" s="1"/>
  <c r="R162" i="27"/>
  <c r="R163" i="27"/>
  <c r="T163" i="27" s="1"/>
  <c r="R164" i="27"/>
  <c r="T164" i="27" s="1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K12" i="27"/>
  <c r="C12" i="27"/>
  <c r="D12" i="27"/>
  <c r="H12" i="27"/>
  <c r="R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R7" i="27"/>
  <c r="S7" i="27"/>
  <c r="AD7" i="27"/>
  <c r="AE7" i="27"/>
  <c r="AF7" i="27"/>
  <c r="AG7" i="27"/>
  <c r="C8" i="27"/>
  <c r="D8" i="27"/>
  <c r="H8" i="27"/>
  <c r="R8" i="27"/>
  <c r="S8" i="27"/>
  <c r="AD8" i="27"/>
  <c r="AE8" i="27"/>
  <c r="AF8" i="27"/>
  <c r="AG8" i="27"/>
  <c r="C9" i="27"/>
  <c r="D9" i="27"/>
  <c r="H9" i="27"/>
  <c r="R9" i="27"/>
  <c r="S9" i="27"/>
  <c r="AD9" i="27"/>
  <c r="AE9" i="27"/>
  <c r="AF9" i="27"/>
  <c r="AG9" i="27"/>
  <c r="C10" i="27"/>
  <c r="D10" i="27"/>
  <c r="H10" i="27"/>
  <c r="R10" i="27"/>
  <c r="S10" i="27"/>
  <c r="AD10" i="27"/>
  <c r="AE10" i="27"/>
  <c r="AF10" i="27"/>
  <c r="AG10" i="27"/>
  <c r="C11" i="27"/>
  <c r="D11" i="27"/>
  <c r="H11" i="27"/>
  <c r="R11" i="27"/>
  <c r="S11" i="27"/>
  <c r="AD11" i="27"/>
  <c r="AE11" i="27"/>
  <c r="AF11" i="27"/>
  <c r="AG11" i="27"/>
  <c r="C14" i="27"/>
  <c r="D14" i="27"/>
  <c r="H14" i="27"/>
  <c r="R14" i="27"/>
  <c r="S14" i="27"/>
  <c r="AD14" i="27"/>
  <c r="AE14" i="27"/>
  <c r="AF14" i="27"/>
  <c r="AG14" i="27"/>
  <c r="C15" i="27"/>
  <c r="D15" i="27"/>
  <c r="H15" i="27"/>
  <c r="R15" i="27"/>
  <c r="S15" i="27"/>
  <c r="AD15" i="27"/>
  <c r="AE15" i="27"/>
  <c r="AF15" i="27"/>
  <c r="AG15" i="27"/>
  <c r="C16" i="27"/>
  <c r="D16" i="27"/>
  <c r="H16" i="27"/>
  <c r="R16" i="27"/>
  <c r="S16" i="27"/>
  <c r="AD16" i="27"/>
  <c r="AE16" i="27"/>
  <c r="AF16" i="27"/>
  <c r="AG16" i="27"/>
  <c r="C17" i="27"/>
  <c r="D17" i="27"/>
  <c r="H17" i="27"/>
  <c r="R17" i="27"/>
  <c r="S17" i="27"/>
  <c r="AD17" i="27"/>
  <c r="AE17" i="27"/>
  <c r="AF17" i="27"/>
  <c r="AG17" i="27"/>
  <c r="C18" i="27"/>
  <c r="D18" i="27"/>
  <c r="H18" i="27"/>
  <c r="R18" i="27"/>
  <c r="S18" i="27"/>
  <c r="AD18" i="27"/>
  <c r="AE18" i="27"/>
  <c r="AF18" i="27"/>
  <c r="AG18" i="27"/>
  <c r="C5" i="27"/>
  <c r="D5" i="27"/>
  <c r="H5" i="27"/>
  <c r="R5" i="27"/>
  <c r="S5" i="27"/>
  <c r="AD5" i="27"/>
  <c r="AE5" i="27"/>
  <c r="AF5" i="27"/>
  <c r="AG5" i="27"/>
  <c r="T162" i="27" l="1"/>
  <c r="T115" i="27"/>
  <c r="U115" i="27" s="1"/>
  <c r="AL115" i="27" s="1"/>
  <c r="T95" i="27"/>
  <c r="J25" i="35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T5" i="27"/>
  <c r="U57" i="27" l="1"/>
  <c r="AL57" i="27" s="1"/>
  <c r="U58" i="27"/>
  <c r="AL58" i="27" s="1"/>
  <c r="U59" i="27"/>
  <c r="AL59" i="27" s="1"/>
  <c r="U56" i="27"/>
  <c r="AL56" i="27" s="1"/>
  <c r="C24" i="36"/>
  <c r="D24" i="36"/>
  <c r="E24" i="36"/>
  <c r="F24" i="36"/>
  <c r="G24" i="36"/>
  <c r="H24" i="36"/>
  <c r="I24" i="36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29" i="20"/>
  <c r="AX130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Q4" i="24"/>
  <c r="P4" i="24"/>
  <c r="O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G19" i="27"/>
  <c r="AF19" i="27"/>
  <c r="AE19" i="27"/>
  <c r="AD19" i="27"/>
  <c r="S19" i="27"/>
  <c r="R19" i="27"/>
  <c r="K19" i="27"/>
  <c r="H19" i="27"/>
  <c r="D19" i="27"/>
  <c r="C19" i="27"/>
  <c r="AG6" i="27"/>
  <c r="AF6" i="27"/>
  <c r="AE6" i="27"/>
  <c r="AD6" i="27"/>
  <c r="S6" i="27"/>
  <c r="R6" i="27"/>
  <c r="K6" i="27"/>
  <c r="H6" i="27"/>
  <c r="C6" i="27"/>
  <c r="AG4" i="27"/>
  <c r="AF4" i="27"/>
  <c r="AE4" i="27"/>
  <c r="AD4" i="27"/>
  <c r="S4" i="27"/>
  <c r="R4" i="27"/>
  <c r="K4" i="27"/>
  <c r="H4" i="27"/>
  <c r="AG3" i="27"/>
  <c r="AF3" i="27"/>
  <c r="AE3" i="27"/>
  <c r="AD3" i="27"/>
  <c r="S3" i="27"/>
  <c r="R3" i="27"/>
  <c r="K3" i="27"/>
  <c r="H3" i="27"/>
  <c r="AG2" i="27"/>
  <c r="AF2" i="27"/>
  <c r="AE2" i="27"/>
  <c r="AD2" i="27"/>
  <c r="S2" i="27"/>
  <c r="R2" i="27"/>
  <c r="K2" i="27"/>
  <c r="H2" i="27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AQ134" i="20"/>
  <c r="AT134" i="20" s="1"/>
  <c r="AQ63" i="20"/>
  <c r="AT63" i="20" s="1"/>
  <c r="U3" i="27"/>
  <c r="AL3" i="27" s="1"/>
  <c r="U2" i="27"/>
  <c r="AL2" i="27" s="1"/>
  <c r="U4" i="27"/>
  <c r="AL4" i="27" s="1"/>
  <c r="U19" i="27"/>
  <c r="AL19" i="27" s="1"/>
  <c r="U6" i="27"/>
  <c r="AL6" i="27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Q277" i="20"/>
  <c r="AT277" i="20" s="1"/>
  <c r="AQ88" i="20"/>
  <c r="AQ241" i="20"/>
  <c r="AT241" i="20" s="1"/>
  <c r="AQ40" i="20"/>
  <c r="AT40" i="20" s="1"/>
  <c r="AQ199" i="20"/>
  <c r="AT199" i="20" s="1"/>
  <c r="AQ160" i="20"/>
  <c r="AT160" i="20" s="1"/>
  <c r="AQ42" i="20"/>
  <c r="AT42" i="20" s="1"/>
  <c r="AQ44" i="20"/>
  <c r="AT44" i="20" s="1"/>
  <c r="AQ230" i="20"/>
  <c r="AT230" i="20" s="1"/>
  <c r="AQ255" i="20"/>
  <c r="AT255" i="20" s="1"/>
  <c r="AQ25" i="20"/>
  <c r="AT25" i="20" s="1"/>
  <c r="AQ275" i="20"/>
  <c r="AT275" i="20" s="1"/>
  <c r="AT60" i="20"/>
  <c r="AQ177" i="20"/>
  <c r="AT177" i="20" s="1"/>
  <c r="AQ227" i="20"/>
  <c r="AT227" i="20" s="1"/>
  <c r="AQ263" i="20"/>
  <c r="AT263" i="20" s="1"/>
  <c r="AQ136" i="20"/>
  <c r="AT136" i="20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Q182" i="20"/>
  <c r="AT182" i="20" s="1"/>
  <c r="AQ51" i="20"/>
  <c r="AT51" i="20" s="1"/>
  <c r="AQ37" i="20"/>
  <c r="AT37" i="20" s="1"/>
  <c r="AQ64" i="20"/>
  <c r="AQ195" i="20"/>
  <c r="AT195" i="20" s="1"/>
  <c r="AQ110" i="20"/>
  <c r="AT110" i="20" s="1"/>
  <c r="AQ168" i="20"/>
  <c r="AT168" i="20" s="1"/>
  <c r="AQ219" i="20"/>
  <c r="AQ203" i="20"/>
  <c r="AQ41" i="20"/>
  <c r="AT41" i="20" s="1"/>
  <c r="AQ218" i="20"/>
  <c r="AT218" i="20" s="1"/>
  <c r="AQ24" i="20"/>
  <c r="AT24" i="20" s="1"/>
  <c r="AQ120" i="20"/>
  <c r="AT120" i="20" s="1"/>
  <c r="AQ164" i="20"/>
  <c r="AQ35" i="20"/>
  <c r="AT35" i="20" s="1"/>
  <c r="AQ272" i="20"/>
  <c r="AT272" i="20" s="1"/>
  <c r="AQ251" i="20"/>
  <c r="AQ270" i="20"/>
  <c r="AT270" i="20" s="1"/>
  <c r="AQ98" i="20"/>
  <c r="AT98" i="20" s="1"/>
  <c r="AQ19" i="20"/>
  <c r="AT19" i="20" s="1"/>
  <c r="AQ211" i="20"/>
  <c r="AT211" i="20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Q223" i="20"/>
  <c r="AT223" i="20" s="1"/>
  <c r="AQ210" i="20"/>
  <c r="AT210" i="20" s="1"/>
  <c r="AQ106" i="20"/>
  <c r="AT106" i="20" s="1"/>
  <c r="AQ94" i="20"/>
  <c r="AT94" i="20" s="1"/>
  <c r="AQ81" i="20"/>
  <c r="AT81" i="20" s="1"/>
  <c r="AQ194" i="20"/>
  <c r="AT194" i="20" s="1"/>
  <c r="AQ202" i="20"/>
  <c r="AT202" i="20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Q243" i="20"/>
  <c r="AT243" i="20" s="1"/>
  <c r="AQ278" i="20"/>
  <c r="AT278" i="20" s="1"/>
  <c r="AQ112" i="20"/>
  <c r="AT112" i="20" s="1"/>
  <c r="AQ29" i="20"/>
  <c r="AT29" i="20" s="1"/>
  <c r="AQ133" i="20"/>
  <c r="AT133" i="20" s="1"/>
  <c r="AQ84" i="20"/>
  <c r="AT84" i="20" s="1"/>
  <c r="AQ257" i="20"/>
  <c r="AT257" i="20" s="1"/>
  <c r="AQ127" i="20"/>
  <c r="AT127" i="20" s="1"/>
  <c r="AQ103" i="20"/>
  <c r="AT103" i="20" s="1"/>
  <c r="AQ192" i="20"/>
  <c r="AT192" i="20" s="1"/>
  <c r="AQ62" i="20"/>
  <c r="AT62" i="20" s="1"/>
  <c r="AQ5" i="20"/>
  <c r="AT5" i="20" s="1"/>
  <c r="AQ77" i="20"/>
  <c r="AT77" i="20" s="1"/>
  <c r="AQ198" i="20"/>
  <c r="AT198" i="20" s="1"/>
  <c r="AQ239" i="20"/>
  <c r="AT239" i="20" s="1"/>
  <c r="AQ216" i="20"/>
  <c r="AT216" i="20" s="1"/>
  <c r="AQ58" i="20"/>
  <c r="AT58" i="20" s="1"/>
  <c r="AQ66" i="20"/>
  <c r="AT66" i="20" s="1"/>
  <c r="AQ55" i="20"/>
  <c r="AT55" i="20" s="1"/>
  <c r="AQ246" i="20"/>
  <c r="AQ184" i="20"/>
  <c r="AT184" i="20" s="1"/>
  <c r="AQ126" i="20"/>
  <c r="AT126" i="20" s="1"/>
  <c r="AQ7" i="20"/>
  <c r="AT7" i="20" s="1"/>
  <c r="AQ31" i="20"/>
  <c r="AT31" i="20" s="1"/>
  <c r="AQ281" i="20"/>
  <c r="AT281" i="20" s="1"/>
  <c r="AQ249" i="20"/>
  <c r="AT249" i="20" s="1"/>
  <c r="AQ87" i="20"/>
  <c r="AT87" i="20" s="1"/>
  <c r="AQ124" i="20"/>
  <c r="AT124" i="20" s="1"/>
  <c r="AQ107" i="20"/>
  <c r="AT107" i="20" s="1"/>
  <c r="AQ175" i="20"/>
  <c r="AT175" i="20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Q67" i="20"/>
  <c r="AT67" i="20" s="1"/>
  <c r="AQ146" i="20"/>
  <c r="AT146" i="20" s="1"/>
  <c r="AQ280" i="20"/>
  <c r="AT280" i="20" s="1"/>
  <c r="AQ166" i="20"/>
  <c r="AT166" i="20" s="1"/>
  <c r="AQ240" i="20"/>
  <c r="AT240" i="20" s="1"/>
  <c r="AQ217" i="20"/>
  <c r="AQ261" i="20"/>
  <c r="AT261" i="20" s="1"/>
  <c r="AQ188" i="20"/>
  <c r="AT188" i="20" s="1"/>
  <c r="AQ13" i="20"/>
  <c r="AT13" i="20" s="1"/>
  <c r="AQ83" i="20"/>
  <c r="AT83" i="20" s="1"/>
  <c r="AQ170" i="20"/>
  <c r="AT170" i="20" s="1"/>
  <c r="AQ187" i="20"/>
  <c r="AT187" i="20" s="1"/>
  <c r="AQ28" i="20"/>
  <c r="AT28" i="20" s="1"/>
  <c r="AQ16" i="20"/>
  <c r="AT16" i="20" s="1"/>
  <c r="AQ100" i="20"/>
  <c r="AT100" i="20" s="1"/>
  <c r="AQ228" i="20"/>
  <c r="AT228" i="20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Q174" i="20"/>
  <c r="AT174" i="20" s="1"/>
  <c r="AQ212" i="20"/>
  <c r="AT212" i="20" s="1"/>
  <c r="AQ92" i="20"/>
  <c r="AQ178" i="20"/>
  <c r="AT178" i="20" s="1"/>
  <c r="AQ171" i="20"/>
  <c r="AT171" i="20" s="1"/>
  <c r="AQ165" i="20"/>
  <c r="AT165" i="20" s="1"/>
  <c r="AQ143" i="20"/>
  <c r="AT143" i="20" s="1"/>
  <c r="AQ6" i="20"/>
  <c r="AT6" i="20" s="1"/>
  <c r="AQ142" i="20"/>
  <c r="AT142" i="20" s="1"/>
  <c r="AQ266" i="20"/>
  <c r="AT266" i="20" s="1"/>
  <c r="AQ172" i="20"/>
  <c r="AQ56" i="20"/>
  <c r="AT56" i="20" s="1"/>
  <c r="AQ269" i="20"/>
  <c r="AT269" i="20" s="1"/>
  <c r="AQ242" i="20"/>
  <c r="AT242" i="20" s="1"/>
  <c r="AQ101" i="20"/>
  <c r="AT101" i="20" s="1"/>
  <c r="AQ39" i="20"/>
  <c r="AT39" i="20" s="1"/>
  <c r="AQ169" i="20"/>
  <c r="AT169" i="20" s="1"/>
  <c r="AQ79" i="20"/>
  <c r="AQ193" i="20"/>
  <c r="AT193" i="20" s="1"/>
  <c r="AQ248" i="20"/>
  <c r="AT248" i="20" s="1"/>
  <c r="AQ282" i="20"/>
  <c r="AT282" i="20" s="1"/>
  <c r="AQ50" i="20"/>
  <c r="AT50" i="20" s="1"/>
  <c r="AQ32" i="20"/>
  <c r="AT32" i="20" s="1"/>
  <c r="AQ268" i="20"/>
  <c r="AT268" i="20" s="1"/>
  <c r="AQ262" i="20"/>
  <c r="AT262" i="20" s="1"/>
  <c r="AQ150" i="20"/>
  <c r="AT150" i="20" s="1"/>
  <c r="AQ96" i="20"/>
  <c r="AT96" i="20" s="1"/>
  <c r="AQ137" i="20"/>
  <c r="AT137" i="20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Q274" i="20"/>
  <c r="AT274" i="20" s="1"/>
  <c r="AQ233" i="20"/>
  <c r="AT233" i="20" s="1"/>
  <c r="AQ145" i="20"/>
  <c r="AT145" i="20" s="1"/>
  <c r="AQ235" i="20"/>
  <c r="AQ147" i="20"/>
  <c r="AQ69" i="20"/>
  <c r="AT69" i="20" s="1"/>
  <c r="AQ208" i="20"/>
  <c r="AQ181" i="20"/>
  <c r="AT181" i="20" s="1"/>
  <c r="AQ176" i="20"/>
  <c r="AT176" i="20" s="1"/>
  <c r="AQ85" i="20"/>
  <c r="AT85" i="20" s="1"/>
  <c r="AQ90" i="20"/>
  <c r="AT90" i="20" s="1"/>
  <c r="AQ12" i="20"/>
  <c r="AQ186" i="20"/>
  <c r="AT186" i="20" s="1"/>
  <c r="AQ161" i="20"/>
  <c r="AQ173" i="20"/>
  <c r="AT173" i="20" s="1"/>
  <c r="AQ109" i="20"/>
  <c r="AT109" i="20" s="1"/>
  <c r="AQ232" i="20"/>
  <c r="AT232" i="20" s="1"/>
  <c r="AQ132" i="20"/>
  <c r="AT132" i="20" s="1"/>
  <c r="AQ76" i="20"/>
  <c r="AT76" i="20" s="1"/>
  <c r="AQ259" i="20"/>
  <c r="AT259" i="20" s="1"/>
  <c r="AQ197" i="20"/>
  <c r="AT197" i="20" s="1"/>
  <c r="AQ247" i="20"/>
  <c r="AQ122" i="20"/>
  <c r="AT122" i="20" s="1"/>
  <c r="AQ144" i="20"/>
  <c r="AT144" i="20" s="1"/>
  <c r="AQ52" i="20"/>
  <c r="AT52" i="20" s="1"/>
  <c r="AQ236" i="20"/>
  <c r="AT236" i="20" s="1"/>
  <c r="G6" i="32"/>
  <c r="H6" i="32" s="1"/>
  <c r="B7" i="32"/>
  <c r="D6" i="32"/>
  <c r="C6" i="32"/>
  <c r="AQ95" i="20"/>
  <c r="AT95" i="20" s="1"/>
  <c r="AQ153" i="20"/>
  <c r="AT153" i="20" s="1"/>
  <c r="AQ65" i="20"/>
  <c r="AT65" i="20" s="1"/>
  <c r="AQ213" i="20"/>
  <c r="AT213" i="20" s="1"/>
  <c r="AQ123" i="20"/>
  <c r="AT123" i="20" s="1"/>
  <c r="AQ115" i="20"/>
  <c r="AT115" i="20" s="1"/>
  <c r="AQ185" i="20"/>
  <c r="AT185" i="20" s="1"/>
  <c r="AQ154" i="20"/>
  <c r="AT154" i="20" s="1"/>
  <c r="AQ10" i="20"/>
  <c r="AT10" i="20" s="1"/>
  <c r="AQ18" i="20"/>
  <c r="AQ89" i="20"/>
  <c r="AT89" i="20" s="1"/>
  <c r="AQ130" i="20"/>
  <c r="AT130" i="20" s="1"/>
  <c r="AQ155" i="20"/>
  <c r="AT155" i="20" s="1"/>
  <c r="AQ11" i="20"/>
  <c r="AT11" i="20" s="1"/>
  <c r="AQ119" i="20"/>
  <c r="AT119" i="20" s="1"/>
  <c r="AQ273" i="20"/>
  <c r="AT273" i="20" s="1"/>
  <c r="AQ20" i="20"/>
  <c r="AT20" i="20" s="1"/>
  <c r="AQ93" i="20"/>
  <c r="AT93" i="20" s="1"/>
  <c r="AQ151" i="20"/>
  <c r="AT151" i="20" s="1"/>
  <c r="AQ271" i="20"/>
  <c r="AQ206" i="20"/>
  <c r="AQ135" i="20"/>
  <c r="AQ21" i="20"/>
  <c r="AT21" i="20" s="1"/>
  <c r="AQ258" i="20"/>
  <c r="AT258" i="20" s="1"/>
  <c r="AQ264" i="20"/>
  <c r="AT264" i="20" s="1"/>
  <c r="AQ222" i="20"/>
  <c r="AQ234" i="20"/>
  <c r="AT234" i="20" s="1"/>
  <c r="AQ138" i="20"/>
  <c r="AT138" i="20" s="1"/>
  <c r="AQ152" i="20"/>
  <c r="AT152" i="20" s="1"/>
  <c r="AQ141" i="20"/>
  <c r="AQ250" i="20"/>
  <c r="AT250" i="20" s="1"/>
  <c r="AQ231" i="20"/>
  <c r="AT231" i="20" s="1"/>
  <c r="AQ162" i="20"/>
  <c r="AT162" i="20" s="1"/>
  <c r="AQ45" i="20"/>
  <c r="AT45" i="20" s="1"/>
  <c r="AQ17" i="20"/>
  <c r="AT17" i="20" s="1"/>
  <c r="AQ149" i="20"/>
  <c r="AT149" i="20" s="1"/>
  <c r="AQ99" i="20"/>
  <c r="AT99" i="20" s="1"/>
  <c r="AQ279" i="20"/>
  <c r="AT279" i="20" s="1"/>
  <c r="AQ215" i="20"/>
  <c r="AQ276" i="20"/>
  <c r="AT276" i="20" s="1"/>
  <c r="AQ140" i="20"/>
  <c r="AT140" i="20" s="1"/>
  <c r="AQ117" i="20"/>
  <c r="AT59" i="20"/>
  <c r="AQ207" i="20"/>
  <c r="AT207" i="20" s="1"/>
  <c r="AQ189" i="20"/>
  <c r="AT189" i="20" s="1"/>
  <c r="AQ102" i="20"/>
  <c r="AQ224" i="20"/>
  <c r="AQ148" i="20"/>
  <c r="AT148" i="20" s="1"/>
  <c r="AQ116" i="20"/>
  <c r="AQ23" i="20"/>
  <c r="AT23" i="20" s="1"/>
  <c r="AQ167" i="20"/>
  <c r="AT167" i="20" s="1"/>
  <c r="AQ196" i="20"/>
  <c r="AQ226" i="20"/>
  <c r="AT226" i="20" s="1"/>
  <c r="AQ237" i="20"/>
  <c r="AQ139" i="20"/>
  <c r="AQ163" i="20"/>
  <c r="AQ131" i="20"/>
  <c r="AT131" i="20" s="1"/>
  <c r="AQ113" i="20"/>
  <c r="AT113" i="20" s="1"/>
  <c r="AQ9" i="20"/>
  <c r="AQ220" i="20"/>
  <c r="AT220" i="20" s="1"/>
  <c r="AQ238" i="20"/>
  <c r="AQ225" i="20"/>
  <c r="AT225" i="20" s="1"/>
  <c r="AQ256" i="20"/>
  <c r="AQ265" i="20"/>
  <c r="AT265" i="20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Q26" i="20"/>
  <c r="AT26" i="20" s="1"/>
  <c r="AQ260" i="20"/>
  <c r="AQ267" i="20"/>
  <c r="AQ36" i="20"/>
  <c r="AT36" i="20" s="1"/>
  <c r="AQ82" i="20"/>
  <c r="AQ204" i="20"/>
  <c r="AQ48" i="20"/>
  <c r="AQ200" i="20"/>
  <c r="X7" i="37" l="1"/>
  <c r="Z7" i="37" s="1"/>
  <c r="L7" i="37" s="1"/>
  <c r="X6" i="37"/>
  <c r="Z6" i="37" s="1"/>
  <c r="D6" i="30"/>
  <c r="G6" i="30"/>
  <c r="H6" i="30" s="1"/>
  <c r="B7" i="30"/>
  <c r="AT108" i="20"/>
  <c r="AT88" i="20"/>
  <c r="AT191" i="20"/>
  <c r="AT64" i="20"/>
  <c r="AT219" i="20"/>
  <c r="AT164" i="20"/>
  <c r="AT141" i="20"/>
  <c r="AT203" i="20"/>
  <c r="AT208" i="20"/>
  <c r="AT190" i="20"/>
  <c r="AT156" i="20"/>
  <c r="AT12" i="20"/>
  <c r="D6" i="31"/>
  <c r="C6" i="31"/>
  <c r="B7" i="31"/>
  <c r="G6" i="31"/>
  <c r="H6" i="31" s="1"/>
  <c r="AT92" i="20"/>
  <c r="AT157" i="20"/>
  <c r="AT172" i="20"/>
  <c r="AT74" i="20"/>
  <c r="AT271" i="20"/>
  <c r="AT254" i="20"/>
  <c r="AT205" i="20"/>
  <c r="AT147" i="20"/>
  <c r="AT79" i="20"/>
  <c r="AT247" i="20"/>
  <c r="AT61" i="20"/>
  <c r="AT161" i="20"/>
  <c r="C7" i="32"/>
  <c r="G7" i="32"/>
  <c r="H7" i="32" s="1"/>
  <c r="B8" i="32"/>
  <c r="D7" i="32"/>
  <c r="AT18" i="20"/>
  <c r="AT215" i="20"/>
  <c r="AT102" i="20"/>
  <c r="AT117" i="20"/>
  <c r="AT135" i="20"/>
  <c r="AT116" i="20"/>
  <c r="AT163" i="20"/>
  <c r="AT139" i="20"/>
  <c r="AT8" i="20"/>
  <c r="AT159" i="20"/>
  <c r="AT196" i="20"/>
  <c r="AT9" i="20"/>
  <c r="AT224" i="20"/>
  <c r="AT204" i="20"/>
  <c r="AT48" i="20"/>
  <c r="AT128" i="20"/>
  <c r="AT222" i="20"/>
  <c r="AT206" i="20"/>
  <c r="AT235" i="20"/>
  <c r="AT217" i="20"/>
  <c r="AT246" i="20"/>
  <c r="AT200" i="20"/>
  <c r="AT82" i="20"/>
  <c r="AT183" i="20"/>
  <c r="AT251" i="20"/>
  <c r="AT209" i="20"/>
  <c r="X8" i="37" l="1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T256" i="20"/>
  <c r="AT237" i="20"/>
  <c r="AT245" i="20"/>
  <c r="AT252" i="20"/>
  <c r="AT260" i="20"/>
  <c r="AT229" i="20"/>
  <c r="AT267" i="20"/>
  <c r="B10" i="7" l="1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V2" i="24"/>
  <c r="V3" i="24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I34" i="37"/>
  <c r="Y3" i="38"/>
  <c r="I8" i="37"/>
  <c r="AA5" i="38"/>
  <c r="I9" i="37"/>
  <c r="I11" i="37"/>
  <c r="I10" i="37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AS64" i="38" s="1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AS94" i="38" s="1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I37" i="37" l="1"/>
  <c r="G20" i="37"/>
  <c r="H36" i="37"/>
  <c r="Q36" i="37" s="1"/>
  <c r="M36" i="37"/>
  <c r="N36" i="37"/>
  <c r="R36" i="37" s="1"/>
  <c r="F10" i="7"/>
  <c r="H10" i="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20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O3" i="38"/>
  <c r="R3" i="38"/>
  <c r="W3" i="38"/>
  <c r="AM13" i="39"/>
  <c r="Z13" i="39"/>
  <c r="R5" i="38"/>
  <c r="W5" i="38"/>
  <c r="U5" i="38"/>
  <c r="O5" i="38"/>
  <c r="AM12" i="39"/>
  <c r="Z12" i="39"/>
  <c r="Q12" i="39"/>
  <c r="K10" i="37"/>
  <c r="K11" i="37"/>
  <c r="R4" i="38"/>
  <c r="W4" i="38"/>
  <c r="O4" i="38"/>
  <c r="U4" i="38"/>
  <c r="K9" i="37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N10" i="7" s="1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U8" i="38"/>
  <c r="Q23" i="39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Q19" i="39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Q22" i="39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Q24" i="39"/>
  <c r="U196" i="38"/>
  <c r="U346" i="38"/>
  <c r="U216" i="38"/>
  <c r="U153" i="38"/>
  <c r="U90" i="38"/>
  <c r="U146" i="38"/>
  <c r="U220" i="38"/>
  <c r="U143" i="38"/>
  <c r="Q20" i="39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Q16" i="39"/>
  <c r="U310" i="38"/>
  <c r="U14" i="38"/>
  <c r="U223" i="38"/>
  <c r="U92" i="38"/>
  <c r="U97" i="38"/>
  <c r="U47" i="38"/>
  <c r="U329" i="38"/>
  <c r="U247" i="38"/>
  <c r="U209" i="38"/>
  <c r="U74" i="38"/>
  <c r="U169" i="38"/>
  <c r="Q17" i="39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Q25" i="39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Q15" i="39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O37" i="37" l="1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J10" i="7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N4" i="8" l="1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L33" i="37" s="1"/>
  <c r="Z12" i="37"/>
  <c r="L12" i="37" s="1"/>
  <c r="Z30" i="37"/>
  <c r="L30" i="37" s="1"/>
  <c r="Z17" i="37"/>
  <c r="L17" i="37" s="1"/>
  <c r="Z26" i="37"/>
  <c r="L26" i="37" s="1"/>
  <c r="L13" i="37"/>
  <c r="P13" i="37" l="1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P11" i="37" l="1"/>
  <c r="P37" i="37" s="1"/>
  <c r="N11" i="37"/>
  <c r="N37" i="37" s="1"/>
  <c r="C12" i="9"/>
  <c r="G6" i="24" l="1"/>
  <c r="G7" i="24"/>
  <c r="G2" i="24"/>
  <c r="G4" i="24"/>
  <c r="G9" i="24"/>
  <c r="G3" i="24"/>
  <c r="G8" i="24"/>
  <c r="G5" i="24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V428" i="27" s="1"/>
  <c r="AJ428" i="27" s="1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V446" i="27" s="1"/>
  <c r="AJ446" i="27" s="1"/>
  <c r="R25" i="22"/>
  <c r="R7" i="22"/>
  <c r="R22" i="22"/>
  <c r="R53" i="22"/>
  <c r="R65" i="22"/>
  <c r="R12" i="22"/>
  <c r="R27" i="22"/>
  <c r="V41" i="27" s="1"/>
  <c r="AJ41" i="27" s="1"/>
  <c r="R239" i="22"/>
  <c r="R704" i="22"/>
  <c r="R55" i="22"/>
  <c r="V378" i="27" s="1"/>
  <c r="AJ378" i="27" s="1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V231" i="27" s="1"/>
  <c r="AJ231" i="27" s="1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V415" i="27" s="1"/>
  <c r="AJ415" i="27" s="1"/>
  <c r="R50" i="22"/>
  <c r="R14" i="22"/>
  <c r="R45" i="22"/>
  <c r="R17" i="22"/>
  <c r="R4" i="22"/>
  <c r="R19" i="22"/>
  <c r="V57" i="27" s="1"/>
  <c r="AJ57" i="27" s="1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V449" i="27" s="1"/>
  <c r="AJ449" i="27" s="1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V440" i="27" s="1"/>
  <c r="AJ440" i="27" s="1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V44" i="27" s="1"/>
  <c r="AJ44" i="27" s="1"/>
  <c r="R47" i="22"/>
  <c r="R62" i="22"/>
  <c r="R58" i="22"/>
  <c r="R29" i="22"/>
  <c r="R52" i="22"/>
  <c r="R49" i="22"/>
  <c r="V411" i="27" s="1"/>
  <c r="AJ411" i="27" s="1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V427" i="27" s="1"/>
  <c r="AJ427" i="27" s="1"/>
  <c r="R145" i="22"/>
  <c r="R209" i="22"/>
  <c r="R273" i="22"/>
  <c r="R680" i="22"/>
  <c r="R166" i="22"/>
  <c r="R223" i="22"/>
  <c r="R310" i="22"/>
  <c r="R707" i="22"/>
  <c r="R175" i="22"/>
  <c r="R361" i="22"/>
  <c r="R71" i="22"/>
  <c r="V195" i="27" s="1"/>
  <c r="AJ195" i="27" s="1"/>
  <c r="R24" i="22"/>
  <c r="R21" i="22"/>
  <c r="R44" i="22"/>
  <c r="R205" i="22"/>
  <c r="R184" i="22"/>
  <c r="R312" i="22"/>
  <c r="R666" i="22"/>
  <c r="R89" i="22"/>
  <c r="V381" i="27" s="1"/>
  <c r="AJ381" i="27" s="1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V384" i="27" s="1"/>
  <c r="AJ384" i="27" s="1"/>
  <c r="R221" i="22"/>
  <c r="R72" i="22"/>
  <c r="V450" i="27" s="1"/>
  <c r="AJ450" i="27" s="1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V308" i="27" s="1"/>
  <c r="AJ308" i="27" s="1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V383" i="27" s="1"/>
  <c r="AJ383" i="27" s="1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V45" i="27" s="1"/>
  <c r="AJ45" i="27" s="1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V431" i="27" s="1"/>
  <c r="AJ431" i="27" s="1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K37" i="37"/>
  <c r="V142" i="27"/>
  <c r="AJ142" i="27" s="1"/>
  <c r="V124" i="27"/>
  <c r="AJ124" i="27" s="1"/>
  <c r="J4" i="29"/>
  <c r="T4" i="29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714" i="22"/>
  <c r="O10" i="7"/>
  <c r="T32" i="29" l="1"/>
  <c r="T31" i="29"/>
  <c r="C18" i="9"/>
  <c r="C27" i="9"/>
  <c r="C28" i="9"/>
  <c r="V2" i="29"/>
  <c r="C19" i="9"/>
  <c r="G14" i="24"/>
  <c r="G29" i="24"/>
  <c r="G16" i="24"/>
  <c r="G13" i="24"/>
  <c r="G33" i="24"/>
  <c r="G30" i="24"/>
  <c r="V147" i="27"/>
  <c r="V82" i="27"/>
  <c r="V63" i="27"/>
  <c r="J2" i="29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T28" i="29"/>
  <c r="T9" i="29"/>
  <c r="T29" i="29"/>
  <c r="AJ151" i="27"/>
  <c r="AJ79" i="27"/>
  <c r="AJ114" i="27"/>
  <c r="AJ158" i="27"/>
  <c r="T25" i="29"/>
  <c r="AJ80" i="27"/>
  <c r="AJ144" i="27"/>
  <c r="AJ113" i="27"/>
  <c r="AJ76" i="27"/>
  <c r="AJ115" i="27"/>
  <c r="AJ141" i="27"/>
  <c r="AJ46" i="27"/>
  <c r="T11" i="29"/>
  <c r="AJ86" i="27"/>
  <c r="AJ19" i="27"/>
  <c r="AJ4" i="27"/>
  <c r="AJ137" i="27"/>
  <c r="AJ125" i="27"/>
  <c r="AJ16" i="27"/>
  <c r="T16" i="29"/>
  <c r="AJ145" i="27"/>
  <c r="AJ6" i="27"/>
  <c r="T30" i="29"/>
  <c r="AJ116" i="27"/>
  <c r="AJ83" i="27"/>
  <c r="AJ81" i="27"/>
  <c r="AJ122" i="27"/>
  <c r="AJ48" i="27"/>
  <c r="T6" i="29"/>
  <c r="AJ136" i="27"/>
  <c r="AJ7" i="27"/>
  <c r="AJ155" i="27"/>
  <c r="AJ52" i="27"/>
  <c r="AJ50" i="27"/>
  <c r="AJ127" i="27"/>
  <c r="AJ5" i="27"/>
  <c r="AJ129" i="27"/>
  <c r="AJ98" i="27"/>
  <c r="AJ73" i="27"/>
  <c r="T5" i="29"/>
  <c r="T22" i="29"/>
  <c r="AJ51" i="27"/>
  <c r="AJ108" i="27"/>
  <c r="AJ156" i="27"/>
  <c r="AJ148" i="27"/>
  <c r="AJ143" i="27"/>
  <c r="AJ105" i="27"/>
  <c r="AJ71" i="27"/>
  <c r="AJ69" i="27"/>
  <c r="AJ60" i="27"/>
  <c r="T7" i="29"/>
  <c r="AJ101" i="27"/>
  <c r="AJ84" i="27"/>
  <c r="AJ85" i="27"/>
  <c r="AJ14" i="27"/>
  <c r="AJ132" i="27"/>
  <c r="AJ119" i="27"/>
  <c r="T3" i="29"/>
  <c r="AJ15" i="27"/>
  <c r="T18" i="29"/>
  <c r="AJ61" i="27"/>
  <c r="AJ8" i="27"/>
  <c r="AJ3" i="27"/>
  <c r="AJ90" i="27"/>
  <c r="AJ157" i="27"/>
  <c r="T13" i="29"/>
  <c r="T10" i="29"/>
  <c r="AJ9" i="27"/>
  <c r="AJ89" i="27"/>
  <c r="AJ17" i="27"/>
  <c r="AJ49" i="27"/>
  <c r="AJ27" i="27"/>
  <c r="AJ91" i="27"/>
  <c r="AJ47" i="27"/>
  <c r="T21" i="29"/>
  <c r="AJ149" i="27"/>
  <c r="AJ153" i="27"/>
  <c r="T23" i="29"/>
  <c r="AJ72" i="27"/>
  <c r="AL72" i="27" s="1"/>
  <c r="O49" i="38" s="1"/>
  <c r="AJ87" i="27"/>
  <c r="AJ75" i="27"/>
  <c r="AJ97" i="27"/>
  <c r="AJ107" i="27"/>
  <c r="AJ106" i="27"/>
  <c r="T26" i="29"/>
  <c r="AJ10" i="27"/>
  <c r="T15" i="29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T14" i="29"/>
  <c r="AJ62" i="27"/>
  <c r="AJ139" i="27"/>
  <c r="AJ64" i="27"/>
  <c r="T19" i="29"/>
  <c r="T20" i="29"/>
  <c r="T8" i="29"/>
  <c r="AJ100" i="27"/>
  <c r="AJ99" i="27"/>
  <c r="T12" i="29"/>
  <c r="T27" i="29"/>
  <c r="AJ104" i="27"/>
  <c r="AJ11" i="27"/>
  <c r="AJ135" i="27"/>
  <c r="AJ121" i="27"/>
  <c r="T24" i="29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T17" i="29"/>
  <c r="AJ77" i="27"/>
  <c r="AJ146" i="27"/>
  <c r="AJ28" i="27"/>
  <c r="AJ74" i="27"/>
  <c r="AJ22" i="27"/>
  <c r="AJ126" i="27"/>
  <c r="AJ66" i="27"/>
  <c r="T2" i="29"/>
  <c r="AJ63" i="27"/>
  <c r="AJ82" i="27"/>
  <c r="AJ147" i="27"/>
  <c r="D24" i="9" l="1"/>
  <c r="E24" i="9" s="1"/>
  <c r="D25" i="9"/>
  <c r="E25" i="9" s="1"/>
  <c r="T131" i="27"/>
  <c r="T130" i="27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<sst xmlns="http://schemas.openxmlformats.org/spreadsheetml/2006/main" count="6416" uniqueCount="780">
  <si>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</si>
  <si>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</si>
  <si>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</si>
  <si>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</si>
  <si>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</si>
  <si>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</si>
  <si>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</si>
  <si>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</si>
  <si>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</si>
  <si>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</si>
  <si>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</si>
  <si>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</si>
  <si>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</si>
  <si>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</si>
  <si>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</si>
  <si>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</si>
  <si>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</si>
  <si>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</si>
  <si>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</si>
  <si>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</si>
  <si>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</si>
  <si>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</si>
  <si>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</si>
  <si>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</si>
  <si>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</si>
  <si>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</si>
  <si>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</si>
  <si>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</si>
  <si>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</si>
  <si>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</si>
  <si>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</si>
  <si>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</si>
  <si>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</si>
  <si>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</si>
  <si>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</si>
  <si>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</si>
  <si>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</si>
  <si>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</si>
  <si>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</si>
  <si>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</si>
  <si>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</si>
  <si>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</si>
  <si>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</si>
  <si>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</si>
  <si>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</si>
  <si>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</si>
  <si>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</si>
  <si>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</si>
  <si>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</si>
  <si>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</si>
  <si>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</si>
  <si>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</si>
  <si>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</si>
  <si>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</si>
  <si>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</si>
  <si>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</si>
  <si>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</si>
  <si>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</si>
  <si>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</si>
  <si>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</si>
  <si>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</si>
  <si>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</si>
  <si>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</si>
  <si>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</si>
  <si>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</si>
  <si>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</si>
  <si>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</si>
  <si>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</si>
  <si>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</si>
  <si>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</si>
  <si>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</si>
  <si>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</si>
  <si>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</si>
  <si>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</si>
  <si>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</si>
  <si>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</si>
  <si>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</si>
  <si>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</si>
  <si>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</si>
  <si>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</si>
  <si>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</si>
  <si>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</si>
  <si>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</si>
  <si>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</si>
  <si>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</si>
  <si>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</si>
  <si>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</si>
  <si>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</si>
  <si>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</si>
  <si>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</si>
  <si>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</si>
  <si>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</si>
  <si>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</si>
  <si>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</si>
  <si>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</si>
  <si>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</si>
  <si>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</si>
  <si>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</si>
  <si>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</si>
  <si>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</si>
  <si>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</si>
  <si>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</si>
  <si>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</si>
  <si>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</si>
  <si>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</si>
  <si>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</si>
  <si>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</si>
  <si>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</si>
  <si>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</si>
  <si>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</si>
  <si>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</si>
  <si>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</si>
  <si>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</si>
  <si>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</si>
  <si>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</si>
  <si>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</si>
  <si>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</si>
  <si>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</si>
  <si>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</si>
  <si>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</si>
  <si>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</si>
  <si>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</si>
  <si>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</si>
  <si>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</si>
  <si>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</si>
  <si>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</si>
  <si>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</si>
  <si>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</si>
  <si>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</si>
  <si>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</si>
  <si>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</si>
  <si>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</si>
  <si>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</si>
  <si>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</si>
  <si>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</si>
  <si>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</si>
  <si>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</si>
  <si>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</si>
  <si>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</si>
  <si>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</si>
  <si>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</si>
  <si>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</si>
  <si>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</si>
  <si>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</si>
  <si>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</si>
  <si>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</si>
  <si>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</si>
  <si>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</si>
  <si>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</si>
  <si>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</si>
  <si>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</si>
  <si>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</si>
  <si>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</si>
  <si>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</si>
  <si>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</si>
  <si>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</si>
  <si>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</si>
  <si>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</si>
  <si>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</si>
  <si>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</si>
  <si>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</si>
  <si>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</si>
  <si>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</si>
  <si>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</si>
  <si>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</si>
  <si>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</si>
  <si>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</si>
  <si>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</si>
  <si>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</si>
  <si>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</si>
  <si>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</si>
  <si>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</si>
  <si>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</si>
  <si>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</si>
  <si>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</si>
  <si>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</si>
  <si>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</si>
  <si>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</si>
  <si>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</si>
  <si>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</si>
  <si>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</si>
  <si>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</si>
  <si>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</si>
  <si>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</si>
  <si>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</si>
  <si>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</si>
  <si>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</si>
  <si>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</si>
  <si>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</si>
  <si>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</si>
  <si>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</si>
  <si>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</si>
  <si>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</si>
  <si>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</si>
  <si>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</si>
  <si>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</si>
  <si>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</si>
  <si>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</si>
  <si>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</si>
  <si>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</si>
  <si>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</si>
  <si>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</si>
  <si>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</si>
  <si>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</si>
  <si>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</si>
  <si>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</si>
  <si>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</si>
  <si>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</si>
  <si>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</si>
  <si>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</si>
  <si>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</si>
  <si>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</si>
  <si>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</si>
  <si>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</si>
  <si>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</si>
  <si>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</si>
  <si>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</si>
  <si>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</si>
  <si>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</si>
  <si>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</si>
  <si>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</si>
  <si>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</si>
  <si>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</si>
  <si>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</si>
  <si>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</si>
  <si>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</si>
  <si>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</si>
  <si>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</si>
  <si>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</si>
  <si>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</si>
  <si>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</si>
  <si>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</si>
  <si>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</si>
  <si>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</si>
  <si>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</si>
  <si>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</si>
  <si>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</si>
  <si>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</si>
  <si>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</si>
  <si>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</si>
  <si>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</si>
  <si>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</si>
  <si>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</si>
  <si>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</si>
  <si>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</si>
  <si>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</si>
  <si>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</si>
  <si>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</si>
  <si>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</si>
  <si>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</si>
  <si>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</si>
  <si>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</si>
  <si>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</si>
  <si>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</si>
  <si>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</si>
  <si>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</si>
  <si>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</si>
  <si>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</si>
  <si>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</si>
  <si>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</si>
  <si>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</si>
  <si>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</si>
  <si>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</si>
  <si>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</si>
  <si>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</si>
  <si>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</si>
  <si>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</si>
  <si>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</si>
  <si>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</si>
  <si>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</si>
  <si>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</si>
  <si>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</si>
  <si>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</si>
  <si>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</si>
  <si>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</si>
  <si>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</si>
  <si>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</si>
  <si>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</si>
  <si>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</si>
  <si>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</si>
  <si>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</si>
  <si>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</si>
  <si>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</si>
  <si>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</si>
  <si>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</si>
  <si>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</si>
  <si>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</si>
  <si>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</si>
  <si>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</si>
  <si>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</si>
  <si>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</si>
  <si>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</si>
  <si>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</si>
  <si>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</si>
  <si>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</si>
  <si>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</si>
  <si>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</si>
  <si>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</si>
  <si>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</si>
  <si>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</si>
  <si>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</si>
  <si>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</si>
  <si>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</si>
  <si>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</si>
  <si>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</si>
  <si>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</si>
  <si>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</si>
  <si>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</si>
  <si>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</si>
  <si>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</si>
  <si>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</si>
  <si>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</si>
  <si>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</si>
  <si>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</si>
  <si>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</si>
  <si>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</si>
  <si>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</si>
  <si>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</si>
  <si>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</si>
  <si>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</si>
  <si>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</si>
  <si>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</si>
  <si>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</si>
  <si>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</si>
  <si>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</si>
  <si>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</si>
  <si>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</si>
  <si>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</si>
  <si>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</si>
  <si>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</si>
  <si>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</si>
  <si>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</si>
  <si>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</si>
  <si>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</si>
  <si>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</si>
  <si>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</si>
  <si>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</si>
  <si>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</si>
  <si>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</si>
  <si>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</si>
  <si>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</si>
  <si>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</si>
  <si>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</si>
  <si>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</si>
  <si>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</si>
  <si>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</si>
  <si>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</si>
  <si>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</si>
  <si>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</si>
  <si>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</si>
  <si>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</si>
  <si>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</si>
  <si>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</si>
  <si>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</si>
  <si>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</si>
  <si>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</si>
  <si>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</si>
  <si>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</si>
  <si>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</si>
  <si>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</si>
  <si>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JOB_622</t>
  </si>
  <si>
    <t>SCB5</t>
  </si>
  <si>
    <t>Y-Connector open &amp; MC-4 Connector damage</t>
  </si>
  <si>
    <t>Replace the MC-4 Connector</t>
  </si>
  <si>
    <t>JOB_623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</si>
  <si>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</si>
  <si>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</si>
  <si>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</si>
  <si>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</si>
  <si>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</si>
  <si>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</si>
  <si>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JOB_671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</si>
  <si>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</si>
  <si>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</si>
  <si>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</si>
  <si>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</si>
  <si>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</si>
  <si>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</si>
  <si>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</si>
  <si>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</si>
  <si>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</si>
  <si>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</si>
  <si>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</si>
  <si>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</si>
  <si>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</si>
  <si>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</si>
  <si>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</si>
  <si>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</si>
  <si>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</si>
  <si>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</si>
  <si>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</si>
  <si>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</si>
  <si>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</si>
  <si>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Shutdown taken from 220 kv Grid side</t>
  </si>
  <si>
    <t>Charged the line after work completion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</si>
  <si>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</si>
  <si>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</si>
  <si>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</si>
  <si>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</si>
  <si>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</si>
  <si>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</si>
  <si>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</si>
  <si>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</si>
  <si>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</si>
  <si>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</si>
  <si>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</si>
  <si>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</si>
  <si>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</si>
  <si>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</si>
  <si>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</si>
  <si>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</si>
  <si>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</si>
  <si>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</si>
  <si>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</si>
  <si>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</si>
  <si>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</si>
  <si>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</si>
  <si>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</si>
  <si>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</si>
  <si>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</si>
  <si>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</si>
  <si>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</si>
  <si>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</si>
  <si>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</si>
  <si>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</si>
  <si>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</si>
  <si>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</si>
  <si>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</si>
  <si>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</si>
  <si>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</si>
  <si>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</si>
  <si>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</si>
  <si>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</si>
  <si>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</si>
  <si>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</si>
  <si>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</si>
  <si>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</si>
  <si>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</si>
  <si>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</si>
  <si>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</si>
  <si>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</si>
  <si>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</si>
  <si>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</si>
  <si>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</si>
  <si>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</si>
  <si>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</si>
  <si>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</si>
  <si>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</si>
  <si>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</si>
  <si>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</si>
  <si>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</si>
  <si>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</si>
  <si>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</si>
  <si>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</si>
  <si>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</si>
  <si>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</si>
  <si>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</si>
  <si>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</si>
  <si>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</si>
  <si>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</si>
  <si>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</si>
  <si>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</si>
  <si>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</si>
  <si>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</si>
  <si>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</si>
  <si>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</si>
  <si>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</si>
  <si>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</si>
  <si>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</si>
  <si>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</si>
  <si>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</si>
  <si>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</si>
  <si>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</si>
  <si>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</si>
  <si>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</si>
  <si>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</si>
  <si>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</si>
  <si>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</si>
  <si>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</si>
  <si>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</si>
  <si>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</si>
  <si>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</si>
  <si>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</si>
  <si>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</si>
  <si>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</si>
  <si>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</si>
  <si>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</si>
  <si>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</si>
  <si>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</si>
  <si>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</si>
  <si>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</si>
  <si>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</si>
  <si>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</si>
  <si>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</si>
  <si>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</si>
  <si>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</si>
  <si>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</si>
  <si>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</si>
  <si>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</si>
  <si>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</si>
  <si>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</si>
  <si>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</si>
  <si>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</si>
  <si>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</si>
  <si>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</si>
  <si>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</si>
  <si>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</si>
  <si>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</si>
  <si>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</si>
  <si>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</si>
  <si>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</si>
  <si>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</si>
  <si>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</si>
  <si>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</si>
  <si>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</si>
  <si>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</si>
  <si>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</si>
  <si>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</si>
  <si>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</si>
  <si>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</si>
  <si>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</si>
  <si>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</si>
  <si>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</si>
  <si>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</si>
  <si>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</si>
  <si>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</si>
  <si>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</si>
  <si>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</si>
  <si>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</si>
  <si>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</si>
  <si>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</si>
  <si>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</si>
  <si>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</si>
  <si>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</si>
  <si>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</si>
  <si>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</si>
  <si>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</si>
  <si>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</si>
  <si>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</si>
  <si>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</si>
  <si>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</si>
  <si>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</si>
  <si>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</si>
  <si>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</si>
  <si>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</si>
  <si>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</si>
  <si>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</si>
  <si>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</si>
  <si>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</si>
  <si>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</si>
  <si>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</si>
  <si>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</si>
  <si>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</si>
  <si>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</si>
  <si>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</si>
  <si>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</si>
  <si>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</si>
  <si>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</si>
  <si>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</si>
  <si>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</si>
  <si>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</si>
  <si>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</si>
  <si>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</si>
  <si>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</si>
  <si>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</si>
  <si>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</si>
  <si>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</si>
  <si>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</si>
  <si>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</si>
  <si>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</si>
  <si>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</si>
  <si>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</si>
  <si>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</si>
  <si>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</si>
  <si>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</si>
  <si>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</si>
  <si>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</si>
  <si>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</si>
  <si>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</si>
  <si>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</si>
  <si>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</si>
  <si>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</si>
  <si>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</si>
  <si>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</si>
  <si>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</si>
  <si>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</si>
  <si>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</si>
  <si>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</si>
  <si>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</si>
  <si>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</si>
  <si>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</si>
  <si>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</si>
  <si>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</si>
  <si>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</si>
  <si>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</si>
  <si>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</si>
  <si>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</si>
  <si>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</si>
  <si>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</si>
  <si>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</si>
  <si>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</si>
  <si>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</si>
  <si>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</si>
  <si>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</si>
  <si>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</si>
  <si>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</si>
  <si>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</si>
  <si>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</si>
  <si>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</si>
  <si>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</si>
  <si>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</si>
  <si>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</si>
  <si>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</si>
  <si>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</si>
  <si>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</si>
  <si>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</si>
  <si>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</si>
  <si>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</si>
  <si>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</si>
  <si>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</si>
  <si>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</si>
  <si>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</si>
  <si>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</si>
  <si>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</si>
  <si>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</si>
  <si>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</si>
  <si>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</si>
  <si>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</si>
  <si>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</si>
  <si>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</si>
  <si>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</si>
  <si>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</si>
  <si>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</si>
  <si>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</si>
  <si>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</si>
  <si>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</si>
  <si>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</si>
  <si>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</si>
  <si>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</si>
  <si>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</si>
  <si>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</si>
  <si>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</si>
  <si>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</si>
  <si>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</si>
  <si>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</si>
  <si>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</si>
  <si>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</si>
  <si>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</si>
  <si>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</si>
  <si>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</si>
  <si>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</si>
  <si>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</si>
  <si>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</si>
  <si>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</si>
  <si>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</si>
  <si>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</si>
  <si>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</si>
  <si>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</si>
  <si>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</si>
  <si>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</si>
  <si>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</si>
  <si>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</si>
  <si>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</si>
  <si>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</si>
  <si>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</si>
  <si>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</si>
  <si>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</si>
  <si>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</si>
  <si>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</si>
  <si>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</si>
  <si>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</si>
  <si>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</si>
  <si>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</si>
  <si>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</si>
  <si>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</si>
  <si>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</si>
  <si>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</si>
  <si>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</si>
  <si>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</si>
  <si>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</si>
  <si>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</si>
  <si>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</si>
  <si>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</si>
  <si>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</si>
  <si>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</si>
  <si>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</si>
  <si>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</si>
  <si>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</si>
  <si>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</si>
  <si>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</si>
  <si>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</si>
  <si>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</si>
  <si>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</si>
  <si>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</si>
  <si>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</si>
  <si>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</si>
  <si>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</si>
  <si>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</si>
  <si>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</si>
  <si>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</si>
  <si>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</si>
  <si>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</si>
  <si>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</si>
  <si>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</si>
  <si>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</si>
  <si>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</si>
  <si>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</si>
  <si>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</si>
  <si>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</si>
  <si>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</si>
  <si>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</si>
  <si>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</si>
  <si>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</si>
  <si>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</si>
  <si>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</si>
  <si>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</si>
  <si>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</si>
  <si>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</si>
  <si>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</si>
  <si>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</si>
  <si>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</si>
  <si>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</si>
  <si>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</si>
  <si>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</si>
  <si>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</si>
  <si>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</si>
  <si>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</si>
  <si>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</si>
  <si>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</si>
  <si>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</si>
  <si>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</si>
  <si>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</si>
  <si>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</si>
  <si>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</si>
  <si>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</si>
  <si>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</si>
  <si>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</si>
  <si>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</si>
  <si>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</si>
  <si>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</si>
  <si>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</si>
  <si>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</si>
  <si>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</si>
  <si>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</si>
  <si>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</si>
  <si>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</si>
  <si>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</si>
  <si>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</si>
  <si>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</si>
  <si>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</si>
  <si>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</si>
  <si>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</si>
  <si>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</si>
  <si>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</si>
  <si>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</si>
  <si>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</si>
  <si>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</si>
  <si>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</si>
  <si>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</si>
  <si>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</si>
  <si>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</si>
  <si>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</si>
  <si>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</si>
  <si>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</si>
  <si>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</si>
  <si>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</si>
  <si>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INV1</t>
  </si>
  <si>
    <t>INV2</t>
  </si>
  <si>
    <t>IDT Tripped Due To Over current /LS fault</t>
  </si>
  <si>
    <t>JOB_746</t>
  </si>
  <si>
    <t>Shutdown taken due to 220KV TL line Project Work</t>
  </si>
  <si>
    <t>JOB_762</t>
  </si>
  <si>
    <t>JOB_790</t>
  </si>
  <si>
    <t>JOB_834</t>
  </si>
  <si>
    <t>JOB_835</t>
  </si>
  <si>
    <t>JOB_836</t>
  </si>
  <si>
    <t>JOB_837</t>
  </si>
  <si>
    <t>JOB_838</t>
  </si>
  <si>
    <t>JOB_839</t>
  </si>
  <si>
    <t>JOB_840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</si>
</sst>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  <numFmt numFmtId="179" formatCode="h:mm"/>
    <numFmt numFmtId="180" formatCode="d\-mmm\-yy"/>
  </numFmts>
  <fonts count="6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8" applyNumberFormat="0" applyFill="0" applyAlignment="0" applyProtection="0"/>
    <xf numFmtId="0" fontId="42" fillId="0" borderId="49" applyNumberFormat="0" applyFill="0" applyAlignment="0" applyProtection="0"/>
    <xf numFmtId="0" fontId="43" fillId="0" borderId="50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1" applyNumberFormat="0" applyAlignment="0" applyProtection="0"/>
    <xf numFmtId="0" fontId="48" fillId="23" borderId="52" applyNumberFormat="0" applyAlignment="0" applyProtection="0"/>
    <xf numFmtId="0" fontId="49" fillId="23" borderId="51" applyNumberFormat="0" applyAlignment="0" applyProtection="0"/>
    <xf numFmtId="0" fontId="50" fillId="0" borderId="53" applyNumberFormat="0" applyFill="0" applyAlignment="0" applyProtection="0"/>
    <xf numFmtId="0" fontId="27" fillId="24" borderId="54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6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5" applyNumberFormat="0" applyFont="0" applyAlignment="0" applyProtection="0"/>
    <xf numFmtId="0" fontId="13" fillId="0" borderId="0"/>
    <xf numFmtId="0" fontId="13" fillId="25" borderId="55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5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5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9" fillId="2" borderId="0" xfId="8" applyFont="1" applyFill="1" applyAlignment="1">
      <alignment horizontal="center" vertical="center" wrapText="1"/>
    </xf>
    <xf numFmtId="168" fontId="19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2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9" fillId="2" borderId="0" xfId="1" applyFont="1" applyFill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9" fillId="2" borderId="7" xfId="9" applyFont="1" applyFill="1" applyBorder="1" applyAlignment="1">
      <alignment horizontal="center" vertical="center" wrapText="1"/>
    </xf>
    <xf numFmtId="168" fontId="19" fillId="2" borderId="8" xfId="9" applyNumberFormat="1" applyFont="1" applyFill="1" applyBorder="1" applyAlignment="1">
      <alignment horizontal="center" vertical="center" wrapText="1"/>
    </xf>
    <xf numFmtId="0" fontId="19" fillId="2" borderId="8" xfId="9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15" fontId="0" fillId="5" borderId="10" xfId="0" applyNumberFormat="1" applyFill="1" applyBorder="1"/>
    <xf numFmtId="0" fontId="0" fillId="0" borderId="10" xfId="0" applyBorder="1" applyAlignment="1">
      <alignment horizontal="center"/>
    </xf>
    <xf numFmtId="0" fontId="0" fillId="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5" borderId="10" xfId="0" applyFill="1" applyBorder="1"/>
    <xf numFmtId="0" fontId="0" fillId="5" borderId="11" xfId="0" applyFill="1" applyBorder="1" applyAlignment="1">
      <alignment horizontal="center"/>
    </xf>
    <xf numFmtId="0" fontId="0" fillId="5" borderId="11" xfId="0" applyFill="1" applyBorder="1"/>
    <xf numFmtId="166" fontId="0" fillId="0" borderId="10" xfId="14" applyNumberFormat="1" applyFont="1" applyBorder="1" applyAlignment="1">
      <alignment horizontal="center"/>
    </xf>
    <xf numFmtId="0" fontId="0" fillId="5" borderId="1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9" fontId="0" fillId="5" borderId="10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 vertical="center"/>
    </xf>
    <xf numFmtId="20" fontId="0" fillId="5" borderId="11" xfId="0" applyNumberFormat="1" applyFill="1" applyBorder="1" applyAlignment="1">
      <alignment horizontal="center" vertical="center"/>
    </xf>
    <xf numFmtId="0" fontId="19" fillId="2" borderId="12" xfId="9" applyFont="1" applyFill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9" fillId="2" borderId="14" xfId="8" applyFont="1" applyFill="1" applyBorder="1" applyAlignment="1">
      <alignment horizontal="center" vertical="center" wrapText="1"/>
    </xf>
    <xf numFmtId="0" fontId="19" fillId="2" borderId="15" xfId="8" applyFont="1" applyFill="1" applyBorder="1" applyAlignment="1">
      <alignment horizontal="center" vertical="center" wrapText="1"/>
    </xf>
    <xf numFmtId="168" fontId="19" fillId="2" borderId="15" xfId="8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10" fontId="19" fillId="2" borderId="16" xfId="13" applyNumberFormat="1" applyFont="1" applyFill="1" applyBorder="1" applyAlignment="1">
      <alignment horizontal="center" vertical="center" wrapText="1"/>
    </xf>
    <xf numFmtId="2" fontId="20" fillId="9" borderId="16" xfId="13" applyNumberFormat="1" applyFont="1" applyFill="1" applyBorder="1" applyAlignment="1">
      <alignment horizontal="center"/>
    </xf>
    <xf numFmtId="170" fontId="20" fillId="9" borderId="16" xfId="13" applyNumberFormat="1" applyFont="1" applyFill="1" applyBorder="1" applyAlignment="1">
      <alignment horizontal="center"/>
    </xf>
    <xf numFmtId="167" fontId="20" fillId="8" borderId="16" xfId="1" applyNumberFormat="1" applyFont="1" applyFill="1" applyBorder="1" applyAlignment="1">
      <alignment horizontal="center"/>
    </xf>
    <xf numFmtId="1" fontId="20" fillId="0" borderId="15" xfId="13" applyNumberFormat="1" applyFont="1" applyFill="1" applyBorder="1" applyAlignment="1">
      <alignment horizontal="center"/>
    </xf>
    <xf numFmtId="10" fontId="19" fillId="2" borderId="15" xfId="0" applyNumberFormat="1" applyFont="1" applyFill="1" applyBorder="1" applyAlignment="1">
      <alignment horizontal="center" vertical="center" wrapText="1"/>
    </xf>
    <xf numFmtId="10" fontId="20" fillId="0" borderId="15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7" xfId="0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70" fontId="20" fillId="9" borderId="18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4" xfId="1" applyNumberFormat="1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1" fontId="20" fillId="9" borderId="15" xfId="13" applyNumberFormat="1" applyFont="1" applyFill="1" applyBorder="1" applyAlignment="1">
      <alignment horizontal="center"/>
    </xf>
    <xf numFmtId="167" fontId="20" fillId="8" borderId="19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6" xfId="0" applyFont="1" applyFill="1" applyBorder="1"/>
    <xf numFmtId="171" fontId="30" fillId="8" borderId="27" xfId="6" applyNumberFormat="1" applyFont="1" applyFill="1" applyBorder="1" applyAlignment="1">
      <alignment horizontal="left" vertical="center"/>
    </xf>
    <xf numFmtId="171" fontId="30" fillId="8" borderId="27" xfId="6" applyNumberFormat="1" applyFont="1" applyFill="1" applyBorder="1" applyAlignment="1">
      <alignment vertical="center"/>
    </xf>
    <xf numFmtId="171" fontId="30" fillId="8" borderId="28" xfId="6" applyNumberFormat="1" applyFont="1" applyFill="1" applyBorder="1" applyAlignment="1">
      <alignment vertical="center"/>
    </xf>
    <xf numFmtId="168" fontId="30" fillId="8" borderId="27" xfId="6" applyNumberFormat="1" applyFont="1" applyFill="1" applyBorder="1" applyAlignment="1">
      <alignment horizontal="left" vertical="center"/>
    </xf>
    <xf numFmtId="0" fontId="29" fillId="16" borderId="29" xfId="0" applyFont="1" applyFill="1" applyBorder="1"/>
    <xf numFmtId="168" fontId="30" fillId="8" borderId="30" xfId="6" applyNumberFormat="1" applyFont="1" applyFill="1" applyBorder="1" applyAlignment="1">
      <alignment horizontal="left" vertical="center"/>
    </xf>
    <xf numFmtId="171" fontId="30" fillId="8" borderId="31" xfId="6" applyNumberFormat="1" applyFont="1" applyFill="1" applyBorder="1" applyAlignment="1">
      <alignment vertical="center"/>
    </xf>
    <xf numFmtId="171" fontId="30" fillId="8" borderId="32" xfId="6" applyNumberFormat="1" applyFont="1" applyFill="1" applyBorder="1" applyAlignment="1">
      <alignment vertical="center"/>
    </xf>
    <xf numFmtId="0" fontId="31" fillId="8" borderId="33" xfId="0" applyFont="1" applyFill="1" applyBorder="1"/>
    <xf numFmtId="168" fontId="32" fillId="8" borderId="33" xfId="6" applyNumberFormat="1" applyFont="1" applyFill="1" applyBorder="1" applyAlignment="1">
      <alignment horizontal="left" vertical="center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29" fillId="16" borderId="36" xfId="0" applyFont="1" applyFill="1" applyBorder="1" applyAlignment="1">
      <alignment horizontal="center" vertical="center" wrapText="1"/>
    </xf>
    <xf numFmtId="0" fontId="31" fillId="8" borderId="38" xfId="0" applyFont="1" applyFill="1" applyBorder="1"/>
    <xf numFmtId="1" fontId="30" fillId="8" borderId="38" xfId="2" applyNumberFormat="1" applyFont="1" applyFill="1" applyBorder="1" applyAlignment="1">
      <alignment horizontal="center" vertical="center"/>
    </xf>
    <xf numFmtId="10" fontId="31" fillId="8" borderId="38" xfId="15" applyNumberFormat="1" applyFont="1" applyFill="1" applyBorder="1" applyAlignment="1">
      <alignment horizontal="center"/>
    </xf>
    <xf numFmtId="0" fontId="31" fillId="8" borderId="41" xfId="0" applyFont="1" applyFill="1" applyBorder="1"/>
    <xf numFmtId="1" fontId="30" fillId="8" borderId="41" xfId="2" applyNumberFormat="1" applyFont="1" applyFill="1" applyBorder="1" applyAlignment="1">
      <alignment horizontal="center" vertical="center"/>
    </xf>
    <xf numFmtId="1" fontId="31" fillId="8" borderId="41" xfId="2" applyNumberFormat="1" applyFont="1" applyFill="1" applyBorder="1" applyAlignment="1">
      <alignment horizontal="center"/>
    </xf>
    <xf numFmtId="10" fontId="31" fillId="8" borderId="41" xfId="15" applyNumberFormat="1" applyFont="1" applyFill="1" applyBorder="1" applyAlignment="1">
      <alignment horizontal="center"/>
    </xf>
    <xf numFmtId="0" fontId="31" fillId="8" borderId="42" xfId="0" applyFont="1" applyFill="1" applyBorder="1"/>
    <xf numFmtId="0" fontId="31" fillId="8" borderId="44" xfId="0" applyFont="1" applyFill="1" applyBorder="1"/>
    <xf numFmtId="1" fontId="30" fillId="8" borderId="44" xfId="2" applyNumberFormat="1" applyFont="1" applyFill="1" applyBorder="1" applyAlignment="1">
      <alignment horizontal="center" vertical="center"/>
    </xf>
    <xf numFmtId="1" fontId="31" fillId="8" borderId="44" xfId="2" applyNumberFormat="1" applyFont="1" applyFill="1" applyBorder="1" applyAlignment="1">
      <alignment horizontal="center"/>
    </xf>
    <xf numFmtId="10" fontId="31" fillId="8" borderId="44" xfId="15" applyNumberFormat="1" applyFont="1" applyFill="1" applyBorder="1" applyAlignment="1">
      <alignment horizontal="center"/>
    </xf>
    <xf numFmtId="166" fontId="30" fillId="8" borderId="38" xfId="2" applyNumberFormat="1" applyFont="1" applyFill="1" applyBorder="1" applyAlignment="1">
      <alignment horizontal="center" vertical="center"/>
    </xf>
    <xf numFmtId="166" fontId="31" fillId="8" borderId="38" xfId="2" applyNumberFormat="1" applyFont="1" applyFill="1" applyBorder="1" applyAlignment="1">
      <alignment horizontal="center"/>
    </xf>
    <xf numFmtId="166" fontId="30" fillId="8" borderId="41" xfId="2" applyNumberFormat="1" applyFont="1" applyFill="1" applyBorder="1" applyAlignment="1">
      <alignment horizontal="center" vertical="center"/>
    </xf>
    <xf numFmtId="166" fontId="31" fillId="8" borderId="41" xfId="2" applyNumberFormat="1" applyFont="1" applyFill="1" applyBorder="1" applyAlignment="1">
      <alignment horizontal="center"/>
    </xf>
    <xf numFmtId="166" fontId="30" fillId="8" borderId="44" xfId="2" applyNumberFormat="1" applyFont="1" applyFill="1" applyBorder="1" applyAlignment="1">
      <alignment horizontal="center" vertical="center"/>
    </xf>
    <xf numFmtId="166" fontId="31" fillId="8" borderId="44" xfId="2" applyNumberFormat="1" applyFont="1" applyFill="1" applyBorder="1" applyAlignment="1">
      <alignment horizontal="center"/>
    </xf>
    <xf numFmtId="173" fontId="24" fillId="10" borderId="20" xfId="10" applyNumberFormat="1" applyFont="1" applyFill="1" applyBorder="1" applyAlignment="1">
      <alignment horizontal="center" vertical="center"/>
    </xf>
    <xf numFmtId="170" fontId="20" fillId="17" borderId="46" xfId="13" applyNumberFormat="1" applyFont="1" applyFill="1" applyBorder="1" applyAlignment="1">
      <alignment horizontal="center"/>
    </xf>
    <xf numFmtId="0" fontId="54" fillId="2" borderId="10" xfId="8" applyFont="1" applyFill="1" applyBorder="1" applyAlignment="1">
      <alignment horizontal="center" vertical="center" wrapText="1"/>
    </xf>
    <xf numFmtId="168" fontId="54" fillId="2" borderId="10" xfId="8" applyNumberFormat="1" applyFont="1" applyFill="1" applyBorder="1" applyAlignment="1">
      <alignment horizontal="center" vertical="center" wrapText="1"/>
    </xf>
    <xf numFmtId="0" fontId="0" fillId="17" borderId="57" xfId="0" applyFill="1" applyBorder="1" applyAlignment="1">
      <alignment horizontal="center"/>
    </xf>
    <xf numFmtId="168" fontId="55" fillId="17" borderId="58" xfId="0" applyNumberFormat="1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9" xfId="0" applyBorder="1" applyAlignment="1">
      <alignment horizontal="center"/>
    </xf>
    <xf numFmtId="20" fontId="0" fillId="17" borderId="57" xfId="0" applyNumberFormat="1" applyFill="1" applyBorder="1" applyAlignment="1">
      <alignment horizontal="center"/>
    </xf>
    <xf numFmtId="0" fontId="0" fillId="17" borderId="57" xfId="0" applyFill="1" applyBorder="1" applyAlignment="1">
      <alignment horizontal="left"/>
    </xf>
    <xf numFmtId="0" fontId="0" fillId="17" borderId="60" xfId="0" applyFill="1" applyBorder="1" applyAlignment="1">
      <alignment horizontal="center"/>
    </xf>
    <xf numFmtId="20" fontId="0" fillId="17" borderId="60" xfId="0" applyNumberFormat="1" applyFill="1" applyBorder="1" applyAlignment="1">
      <alignment horizontal="center"/>
    </xf>
    <xf numFmtId="0" fontId="0" fillId="17" borderId="60" xfId="0" applyFill="1" applyBorder="1" applyAlignment="1">
      <alignment horizontal="center" vertical="center"/>
    </xf>
    <xf numFmtId="0" fontId="0" fillId="17" borderId="60" xfId="0" applyFill="1" applyBorder="1" applyAlignment="1">
      <alignment horizontal="left" vertical="center"/>
    </xf>
    <xf numFmtId="0" fontId="0" fillId="17" borderId="60" xfId="0" applyFill="1" applyBorder="1" applyAlignment="1">
      <alignment horizontal="left"/>
    </xf>
    <xf numFmtId="1" fontId="20" fillId="7" borderId="20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9" fillId="2" borderId="0" xfId="8" applyFont="1" applyFill="1" applyAlignment="1">
      <alignment vertical="center" wrapText="1"/>
    </xf>
    <xf numFmtId="2" fontId="0" fillId="0" borderId="0" xfId="0" applyNumberFormat="1"/>
    <xf numFmtId="1" fontId="30" fillId="8" borderId="27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20" xfId="10" applyNumberFormat="1" applyFont="1" applyFill="1" applyBorder="1" applyAlignment="1">
      <alignment horizontal="center" vertical="center"/>
    </xf>
    <xf numFmtId="172" fontId="24" fillId="10" borderId="17" xfId="10" applyNumberFormat="1" applyFont="1" applyFill="1" applyBorder="1" applyAlignment="1">
      <alignment horizontal="center" vertical="center"/>
    </xf>
    <xf numFmtId="170" fontId="20" fillId="10" borderId="20" xfId="0" applyNumberFormat="1" applyFont="1" applyFill="1" applyBorder="1" applyAlignment="1">
      <alignment horizontal="center"/>
    </xf>
    <xf numFmtId="0" fontId="20" fillId="8" borderId="20" xfId="0" applyFont="1" applyFill="1" applyBorder="1" applyAlignment="1">
      <alignment horizontal="center"/>
    </xf>
    <xf numFmtId="171" fontId="20" fillId="8" borderId="20" xfId="0" applyNumberFormat="1" applyFont="1" applyFill="1" applyBorder="1" applyAlignment="1">
      <alignment horizontal="center"/>
    </xf>
    <xf numFmtId="170" fontId="20" fillId="10" borderId="20" xfId="13" applyNumberFormat="1" applyFont="1" applyFill="1" applyBorder="1" applyAlignment="1">
      <alignment horizontal="center"/>
    </xf>
    <xf numFmtId="1" fontId="20" fillId="0" borderId="20" xfId="13" applyNumberFormat="1" applyFont="1" applyFill="1" applyBorder="1" applyAlignment="1">
      <alignment horizontal="center"/>
    </xf>
    <xf numFmtId="173" fontId="24" fillId="10" borderId="17" xfId="10" applyNumberFormat="1" applyFont="1" applyFill="1" applyBorder="1" applyAlignment="1">
      <alignment horizontal="center" vertical="center"/>
    </xf>
    <xf numFmtId="1" fontId="20" fillId="11" borderId="21" xfId="13" applyNumberFormat="1" applyFont="1" applyFill="1" applyBorder="1" applyAlignment="1">
      <alignment horizontal="center"/>
    </xf>
    <xf numFmtId="1" fontId="20" fillId="0" borderId="20" xfId="0" applyNumberFormat="1" applyFont="1" applyBorder="1" applyAlignment="1">
      <alignment horizontal="center"/>
    </xf>
    <xf numFmtId="2" fontId="20" fillId="10" borderId="20" xfId="0" applyNumberFormat="1" applyFont="1" applyFill="1" applyBorder="1" applyAlignment="1">
      <alignment horizontal="center"/>
    </xf>
    <xf numFmtId="170" fontId="20" fillId="10" borderId="17" xfId="0" applyNumberFormat="1" applyFont="1" applyFill="1" applyBorder="1" applyAlignment="1">
      <alignment horizontal="center"/>
    </xf>
    <xf numFmtId="0" fontId="20" fillId="10" borderId="20" xfId="0" applyFont="1" applyFill="1" applyBorder="1" applyAlignment="1">
      <alignment horizontal="center"/>
    </xf>
    <xf numFmtId="174" fontId="20" fillId="10" borderId="20" xfId="0" applyNumberFormat="1" applyFont="1" applyFill="1" applyBorder="1" applyAlignment="1">
      <alignment horizontal="center"/>
    </xf>
    <xf numFmtId="175" fontId="20" fillId="10" borderId="20" xfId="0" applyNumberFormat="1" applyFont="1" applyFill="1" applyBorder="1" applyAlignment="1">
      <alignment vertical="center"/>
    </xf>
    <xf numFmtId="0" fontId="20" fillId="18" borderId="47" xfId="0" applyFont="1" applyFill="1" applyBorder="1" applyAlignment="1">
      <alignment horizontal="center"/>
    </xf>
    <xf numFmtId="175" fontId="20" fillId="18" borderId="47" xfId="0" applyNumberFormat="1" applyFont="1" applyFill="1" applyBorder="1" applyAlignment="1">
      <alignment vertical="center"/>
    </xf>
    <xf numFmtId="0" fontId="0" fillId="50" borderId="61" xfId="0" applyFill="1" applyBorder="1" applyAlignment="1">
      <alignment horizontal="center" vertical="center"/>
    </xf>
    <xf numFmtId="15" fontId="0" fillId="5" borderId="11" xfId="0" applyNumberFormat="1" applyFill="1" applyBorder="1"/>
    <xf numFmtId="1" fontId="20" fillId="7" borderId="16" xfId="13" applyNumberFormat="1" applyFont="1" applyFill="1" applyBorder="1" applyAlignment="1">
      <alignment horizontal="center"/>
    </xf>
    <xf numFmtId="1" fontId="20" fillId="7" borderId="18" xfId="13" applyNumberFormat="1" applyFont="1" applyFill="1" applyBorder="1" applyAlignment="1">
      <alignment horizontal="center"/>
    </xf>
    <xf numFmtId="1" fontId="20" fillId="7" borderId="15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2" xfId="13" applyNumberFormat="1" applyFont="1" applyFill="1" applyBorder="1" applyAlignment="1">
      <alignment horizontal="center"/>
    </xf>
    <xf numFmtId="173" fontId="24" fillId="10" borderId="20" xfId="0" applyNumberFormat="1" applyFont="1" applyFill="1" applyBorder="1" applyAlignment="1">
      <alignment horizontal="center" vertical="center"/>
    </xf>
    <xf numFmtId="15" fontId="0" fillId="50" borderId="6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1" xfId="0" applyFill="1" applyBorder="1" applyAlignment="1">
      <alignment horizontal="center" vertical="center"/>
    </xf>
    <xf numFmtId="15" fontId="0" fillId="51" borderId="61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2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2" fillId="52" borderId="0" xfId="0" applyNumberFormat="1" applyFont="1" applyFill="1" applyAlignment="1">
      <alignment horizontal="center"/>
    </xf>
    <xf numFmtId="0" fontId="22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31" fillId="8" borderId="40" xfId="0" applyFont="1" applyFill="1" applyBorder="1" applyAlignment="1">
      <alignment horizontal="center" vertical="center"/>
    </xf>
    <xf numFmtId="2" fontId="24" fillId="10" borderId="20" xfId="10" applyNumberFormat="1" applyFont="1" applyFill="1" applyBorder="1" applyAlignment="1">
      <alignment horizontal="center" vertical="center"/>
    </xf>
    <xf numFmtId="2" fontId="24" fillId="10" borderId="17" xfId="10" applyNumberFormat="1" applyFont="1" applyFill="1" applyBorder="1" applyAlignment="1">
      <alignment horizontal="center" vertical="center"/>
    </xf>
    <xf numFmtId="2" fontId="37" fillId="17" borderId="46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17" fontId="0" fillId="0" borderId="10" xfId="0" applyNumberFormat="1" applyBorder="1" applyAlignment="1">
      <alignment horizontal="center"/>
    </xf>
    <xf numFmtId="0" fontId="19" fillId="2" borderId="7" xfId="8" applyFont="1" applyFill="1" applyBorder="1" applyAlignment="1">
      <alignment horizontal="center" vertical="center" wrapText="1"/>
    </xf>
    <xf numFmtId="0" fontId="19" fillId="2" borderId="8" xfId="8" applyFont="1" applyFill="1" applyBorder="1" applyAlignment="1">
      <alignment horizontal="center" vertical="center" wrapText="1"/>
    </xf>
    <xf numFmtId="0" fontId="19" fillId="2" borderId="12" xfId="8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/>
    </xf>
    <xf numFmtId="9" fontId="0" fillId="8" borderId="10" xfId="2" applyFont="1" applyFill="1" applyBorder="1" applyAlignment="1">
      <alignment horizontal="center"/>
    </xf>
    <xf numFmtId="2" fontId="22" fillId="8" borderId="10" xfId="0" applyNumberFormat="1" applyFont="1" applyFill="1" applyBorder="1" applyAlignment="1">
      <alignment horizontal="center"/>
    </xf>
    <xf numFmtId="170" fontId="22" fillId="8" borderId="10" xfId="0" applyNumberFormat="1" applyFont="1" applyFill="1" applyBorder="1" applyAlignment="1">
      <alignment horizontal="center"/>
    </xf>
    <xf numFmtId="167" fontId="0" fillId="8" borderId="13" xfId="0" applyNumberFormat="1" applyFill="1" applyBorder="1"/>
    <xf numFmtId="170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2" fontId="22" fillId="8" borderId="11" xfId="0" applyNumberFormat="1" applyFont="1" applyFill="1" applyBorder="1" applyAlignment="1">
      <alignment horizontal="center"/>
    </xf>
    <xf numFmtId="0" fontId="22" fillId="8" borderId="11" xfId="0" applyFont="1" applyFill="1" applyBorder="1" applyAlignment="1">
      <alignment horizontal="center"/>
    </xf>
    <xf numFmtId="170" fontId="0" fillId="8" borderId="11" xfId="0" applyNumberFormat="1" applyFill="1" applyBorder="1" applyAlignment="1">
      <alignment horizontal="center"/>
    </xf>
    <xf numFmtId="20" fontId="22" fillId="53" borderId="10" xfId="0" applyNumberFormat="1" applyFont="1" applyFill="1" applyBorder="1" applyAlignment="1">
      <alignment horizontal="center"/>
    </xf>
    <xf numFmtId="20" fontId="0" fillId="53" borderId="10" xfId="0" applyNumberFormat="1" applyFill="1" applyBorder="1" applyAlignment="1">
      <alignment horizontal="center"/>
    </xf>
    <xf numFmtId="20" fontId="0" fillId="53" borderId="11" xfId="0" applyNumberFormat="1" applyFill="1" applyBorder="1" applyAlignment="1">
      <alignment horizontal="center"/>
    </xf>
    <xf numFmtId="170" fontId="22" fillId="53" borderId="10" xfId="0" applyNumberFormat="1" applyFont="1" applyFill="1" applyBorder="1" applyAlignment="1">
      <alignment horizontal="center"/>
    </xf>
    <xf numFmtId="170" fontId="22" fillId="53" borderId="11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7" xfId="8" applyNumberFormat="1" applyFont="1" applyFill="1" applyBorder="1" applyAlignment="1">
      <alignment horizontal="center" vertical="center" wrapText="1"/>
    </xf>
    <xf numFmtId="15" fontId="0" fillId="0" borderId="9" xfId="0" applyNumberFormat="1" applyBorder="1"/>
    <xf numFmtId="2" fontId="0" fillId="0" borderId="10" xfId="0" applyNumberFormat="1" applyBorder="1" applyAlignment="1">
      <alignment horizontal="center"/>
    </xf>
    <xf numFmtId="166" fontId="0" fillId="0" borderId="10" xfId="2" applyNumberFormat="1" applyFont="1" applyBorder="1" applyAlignment="1">
      <alignment horizontal="center"/>
    </xf>
    <xf numFmtId="20" fontId="0" fillId="53" borderId="10" xfId="0" applyNumberFormat="1" applyFill="1" applyBorder="1" applyAlignment="1">
      <alignment horizontal="center" vertical="center"/>
    </xf>
    <xf numFmtId="2" fontId="0" fillId="8" borderId="10" xfId="0" applyNumberFormat="1" applyFill="1" applyBorder="1" applyAlignment="1">
      <alignment horizontal="center" vertical="center"/>
    </xf>
    <xf numFmtId="170" fontId="0" fillId="0" borderId="10" xfId="0" applyNumberFormat="1" applyBorder="1" applyAlignment="1">
      <alignment horizontal="center"/>
    </xf>
    <xf numFmtId="2" fontId="0" fillId="8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20" fontId="0" fillId="0" borderId="11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166" fontId="57" fillId="0" borderId="10" xfId="0" applyNumberFormat="1" applyFont="1" applyBorder="1" applyAlignment="1">
      <alignment horizontal="center"/>
    </xf>
    <xf numFmtId="166" fontId="57" fillId="0" borderId="11" xfId="0" applyNumberFormat="1" applyFont="1" applyBorder="1" applyAlignment="1">
      <alignment horizontal="center"/>
    </xf>
    <xf numFmtId="1" fontId="0" fillId="0" borderId="63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0" fontId="64" fillId="0" borderId="0" xfId="4491" applyFont="1"/>
    <xf numFmtId="0" fontId="7" fillId="0" borderId="0" xfId="4491"/>
    <xf numFmtId="0" fontId="53" fillId="56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7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1" applyNumberFormat="1" applyFont="1" applyFill="1" applyBorder="1" applyAlignment="1">
      <alignment horizontal="center" vertical="center"/>
    </xf>
    <xf numFmtId="1" fontId="53" fillId="58" borderId="1" xfId="4491" applyNumberFormat="1" applyFont="1" applyFill="1" applyBorder="1" applyAlignment="1">
      <alignment horizontal="center" vertical="center"/>
    </xf>
    <xf numFmtId="10" fontId="0" fillId="58" borderId="1" xfId="4492" applyNumberFormat="1" applyFont="1" applyFill="1" applyBorder="1" applyAlignment="1" applyProtection="1">
      <alignment horizontal="center" vertical="center"/>
    </xf>
    <xf numFmtId="1" fontId="7" fillId="58" borderId="1" xfId="4491" applyNumberFormat="1" applyFill="1" applyBorder="1" applyAlignment="1">
      <alignment horizontal="center" vertical="center"/>
    </xf>
    <xf numFmtId="10" fontId="53" fillId="58" borderId="1" xfId="4492" applyNumberFormat="1" applyFont="1" applyFill="1" applyBorder="1" applyAlignment="1">
      <alignment horizontal="center" vertical="center"/>
    </xf>
    <xf numFmtId="0" fontId="53" fillId="58" borderId="1" xfId="4491" applyFont="1" applyFill="1" applyBorder="1" applyAlignment="1">
      <alignment horizontal="center" vertical="center"/>
    </xf>
    <xf numFmtId="1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17" fontId="0" fillId="5" borderId="10" xfId="0" applyNumberFormat="1" applyFill="1" applyBorder="1" applyAlignment="1">
      <alignment horizontal="center"/>
    </xf>
    <xf numFmtId="17" fontId="0" fillId="5" borderId="11" xfId="0" applyNumberFormat="1" applyFill="1" applyBorder="1" applyAlignment="1">
      <alignment horizontal="center"/>
    </xf>
    <xf numFmtId="9" fontId="0" fillId="0" borderId="0" xfId="2" applyFont="1"/>
    <xf numFmtId="0" fontId="24" fillId="10" borderId="20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8" xfId="2" applyNumberFormat="1" applyFont="1" applyFill="1" applyBorder="1" applyAlignment="1">
      <alignment horizontal="center" vertical="center"/>
    </xf>
    <xf numFmtId="2" fontId="31" fillId="8" borderId="38" xfId="2" applyNumberFormat="1" applyFont="1" applyFill="1" applyBorder="1" applyAlignment="1">
      <alignment horizontal="center"/>
    </xf>
    <xf numFmtId="2" fontId="30" fillId="8" borderId="41" xfId="2" applyNumberFormat="1" applyFont="1" applyFill="1" applyBorder="1" applyAlignment="1">
      <alignment horizontal="center" vertical="center"/>
    </xf>
    <xf numFmtId="2" fontId="31" fillId="8" borderId="41" xfId="2" applyNumberFormat="1" applyFont="1" applyFill="1" applyBorder="1" applyAlignment="1">
      <alignment horizontal="center"/>
    </xf>
    <xf numFmtId="2" fontId="30" fillId="8" borderId="44" xfId="2" applyNumberFormat="1" applyFont="1" applyFill="1" applyBorder="1" applyAlignment="1">
      <alignment horizontal="center" vertical="center"/>
    </xf>
    <xf numFmtId="2" fontId="31" fillId="8" borderId="44" xfId="2" applyNumberFormat="1" applyFont="1" applyFill="1" applyBorder="1" applyAlignment="1">
      <alignment horizontal="center"/>
    </xf>
    <xf numFmtId="0" fontId="27" fillId="59" borderId="65" xfId="0" applyFont="1" applyFill="1" applyBorder="1" applyAlignment="1">
      <alignment horizontal="center" vertical="center" wrapText="1"/>
    </xf>
    <xf numFmtId="0" fontId="27" fillId="59" borderId="66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7" xfId="4493" applyNumberFormat="1" applyFont="1" applyBorder="1" applyAlignment="1">
      <alignment horizontal="center" vertical="center" wrapText="1"/>
    </xf>
    <xf numFmtId="0" fontId="19" fillId="0" borderId="67" xfId="4493" applyFont="1" applyBorder="1" applyAlignment="1">
      <alignment horizontal="center" vertical="center" wrapText="1"/>
    </xf>
    <xf numFmtId="0" fontId="27" fillId="0" borderId="67" xfId="4494" applyFont="1" applyBorder="1" applyAlignment="1">
      <alignment horizontal="center" vertical="center" wrapText="1"/>
    </xf>
    <xf numFmtId="9" fontId="27" fillId="0" borderId="67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8" xfId="4494" applyFont="1" applyBorder="1" applyAlignment="1">
      <alignment horizontal="center" vertical="center" wrapText="1"/>
    </xf>
    <xf numFmtId="0" fontId="27" fillId="0" borderId="68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" fontId="0" fillId="0" borderId="70" xfId="4497" applyNumberFormat="1" applyFont="1" applyFill="1" applyBorder="1" applyAlignment="1">
      <alignment horizontal="center" vertical="center"/>
    </xf>
    <xf numFmtId="17" fontId="0" fillId="0" borderId="69" xfId="4497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2" fontId="6" fillId="0" borderId="70" xfId="4494" applyNumberFormat="1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0" fontId="20" fillId="0" borderId="68" xfId="4495" applyNumberFormat="1" applyFont="1" applyFill="1" applyBorder="1" applyAlignment="1">
      <alignment horizontal="center" vertical="center"/>
    </xf>
    <xf numFmtId="0" fontId="0" fillId="0" borderId="70" xfId="4497" applyNumberFormat="1" applyFont="1" applyFill="1" applyBorder="1" applyAlignment="1">
      <alignment horizontal="center" vertical="center"/>
    </xf>
    <xf numFmtId="0" fontId="6" fillId="0" borderId="70" xfId="4494" applyBorder="1" applyAlignment="1">
      <alignment horizontal="center" vertical="center"/>
    </xf>
    <xf numFmtId="165" fontId="6" fillId="0" borderId="70" xfId="4494" applyNumberFormat="1" applyBorder="1" applyAlignment="1">
      <alignment horizontal="center" vertical="center"/>
    </xf>
    <xf numFmtId="1" fontId="6" fillId="0" borderId="70" xfId="4494" applyNumberFormat="1" applyBorder="1" applyAlignment="1">
      <alignment horizontal="center" vertical="center"/>
    </xf>
    <xf numFmtId="10" fontId="0" fillId="0" borderId="70" xfId="4496" applyNumberFormat="1" applyFont="1" applyFill="1" applyBorder="1" applyAlignment="1">
      <alignment horizontal="center" vertical="center"/>
    </xf>
    <xf numFmtId="1" fontId="20" fillId="0" borderId="68" xfId="4495" applyNumberFormat="1" applyFont="1" applyFill="1" applyBorder="1" applyAlignment="1">
      <alignment horizontal="center" vertical="center"/>
    </xf>
    <xf numFmtId="165" fontId="0" fillId="0" borderId="69" xfId="4494" applyNumberFormat="1" applyFont="1" applyBorder="1" applyAlignment="1">
      <alignment horizontal="center" vertical="center"/>
    </xf>
    <xf numFmtId="171" fontId="30" fillId="8" borderId="27" xfId="6" applyNumberFormat="1" applyFont="1" applyFill="1" applyBorder="1" applyAlignment="1" applyProtection="1">
      <alignment horizontal="left" vertical="center"/>
      <protection locked="0"/>
    </xf>
    <xf numFmtId="168" fontId="30" fillId="8" borderId="27" xfId="6" applyNumberFormat="1" applyFont="1" applyFill="1" applyBorder="1" applyAlignment="1" applyProtection="1">
      <alignment horizontal="left" vertical="center"/>
      <protection locked="0"/>
    </xf>
    <xf numFmtId="1" fontId="31" fillId="8" borderId="39" xfId="0" applyNumberFormat="1" applyFont="1" applyFill="1" applyBorder="1" applyProtection="1">
      <protection locked="0"/>
    </xf>
    <xf numFmtId="0" fontId="31" fillId="8" borderId="42" xfId="0" applyFont="1" applyFill="1" applyBorder="1" applyProtection="1">
      <protection locked="0"/>
    </xf>
    <xf numFmtId="0" fontId="31" fillId="8" borderId="45" xfId="0" applyFont="1" applyFill="1" applyBorder="1" applyProtection="1">
      <protection locked="0"/>
    </xf>
    <xf numFmtId="9" fontId="0" fillId="0" borderId="10" xfId="2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vertical="center"/>
    </xf>
    <xf numFmtId="166" fontId="0" fillId="0" borderId="10" xfId="14" applyNumberFormat="1" applyFont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1" fontId="0" fillId="0" borderId="13" xfId="0" applyNumberFormat="1" applyBorder="1" applyAlignment="1">
      <alignment horizontal="center" vertical="center"/>
    </xf>
    <xf numFmtId="1" fontId="0" fillId="0" borderId="71" xfId="0" applyNumberFormat="1" applyBorder="1" applyAlignment="1">
      <alignment horizontal="center"/>
    </xf>
    <xf numFmtId="1" fontId="67" fillId="7" borderId="20" xfId="0" applyNumberFormat="1" applyFont="1" applyFill="1" applyBorder="1" applyAlignment="1">
      <alignment horizontal="center"/>
    </xf>
    <xf numFmtId="0" fontId="5" fillId="5" borderId="10" xfId="0" applyFont="1" applyFill="1" applyBorder="1"/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10" xfId="0" applyNumberFormat="1" applyFont="1" applyFill="1" applyBorder="1"/>
    <xf numFmtId="0" fontId="5" fillId="5" borderId="11" xfId="0" applyFont="1" applyFill="1" applyBorder="1" applyAlignment="1">
      <alignment horizontal="left"/>
    </xf>
    <xf numFmtId="0" fontId="5" fillId="5" borderId="11" xfId="0" applyFont="1" applyFill="1" applyBorder="1"/>
    <xf numFmtId="0" fontId="5" fillId="5" borderId="1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left"/>
    </xf>
    <xf numFmtId="0" fontId="5" fillId="17" borderId="57" xfId="0" applyFont="1" applyFill="1" applyBorder="1" applyAlignment="1">
      <alignment horizontal="center"/>
    </xf>
    <xf numFmtId="0" fontId="5" fillId="17" borderId="60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4" fillId="8" borderId="20" xfId="1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left"/>
    </xf>
    <xf numFmtId="180" fontId="0" fillId="5" borderId="10" xfId="0" applyNumberFormat="1" applyFill="1" applyBorder="1"/>
    <xf numFmtId="166" fontId="68" fillId="0" borderId="10" xfId="14" applyNumberFormat="1" applyFont="1" applyBorder="1" applyAlignment="1">
      <alignment horizontal="center"/>
    </xf>
    <xf numFmtId="179" fontId="0" fillId="5" borderId="10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0" fontId="2" fillId="5" borderId="10" xfId="0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28" fillId="16" borderId="25" xfId="0" applyFont="1" applyFill="1" applyBorder="1" applyAlignment="1">
      <alignment horizontal="center" vertical="center"/>
    </xf>
    <xf numFmtId="0" fontId="31" fillId="8" borderId="37" xfId="0" applyFont="1" applyFill="1" applyBorder="1" applyAlignment="1">
      <alignment horizontal="center" vertical="center"/>
    </xf>
    <xf numFmtId="0" fontId="31" fillId="8" borderId="40" xfId="0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63" fillId="54" borderId="64" xfId="4491" applyFont="1" applyFill="1" applyBorder="1" applyAlignment="1">
      <alignment horizontal="center" wrapText="1"/>
    </xf>
    <xf numFmtId="0" fontId="63" fillId="54" borderId="3" xfId="4491" applyFont="1" applyFill="1" applyBorder="1" applyAlignment="1">
      <alignment horizontal="center" wrapText="1"/>
    </xf>
    <xf numFmtId="0" fontId="63" fillId="54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53" fillId="55" borderId="1" xfId="4491" applyFont="1" applyFill="1" applyBorder="1" applyAlignment="1">
      <alignment horizontal="center" vertical="center" wrapText="1"/>
    </xf>
    <xf numFmtId="0" fontId="53" fillId="56" borderId="1" xfId="4491" applyFont="1" applyFill="1" applyBorder="1" applyAlignment="1">
      <alignment horizontal="center" vertical="center"/>
    </xf>
    <xf numFmtId="0" fontId="53" fillId="56" borderId="1" xfId="4491" applyFont="1" applyFill="1" applyBorder="1" applyAlignment="1">
      <alignment horizontal="center" vertical="center" wrapText="1"/>
    </xf>
    <xf numFmtId="0" fontId="53" fillId="56" borderId="5" xfId="4491" applyFont="1" applyFill="1" applyBorder="1" applyAlignment="1">
      <alignment horizontal="center" vertical="center" wrapText="1"/>
    </xf>
    <xf numFmtId="0" fontId="53" fillId="56" borderId="2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2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28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9" formatCode="h:mm"/>
    </dxf>
    <dxf>
      <numFmt numFmtId="179" formatCode="h:mm"/>
    </dxf>
    <dxf>
      <numFmt numFmtId="179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80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1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9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S369" totalsRowShown="0" headerRowDxfId="426" totalsRowDxfId="423" headerRowBorderDxfId="425" tableBorderDxfId="424" totalsRowBorderDxfId="422">
  <autoFilter ref="A1:AS369" xr:uid="{3B203726-2095-49D8-A694-A659B4A14C0A}"/>
  <tableColumns count="45">
    <tableColumn id="1" xr3:uid="{D8F43D09-E9EF-492A-8B18-9C6B1B51FE7E}" name="Date" dataDxfId="421" totalsRowDxfId="420" dataCellStyle="Normal 53"/>
    <tableColumn id="2" xr3:uid="{17FC98E2-BDD5-4486-BD76-3D5D87865F92}" name="Financial Year" dataDxfId="419" totalsRowDxfId="418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17" totalsRowDxfId="416" dataCellStyle="Normal 53">
      <calculatedColumnFormula>YEAR(Daily_KPI[[#This Row],[Date]])</calculatedColumnFormula>
    </tableColumn>
    <tableColumn id="4" xr3:uid="{2B289273-3195-4091-9C3B-7DC79BD968F6}" name="Month Year" dataDxfId="415" totalsRowDxfId="414" dataCellStyle="Normal 53">
      <calculatedColumnFormula>Daily_KPI[[#This Row],[Date]]-DAY(Daily_KPI[[#This Row],[Date]])+1</calculatedColumnFormula>
    </tableColumn>
    <tableColumn id="5" xr3:uid="{2E8F6039-834D-4861-95D1-2773BF17DB35}" name="Days" dataDxfId="413" totalsRowDxfId="412" dataCellStyle="Normal 53">
      <calculatedColumnFormula>DAY(EOMONTH(A2,0))</calculatedColumnFormula>
    </tableColumn>
    <tableColumn id="6" xr3:uid="{2B2E1685-F7D2-488E-8999-3968E84156D4}" name="Operating Hours" dataDxfId="411" dataCellStyle="Percent 43">
      <calculatedColumnFormula>IFERROR(_xlfn.XLOOKUP($A2,Input_Raw!$A:$A,Input_Raw!$AR:$AR),"")</calculatedColumnFormula>
    </tableColumn>
    <tableColumn id="7" xr3:uid="{BB172904-0855-403C-9785-E2E72275913F}" name="GHI-UP (KWh/m2)" dataDxfId="410" totalsRowDxfId="409" dataCellStyle="Percent 43">
      <calculatedColumnFormula>IFERROR(_xlfn.XLOOKUP($A2,Input_Raw!$A:$A,Input_Raw!$R:$R),"")</calculatedColumnFormula>
    </tableColumn>
    <tableColumn id="8" xr3:uid="{1D298A56-ACFA-4B3A-9AF0-2791ED986CA9}" name="GHI-Down(KWh/m2)" dataDxfId="408" dataCellStyle="Percent 43"/>
    <tableColumn id="9" xr3:uid="{4B1A15FE-C4D7-4557-A738-808A73058227}" name="POA-UP(KWh/m2)" dataDxfId="407" dataCellStyle="Percent 43">
      <calculatedColumnFormula>IFERROR(_xlfn.XLOOKUP($A2,Input_Raw!$A:$A,Input_Raw!$Q:$Q),"")</calculatedColumnFormula>
    </tableColumn>
    <tableColumn id="10" xr3:uid="{42BC900C-A2A4-4428-BF92-9B23950FB86F}" name="POA-Down(KWh/m2)" dataDxfId="406" dataCellStyle="Percent 43"/>
    <tableColumn id="11" xr3:uid="{EF96AFDB-2CD2-4E15-A8BC-B1157332BA8B}" name="Amb_Temp(°C)" dataDxfId="405" totalsRowDxfId="404" dataCellStyle="Percent 43">
      <calculatedColumnFormula>IFERROR(_xlfn.XLOOKUP($A2,Input_Raw!$A:$A,Input_Raw!S:S),"")</calculatedColumnFormula>
    </tableColumn>
    <tableColumn id="12" xr3:uid="{5EA4A231-A5DB-44EE-976F-59154562FF32}" name="Mod_Temp(°C)" dataDxfId="403" totalsRowDxfId="402" dataCellStyle="Percent 43">
      <calculatedColumnFormula>IFERROR(_xlfn.XLOOKUP($A2,Input_Raw!$A:$A,Input_Raw!T:T),"")</calculatedColumnFormula>
    </tableColumn>
    <tableColumn id="13" xr3:uid="{E56A5D16-2FE8-48C7-8C59-3BE99F8CA22E}" name="WS_Avg(m/s)" dataDxfId="401" totalsRowDxfId="400" dataCellStyle="Percent 43">
      <calculatedColumnFormula>IFERROR(_xlfn.XLOOKUP($A2,Input_Raw!$A:$A,Input_Raw!W:W),"")</calculatedColumnFormula>
    </tableColumn>
    <tableColumn id="14" xr3:uid="{1DD13536-3979-4DD1-8C35-B5B151179AB8}" name="WS_Max(m/s)" dataDxfId="399" totalsRowDxfId="398" dataCellStyle="Percent 43">
      <calculatedColumnFormula>IFERROR(_xlfn.XLOOKUP($A2,Input_Raw!$A:$A,Input_Raw!X:X),"")</calculatedColumnFormula>
    </tableColumn>
    <tableColumn id="15" xr3:uid="{43E0263C-1183-41AE-8413-D19F0955271B}" name="PA(%)" dataDxfId="397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96" dataCellStyle="Percent 43"/>
    <tableColumn id="17" xr3:uid="{F877BA75-B99B-4EBE-B99C-48AAA8F1F7BF}" name="IGA (%)" dataDxfId="395" dataCellStyle="Percent 43"/>
    <tableColumn id="18" xr3:uid="{B694AB7F-0F5F-4FE8-B38A-9779B5428942}" name="EGA(%)" dataDxfId="394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93" totalsRowDxfId="392" dataCellStyle="Normal 53"/>
    <tableColumn id="20" xr3:uid="{1C269C4E-6A8A-4DB3-A00A-ED411454B262}" name="TA (%)" dataDxfId="391" dataCellStyle="Percent 43"/>
    <tableColumn id="21" xr3:uid="{DCC3850E-4204-4E68-8D6F-645780C9D339}" name="PR(%)" dataDxfId="390" totalsRowDxfId="389" dataCellStyle="Percent 43">
      <calculatedColumnFormula>IFERROR(AA2/I2/AB2/1000,"")</calculatedColumnFormula>
    </tableColumn>
    <tableColumn id="22" xr3:uid="{7079FA34-F3FA-4CD8-AE69-4E7A8CF786F0}" name="WPR(%)" dataDxfId="388" totalsRowDxfId="387" dataCellStyle="Percent 43">
      <calculatedColumnFormula>IFERROR(_xlfn.XLOOKUP($A2,Input_Raw!$A:$A,Input_Raw!$AX:$AX),"")</calculatedColumnFormula>
    </tableColumn>
    <tableColumn id="23" xr3:uid="{CBA846E4-4CAD-46D1-A973-A2211A9AF6A9}" name="CUF(%)" dataDxfId="386" totalsRowDxfId="385" dataCellStyle="Percent 43">
      <calculatedColumnFormula>IFERROR(AA2/(24*AR2*1000),"")</calculatedColumnFormula>
    </tableColumn>
    <tableColumn id="24" xr3:uid="{339615D8-1F63-42DD-8F61-80222A13D46C}" name="Gen_Exp (kWh)" dataDxfId="384" totalsRowDxfId="383" dataCellStyle="Normal 53">
      <calculatedColumnFormula>IFERROR(_xlfn.XLOOKUP($A2,Input_Raw!$A:$A,Input_Raw!$AA:$AA),"")</calculatedColumnFormula>
    </tableColumn>
    <tableColumn id="25" xr3:uid="{DEC8AEDD-876D-460F-8E7E-8E3EA4D3234A}" name="Mtr_Export (kWh)" dataDxfId="382" totalsRowDxfId="381" dataCellStyle="Normal 53">
      <calculatedColumnFormula>IFERROR(_xlfn.XLOOKUP($A2,Input_Raw!$A:$A,Input_Raw!$AS:$AS),"")</calculatedColumnFormula>
    </tableColumn>
    <tableColumn id="26" xr3:uid="{233D1E74-2639-49B3-AD3F-3ADCB13C2646}" name="Mtr_Import (kWh)" dataDxfId="380" totalsRowDxfId="379" dataCellStyle="Normal 53"/>
    <tableColumn id="27" xr3:uid="{3E7D8E07-78D2-4CAB-9A27-CF9B233BB249}" name="Mtr_Net_Exp (KWh)" dataDxfId="378" dataCellStyle="Normal 53">
      <calculatedColumnFormula>IFERROR(_xlfn.XLOOKUP($A2,Input_Raw!$A:$A,Input_Raw!$AT:$AT),"")</calculatedColumnFormula>
    </tableColumn>
    <tableColumn id="28" xr3:uid="{D134DC45-3C09-48DE-A19A-159386CC380F}" name="Operational Capacity (MW)" dataDxfId="377" totalsRowDxfId="376" dataCellStyle="Normal 53">
      <calculatedColumnFormula>IFERROR(_xlfn.XLOOKUP($A2,Input_Raw!$A:$A,Input_Raw!$AU:$AU),"")</calculatedColumnFormula>
    </tableColumn>
    <tableColumn id="29" xr3:uid="{F9E936EF-EF1C-4383-B702-9D6B1145456A}" name="Bugt_Resource" dataDxfId="375" totalsRowDxfId="374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73" totalsRowDxfId="372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71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70" totalsRowDxfId="369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68" totalsRowDxfId="367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66" totalsRowDxfId="365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64" totalsRowDxfId="363" dataCellStyle="Normal 53"/>
    <tableColumn id="34" xr3:uid="{C1B98A55-20AF-41F5-A0DD-62F5917DFF6C}" name="Actual Energy WPR" dataDxfId="362" totalsRowDxfId="361" dataCellStyle="Normal 53"/>
    <tableColumn id="35" xr3:uid="{0F415FE2-3355-4A39-864D-10A3B9AD00B2}" name="RA (%)" dataDxfId="360" totalsRowDxfId="359" dataCellStyle="Normal 53"/>
    <tableColumn id="36" xr3:uid="{7F0215CE-D966-4BB9-A2F5-194B742D9668}" name="Mod Clean Dry (Num)" dataDxfId="358" totalsRowDxfId="357" dataCellStyle="Normal 53"/>
    <tableColumn id="37" xr3:uid="{622C5A19-6374-4807-8449-89760E2B7C31}" name="Mod Clean Wet (Num)" dataDxfId="356" totalsRowDxfId="355" dataCellStyle="Normal 53"/>
    <tableColumn id="38" xr3:uid="{D2AC8764-A512-4CD0-A35D-231510801658}" name="Line Loss(%)" dataDxfId="354" totalsRowDxfId="353" dataCellStyle="Percent 35"/>
    <tableColumn id="39" xr3:uid="{E7436573-76F7-48B3-81E1-F30EAF57FBDA}" name="Reactive Power (%)" dataDxfId="352" dataCellStyle="Percent 43"/>
    <tableColumn id="40" xr3:uid="{FF479CD8-0D5E-4BE6-A0E2-BB1E1B7164C4}" name="Bugt Line loss (%) (Wind)" dataDxfId="351" totalsRowDxfId="350" dataCellStyle="Percent 43"/>
    <tableColumn id="41" xr3:uid="{58D82606-FF12-460A-9A29-89E7B21AE63E}" name="Bugt Reactive Power (%) (Wind)" dataDxfId="349" totalsRowDxfId="348" dataCellStyle="Percent 43"/>
    <tableColumn id="45" xr3:uid="{15860610-292F-4778-A5C5-C1990BC7593F}" name="Bugt Capacity" dataDxfId="347" totalsRowDxfId="346" dataCellStyle="Normal 53">
      <calculatedColumnFormula>_xlfn.XLOOKUP($D2,'Modelling New'!$D:$D,'Modelling New'!$N:$N)</calculatedColumnFormula>
    </tableColumn>
    <tableColumn id="44" xr3:uid="{CC97D97F-F96A-4265-A37C-3718C9660706}" name="CC*Bugt" dataDxfId="345" totalsRowDxfId="344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X282" totalsRowShown="0">
  <tableColumns count="50">
    <tableColumn id="5" xr3:uid="{00000000-0010-0000-0100-000005000000}" name="Date" dataDxfId="343" dataCellStyle="Normal 27">
      <calculatedColumnFormula>A4+1</calculatedColumnFormula>
    </tableColumn>
    <tableColumn id="1" xr3:uid="{00000000-0010-0000-0100-000001000000}" name="Finacial Year" dataDxfId="342">
      <calculatedColumnFormula>YEAR(RD[[#This Row],[Date]])+IF(MONTH(RD[[#This Row],[Date]])&gt;=4,1,0)</calculatedColumnFormula>
    </tableColumn>
    <tableColumn id="2" xr3:uid="{00000000-0010-0000-0100-000002000000}" name="Calendor Year" dataDxfId="341">
      <calculatedColumnFormula>YEAR(RD[[#This Row],[Date]])</calculatedColumnFormula>
    </tableColumn>
    <tableColumn id="3" xr3:uid="{00000000-0010-0000-0100-000003000000}" name="Month Year" dataDxfId="340">
      <calculatedColumnFormula>A5-DAY(A5)+1</calculatedColumnFormula>
    </tableColumn>
    <tableColumn id="4" xr3:uid="{00000000-0010-0000-0100-000004000000}" name="Days" dataDxfId="339">
      <calculatedColumnFormula>DAY(EOMONTH(RD[[#This Row],[Date]],0))</calculatedColumnFormula>
    </tableColumn>
    <tableColumn id="149" xr3:uid="{00000000-0010-0000-0100-000095000000}" name="Sunrise Time (POA&gt;20 W/m2)" dataDxfId="338"/>
    <tableColumn id="148" xr3:uid="{00000000-0010-0000-0100-000094000000}" name="Sunset Time (POA&lt;20 W/m2)" dataDxfId="337"/>
    <tableColumn id="125" xr3:uid="{00000000-0010-0000-0100-00007D000000}" name="IS1Inv1" dataDxfId="336"/>
    <tableColumn id="129" xr3:uid="{00000000-0010-0000-0100-000081000000}" name="IS1Inv2" dataDxfId="335"/>
    <tableColumn id="130" xr3:uid="{00000000-0010-0000-0100-000082000000}" name="IS2Inv1" dataDxfId="334"/>
    <tableColumn id="132" xr3:uid="{00000000-0010-0000-0100-000084000000}" name="IS2Inv2" dataDxfId="333"/>
    <tableColumn id="116" xr3:uid="{00000000-0010-0000-0100-000074000000}" name="IS3Inv1" dataDxfId="332"/>
    <tableColumn id="21" xr3:uid="{00000000-0010-0000-0100-000015000000}" name="IS4Inv1" dataDxfId="331"/>
    <tableColumn id="121" xr3:uid="{00000000-0010-0000-0100-000079000000}" name="IS4Inv2" dataDxfId="330"/>
    <tableColumn id="113" xr3:uid="{00000000-0010-0000-0100-000071000000}" name="IS15_Inv1_M1" dataDxfId="329"/>
    <tableColumn id="118" xr3:uid="{00000000-0010-0000-0100-000076000000}" name="IS15_Inv1_M2" dataDxfId="328"/>
    <tableColumn id="134" xr3:uid="{00000000-0010-0000-0100-000086000000}" name="POA_UP_IS1 (KWh/m2)" dataDxfId="327"/>
    <tableColumn id="135" xr3:uid="{00000000-0010-0000-0100-000087000000}" name="GHI_UP_IS1 (KWh/m2)" dataDxfId="326"/>
    <tableColumn id="137" xr3:uid="{00000000-0010-0000-0100-000089000000}" name="AT_IS1 (°C)" dataDxfId="325"/>
    <tableColumn id="138" xr3:uid="{00000000-0010-0000-0100-00008A000000}" name="MT_IS1 (°C)" dataDxfId="324"/>
    <tableColumn id="139" xr3:uid="{00000000-0010-0000-0100-00008B000000}" name="RH_IS1 (%)" dataDxfId="323" dataCellStyle="Percent 2"/>
    <tableColumn id="140" xr3:uid="{00000000-0010-0000-0100-00008C000000}" name="Rain_IS1 (mm)" dataDxfId="322"/>
    <tableColumn id="141" xr3:uid="{00000000-0010-0000-0100-00008D000000}" name="WS_Avg_IS1 (m/s)" dataDxfId="321"/>
    <tableColumn id="142" xr3:uid="{00000000-0010-0000-0100-00008E000000}" name="WS_Max_IS1 (m/s)" dataDxfId="320"/>
    <tableColumn id="143" xr3:uid="{00000000-0010-0000-0100-00008F000000}" name="O2RE7" dataDxfId="319">
      <calculatedColumnFormula>SUM(RD[[#This Row],[IS1Inv1]:[IS3Inv1]])</calculatedColumnFormula>
    </tableColumn>
    <tableColumn id="144" xr3:uid="{00000000-0010-0000-0100-000090000000}" name="O2RE27" dataDxfId="318">
      <calculatedColumnFormula>SUM(RD[[#This Row],[IS4Inv1]:[IS4Inv2]])</calculatedColumnFormula>
    </tableColumn>
    <tableColumn id="147" xr3:uid="{00000000-0010-0000-0100-000093000000}" name="Inv Total Gneration (MWh)" dataDxfId="317">
      <calculatedColumnFormula>SUM(RD[[#This Row],[O2RE7]:[O2RE27]])</calculatedColumnFormula>
    </tableColumn>
    <tableColumn id="56" xr3:uid="{00000000-0010-0000-0100-000038000000}" name="33 kV_F1_Ex" dataDxfId="316"/>
    <tableColumn id="60" xr3:uid="{00000000-0010-0000-0100-00003C000000}" name="33kV_OG1_Ex" dataDxfId="315"/>
    <tableColumn id="62" xr3:uid="{00000000-0010-0000-0100-00003E000000}" name="220kV_TX1_Ex" dataDxfId="314"/>
    <tableColumn id="65" xr3:uid="{00000000-0010-0000-0100-000041000000}" name="220kV_TL_TVM_Ex" dataDxfId="313"/>
    <tableColumn id="66" xr3:uid="{00000000-0010-0000-0100-000042000000}" name="220kV_C&amp;R_PQM_Ex" dataDxfId="312"/>
    <tableColumn id="7" xr3:uid="{F3B54982-ABB6-4F2A-A338-B2047BB26A63}" name="220kV_C&amp;R_PQM_Imp" dataDxfId="311"/>
    <tableColumn id="64" xr3:uid="{00000000-0010-0000-0100-000040000000}" name="33kV_Aux1_Im" dataDxfId="310"/>
    <tableColumn id="90" xr3:uid="{00000000-0010-0000-0100-00005A000000}" name="33 kV_Solar_F1_Energy (kWh)" dataDxfId="309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08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07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06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05" dataCellStyle="Percent 2"/>
    <tableColumn id="101" xr3:uid="{00000000-0010-0000-0100-000065000000}" name="33kV_Aux1_Im(KWh)" dataDxfId="304"/>
    <tableColumn id="103" xr3:uid="{00000000-0010-0000-0100-000067000000}" name="33 kV Total Export (KWH)" dataDxfId="303">
      <calculatedColumnFormula>RD[[#This Row],[33kV_OG1_Energy (KWh)]]</calculatedColumnFormula>
    </tableColumn>
    <tableColumn id="104" xr3:uid="{00000000-0010-0000-0100-000068000000}" name="220 KV Net Export (KWh)" dataDxfId="302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01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0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99">
      <calculatedColumnFormula>RD[[#This Row],[33kV_OG1_Energy (KWh)]]</calculatedColumnFormula>
    </tableColumn>
    <tableColumn id="6" xr3:uid="{00000000-0010-0000-0100-000006000000}" name=" Net Export" dataDxfId="29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97"/>
    <tableColumn id="8" xr3:uid="{00000000-0010-0000-0100-000008000000}" name="E_AC (WPR)" dataDxfId="296"/>
    <tableColumn id="9" xr3:uid="{00000000-0010-0000-0100-000009000000}" name="E_DC (WPR)" dataDxfId="295"/>
    <tableColumn id="10" xr3:uid="{00000000-0010-0000-0100-00000A000000}" name="WPR (%)" dataDxfId="29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293" dataDxfId="291" headerRowBorderDxfId="292" tableBorderDxfId="290" totalsRowBorderDxfId="289">
  <autoFilter ref="A1:V32" xr:uid="{00000000-0009-0000-0100-00000C000000}"/>
  <tableColumns count="22">
    <tableColumn id="1" xr3:uid="{00000000-0010-0000-0200-000001000000}" name="Sr. No." dataDxfId="288"/>
    <tableColumn id="6" xr3:uid="{00000000-0010-0000-0200-000006000000}" name="Date" dataDxfId="287"/>
    <tableColumn id="2" xr3:uid="{00000000-0010-0000-0200-000002000000}" name="Finacial Year" dataDxfId="286"/>
    <tableColumn id="3" xr3:uid="{00000000-0010-0000-0200-000003000000}" name="Calendor Year" dataDxfId="285"/>
    <tableColumn id="20" xr3:uid="{00000000-0010-0000-0200-000014000000}" name="Contractuyal year" dataDxfId="284"/>
    <tableColumn id="5" xr3:uid="{00000000-0010-0000-0200-000005000000}" name="Operating Year" dataDxfId="283"/>
    <tableColumn id="7" xr3:uid="{00000000-0010-0000-0200-000007000000}" name="Affected Feeder " dataDxfId="282"/>
    <tableColumn id="21" xr3:uid="{00000000-0010-0000-0200-000015000000}" name="SPV" dataDxfId="281">
      <calculatedColumnFormula>_xlfn.XLOOKUP(IGA_BD[[#This Row],[Affected Feeder ]],'Basic Data'!N:N,'Basic Data'!O:O)</calculatedColumnFormula>
    </tableColumn>
    <tableColumn id="10" xr3:uid="{00000000-0010-0000-0200-00000A000000}" name="Consumer" dataDxfId="280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279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278"/>
    <tableColumn id="12" xr3:uid="{00000000-0010-0000-0200-00000C000000}" name="Fault Start TimeStamp" dataDxfId="277"/>
    <tableColumn id="13" xr3:uid="{00000000-0010-0000-0200-00000D000000}" name="Work Start TimeStamp" dataDxfId="276"/>
    <tableColumn id="14" xr3:uid="{00000000-0010-0000-0200-00000E000000}" name="Fault Clearance time" dataDxfId="275"/>
    <tableColumn id="15" xr3:uid="{00000000-0010-0000-0200-00000F000000}" name="Response Time" dataDxfId="274">
      <calculatedColumnFormula>(IGA_BD[[#This Row],[Work Start TimeStamp]]-IGA_BD[[#This Row],[Fault Start TimeStamp]])*24</calculatedColumnFormula>
    </tableColumn>
    <tableColumn id="16" xr3:uid="{00000000-0010-0000-0200-000010000000}" name="Resolution Time" dataDxfId="273">
      <calculatedColumnFormula>(IGA_BD[[#This Row],[Fault Clearance time]]-IGA_BD[[#This Row],[Work Start TimeStamp]])*24</calculatedColumnFormula>
    </tableColumn>
    <tableColumn id="17" xr3:uid="{00000000-0010-0000-0200-000011000000}" name="Breakdown Time" dataDxfId="272">
      <calculatedColumnFormula>(IGA_BD[[#This Row],[Fault Clearance time]]-IGA_BD[[#This Row],[Fault Start TimeStamp]])*24</calculatedColumnFormula>
    </tableColumn>
    <tableColumn id="18" xr3:uid="{00000000-0010-0000-0200-000012000000}" name="Action taken" dataDxfId="271"/>
    <tableColumn id="19" xr3:uid="{00000000-0010-0000-0200-000013000000}" name="Status" dataDxfId="270"/>
    <tableColumn id="22" xr3:uid="{00000000-0010-0000-0200-000016000000}" name="Plant Equivalent breakdown" dataDxfId="269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268"/>
    <tableColumn id="8" xr3:uid="{00000000-0010-0000-0200-000008000000}" name="Estimated Energy Loss (kWh)" dataDxfId="267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25" totalsRowShown="0" headerRowDxfId="266" dataDxfId="264" headerRowBorderDxfId="265" tableBorderDxfId="263" totalsRowBorderDxfId="262">
  <tableColumns count="40">
    <tableColumn id="1" xr3:uid="{2B028A55-9E65-494B-87A0-C9EA4570CC03}" name="Sr. No." dataDxfId="261" dataCellStyle="Comma 42"/>
    <tableColumn id="2" xr3:uid="{885B4D4F-EF9E-4E79-8D4B-C2C91282083A}" name="Month Name" dataDxfId="260" dataCellStyle="Comma 42"/>
    <tableColumn id="3" xr3:uid="{27779E53-7884-4F0F-AE97-2F75899BE35B}" name="Month Number" dataDxfId="259" dataCellStyle="Comma 42"/>
    <tableColumn id="4" xr3:uid="{1C134B8B-7554-4308-9E49-0A30B7EDF443}" name="Month" dataDxfId="258" dataCellStyle="Comma 42"/>
    <tableColumn id="5" xr3:uid="{4186AC57-5D53-4F7B-9062-78A7250C8883}" name="CY" dataDxfId="257">
      <calculatedColumnFormula>YEAR(D2)</calculatedColumnFormula>
    </tableColumn>
    <tableColumn id="6" xr3:uid="{AC8F376E-F6E7-435F-AD5E-1500A77B2FAF}" name="FY" dataDxfId="256"/>
    <tableColumn id="7" xr3:uid="{C472F879-9483-4003-8690-C8405A9F0ACA}" name="No. of Days in Month" dataDxfId="255">
      <calculatedColumnFormula>DAY(EOMONTH(D2,0))</calculatedColumnFormula>
    </tableColumn>
    <tableColumn id="8" xr3:uid="{9682D996-8A10-4AAE-A8D1-813A5946FB5C}" name="GHI" dataDxfId="254"/>
    <tableColumn id="9" xr3:uid="{5646A1EC-C4E3-43A1-ABAF-821A197AE99B}" name="POA" dataDxfId="253"/>
    <tableColumn id="10" xr3:uid="{4D067AA3-A6DB-49F7-BA64-142D01FA8AE4}" name="WS" dataDxfId="252"/>
    <tableColumn id="11" xr3:uid="{CB4E2B6C-C557-4264-AAD0-4439A3852E80}" name="Tamb" dataDxfId="251"/>
    <tableColumn id="12" xr3:uid="{F8F5552B-9566-45E4-A58C-28C52C25E84B}" name="Tmod" dataDxfId="250"/>
    <tableColumn id="13" xr3:uid="{6D8D2D98-2B56-4A31-A0B5-4D820ADC8A00}" name="Egrid (MWh)" dataDxfId="249"/>
    <tableColumn id="14" xr3:uid="{C646FE2E-463A-4762-996F-81346AA9B591}" name="Bugt_Capacity" dataDxfId="248"/>
    <tableColumn id="15" xr3:uid="{96EE6B22-FB30-4C05-8AE2-4F08AFCD5986}" name="PR" dataDxfId="247">
      <calculatedColumnFormula>IFERROR(M2/I2/N2,"")</calculatedColumnFormula>
    </tableColumn>
    <tableColumn id="16" xr3:uid="{11299A8A-1CAD-43E4-B679-9ACDCCA9DEC0}" name="Daily POA" dataDxfId="246">
      <calculatedColumnFormula>IFERROR(I2/G2,"")</calculatedColumnFormula>
    </tableColumn>
    <tableColumn id="17" xr3:uid="{7D2E5E3F-B60D-4261-AFBF-3EFC6EDD08EE}" name="Days Operated" dataDxfId="245">
      <calculatedColumnFormula>COUNTIFS('Daily KPI'!$D:$D,D2,'Daily KPI'!$K:$K,"&gt;0")</calculatedColumnFormula>
    </tableColumn>
    <tableColumn id="18" xr3:uid="{0513CF3A-2E6E-489C-9E9B-AD1C15869A9B}" name="MTD POA" dataDxfId="244">
      <calculatedColumnFormula>I2/G2*Q2</calculatedColumnFormula>
    </tableColumn>
    <tableColumn id="27" xr3:uid="{1DB0DE6F-BADB-4FE3-AC43-02CC94FD389D}" name="YTD POA" dataDxfId="243">
      <calculatedColumnFormula>SUMIF($F$2:F2,F2,$R$2:R2)</calculatedColumnFormula>
    </tableColumn>
    <tableColumn id="19" xr3:uid="{2048DE8F-3F59-40E5-B3E7-775FEE0EF5A8}" name="Daily Energy (MWh)" dataDxfId="242">
      <calculatedColumnFormula>M2/G2</calculatedColumnFormula>
    </tableColumn>
    <tableColumn id="20" xr3:uid="{D9C26E09-8381-4970-B3FC-E5636F4125D7}" name="MTD Energy (MWh)" dataDxfId="241">
      <calculatedColumnFormula>M2/G2*Q2</calculatedColumnFormula>
    </tableColumn>
    <tableColumn id="28" xr3:uid="{3B148171-C6B8-488E-B9D6-C2255FB09412}" name="YTD Energy (MWh)" dataDxfId="240">
      <calculatedColumnFormula>SUMIF($F$2:F2,F2,$U$2:U2)</calculatedColumnFormula>
    </tableColumn>
    <tableColumn id="38" xr3:uid="{C04583F2-B812-4A2A-8E85-EC2EC6F32F3E}" name="Bugt CUF (%)" dataDxfId="239">
      <calculatedColumnFormula>IFERROR(T2/(24*N2),"")</calculatedColumnFormula>
    </tableColumn>
    <tableColumn id="37" xr3:uid="{BDA65464-EFEB-414F-8FEF-266ECCD70579}" name="Bugt CUF (%) MTD" dataDxfId="238">
      <calculatedColumnFormula>IFERROR(U2/(24*N2*Q2),"")</calculatedColumnFormula>
    </tableColumn>
    <tableColumn id="36" xr3:uid="{5577041E-DA30-4F44-A838-DE9144E1E7B1}" name="Bugt CUF (%)YTD" dataDxfId="237">
      <calculatedColumnFormula>IFERROR(V2/(24*N2*SUMIFS($Q:$Q,$F:$F,$F2,$D:$D,"&lt;="&amp;D2)),"")</calculatedColumnFormula>
    </tableColumn>
    <tableColumn id="21" xr3:uid="{1BC3D9C9-BAD2-4FE9-A175-091B0D28F518}" name="Ave. Cap MTD" dataDxfId="236">
      <calculatedColumnFormula>IFERROR(AVERAGEIF('Daily KPI'!D:D,Mod[[#This Row],[Month]],'Daily KPI'!AB:AB),"")</calculatedColumnFormula>
    </tableColumn>
    <tableColumn id="29" xr3:uid="{FC4A1E4C-4CB8-4605-BDB5-E5B61FBEED4F}" name="Ave. Cap YTD" dataDxfId="235">
      <calculatedColumnFormula>IFERROR(AVERAGEIF($F$2:F2,F2,$Z$2:Z2),"")</calculatedColumnFormula>
    </tableColumn>
    <tableColumn id="22" xr3:uid="{702281B7-0432-44C0-9EBC-665ACCF6B2A8}" name="CC Energy MTD" dataDxfId="234"/>
    <tableColumn id="31" xr3:uid="{D1430AA8-8932-4CDD-B656-27D1F9A431CE}" name="WS MTD" dataDxfId="233"/>
    <tableColumn id="23" xr3:uid="{E6B4DBCD-73DA-4FBC-9A67-DE992A84B93B}" name="WS YTD" dataDxfId="232"/>
    <tableColumn id="24" xr3:uid="{A57F4E06-B0B6-4B31-9043-B0307659E8F7}" name="Bugt PA" dataDxfId="231" dataCellStyle="Percent 43"/>
    <tableColumn id="25" xr3:uid="{CA4CDA86-18B4-4A4D-9319-1CF40E14868D}" name="Bugt EGA" dataDxfId="230" dataCellStyle="Percent 43"/>
    <tableColumn id="35" xr3:uid="{0B7DDF74-F33D-4D8F-B649-44793FC2EF4F}" name="Bugt TA" dataDxfId="229"/>
    <tableColumn id="26" xr3:uid="{1E94AF8C-9EF9-4EFF-9C55-00C0A4CF9F2E}" name="Bugt MA" dataDxfId="228"/>
    <tableColumn id="30" xr3:uid="{4C6A41F1-7D0A-4C52-B0C9-DFE7713DF4BC}" name="Bugt IGA" dataDxfId="227"/>
    <tableColumn id="32" xr3:uid="{B8796E77-66B9-4E7A-9057-6AEB5C90CFB0}" name="Corelation" dataDxfId="226"/>
    <tableColumn id="33" xr3:uid="{D8ABDEB8-4C5A-4689-83C9-5E704D05BC58}" name="Bugt Line loss" dataDxfId="225"/>
    <tableColumn id="34" xr3:uid="{550FEFC8-DC1D-47FD-B05A-36EDCA221025}" name="Bugt Reactive Power" dataDxfId="224"/>
    <tableColumn id="40" xr3:uid="{A70F5369-5099-487D-BDD9-DA538B34FD1B}" name="CC*Bugt (MTD)" dataDxfId="223">
      <calculatedColumnFormula>SUMIF('Daily KPI'!$D:$D,$D2,'Daily KPI'!$AS:$AS)</calculatedColumnFormula>
    </tableColumn>
    <tableColumn id="41" xr3:uid="{F3A75964-3DFB-4BEA-A00D-B41F5C9D67C6}" name="CC*Bugt (YTD)" dataDxfId="222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21"/>
    <tableColumn id="2" xr3:uid="{00000000-0010-0000-0300-000002000000}" name="Date" dataDxfId="220"/>
    <tableColumn id="3" xr3:uid="{00000000-0010-0000-0300-000003000000}" name="Financial Year" dataDxfId="219">
      <calculatedColumnFormula>YEAR(PA[[#This Row],[Date]])+IF(MONTH(PA[[#This Row],[Date]])&gt;=4,1,0)</calculatedColumnFormula>
    </tableColumn>
    <tableColumn id="4" xr3:uid="{00000000-0010-0000-0300-000004000000}" name="Calendar Year" dataDxfId="218">
      <calculatedColumnFormula>YEAR(PA[[#This Row],[Date]])</calculatedColumnFormula>
    </tableColumn>
    <tableColumn id="5" xr3:uid="{00000000-0010-0000-0300-000005000000}" name="Contractual Year" dataDxfId="217"/>
    <tableColumn id="6" xr3:uid="{00000000-0010-0000-0300-000006000000}" name="Operating Year" dataDxfId="216"/>
    <tableColumn id="7" xr3:uid="{00000000-0010-0000-0300-000007000000}" name="Month Year" dataDxfId="215"/>
    <tableColumn id="8" xr3:uid="{00000000-0010-0000-0300-000008000000}" name="Days" dataDxfId="214">
      <calculatedColumnFormula>DAY(EOMONTH(PA[[#This Row],[Month Year]],0))</calculatedColumnFormula>
    </tableColumn>
    <tableColumn id="9" xr3:uid="{00000000-0010-0000-0300-000009000000}" name="Sunrise Time (POA&gt;20 W/m2)" dataDxfId="213"/>
    <tableColumn id="10" xr3:uid="{00000000-0010-0000-0300-00000A000000}" name="Sunset Time (POA&lt;20 W/m2)" dataDxfId="212"/>
    <tableColumn id="11" xr3:uid="{00000000-0010-0000-0300-00000B000000}" name="Total Generation Time" dataDxfId="211"/>
    <tableColumn id="12" xr3:uid="{00000000-0010-0000-0300-00000C000000}" name="Inverter  Station Number (if Bd in filed)" dataDxfId="210"/>
    <tableColumn id="13" xr3:uid="{00000000-0010-0000-0300-00000D000000}" name="Inverter number (If Inv, SCb or Str BD)" dataDxfId="209"/>
    <tableColumn id="14" xr3:uid="{00000000-0010-0000-0300-00000E000000}" name="Inverter Module Number (If Inv, SCb or Str BD)" dataDxfId="208"/>
    <tableColumn id="15" xr3:uid="{00000000-0010-0000-0300-00000F000000}" name="SCB Number (If SCB or Str BD)" dataDxfId="207"/>
    <tableColumn id="16" xr3:uid="{00000000-0010-0000-0300-000010000000}" name="String Type(If String BD)" dataDxfId="206"/>
    <tableColumn id="17" xr3:uid="{00000000-0010-0000-0300-000011000000}" name="Equipment (If any BD other than PV  array and inv)" dataDxfId="205"/>
    <tableColumn id="18" xr3:uid="{00000000-0010-0000-0300-000012000000}" name="C1" dataDxfId="204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3">
      <calculatedColumnFormula>IF(PA[[#This Row],[String Type(If String BD)]]="",1,0)</calculatedColumnFormula>
    </tableColumn>
    <tableColumn id="20" xr3:uid="{00000000-0010-0000-0300-000014000000}" name="Affected Equipment " dataDxfId="202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201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200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9"/>
    <tableColumn id="24" xr3:uid="{00000000-0010-0000-0300-000018000000}" name="Fault Code (As per HMI)" dataDxfId="198"/>
    <tableColumn id="25" xr3:uid="{00000000-0010-0000-0300-000019000000}" name="Breakdown Description" dataDxfId="197"/>
    <tableColumn id="26" xr3:uid="{00000000-0010-0000-0300-00001A000000}" name="Fault Time" dataDxfId="196"/>
    <tableColumn id="27" xr3:uid="{00000000-0010-0000-0300-00001B000000}" name="Acknowledgement Time " dataDxfId="195"/>
    <tableColumn id="28" xr3:uid="{00000000-0010-0000-0300-00001C000000}" name="Work Start time on Fault" dataDxfId="194"/>
    <tableColumn id="29" xr3:uid="{00000000-0010-0000-0300-00001D000000}" name="Work Completion time on fault" dataDxfId="193"/>
    <tableColumn id="30" xr3:uid="{00000000-0010-0000-0300-00001E000000}" name="Acknow. time " dataDxfId="192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91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90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9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8"/>
    <tableColumn id="35" xr3:uid="{00000000-0010-0000-0300-000023000000}" name="Status" dataDxfId="187"/>
    <tableColumn id="36" xr3:uid="{00000000-0010-0000-0300-000024000000}" name="Plant Equivalent breakdown" dataDxfId="186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5"/>
    <tableColumn id="38" xr3:uid="{00000000-0010-0000-0300-000026000000}" name="Approximate Energy Loss (KWh)" dataDxfId="184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3"/>
    <tableColumn id="40" xr3:uid="{2C1E81EA-E3B6-4BE4-9691-422652FC4B6C}" name="CC*Bugt" dataDxfId="182"/>
    <tableColumn id="41" xr3:uid="{9869DACC-BD93-4B19-BF74-CE6D9B4639F6}" name="PTW No." dataDxfId="181"/>
    <tableColumn id="42" xr3:uid="{DFA57D34-182A-47A5-A5F0-580C252D51B4}" name="Job Card No." dataDxfId="18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9">
      <calculatedColumnFormula>A1+1</calculatedColumnFormula>
    </tableColumn>
    <tableColumn id="6" xr3:uid="{00000000-0010-0000-0400-000006000000}" name="Date" dataDxfId="178"/>
    <tableColumn id="2" xr3:uid="{00000000-0010-0000-0400-000002000000}" name="Finacial Year" dataDxfId="177">
      <calculatedColumnFormula>YEAR(Grid_BD[[#This Row],[Date]])+IF(MONTH(Grid_BD[[#This Row],[Date]])&gt;=4,1,0)</calculatedColumnFormula>
    </tableColumn>
    <tableColumn id="3" xr3:uid="{00000000-0010-0000-0400-000003000000}" name="Calendor Year" dataDxfId="176">
      <calculatedColumnFormula>YEAR(Grid_BD[[#This Row],[Date]])</calculatedColumnFormula>
    </tableColumn>
    <tableColumn id="5" xr3:uid="{00000000-0010-0000-0400-000005000000}" name="Operating Year" dataDxfId="175"/>
    <tableColumn id="7" xr3:uid="{00000000-0010-0000-0400-000007000000}" name="Affected Feeder " dataDxfId="174"/>
    <tableColumn id="21" xr3:uid="{00000000-0010-0000-0400-000015000000}" name="Op. Hours" dataDxfId="173">
      <calculatedColumnFormula>IFERROR(_xlfn.XLOOKUP(Grid_BD[[#This Row],[Date]],RD[Date],RD[Operating Hours]),"")</calculatedColumnFormula>
    </tableColumn>
    <tableColumn id="10" xr3:uid="{00000000-0010-0000-0400-00000A000000}" name="Concumaer" dataDxfId="172">
      <calculatedColumnFormula>IFERROR(VLOOKUP(Grid_BD[[#This Row],[Affected Feeder ]],'Basic Data'!$AM$2:$AQ$50,3,0),"")</calculatedColumnFormula>
    </tableColumn>
    <tableColumn id="4" xr3:uid="{00000000-0010-0000-0400-000004000000}" name="Plant Equivalent Weightage" dataDxfId="171">
      <calculatedColumnFormula>IFERROR(VLOOKUP(Grid_BD[[#This Row],[Affected Feeder ]],'Basic Data'!$AM$2:$AQ$50,5,0),"")</calculatedColumnFormula>
    </tableColumn>
    <tableColumn id="11" xr3:uid="{00000000-0010-0000-0400-00000B000000}" name="Breakdown Description" dataDxfId="170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9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8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7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6"/>
    <tableColumn id="22" xr3:uid="{00000000-0010-0000-0400-000016000000}" name="Plant Equivalent breakdown" dataDxfId="165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4" dataCellStyle="Comma"/>
    <tableColumn id="9" xr3:uid="{00000000-0010-0000-0400-000009000000}" name="Estimated Energy Loss (kWh)" dataDxfId="163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62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61"/>
    <tableColumn id="26" xr3:uid="{6329C7A1-F236-4685-B14C-DD763D88A26A}" name="Job Card No." dataDxfId="160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9" dataDxfId="157" headerRowBorderDxfId="158" tableBorderDxfId="156" totalsRowBorderDxfId="155">
  <autoFilter ref="A1:U6" xr:uid="{4F984E08-5C70-4CFD-957B-782F0EE953DF}"/>
  <tableColumns count="21">
    <tableColumn id="1" xr3:uid="{2352D990-65F3-49F8-90F1-41DBCC908DB1}" name="Sr. No" dataDxfId="154"/>
    <tableColumn id="2" xr3:uid="{848DB6DF-F2E8-4492-B659-53EB52B594A9}" name="Month" dataDxfId="153">
      <calculatedColumnFormula>Table7[[#This Row],[Date]]-DAY(Table7[[#This Row],[Date]])+1</calculatedColumnFormula>
    </tableColumn>
    <tableColumn id="3" xr3:uid="{ECB9DFC2-3825-4CD2-BF58-AB0082DF4025}" name="Date" dataDxfId="152"/>
    <tableColumn id="4" xr3:uid="{EA748705-9966-4923-9436-96391EC2F782}" name="Plant Name" dataDxfId="151"/>
    <tableColumn id="5" xr3:uid="{B3EC62D1-BBF1-48F5-9557-89ED95209076}" name="Categoty" dataDxfId="150"/>
    <tableColumn id="6" xr3:uid="{76A7D69A-8ED9-4D3F-83D1-CBD8E2782993}" name="Equipment Name" dataDxfId="149"/>
    <tableColumn id="7" xr3:uid="{B4D75C1F-B732-4DE1-9266-1ADA025A58E0}" name="Inverter No." dataDxfId="148"/>
    <tableColumn id="8" xr3:uid="{4B5B4246-085E-4FFF-8115-BF96E1C81789}" name="From" dataDxfId="147"/>
    <tableColumn id="9" xr3:uid="{A50E0AEF-27CE-472C-A431-5FC0F414AEC5}" name="To" dataDxfId="146"/>
    <tableColumn id="10" xr3:uid="{0D67F2E2-F243-4E3D-BF5F-096108B4CE8B}" name="Duration in MIN" dataDxfId="145">
      <calculatedColumnFormula>I2-H2</calculatedColumnFormula>
    </tableColumn>
    <tableColumn id="11" xr3:uid="{2BE2BE98-28FE-4947-A8B0-45DC1B18BFE1}" name="Total Breakdown Hrs." dataDxfId="144">
      <calculatedColumnFormula>(J2/0.041677)</calculatedColumnFormula>
    </tableColumn>
    <tableColumn id="12" xr3:uid="{8301665C-365A-4CA7-B498-0F46F5C419C6}" name="Avg POA During BD time" dataDxfId="143"/>
    <tableColumn id="13" xr3:uid="{7133944D-C9F7-4699-A49F-07DA0248E876}" name="Lost POA" dataDxfId="142"/>
    <tableColumn id="14" xr3:uid="{4C084CDF-5124-47D7-9E7D-C468C03B38B1}" name="Total POA " dataDxfId="141"/>
    <tableColumn id="15" xr3:uid="{26D26F24-275F-4B1F-B2B3-3F5647F53881}" name="Net POA" dataDxfId="140">
      <calculatedColumnFormula>(N2-M2)</calculatedColumnFormula>
    </tableColumn>
    <tableColumn id="16" xr3:uid="{693BA623-8151-42B3-9A34-3AF3B304E5CC}" name="Loss of Capacity in KWp" dataDxfId="139"/>
    <tableColumn id="17" xr3:uid="{B3A5481E-A50A-45ED-A5B5-4D11F7BBE7D8}" name="Estimated PR % (Pvsyst)" dataDxfId="138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7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6"/>
    <tableColumn id="20" xr3:uid="{FDD9EEFF-1006-4B0F-A493-D57D72AC4CF4}" name="Current Load befor Load Sheeding (AC MW)" dataDxfId="135"/>
    <tableColumn id="21" xr3:uid="{C94B790A-87A6-4B12-9E50-D20E58368A09}" name="Load to be maintain (AC Mw)" dataDxfId="134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3" dataDxfId="131" headerRowBorderDxfId="132" tableBorderDxfId="130" totalsRowBorderDxfId="129" headerRowCellStyle="Normal 26">
  <autoFilter ref="B3:J64" xr:uid="{00000000-0009-0000-0100-000003000000}"/>
  <tableColumns count="9">
    <tableColumn id="1" xr3:uid="{00000000-0010-0000-0700-000001000000}" name="Date" dataDxfId="128">
      <calculatedColumnFormula>TODAY()-60</calculatedColumnFormula>
    </tableColumn>
    <tableColumn id="2" xr3:uid="{00000000-0010-0000-0700-000002000000}" name="IS1Inv1" dataDxfId="127">
      <calculatedColumnFormula>VLOOKUP($B4,RD[[#All],[Date]:[IS4Inv2]],C$2,0)/C$1</calculatedColumnFormula>
    </tableColumn>
    <tableColumn id="3" xr3:uid="{00000000-0010-0000-0700-000003000000}" name="IS1Inv2" dataDxfId="126">
      <calculatedColumnFormula>VLOOKUP($B4,RD[[#All],[Date]:[IS4Inv2]],D$2,0)/D$1</calculatedColumnFormula>
    </tableColumn>
    <tableColumn id="4" xr3:uid="{00000000-0010-0000-0700-000004000000}" name="IS2Inv1" dataDxfId="125">
      <calculatedColumnFormula>VLOOKUP($B4,RD[[#All],[Date]:[IS4Inv2]],E$2,0)/E$1</calculatedColumnFormula>
    </tableColumn>
    <tableColumn id="5" xr3:uid="{00000000-0010-0000-0700-000005000000}" name="IS2Inv2" dataDxfId="124">
      <calculatedColumnFormula>VLOOKUP($B4,RD[[#All],[Date]:[IS4Inv2]],F$2,0)/F$1</calculatedColumnFormula>
    </tableColumn>
    <tableColumn id="6" xr3:uid="{00000000-0010-0000-0700-000006000000}" name="IS3Inv1" dataDxfId="123">
      <calculatedColumnFormula>VLOOKUP($B4,RD[[#All],[Date]:[IS4Inv2]],G$2,0)/G$1</calculatedColumnFormula>
    </tableColumn>
    <tableColumn id="7" xr3:uid="{00000000-0010-0000-0700-000007000000}" name="IS4Inv1" dataDxfId="122">
      <calculatedColumnFormula>VLOOKUP($B4,RD[[#All],[Date]:[IS4Inv2]],H$2,0)/H$1</calculatedColumnFormula>
    </tableColumn>
    <tableColumn id="8" xr3:uid="{00000000-0010-0000-0700-000008000000}" name="IS4Inv2" dataDxfId="121">
      <calculatedColumnFormula>VLOOKUP($B4,RD[[#All],[Date]:[IS4Inv2]],I$2,0)/I$1</calculatedColumnFormula>
    </tableColumn>
    <tableColumn id="26" xr3:uid="{AF50DB54-5B4D-4521-85EE-E2737D4296B2}" name="Avg_SY" dataDxfId="120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9" dataDxfId="117" headerRowBorderDxfId="118" tableBorderDxfId="116" totalsRowBorderDxfId="115" headerRowCellStyle="Normal 26">
  <autoFilter ref="B2:I63" xr:uid="{00000000-0009-0000-0100-000008000000}"/>
  <tableColumns count="8">
    <tableColumn id="1" xr3:uid="{00000000-0010-0000-0800-000001000000}" name="Date" dataDxfId="114">
      <calculatedColumnFormula>TODAY()-60</calculatedColumnFormula>
    </tableColumn>
    <tableColumn id="2" xr3:uid="{00000000-0010-0000-0800-000002000000}" name="IS1Inv1" dataDxfId="113">
      <calculatedColumnFormula>IFERROR((Inv_SY_B!C4/Inv_SY_B!$J4)-1,"")</calculatedColumnFormula>
    </tableColumn>
    <tableColumn id="3" xr3:uid="{00000000-0010-0000-0800-000003000000}" name="IS1Inv2" dataDxfId="112">
      <calculatedColumnFormula>IFERROR((Inv_SY_B!D4/Inv_SY_B!$J4)-1,"")</calculatedColumnFormula>
    </tableColumn>
    <tableColumn id="4" xr3:uid="{00000000-0010-0000-0800-000004000000}" name="IS2Inv1" dataDxfId="111">
      <calculatedColumnFormula>IFERROR((Inv_SY_B!E4/Inv_SY_B!$J4)-1,"")</calculatedColumnFormula>
    </tableColumn>
    <tableColumn id="5" xr3:uid="{00000000-0010-0000-0800-000005000000}" name="IS2Inv2" dataDxfId="110">
      <calculatedColumnFormula>IFERROR((Inv_SY_B!F4/Inv_SY_B!$J4)-1,"")</calculatedColumnFormula>
    </tableColumn>
    <tableColumn id="6" xr3:uid="{00000000-0010-0000-0800-000006000000}" name="IS3Inv1" dataDxfId="109">
      <calculatedColumnFormula>IFERROR((Inv_SY_B!G4/Inv_SY_B!$J4)-1,"")</calculatedColumnFormula>
    </tableColumn>
    <tableColumn id="7" xr3:uid="{00000000-0010-0000-0800-000007000000}" name="IS4Inv1" dataDxfId="108">
      <calculatedColumnFormula>IFERROR((Inv_SY_B!H4/Inv_SY_B!$J4)-1,"")</calculatedColumnFormula>
    </tableColumn>
    <tableColumn id="8" xr3:uid="{00000000-0010-0000-0800-000008000000}" name="IS4Inv2" dataDxfId="107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6" dataDxfId="104" headerRowBorderDxfId="105" tableBorderDxfId="103" totalsRowBorderDxfId="102" headerRowCellStyle="Normal 26">
  <autoFilter ref="B3:I64" xr:uid="{2A9775B3-8FF9-4394-BF4C-470441C34500}"/>
  <tableColumns count="8">
    <tableColumn id="1" xr3:uid="{BE25E1FB-6408-420A-8AF0-C9499414ADF7}" name="Date" dataDxfId="101">
      <calculatedColumnFormula>TODAY()-60</calculatedColumnFormula>
    </tableColumn>
    <tableColumn id="2" xr3:uid="{030CBA5C-FBEE-403E-BA65-A7C322713824}" name="IS1Inv1" dataDxfId="100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99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98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97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96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95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94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3" headerRowBorderDxfId="92" headerRowCellStyle="Normal 26">
  <tableColumns count="25">
    <tableColumn id="1" xr3:uid="{00000000-0010-0000-0500-000001000000}" name="Sr. No." dataDxfId="91"/>
    <tableColumn id="8" xr3:uid="{00000000-0010-0000-0500-000008000000}" name="Date" dataDxfId="90"/>
    <tableColumn id="2" xr3:uid="{00000000-0010-0000-0500-000002000000}" name="Finacial Year" dataDxfId="89">
      <calculatedColumnFormula>YEAR(MC[[#This Row],[Date]])+IF(MONTH(MC[[#This Row],[Date]])&gt;=4,1,0)</calculatedColumnFormula>
    </tableColumn>
    <tableColumn id="3" xr3:uid="{00000000-0010-0000-0500-000003000000}" name="Calendor Year" dataDxfId="88">
      <calculatedColumnFormula>YEAR(MC[[#This Row],[Date]])</calculatedColumnFormula>
    </tableColumn>
    <tableColumn id="4" xr3:uid="{00000000-0010-0000-0500-000004000000}" name="Contrcatual Year" dataDxfId="87"/>
    <tableColumn id="5" xr3:uid="{00000000-0010-0000-0500-000005000000}" name="Operating Year" dataDxfId="86"/>
    <tableColumn id="6" xr3:uid="{00000000-0010-0000-0500-000006000000}" name="Month Year" dataDxfId="85">
      <calculatedColumnFormula>TEXT(MC[[#This Row],[Date]],"mmm-yy")</calculatedColumnFormula>
    </tableColumn>
    <tableColumn id="7" xr3:uid="{00000000-0010-0000-0500-000007000000}" name="Days" dataDxfId="84">
      <calculatedColumnFormula>DAY(EOMONTH(MC[[#This Row],[Month Year]],0))</calculatedColumnFormula>
    </tableColumn>
    <tableColumn id="9" xr3:uid="{00000000-0010-0000-0500-000009000000}" name="Cycle Number" dataDxfId="83"/>
    <tableColumn id="10" xr3:uid="{00000000-0010-0000-0500-00000A000000}" name="Resources" dataDxfId="82"/>
    <tableColumn id="11" xr3:uid="{00000000-0010-0000-0500-00000B000000}" name="ICR1" dataDxfId="81"/>
    <tableColumn id="12" xr3:uid="{00000000-0010-0000-0500-00000C000000}" name="ICR2" dataDxfId="80"/>
    <tableColumn id="13" xr3:uid="{00000000-0010-0000-0500-00000D000000}" name="ICR3" dataDxfId="79"/>
    <tableColumn id="14" xr3:uid="{00000000-0010-0000-0500-00000E000000}" name="ICR4" dataDxfId="78"/>
    <tableColumn id="15" xr3:uid="{00000000-0010-0000-0500-00000F000000}" name="ICR10" dataDxfId="77"/>
    <tableColumn id="16" xr3:uid="{4021143C-D39E-4F72-8CB6-782FC223D289}" name="ICR11" dataDxfId="76"/>
    <tableColumn id="26" xr3:uid="{CB5CE68D-6046-4575-ABEC-40AC38686780}" name="ICR12" dataDxfId="75"/>
    <tableColumn id="17" xr3:uid="{00000000-0010-0000-0500-000011000000}" name="Total NO. Module cleaned" dataDxfId="74">
      <calculatedColumnFormula>SUM(MC[[#This Row],[ICR1]:[ICR12]])</calculatedColumnFormula>
    </tableColumn>
    <tableColumn id="18" xr3:uid="{00000000-0010-0000-0500-000012000000}" name="Morning Start Time" dataDxfId="73"/>
    <tableColumn id="19" xr3:uid="{00000000-0010-0000-0500-000013000000}" name="Morning End Time" dataDxfId="72"/>
    <tableColumn id="20" xr3:uid="{00000000-0010-0000-0500-000014000000}" name="Evening Start Time" dataDxfId="71"/>
    <tableColumn id="21" xr3:uid="{00000000-0010-0000-0500-000015000000}" name="Evening End time" dataDxfId="70"/>
    <tableColumn id="22" xr3:uid="{00000000-0010-0000-0500-000016000000}" name="Brush/MOP Replcemnet" dataDxfId="69"/>
    <tableColumn id="24" xr3:uid="{00000000-0010-0000-0500-000018000000}" name="Water Test Report" dataDxfId="68"/>
    <tableColumn id="23" xr3:uid="{00000000-0010-0000-0500-000017000000}" name="Remarks for the day" dataDxfId="6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6" headerRowBorderDxfId="65" headerRowCellStyle="Normal 26">
  <tableColumns count="26">
    <tableColumn id="1" xr3:uid="{00000000-0010-0000-0600-000001000000}" name="Sr. No." dataDxfId="64"/>
    <tableColumn id="8" xr3:uid="{00000000-0010-0000-0600-000008000000}" name="Date" dataDxfId="63"/>
    <tableColumn id="2" xr3:uid="{00000000-0010-0000-0600-000002000000}" name="Finacial Year" dataDxfId="62">
      <calculatedColumnFormula>YEAR(MC_2[[#This Row],[Date]])+IF(MONTH(MC_2[[#This Row],[Date]])&gt;=4,1,0)</calculatedColumnFormula>
    </tableColumn>
    <tableColumn id="3" xr3:uid="{00000000-0010-0000-0600-000003000000}" name="Calendor Year" dataDxfId="61">
      <calculatedColumnFormula>YEAR(MC_2[[#This Row],[Date]])</calculatedColumnFormula>
    </tableColumn>
    <tableColumn id="4" xr3:uid="{00000000-0010-0000-0600-000004000000}" name="Contrcatual Year" dataDxfId="60"/>
    <tableColumn id="5" xr3:uid="{00000000-0010-0000-0600-000005000000}" name="Operating Year" dataDxfId="59"/>
    <tableColumn id="6" xr3:uid="{00000000-0010-0000-0600-000006000000}" name="Month Year" dataDxfId="58">
      <calculatedColumnFormula>TEXT(MC_2[[#This Row],[Date]],"mmm-yy")</calculatedColumnFormula>
    </tableColumn>
    <tableColumn id="7" xr3:uid="{00000000-0010-0000-0600-000007000000}" name="Days" dataDxfId="57">
      <calculatedColumnFormula>DAY(EOMONTH(MC_2[[#This Row],[Month Year]],0))</calculatedColumnFormula>
    </tableColumn>
    <tableColumn id="9" xr3:uid="{00000000-0010-0000-0600-000009000000}" name="Cycle Number" dataDxfId="56"/>
    <tableColumn id="10" xr3:uid="{00000000-0010-0000-0600-00000A000000}" name="Resources" dataDxfId="55"/>
    <tableColumn id="11" xr3:uid="{00000000-0010-0000-0600-00000B000000}" name="ICR1" dataDxfId="54"/>
    <tableColumn id="12" xr3:uid="{00000000-0010-0000-0600-00000C000000}" name="ICR2" dataDxfId="53"/>
    <tableColumn id="13" xr3:uid="{00000000-0010-0000-0600-00000D000000}" name="ICR3" dataDxfId="52"/>
    <tableColumn id="14" xr3:uid="{00000000-0010-0000-0600-00000E000000}" name="ICR4" dataDxfId="51"/>
    <tableColumn id="15" xr3:uid="{00000000-0010-0000-0600-00000F000000}" name="ICR5" dataDxfId="50"/>
    <tableColumn id="16" xr3:uid="{2D6953D3-BB6C-4D36-A61E-868021B6539D}" name="ICR6" dataDxfId="49"/>
    <tableColumn id="25" xr3:uid="{D1A83804-E120-4A5D-A700-90AB115FEE55}" name="ICR7" dataDxfId="48"/>
    <tableColumn id="26" xr3:uid="{B41AFD7E-499F-4FBF-AA50-C0900D6A3209}" name="ICR8" dataDxfId="47"/>
    <tableColumn id="17" xr3:uid="{00000000-0010-0000-0600-000011000000}" name="Total NO. Module cleaned" dataDxfId="46">
      <calculatedColumnFormula>SUM(MC_2[[#This Row],[ICR1]:[ICR5]])</calculatedColumnFormula>
    </tableColumn>
    <tableColumn id="18" xr3:uid="{00000000-0010-0000-0600-000012000000}" name="Morning Start Time" dataDxfId="45"/>
    <tableColumn id="19" xr3:uid="{00000000-0010-0000-0600-000013000000}" name="Morning End Time" dataDxfId="44"/>
    <tableColumn id="20" xr3:uid="{00000000-0010-0000-0600-000014000000}" name="Evening Start Time" dataDxfId="43"/>
    <tableColumn id="21" xr3:uid="{00000000-0010-0000-0600-000015000000}" name="Evening End time" dataDxfId="42"/>
    <tableColumn id="22" xr3:uid="{00000000-0010-0000-0600-000016000000}" name="Brush/MOP Replcemnet" dataDxfId="41"/>
    <tableColumn id="24" xr3:uid="{00000000-0010-0000-0600-000018000000}" name="Water Test Report" dataDxfId="40"/>
    <tableColumn id="23" xr3:uid="{00000000-0010-0000-0600-000017000000}" name="Remarks for the day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8" headerRowBorderDxfId="37" headerRowCellStyle="Normal 26">
  <tableColumns count="27">
    <tableColumn id="1" xr3:uid="{00000000-0010-0000-0900-000001000000}" name="Sr. No." dataDxfId="36"/>
    <tableColumn id="8" xr3:uid="{00000000-0010-0000-0900-000008000000}" name="Date" dataDxfId="35"/>
    <tableColumn id="2" xr3:uid="{00000000-0010-0000-0900-000002000000}" name="Finacial Year" dataDxfId="34">
      <calculatedColumnFormula>YEAR(GC[[#This Row],[Date]])+IF(MONTH(GC[[#This Row],[Date]])&gt;=4,1,0)</calculatedColumnFormula>
    </tableColumn>
    <tableColumn id="3" xr3:uid="{00000000-0010-0000-0900-000003000000}" name="Calendor Year" dataDxfId="33">
      <calculatedColumnFormula>YEAR(GC[[#This Row],[Date]])</calculatedColumnFormula>
    </tableColumn>
    <tableColumn id="4" xr3:uid="{00000000-0010-0000-0900-000004000000}" name="Contrcatual Year" dataDxfId="32"/>
    <tableColumn id="5" xr3:uid="{00000000-0010-0000-0900-000005000000}" name="Operating Year" dataDxfId="31"/>
    <tableColumn id="6" xr3:uid="{00000000-0010-0000-0900-000006000000}" name="Month Year" dataDxfId="30">
      <calculatedColumnFormula>TEXT(GC[[#This Row],[Date]],"mmm-yy")</calculatedColumnFormula>
    </tableColumn>
    <tableColumn id="7" xr3:uid="{00000000-0010-0000-0900-000007000000}" name="Days" dataDxfId="29">
      <calculatedColumnFormula>DAY(EOMONTH(GC[[#This Row],[Month Year]],0))</calculatedColumnFormula>
    </tableColumn>
    <tableColumn id="9" xr3:uid="{00000000-0010-0000-0900-000009000000}" name="Cycle Number" dataDxfId="28"/>
    <tableColumn id="10" xr3:uid="{00000000-0010-0000-0900-00000A000000}" name="Resources" dataDxfId="27"/>
    <tableColumn id="11" xr3:uid="{00000000-0010-0000-0900-00000B000000}" name="ICR1" dataDxfId="26"/>
    <tableColumn id="12" xr3:uid="{00000000-0010-0000-0900-00000C000000}" name="ICR2" dataDxfId="25"/>
    <tableColumn id="13" xr3:uid="{00000000-0010-0000-0900-00000D000000}" name="ICR3" dataDxfId="24"/>
    <tableColumn id="14" xr3:uid="{00000000-0010-0000-0900-00000E000000}" name="ICR4" dataDxfId="23"/>
    <tableColumn id="15" xr3:uid="{00000000-0010-0000-0900-00000F000000}" name="ICR5" dataDxfId="22"/>
    <tableColumn id="16" xr3:uid="{00000000-0010-0000-0900-000010000000}" name="ICR6" dataDxfId="21"/>
    <tableColumn id="18" xr3:uid="{00000000-0010-0000-0900-000012000000}" name="ICR7" dataDxfId="20"/>
    <tableColumn id="20" xr3:uid="{00000000-0010-0000-0900-000014000000}" name="ICR8" dataDxfId="19"/>
    <tableColumn id="19" xr3:uid="{9788EF4E-2636-49EC-9578-5E3EFFD69B6A}" name="ICR9" dataDxfId="18"/>
    <tableColumn id="21" xr3:uid="{ACEA6D1F-5BF6-4752-88E0-3DB40A179B41}" name="ICR10" dataDxfId="17"/>
    <tableColumn id="22" xr3:uid="{D04BB6C9-118E-477B-9DCC-763DAF91CC32}" name="ICR11" dataDxfId="16"/>
    <tableColumn id="25" xr3:uid="{D43518B5-2FA6-4D06-B322-DB313929E0B2}" name="ICR12" dataDxfId="15"/>
    <tableColumn id="26" xr3:uid="{2654D269-7B0B-495B-9734-98C77DF287F8}" name="ICR13" dataDxfId="14"/>
    <tableColumn id="27" xr3:uid="{131BFD66-C866-4C9D-9549-7131A3D8077E}" name="ICR14" dataDxfId="13"/>
    <tableColumn id="17" xr3:uid="{00000000-0010-0000-0900-000011000000}" name="Total No.Table GC done" dataDxfId="12">
      <calculatedColumnFormula>SUM(GC[[#This Row],[ICR1]:[ICR14]])</calculatedColumnFormula>
    </tableColumn>
    <tableColumn id="24" xr3:uid="{00000000-0010-0000-0900-000018000000}" name="Mrthod of Cutting" dataDxfId="11"/>
    <tableColumn id="23" xr3:uid="{00000000-0010-0000-0900-000017000000}" name="Remarks for the day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K3" sqref="K3"/>
    </sheetView>
  </sheetViews>
  <sheetFormatPr defaultColWidth="9" defaultRowHeight="14.5"/>
  <cols>
    <col min="1" max="1" width="17" style="145" customWidth="1"/>
    <col min="2" max="2" width="19.1796875" style="146" bestFit="1" customWidth="1"/>
    <col min="3" max="3" width="13.453125" style="146" customWidth="1"/>
    <col min="4" max="4" width="12.453125" style="147" customWidth="1"/>
    <col min="5" max="5" width="13" style="145" customWidth="1"/>
    <col min="6" max="6" width="32.453125" style="146" customWidth="1"/>
    <col min="7" max="7" width="18" style="146" hidden="1" customWidth="1"/>
    <col min="8" max="8" width="15.81640625" style="146" hidden="1" customWidth="1"/>
    <col min="9" max="9" width="18" style="146" hidden="1" customWidth="1"/>
    <col min="10" max="16384" width="9" style="146"/>
  </cols>
  <sheetData>
    <row r="1" spans="1:9" ht="4" hidden="1" customHeight="1"/>
    <row r="2" spans="1:9" ht="15" thickBot="1"/>
    <row r="3" spans="1:9" ht="15.5">
      <c r="A3" s="376" t="s">
        <v>0</v>
      </c>
      <c r="B3" s="377"/>
      <c r="C3" s="377"/>
      <c r="D3" s="377"/>
      <c r="E3" s="377"/>
      <c r="F3" s="378"/>
    </row>
    <row r="4" spans="1:9">
      <c r="A4" s="90" t="s">
        <v>1</v>
      </c>
      <c r="B4" s="328">
        <v>45839</v>
      </c>
      <c r="C4" s="92"/>
      <c r="D4" s="92"/>
      <c r="E4" s="92"/>
      <c r="F4" s="93"/>
    </row>
    <row r="5" spans="1:9">
      <c r="A5" s="90" t="s">
        <v>2</v>
      </c>
      <c r="B5" s="329">
        <v>45865</v>
      </c>
      <c r="C5" s="92"/>
      <c r="D5" s="92"/>
      <c r="E5" s="92"/>
      <c r="F5" s="93"/>
    </row>
    <row r="6" spans="1:9">
      <c r="A6" s="90" t="s">
        <v>3</v>
      </c>
      <c r="B6" s="142">
        <f>YEAR(B5)+IF(MONTH(B5)&gt;=4,1,0)</f>
        <v>2026</v>
      </c>
      <c r="C6" s="92"/>
      <c r="D6" s="92"/>
      <c r="E6" s="92"/>
      <c r="F6" s="93"/>
    </row>
    <row r="7" spans="1:9">
      <c r="A7" s="90" t="s">
        <v>4</v>
      </c>
      <c r="B7" s="94">
        <v>45748</v>
      </c>
      <c r="C7" s="92"/>
      <c r="D7" s="92"/>
      <c r="E7" s="92"/>
      <c r="F7" s="93"/>
    </row>
    <row r="8" spans="1:9" ht="15" thickBot="1">
      <c r="A8" s="95" t="s">
        <v>5</v>
      </c>
      <c r="B8" s="96">
        <v>46112</v>
      </c>
      <c r="C8" s="97"/>
      <c r="D8" s="97"/>
      <c r="E8" s="97"/>
      <c r="F8" s="98"/>
    </row>
    <row r="9" spans="1:9" ht="4" customHeight="1" thickBot="1">
      <c r="A9" s="99"/>
      <c r="B9" s="100"/>
      <c r="C9" s="100"/>
      <c r="D9" s="100"/>
      <c r="E9" s="100"/>
      <c r="F9" s="100"/>
    </row>
    <row r="10" spans="1:9" ht="15" thickBot="1">
      <c r="A10" s="101" t="s">
        <v>6</v>
      </c>
      <c r="B10" s="102" t="s">
        <v>7</v>
      </c>
      <c r="C10" s="102" t="s">
        <v>8</v>
      </c>
      <c r="D10" s="102" t="s">
        <v>9</v>
      </c>
      <c r="E10" s="103" t="s">
        <v>10</v>
      </c>
      <c r="F10" s="103" t="s">
        <v>11</v>
      </c>
      <c r="G10" s="285" t="s">
        <v>12</v>
      </c>
      <c r="H10" s="285" t="s">
        <v>13</v>
      </c>
      <c r="I10" s="286" t="s">
        <v>14</v>
      </c>
    </row>
    <row r="11" spans="1:9">
      <c r="A11" s="379">
        <v>1</v>
      </c>
      <c r="B11" s="104" t="s">
        <v>15</v>
      </c>
      <c r="C11" s="105">
        <f>_xlfn.XLOOKUP($B$5,'Daily KPI'!$A:$A,'Daily KPI'!$AD:$AD)/1000</f>
        <v>171.30696170170089</v>
      </c>
      <c r="D11" s="105">
        <f>_xlfn.XLOOKUP($B$5,'Daily KPI'!$A:$A,'Daily KPI'!$Y:$Y)/1000</f>
        <v>81</v>
      </c>
      <c r="E11" s="106">
        <f>D11/C11-1</f>
        <v>-0.52716457524332028</v>
      </c>
      <c r="F11" s="330"/>
      <c r="G11" s="287">
        <f>_xlfn.XLOOKUP($B$5,'Daily KPI'!$A:$A,'Daily KPI'!$AS:$AS)/1000</f>
        <v>123.5385606974953</v>
      </c>
      <c r="H11" s="287">
        <f>_xlfn.XLOOKUP($B$4,'Modelling New'!$D:$D,'Modelling New'!$AM:$AM)/1000</f>
        <v>3829.6953816223559</v>
      </c>
      <c r="I11" s="287">
        <f>_xlfn.XLOOKUP($B$4,'Modelling New'!$D:$D,'Modelling New'!$AN:$AN)/1000</f>
        <v>18028.894068742764</v>
      </c>
    </row>
    <row r="12" spans="1:9">
      <c r="A12" s="380"/>
      <c r="B12" s="107" t="s">
        <v>16</v>
      </c>
      <c r="C12" s="108">
        <f>MonthlyKPI!E4</f>
        <v>4625.2879659459231</v>
      </c>
      <c r="D12" s="109">
        <f>MonthlyKPI!F4</f>
        <v>3068.1056689864531</v>
      </c>
      <c r="E12" s="110">
        <f>D12/C12-1</f>
        <v>-0.33666710233489405</v>
      </c>
      <c r="F12" s="331"/>
    </row>
    <row r="13" spans="1:9" ht="15" thickBot="1">
      <c r="A13" s="381"/>
      <c r="B13" s="112" t="s">
        <v>17</v>
      </c>
      <c r="C13" s="113">
        <f>AnnualKPI!E4</f>
        <v>20892.301640589714</v>
      </c>
      <c r="D13" s="114">
        <f>AnnualKPI!F4</f>
        <v>17635</v>
      </c>
      <c r="E13" s="115">
        <f>D13/C13-1</f>
        <v>-0.15590918112446761</v>
      </c>
      <c r="F13" s="332"/>
    </row>
    <row r="14" spans="1:9">
      <c r="A14" s="379">
        <v>2</v>
      </c>
      <c r="B14" s="104" t="s">
        <v>18</v>
      </c>
      <c r="C14" s="279">
        <f>_xlfn.XLOOKUP($B$5,'Daily KPI'!$A:$A,'Daily KPI'!$AC:$AC)</f>
        <v>3.8096774193548386</v>
      </c>
      <c r="D14" s="280">
        <f>_xlfn.XLOOKUP($B$5,'Daily KPI'!$A:$A,'Daily KPI'!$I:$I)</f>
        <v>2.1960000000000002</v>
      </c>
      <c r="E14" s="106">
        <f t="shared" ref="E14:E25" si="0">(D14-C14)/(C14)</f>
        <v>-0.42357324301439453</v>
      </c>
      <c r="F14" s="330"/>
    </row>
    <row r="15" spans="1:9">
      <c r="A15" s="380"/>
      <c r="B15" s="107" t="s">
        <v>19</v>
      </c>
      <c r="C15" s="281">
        <f>MonthlyKPI!C4</f>
        <v>102.86129032258064</v>
      </c>
      <c r="D15" s="282">
        <f>MonthlyKPI!D4</f>
        <v>89.647899999999993</v>
      </c>
      <c r="E15" s="110">
        <f t="shared" si="0"/>
        <v>-0.1284583372534262</v>
      </c>
      <c r="F15" s="331"/>
    </row>
    <row r="16" spans="1:9" ht="15" thickBot="1">
      <c r="A16" s="381"/>
      <c r="B16" s="112" t="s">
        <v>20</v>
      </c>
      <c r="C16" s="283">
        <f>AnnualKPI!C4</f>
        <v>639.9693244225806</v>
      </c>
      <c r="D16" s="284">
        <f>AnnualKPI!D4</f>
        <v>577.9955982366663</v>
      </c>
      <c r="E16" s="115">
        <f t="shared" si="0"/>
        <v>-9.6838588696154748E-2</v>
      </c>
      <c r="F16" s="332"/>
    </row>
    <row r="17" spans="1:6">
      <c r="A17" s="379">
        <v>3</v>
      </c>
      <c r="B17" s="104" t="s">
        <v>21</v>
      </c>
      <c r="C17" s="116">
        <f>_xlfn.XLOOKUP($B$5,'Daily KPI'!$A:$A,'Daily KPI'!$AE:$AE)</f>
        <v>0.82702281611841366</v>
      </c>
      <c r="D17" s="117">
        <f>_xlfn.XLOOKUP($B$5,'Daily KPI'!$A:$A,'Daily KPI'!$U:$U)</f>
        <v>0.9290703400494934</v>
      </c>
      <c r="E17" s="106">
        <f t="shared" si="0"/>
        <v>0.12339142517256563</v>
      </c>
      <c r="F17" s="330"/>
    </row>
    <row r="18" spans="1:6">
      <c r="A18" s="380"/>
      <c r="B18" s="107" t="s">
        <v>22</v>
      </c>
      <c r="C18" s="118">
        <f>MonthlyKPI!M4</f>
        <v>0.82702281611841366</v>
      </c>
      <c r="D18" s="119">
        <f>MonthlyKPI!N4</f>
        <v>0.87283740639803786</v>
      </c>
      <c r="E18" s="110">
        <f t="shared" si="0"/>
        <v>5.5397008869298763E-2</v>
      </c>
      <c r="F18" s="331"/>
    </row>
    <row r="19" spans="1:6" ht="15" thickBot="1">
      <c r="A19" s="381"/>
      <c r="B19" s="112" t="s">
        <v>23</v>
      </c>
      <c r="C19" s="120">
        <f>AnnualKPI!M4</f>
        <v>0.82702281611841366</v>
      </c>
      <c r="D19" s="121">
        <f>AnnualKPI!N4</f>
        <v>0.79488531519411676</v>
      </c>
      <c r="E19" s="115">
        <f t="shared" si="0"/>
        <v>-3.8859267601748286E-2</v>
      </c>
      <c r="F19" s="332"/>
    </row>
    <row r="20" spans="1:6">
      <c r="A20" s="379">
        <v>4</v>
      </c>
      <c r="B20" s="104" t="s">
        <v>24</v>
      </c>
      <c r="C20" s="116">
        <f>_xlfn.XLOOKUP($B$5,'Daily KPI'!$A:$A,'Daily KPI'!$AG:$AG)</f>
        <v>0.995</v>
      </c>
      <c r="D20" s="117">
        <f>_xlfn.XLOOKUP($B$5,'Daily KPI'!$A:$A,'Daily KPI'!$O:$O,0)</f>
        <v>1</v>
      </c>
      <c r="E20" s="106">
        <f t="shared" si="0"/>
        <v>5.0251256281407079E-3</v>
      </c>
      <c r="F20" s="330"/>
    </row>
    <row r="21" spans="1:6">
      <c r="A21" s="380"/>
      <c r="B21" s="107" t="s">
        <v>25</v>
      </c>
      <c r="C21" s="118">
        <f>_xlfn.XLOOKUP($B$4,'Modelling New'!$D:$D,'Modelling New'!$AE:$AE)</f>
        <v>0.995</v>
      </c>
      <c r="D21" s="119">
        <f>MonthlyKPI!L4</f>
        <v>0.97955892189929283</v>
      </c>
      <c r="E21" s="110">
        <f t="shared" si="0"/>
        <v>-1.5518671457997148E-2</v>
      </c>
      <c r="F21" s="331"/>
    </row>
    <row r="22" spans="1:6" ht="15" thickBot="1">
      <c r="A22" s="381"/>
      <c r="B22" s="112" t="s">
        <v>26</v>
      </c>
      <c r="C22" s="118">
        <f>_xlfn.XLOOKUP($B$4,'Modelling New'!$D:$D,'Modelling New'!$AE:$AE)</f>
        <v>0.995</v>
      </c>
      <c r="D22" s="121">
        <f>AnnualKPI!L4</f>
        <v>1</v>
      </c>
      <c r="E22" s="115">
        <f t="shared" si="0"/>
        <v>5.0251256281407079E-3</v>
      </c>
      <c r="F22" s="332"/>
    </row>
    <row r="23" spans="1:6">
      <c r="A23" s="379">
        <v>5</v>
      </c>
      <c r="B23" s="104" t="s">
        <v>27</v>
      </c>
      <c r="C23" s="116">
        <f>_xlfn.XLOOKUP($B$5,'Daily KPI'!$A:$A,'Daily KPI'!$AH:$AH)</f>
        <v>0.995</v>
      </c>
      <c r="D23" s="117">
        <f>_xlfn.XLOOKUP($B$5,'Daily KPI'!$A:$A,'Daily KPI'!$R:$R)</f>
        <v>1</v>
      </c>
      <c r="E23" s="106">
        <f t="shared" si="0"/>
        <v>5.0251256281407079E-3</v>
      </c>
      <c r="F23" s="330"/>
    </row>
    <row r="24" spans="1:6">
      <c r="A24" s="380"/>
      <c r="B24" s="107" t="s">
        <v>28</v>
      </c>
      <c r="C24" s="118">
        <f>_xlfn.XLOOKUP($B$4,'Modelling New'!$D:$D,'Modelling New'!$AF:$AF)</f>
        <v>0.995</v>
      </c>
      <c r="D24" s="119">
        <f>MonthlyKPI!J4</f>
        <v>1</v>
      </c>
      <c r="E24" s="110">
        <f t="shared" si="0"/>
        <v>5.0251256281407079E-3</v>
      </c>
      <c r="F24" s="331"/>
    </row>
    <row r="25" spans="1:6" ht="15" thickBot="1">
      <c r="A25" s="381"/>
      <c r="B25" s="112" t="s">
        <v>29</v>
      </c>
      <c r="C25" s="118">
        <f>_xlfn.XLOOKUP($B$4,'Modelling New'!$D:$D,'Modelling New'!$AF:$AF)</f>
        <v>0.995</v>
      </c>
      <c r="D25" s="121">
        <f>AnnualKPI!J4</f>
        <v>1</v>
      </c>
      <c r="E25" s="115">
        <f t="shared" si="0"/>
        <v>5.0251256281407079E-3</v>
      </c>
      <c r="F25" s="332"/>
    </row>
    <row r="26" spans="1:6">
      <c r="A26" s="379">
        <v>6</v>
      </c>
      <c r="B26" s="104" t="s">
        <v>30</v>
      </c>
      <c r="C26" s="117">
        <f>_xlfn.XLOOKUP($B$5,'Daily KPI'!$A:$A,'Daily KPI'!$AF:$AF)</f>
        <v>0.13127875616073204</v>
      </c>
      <c r="D26" s="117">
        <f>D11/24/(_xlfn.XLOOKUP(B5,'Daily KPI'!$A:$A,'Daily KPI'!$AR:$AR))</f>
        <v>6.2073246430788327E-2</v>
      </c>
      <c r="E26" s="106">
        <f t="shared" ref="E26:E28" si="1">(D26-C26)/(C26)</f>
        <v>-0.52716457524332028</v>
      </c>
      <c r="F26" s="330"/>
    </row>
    <row r="27" spans="1:6">
      <c r="A27" s="380"/>
      <c r="B27" s="107" t="s">
        <v>31</v>
      </c>
      <c r="C27" s="118">
        <f>MonthlyKPI!G4</f>
        <v>0.13127875616073204</v>
      </c>
      <c r="D27" s="119">
        <f>MonthlyKPI!H4</f>
        <v>8.7081517725969268E-2</v>
      </c>
      <c r="E27" s="110">
        <f t="shared" si="1"/>
        <v>-0.336667102334894</v>
      </c>
      <c r="F27" s="331"/>
    </row>
    <row r="28" spans="1:6" ht="15" thickBot="1">
      <c r="A28" s="381"/>
      <c r="B28" s="112" t="s">
        <v>32</v>
      </c>
      <c r="C28" s="120">
        <f>AnnualKPI!G4</f>
        <v>0.1356824637207249</v>
      </c>
      <c r="D28" s="121">
        <f>AnnualKPI!H4</f>
        <v>0.11452832190907639</v>
      </c>
      <c r="E28" s="115">
        <f t="shared" si="1"/>
        <v>-0.15590918112446769</v>
      </c>
      <c r="F28" s="332"/>
    </row>
    <row r="30" spans="1:6" ht="15" thickBot="1"/>
    <row r="31" spans="1:6" ht="15.5">
      <c r="A31" s="376" t="s">
        <v>33</v>
      </c>
      <c r="B31" s="377"/>
      <c r="C31" s="377"/>
      <c r="D31" s="377"/>
      <c r="E31" s="377"/>
      <c r="F31" s="378"/>
    </row>
    <row r="32" spans="1:6">
      <c r="A32" s="90" t="s">
        <v>1</v>
      </c>
      <c r="B32" s="91">
        <f>B4</f>
        <v>45839</v>
      </c>
      <c r="C32" s="92"/>
      <c r="D32" s="92"/>
      <c r="E32" s="92"/>
      <c r="F32" s="93"/>
    </row>
    <row r="33" spans="1:6">
      <c r="A33" s="90" t="s">
        <v>2</v>
      </c>
      <c r="B33" s="94">
        <f>B5</f>
        <v>45865</v>
      </c>
      <c r="C33" s="92"/>
      <c r="D33" s="92"/>
      <c r="E33" s="92"/>
      <c r="F33" s="93"/>
    </row>
    <row r="34" spans="1:6">
      <c r="A34" s="90" t="s">
        <v>3</v>
      </c>
      <c r="B34" s="142">
        <f>YEAR(B33)+IF(MONTH(B33)&gt;=4,1,0)</f>
        <v>2026</v>
      </c>
      <c r="C34" s="92"/>
      <c r="D34" s="92"/>
      <c r="E34" s="92"/>
      <c r="F34" s="93"/>
    </row>
    <row r="35" spans="1:6">
      <c r="A35" s="90" t="s">
        <v>4</v>
      </c>
      <c r="B35" s="94">
        <v>45689</v>
      </c>
      <c r="C35" s="92"/>
      <c r="D35" s="92"/>
      <c r="E35" s="92"/>
      <c r="F35" s="93"/>
    </row>
    <row r="36" spans="1:6" ht="15" thickBot="1">
      <c r="A36" s="95" t="s">
        <v>5</v>
      </c>
      <c r="B36" s="96">
        <v>45747</v>
      </c>
      <c r="C36" s="97"/>
      <c r="D36" s="97"/>
      <c r="E36" s="97"/>
      <c r="F36" s="98"/>
    </row>
    <row r="37" spans="1:6" ht="3" customHeight="1" thickBot="1"/>
    <row r="38" spans="1:6" ht="15" thickBot="1">
      <c r="A38" s="101" t="s">
        <v>34</v>
      </c>
      <c r="B38" s="102" t="s">
        <v>7</v>
      </c>
      <c r="C38" s="102" t="s">
        <v>8</v>
      </c>
      <c r="D38" s="102" t="s">
        <v>9</v>
      </c>
      <c r="E38" s="103" t="s">
        <v>10</v>
      </c>
      <c r="F38" s="103" t="s">
        <v>11</v>
      </c>
    </row>
    <row r="39" spans="1:6">
      <c r="A39" s="189" t="s">
        <v>35</v>
      </c>
      <c r="B39" s="107" t="s">
        <v>16</v>
      </c>
      <c r="C39" s="108">
        <f>_xlfn.XLOOKUP($B$32,Mod[Month],Mod[MTD Energy (MWh)])*(_xlfn.XLOOKUP($A39,'Basic Data'!$AE$2:$AE$11,'Basic Data'!$AI$2:$AI$11)/'Basic Data'!$AI$14)*1000</f>
        <v>3426313.9679649388</v>
      </c>
      <c r="D39" s="108">
        <f>SUMIFS(RD[O2RE7],RD[Month Year],$B$32)</f>
        <v>2305052.1</v>
      </c>
      <c r="E39" s="110">
        <f>D39/C39-1</f>
        <v>-0.32725018152113861</v>
      </c>
      <c r="F39" s="111"/>
    </row>
    <row r="40" spans="1:6">
      <c r="A40" s="189" t="s">
        <v>36</v>
      </c>
      <c r="B40" s="107" t="s">
        <v>16</v>
      </c>
      <c r="C40" s="108">
        <f>_xlfn.XLOOKUP($B$32,Mod[Month],Mod[MTD Energy (MWh)])*(_xlfn.XLOOKUP($A40,'Basic Data'!$AE$2:$AE$11,'Basic Data'!$AI$2:$AI$11)/'Basic Data'!$AI$14)*1000</f>
        <v>1198973.9979809842</v>
      </c>
      <c r="D40" s="108">
        <f>SUMIFS(RD[O2RE27],RD[Month Year],$B$32)</f>
        <v>824114.7</v>
      </c>
      <c r="E40" s="110">
        <f t="shared" ref="E40" si="2">D40/C40-1</f>
        <v>-0.31265006464879941</v>
      </c>
      <c r="F40" s="111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17.81640625" defaultRowHeight="14.5"/>
  <cols>
    <col min="1" max="1" width="13.453125" style="243" customWidth="1"/>
    <col min="2" max="2" width="9.453125" style="243" customWidth="1"/>
    <col min="3" max="3" width="11.453125" style="243" customWidth="1"/>
    <col min="4" max="4" width="10.81640625" style="243" customWidth="1"/>
    <col min="5" max="5" width="12.453125" style="243" customWidth="1"/>
    <col min="6" max="6" width="11.81640625" style="243" customWidth="1"/>
    <col min="7" max="7" width="10.1796875" style="243" customWidth="1"/>
    <col min="8" max="9" width="11.453125" style="243" customWidth="1"/>
    <col min="10" max="10" width="10.453125" style="243" customWidth="1"/>
    <col min="11" max="11" width="9.453125" style="243" customWidth="1"/>
    <col min="12" max="12" width="10.81640625" style="243" customWidth="1"/>
    <col min="13" max="13" width="11.81640625" style="243" customWidth="1"/>
    <col min="14" max="14" width="10.453125" style="243" customWidth="1"/>
    <col min="15" max="15" width="14.1796875" style="243" bestFit="1" customWidth="1"/>
    <col min="16" max="16" width="12.1796875" style="243" customWidth="1"/>
    <col min="17" max="17" width="21" style="243" customWidth="1"/>
    <col min="18" max="18" width="15" style="243" customWidth="1"/>
    <col min="19" max="19" width="24" style="243" customWidth="1"/>
    <col min="20" max="20" width="9" style="243" bestFit="1" customWidth="1"/>
    <col min="21" max="21" width="9.1796875" style="243" customWidth="1"/>
    <col min="22" max="22" width="10.453125" style="243" bestFit="1" customWidth="1"/>
    <col min="23" max="23" width="10.81640625" style="243" customWidth="1"/>
    <col min="24" max="24" width="20.453125" style="243" customWidth="1"/>
    <col min="25" max="25" width="12.1796875" style="243" customWidth="1"/>
    <col min="26" max="26" width="25.453125" style="243" customWidth="1"/>
    <col min="27" max="27" width="65.81640625" style="243" bestFit="1" customWidth="1"/>
    <col min="28" max="16384" width="17.81640625" style="243"/>
  </cols>
  <sheetData>
    <row r="1" spans="1:29" s="242" customFormat="1" ht="17.25" customHeight="1">
      <c r="A1" s="382"/>
      <c r="B1" s="384" t="s">
        <v>37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384"/>
      <c r="Y1" s="384"/>
      <c r="Z1" s="384"/>
      <c r="AA1" s="384"/>
    </row>
    <row r="2" spans="1:29" s="242" customFormat="1" ht="19.5" customHeight="1">
      <c r="A2" s="383"/>
      <c r="B2" s="384" t="s">
        <v>38</v>
      </c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</row>
    <row r="3" spans="1:29" ht="24" customHeight="1">
      <c r="A3" s="385" t="s">
        <v>39</v>
      </c>
      <c r="B3" s="385" t="s">
        <v>40</v>
      </c>
      <c r="C3" s="385" t="s">
        <v>41</v>
      </c>
      <c r="D3" s="385" t="s">
        <v>42</v>
      </c>
      <c r="E3" s="385" t="s">
        <v>43</v>
      </c>
      <c r="F3" s="385" t="s">
        <v>44</v>
      </c>
      <c r="G3" s="386" t="s">
        <v>45</v>
      </c>
      <c r="H3" s="386" t="s">
        <v>46</v>
      </c>
      <c r="I3" s="386" t="s">
        <v>47</v>
      </c>
      <c r="J3" s="386" t="s">
        <v>48</v>
      </c>
      <c r="K3" s="386" t="s">
        <v>49</v>
      </c>
      <c r="L3" s="386" t="s">
        <v>50</v>
      </c>
      <c r="M3" s="386" t="s">
        <v>51</v>
      </c>
      <c r="N3" s="386" t="s">
        <v>52</v>
      </c>
      <c r="O3" s="386" t="s">
        <v>53</v>
      </c>
      <c r="P3" s="386" t="s">
        <v>54</v>
      </c>
      <c r="Q3" s="386" t="s">
        <v>55</v>
      </c>
      <c r="R3" s="386" t="s">
        <v>56</v>
      </c>
      <c r="S3" s="386" t="s">
        <v>57</v>
      </c>
      <c r="T3" s="387" t="s">
        <v>58</v>
      </c>
      <c r="U3" s="387"/>
      <c r="V3" s="387"/>
      <c r="W3" s="387"/>
      <c r="X3" s="387"/>
      <c r="Y3" s="387"/>
      <c r="Z3" s="387"/>
      <c r="AA3" s="387"/>
    </row>
    <row r="4" spans="1:29" s="245" customFormat="1" ht="27.75" customHeight="1">
      <c r="A4" s="385"/>
      <c r="B4" s="385"/>
      <c r="C4" s="385"/>
      <c r="D4" s="385"/>
      <c r="E4" s="385"/>
      <c r="F4" s="385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  <c r="T4" s="388" t="s">
        <v>59</v>
      </c>
      <c r="U4" s="388"/>
      <c r="V4" s="389" t="s">
        <v>60</v>
      </c>
      <c r="W4" s="389" t="s">
        <v>61</v>
      </c>
      <c r="X4" s="389" t="s">
        <v>62</v>
      </c>
      <c r="Y4" s="389" t="s">
        <v>63</v>
      </c>
      <c r="Z4" s="389" t="s">
        <v>64</v>
      </c>
      <c r="AA4" s="389" t="s">
        <v>65</v>
      </c>
    </row>
    <row r="5" spans="1:29" s="245" customFormat="1" ht="14.25" customHeight="1">
      <c r="A5" s="385"/>
      <c r="B5" s="385"/>
      <c r="C5" s="385"/>
      <c r="D5" s="385"/>
      <c r="E5" s="385"/>
      <c r="F5" s="385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386"/>
      <c r="S5" s="386"/>
      <c r="T5" s="244" t="s">
        <v>66</v>
      </c>
      <c r="U5" s="244" t="s">
        <v>67</v>
      </c>
      <c r="V5" s="390"/>
      <c r="W5" s="390"/>
      <c r="X5" s="390"/>
      <c r="Y5" s="390"/>
      <c r="Z5" s="390"/>
      <c r="AA5" s="390"/>
    </row>
    <row r="6" spans="1:29" ht="15" customHeight="1">
      <c r="A6" s="246">
        <v>45839</v>
      </c>
      <c r="B6" s="247">
        <v>39.21</v>
      </c>
      <c r="C6" s="248">
        <f>_xlfn.XLOOKUP(A6,'Daily KPI'!$A:$A,'Daily KPI'!$AC:$AC,0)</f>
        <v>3.8096774193548386</v>
      </c>
      <c r="D6" s="250">
        <f>_xlfn.XLOOKUP(A6,'Daily KPI'!$A:$A,'Daily KPI'!$AD:$AD,0)*B6/('Modelling New'!$AQ$1)</f>
        <v>171306.96170170087</v>
      </c>
      <c r="E6" s="249">
        <f>IFERROR(D6/(B6*C6*1000),0)</f>
        <v>1.1468060262912088</v>
      </c>
      <c r="F6" s="249">
        <f>IFERROR(D6/(24*1*B6*1000),0)</f>
        <v>0.18204004261423623</v>
      </c>
      <c r="G6" s="248">
        <f>_xlfn.XLOOKUP(A6,'Daily KPI'!$A:$A,'Daily KPI'!$I:$I,0)</f>
        <v>1.7470000000000001</v>
      </c>
      <c r="H6" s="250">
        <f>IFERROR(D6*(G6/C6),0)</f>
        <v>78556.063716164383</v>
      </c>
      <c r="I6" s="248">
        <f>_xlfn.XLOOKUP(A6,Input_Raw!A:A,Input_Raw!AS:AS)</f>
        <v>53000</v>
      </c>
      <c r="J6" s="251"/>
      <c r="K6" s="250">
        <f>I6-J6</f>
        <v>53000</v>
      </c>
      <c r="L6" s="250">
        <f>Z6</f>
        <v>0</v>
      </c>
      <c r="M6" s="249">
        <f>IFERROR(I6/(B6*G6*1000),0)</f>
        <v>0.77372409611872262</v>
      </c>
      <c r="N6" s="249">
        <f>IFERROR((I6+L6)/(B6*G6)/1000,0)</f>
        <v>0.7737240961187225</v>
      </c>
      <c r="O6" s="249">
        <f>IFERROR(I6/(24*1*B6)/1000,0)</f>
        <v>5.6320666496642011E-2</v>
      </c>
      <c r="P6" s="249">
        <f>IFERROR((I6+L6)/(24*1*B6)/1000,0)</f>
        <v>5.6320666496642011E-2</v>
      </c>
      <c r="Q6" s="252">
        <f>(I6+L6)-H6</f>
        <v>-25556.063716164383</v>
      </c>
      <c r="R6" s="253">
        <f>N6-E6</f>
        <v>-0.37308193017248625</v>
      </c>
      <c r="S6" s="254"/>
      <c r="T6" s="255"/>
      <c r="U6" s="255"/>
      <c r="V6" s="250">
        <f>(U6-T6)*(24*60)</f>
        <v>0</v>
      </c>
      <c r="W6" s="256"/>
      <c r="X6" s="345">
        <f>E6</f>
        <v>1.1468060262912088</v>
      </c>
      <c r="Y6" s="250"/>
      <c r="Z6" s="250">
        <f t="shared" ref="Z6:Z35" si="0">(Y6*X6*W6)</f>
        <v>0</v>
      </c>
      <c r="AA6" s="254"/>
      <c r="AC6" s="257"/>
    </row>
    <row r="7" spans="1:29">
      <c r="A7" s="246">
        <f>A6+1</f>
        <v>45840</v>
      </c>
      <c r="B7" s="247">
        <v>39.21</v>
      </c>
      <c r="C7" s="248">
        <f>_xlfn.XLOOKUP(A7,'Daily KPI'!$A:$A,'Daily KPI'!$AC:$AC,0)</f>
        <v>3.8096774193548386</v>
      </c>
      <c r="D7" s="250">
        <f>_xlfn.XLOOKUP(A7,'Daily KPI'!$A:$A,'Daily KPI'!$AD:$AD,0)*B7/('Modelling New'!$AQ$1)</f>
        <v>171306.96170170087</v>
      </c>
      <c r="E7" s="249">
        <f t="shared" ref="E7:E35" si="1">IFERROR(D7/(B7*C7*1000),0)</f>
        <v>1.1468060262912088</v>
      </c>
      <c r="F7" s="249">
        <f t="shared" ref="F7:F35" si="2">IFERROR(D7/(24*1*B7*1000),0)</f>
        <v>0.18204004261423623</v>
      </c>
      <c r="G7" s="248">
        <f>_xlfn.XLOOKUP(A7,'Daily KPI'!$A:$A,'Daily KPI'!$I:$I,0)</f>
        <v>2.9289999999999998</v>
      </c>
      <c r="H7" s="250">
        <f>IFERROR(D7*(G7/C7),0)</f>
        <v>131706.18810798254</v>
      </c>
      <c r="I7" s="248">
        <f>_xlfn.XLOOKUP(A7,Input_Raw!A:A,Input_Raw!AS:AS)</f>
        <v>100000</v>
      </c>
      <c r="J7" s="251"/>
      <c r="K7" s="250">
        <f t="shared" ref="K7:K33" si="3">I7-J7</f>
        <v>100000</v>
      </c>
      <c r="L7" s="250">
        <f t="shared" ref="L7:L33" si="4">Z7</f>
        <v>0</v>
      </c>
      <c r="M7" s="249">
        <f t="shared" ref="M7:M35" si="5">IFERROR(I7/(B7*G7*1000),0)</f>
        <v>0.87073055774036368</v>
      </c>
      <c r="N7" s="249">
        <f t="shared" ref="N7:N35" si="6">IFERROR((I7+L7)/(B7*G7)/1000,0)</f>
        <v>0.87073055774036368</v>
      </c>
      <c r="O7" s="249">
        <f t="shared" ref="O7:O35" si="7">IFERROR(I7/(24*1*B7)/1000,0)</f>
        <v>0.10626540848423022</v>
      </c>
      <c r="P7" s="249">
        <f t="shared" ref="P7:P35" si="8">IFERROR((I7+L7)/(24*1*B7)/1000,0)</f>
        <v>0.10626540848423022</v>
      </c>
      <c r="Q7" s="252">
        <f t="shared" ref="Q7:Q33" si="9">(I7+L7)-H7</f>
        <v>-31706.18810798254</v>
      </c>
      <c r="R7" s="253">
        <f t="shared" ref="R7:R33" si="10">N7-E7</f>
        <v>-0.27607546855084508</v>
      </c>
      <c r="S7" s="254"/>
      <c r="T7" s="255"/>
      <c r="U7" s="255"/>
      <c r="V7" s="250">
        <f t="shared" ref="V7:V33" si="11">(U7-T7)*(24*60)</f>
        <v>0</v>
      </c>
      <c r="W7" s="256"/>
      <c r="X7" s="345">
        <f t="shared" ref="X7:X33" si="12">E7</f>
        <v>1.1468060262912088</v>
      </c>
      <c r="Y7" s="250"/>
      <c r="Z7" s="250">
        <f t="shared" si="0"/>
        <v>0</v>
      </c>
      <c r="AA7" s="254"/>
      <c r="AC7" s="257"/>
    </row>
    <row r="8" spans="1:29">
      <c r="A8" s="246">
        <f t="shared" ref="A8:A36" si="13">A7+1</f>
        <v>45841</v>
      </c>
      <c r="B8" s="247">
        <v>39.21</v>
      </c>
      <c r="C8" s="248">
        <f>_xlfn.XLOOKUP(A8,'Daily KPI'!$A:$A,'Daily KPI'!$AC:$AC,0)</f>
        <v>3.8096774193548386</v>
      </c>
      <c r="D8" s="250">
        <f>_xlfn.XLOOKUP(A8,'Daily KPI'!$A:$A,'Daily KPI'!$AD:$AD,0)*B8/('Modelling New'!$AQ$1)</f>
        <v>171306.96170170087</v>
      </c>
      <c r="E8" s="249">
        <f t="shared" si="1"/>
        <v>1.1468060262912088</v>
      </c>
      <c r="F8" s="249">
        <f t="shared" si="2"/>
        <v>0.18204004261423623</v>
      </c>
      <c r="G8" s="248">
        <f>_xlfn.XLOOKUP(A8,'Daily KPI'!$A:$A,'Daily KPI'!$I:$I,0)</f>
        <v>3.92</v>
      </c>
      <c r="H8" s="250">
        <f t="shared" ref="H8:H33" si="14">IFERROR(D8*(G8/C8),0)</f>
        <v>176267.75602024296</v>
      </c>
      <c r="I8" s="248">
        <f>_xlfn.XLOOKUP(A8,Input_Raw!A:A,Input_Raw!AS:AS)</f>
        <v>142000</v>
      </c>
      <c r="J8" s="251"/>
      <c r="K8" s="250">
        <f t="shared" si="3"/>
        <v>142000</v>
      </c>
      <c r="L8" s="250">
        <f t="shared" si="4"/>
        <v>0</v>
      </c>
      <c r="M8" s="249">
        <f t="shared" si="5"/>
        <v>0.92385844927106264</v>
      </c>
      <c r="N8" s="249">
        <f t="shared" si="6"/>
        <v>0.92385844927106253</v>
      </c>
      <c r="O8" s="249">
        <f t="shared" si="7"/>
        <v>0.1508968800476069</v>
      </c>
      <c r="P8" s="249">
        <f t="shared" si="8"/>
        <v>0.1508968800476069</v>
      </c>
      <c r="Q8" s="252">
        <f t="shared" si="9"/>
        <v>-34267.756020242959</v>
      </c>
      <c r="R8" s="253">
        <f t="shared" si="10"/>
        <v>-0.22294757702014623</v>
      </c>
      <c r="S8" s="254"/>
      <c r="T8" s="255"/>
      <c r="U8" s="255"/>
      <c r="V8" s="250">
        <f t="shared" si="11"/>
        <v>0</v>
      </c>
      <c r="W8" s="256"/>
      <c r="X8" s="345">
        <f t="shared" si="12"/>
        <v>1.1468060262912088</v>
      </c>
      <c r="Y8" s="256"/>
      <c r="Z8" s="250">
        <f t="shared" si="0"/>
        <v>0</v>
      </c>
      <c r="AA8" s="254"/>
      <c r="AC8" s="257"/>
    </row>
    <row r="9" spans="1:29">
      <c r="A9" s="246">
        <f t="shared" si="13"/>
        <v>45842</v>
      </c>
      <c r="B9" s="247">
        <v>39.21</v>
      </c>
      <c r="C9" s="248">
        <f>_xlfn.XLOOKUP(A9,'Daily KPI'!$A:$A,'Daily KPI'!$AC:$AC,0)</f>
        <v>3.8096774193548386</v>
      </c>
      <c r="D9" s="250">
        <f>_xlfn.XLOOKUP(A9,'Daily KPI'!$A:$A,'Daily KPI'!$AD:$AD,0)*B9/('Modelling New'!$AQ$1)</f>
        <v>171306.96170170087</v>
      </c>
      <c r="E9" s="249">
        <f t="shared" si="1"/>
        <v>1.1468060262912088</v>
      </c>
      <c r="F9" s="249">
        <f t="shared" si="2"/>
        <v>0.18204004261423623</v>
      </c>
      <c r="G9" s="248">
        <f>_xlfn.XLOOKUP(A9,'Daily KPI'!$A:$A,'Daily KPI'!$I:$I,0)</f>
        <v>2.71</v>
      </c>
      <c r="H9" s="250">
        <f t="shared" si="14"/>
        <v>121858.57622828019</v>
      </c>
      <c r="I9" s="248">
        <f>_xlfn.XLOOKUP(A9,Input_Raw!A:A,Input_Raw!AS:AS)</f>
        <v>100000</v>
      </c>
      <c r="J9" s="251"/>
      <c r="K9" s="250">
        <f t="shared" si="3"/>
        <v>100000</v>
      </c>
      <c r="L9" s="250">
        <f t="shared" si="4"/>
        <v>0</v>
      </c>
      <c r="M9" s="249">
        <f t="shared" si="5"/>
        <v>0.94109586849502769</v>
      </c>
      <c r="N9" s="249">
        <f t="shared" si="6"/>
        <v>0.94109586849502769</v>
      </c>
      <c r="O9" s="249">
        <f t="shared" si="7"/>
        <v>0.10626540848423022</v>
      </c>
      <c r="P9" s="249">
        <f t="shared" si="8"/>
        <v>0.10626540848423022</v>
      </c>
      <c r="Q9" s="252">
        <f t="shared" si="9"/>
        <v>-21858.576228280188</v>
      </c>
      <c r="R9" s="253">
        <f t="shared" si="10"/>
        <v>-0.20571015779618107</v>
      </c>
      <c r="S9" s="254"/>
      <c r="T9" s="255"/>
      <c r="U9" s="255"/>
      <c r="V9" s="250">
        <f t="shared" si="11"/>
        <v>0</v>
      </c>
      <c r="W9" s="256"/>
      <c r="X9" s="345">
        <f t="shared" si="12"/>
        <v>1.1468060262912088</v>
      </c>
      <c r="Y9" s="256"/>
      <c r="Z9" s="250">
        <f t="shared" si="0"/>
        <v>0</v>
      </c>
      <c r="AA9" s="254"/>
      <c r="AC9" s="257"/>
    </row>
    <row r="10" spans="1:29">
      <c r="A10" s="246">
        <f t="shared" si="13"/>
        <v>45843</v>
      </c>
      <c r="B10" s="247">
        <v>39.21</v>
      </c>
      <c r="C10" s="248">
        <f>_xlfn.XLOOKUP(A10,'Daily KPI'!$A:$A,'Daily KPI'!$AC:$AC,0)</f>
        <v>3.8096774193548386</v>
      </c>
      <c r="D10" s="250">
        <f>_xlfn.XLOOKUP(A10,'Daily KPI'!$A:$A,'Daily KPI'!$AD:$AD,0)*B10/('Modelling New'!$AQ$1)</f>
        <v>171306.96170170087</v>
      </c>
      <c r="E10" s="249">
        <f t="shared" si="1"/>
        <v>1.1468060262912088</v>
      </c>
      <c r="F10" s="249">
        <f t="shared" si="2"/>
        <v>0.18204004261423623</v>
      </c>
      <c r="G10" s="248">
        <f>_xlfn.XLOOKUP(A10,'Daily KPI'!$A:$A,'Daily KPI'!$I:$I,0)</f>
        <v>2.95</v>
      </c>
      <c r="H10" s="250">
        <f t="shared" si="14"/>
        <v>132650.479658091</v>
      </c>
      <c r="I10" s="248">
        <f>_xlfn.XLOOKUP(A10,Input_Raw!A:A,Input_Raw!AS:AS)</f>
        <v>107000</v>
      </c>
      <c r="J10" s="251"/>
      <c r="K10" s="250">
        <f t="shared" si="3"/>
        <v>107000</v>
      </c>
      <c r="L10" s="250">
        <f t="shared" si="4"/>
        <v>0</v>
      </c>
      <c r="M10" s="249">
        <f t="shared" si="5"/>
        <v>0.9250493863983158</v>
      </c>
      <c r="N10" s="249">
        <f t="shared" si="6"/>
        <v>0.92504938639831569</v>
      </c>
      <c r="O10" s="249">
        <f t="shared" si="7"/>
        <v>0.11370398707812633</v>
      </c>
      <c r="P10" s="249">
        <f t="shared" si="8"/>
        <v>0.11370398707812633</v>
      </c>
      <c r="Q10" s="252">
        <f t="shared" si="9"/>
        <v>-25650.479658091004</v>
      </c>
      <c r="R10" s="253">
        <f t="shared" si="10"/>
        <v>-0.22175663989289307</v>
      </c>
      <c r="S10" s="254"/>
      <c r="T10" s="255"/>
      <c r="U10" s="255"/>
      <c r="V10" s="250">
        <f t="shared" si="11"/>
        <v>0</v>
      </c>
      <c r="W10" s="256"/>
      <c r="X10" s="345">
        <f t="shared" si="12"/>
        <v>1.1468060262912088</v>
      </c>
      <c r="Y10" s="256"/>
      <c r="Z10" s="250">
        <f t="shared" si="0"/>
        <v>0</v>
      </c>
      <c r="AA10" s="254"/>
      <c r="AC10" s="257"/>
    </row>
    <row r="11" spans="1:29">
      <c r="A11" s="246">
        <f t="shared" si="13"/>
        <v>45844</v>
      </c>
      <c r="B11" s="247">
        <v>39.21</v>
      </c>
      <c r="C11" s="248">
        <f>_xlfn.XLOOKUP(A11,'Daily KPI'!$A:$A,'Daily KPI'!$AC:$AC,0)</f>
        <v>3.8096774193548386</v>
      </c>
      <c r="D11" s="250">
        <f>_xlfn.XLOOKUP(A11,'Daily KPI'!$A:$A,'Daily KPI'!$AD:$AD,0)*B11/('Modelling New'!$AQ$1)</f>
        <v>171306.96170170087</v>
      </c>
      <c r="E11" s="249">
        <f t="shared" si="1"/>
        <v>1.1468060262912088</v>
      </c>
      <c r="F11" s="249">
        <f t="shared" si="2"/>
        <v>0.18204004261423623</v>
      </c>
      <c r="G11" s="248">
        <f>_xlfn.XLOOKUP(A11,'Daily KPI'!$A:$A,'Daily KPI'!$I:$I,0)</f>
        <v>2.06</v>
      </c>
      <c r="H11" s="250">
        <f t="shared" si="14"/>
        <v>92630.504439209311</v>
      </c>
      <c r="I11" s="248">
        <f>_xlfn.XLOOKUP(A11,Input_Raw!A:A,Input_Raw!AS:AS)</f>
        <v>75000</v>
      </c>
      <c r="J11" s="251"/>
      <c r="K11" s="250">
        <f t="shared" si="3"/>
        <v>75000</v>
      </c>
      <c r="L11" s="250">
        <f t="shared" si="4"/>
        <v>0</v>
      </c>
      <c r="M11" s="249">
        <f t="shared" si="5"/>
        <v>0.92853269549327377</v>
      </c>
      <c r="N11" s="249">
        <f t="shared" si="6"/>
        <v>0.92853269549327377</v>
      </c>
      <c r="O11" s="249">
        <f t="shared" si="7"/>
        <v>7.9699056363172663E-2</v>
      </c>
      <c r="P11" s="249">
        <f t="shared" si="8"/>
        <v>7.9699056363172663E-2</v>
      </c>
      <c r="Q11" s="252">
        <f t="shared" si="9"/>
        <v>-17630.504439209311</v>
      </c>
      <c r="R11" s="253">
        <f t="shared" si="10"/>
        <v>-0.21827333079793498</v>
      </c>
      <c r="S11" s="254"/>
      <c r="T11" s="255"/>
      <c r="U11" s="255"/>
      <c r="V11" s="250">
        <f t="shared" si="11"/>
        <v>0</v>
      </c>
      <c r="W11" s="256"/>
      <c r="X11" s="345">
        <f t="shared" si="12"/>
        <v>1.1468060262912088</v>
      </c>
      <c r="Y11" s="256"/>
      <c r="Z11" s="250">
        <f t="shared" si="0"/>
        <v>0</v>
      </c>
      <c r="AA11" s="254"/>
      <c r="AC11" s="257"/>
    </row>
    <row r="12" spans="1:29">
      <c r="A12" s="246">
        <f t="shared" si="13"/>
        <v>45845</v>
      </c>
      <c r="B12" s="247">
        <v>39.21</v>
      </c>
      <c r="C12" s="248">
        <f>_xlfn.XLOOKUP(A12,'Daily KPI'!$A:$A,'Daily KPI'!$AC:$AC,0)</f>
        <v>3.8096774193548386</v>
      </c>
      <c r="D12" s="250">
        <f>_xlfn.XLOOKUP(A12,'Daily KPI'!$A:$A,'Daily KPI'!$AD:$AD,0)*B12/('Modelling New'!$AQ$1)</f>
        <v>171306.96170170087</v>
      </c>
      <c r="E12" s="249">
        <f t="shared" si="1"/>
        <v>1.1468060262912088</v>
      </c>
      <c r="F12" s="249">
        <f t="shared" si="2"/>
        <v>0.18204004261423623</v>
      </c>
      <c r="G12" s="248">
        <f>_xlfn.XLOOKUP(A12,'Daily KPI'!$A:$A,'Daily KPI'!$I:$I,0)</f>
        <v>1.39</v>
      </c>
      <c r="H12" s="250">
        <f t="shared" si="14"/>
        <v>62503.107364320829</v>
      </c>
      <c r="I12" s="248">
        <f>_xlfn.XLOOKUP(A12,Input_Raw!A:A,Input_Raw!AS:AS)</f>
        <v>57000</v>
      </c>
      <c r="J12" s="251"/>
      <c r="K12" s="250">
        <f t="shared" si="3"/>
        <v>57000</v>
      </c>
      <c r="L12" s="250">
        <f t="shared" si="4"/>
        <v>0</v>
      </c>
      <c r="M12" s="249">
        <f t="shared" si="5"/>
        <v>1.0458350993268124</v>
      </c>
      <c r="N12" s="249">
        <f t="shared" si="6"/>
        <v>1.0458350993268124</v>
      </c>
      <c r="O12" s="249">
        <f t="shared" si="7"/>
        <v>6.0571282836011223E-2</v>
      </c>
      <c r="P12" s="249">
        <f t="shared" si="8"/>
        <v>6.0571282836011223E-2</v>
      </c>
      <c r="Q12" s="252">
        <f t="shared" si="9"/>
        <v>-5503.1073643208292</v>
      </c>
      <c r="R12" s="253">
        <f t="shared" si="10"/>
        <v>-0.10097092696439636</v>
      </c>
      <c r="S12" s="254"/>
      <c r="T12" s="255"/>
      <c r="U12" s="255"/>
      <c r="V12" s="250">
        <f t="shared" si="11"/>
        <v>0</v>
      </c>
      <c r="W12" s="256"/>
      <c r="X12" s="345">
        <f t="shared" si="12"/>
        <v>1.1468060262912088</v>
      </c>
      <c r="Y12" s="256"/>
      <c r="Z12" s="250">
        <f t="shared" si="0"/>
        <v>0</v>
      </c>
      <c r="AA12" s="254"/>
      <c r="AC12" s="257"/>
    </row>
    <row r="13" spans="1:29">
      <c r="A13" s="246">
        <f t="shared" si="13"/>
        <v>45846</v>
      </c>
      <c r="B13" s="247">
        <v>39.21</v>
      </c>
      <c r="C13" s="248">
        <f>_xlfn.XLOOKUP(A13,'Daily KPI'!$A:$A,'Daily KPI'!$AC:$AC,0)</f>
        <v>3.8096774193548386</v>
      </c>
      <c r="D13" s="250">
        <f>_xlfn.XLOOKUP(A13,'Daily KPI'!$A:$A,'Daily KPI'!$AD:$AD,0)*B13/('Modelling New'!$AQ$1)</f>
        <v>171306.96170170087</v>
      </c>
      <c r="E13" s="249">
        <f t="shared" si="1"/>
        <v>1.1468060262912088</v>
      </c>
      <c r="F13" s="249">
        <f t="shared" si="2"/>
        <v>0.18204004261423623</v>
      </c>
      <c r="G13" s="248">
        <f>_xlfn.XLOOKUP(A13,'Daily KPI'!$A:$A,'Daily KPI'!$I:$I,0)</f>
        <v>1.72</v>
      </c>
      <c r="H13" s="250">
        <f t="shared" si="14"/>
        <v>77341.974580310678</v>
      </c>
      <c r="I13" s="248">
        <f>_xlfn.XLOOKUP(A13,Input_Raw!A:A,Input_Raw!AS:AS)</f>
        <v>66000</v>
      </c>
      <c r="J13" s="251"/>
      <c r="K13" s="250">
        <f t="shared" si="3"/>
        <v>66000</v>
      </c>
      <c r="L13" s="250">
        <f t="shared" si="4"/>
        <v>0</v>
      </c>
      <c r="M13" s="249">
        <f t="shared" si="5"/>
        <v>0.97863027348267828</v>
      </c>
      <c r="N13" s="249">
        <f t="shared" si="6"/>
        <v>0.97863027348267828</v>
      </c>
      <c r="O13" s="249">
        <f t="shared" si="7"/>
        <v>7.0135169599591943E-2</v>
      </c>
      <c r="P13" s="249">
        <f t="shared" si="8"/>
        <v>7.0135169599591943E-2</v>
      </c>
      <c r="Q13" s="252">
        <f t="shared" si="9"/>
        <v>-11341.974580310678</v>
      </c>
      <c r="R13" s="253">
        <f t="shared" si="10"/>
        <v>-0.16817575280853048</v>
      </c>
      <c r="S13" s="254"/>
      <c r="T13" s="255"/>
      <c r="U13" s="255"/>
      <c r="V13" s="250">
        <f t="shared" si="11"/>
        <v>0</v>
      </c>
      <c r="W13" s="256"/>
      <c r="X13" s="345">
        <f t="shared" si="12"/>
        <v>1.1468060262912088</v>
      </c>
      <c r="Y13" s="256"/>
      <c r="Z13" s="250">
        <f t="shared" si="0"/>
        <v>0</v>
      </c>
      <c r="AA13" s="254"/>
      <c r="AC13" s="257"/>
    </row>
    <row r="14" spans="1:29">
      <c r="A14" s="246">
        <f t="shared" si="13"/>
        <v>45847</v>
      </c>
      <c r="B14" s="247">
        <v>39.21</v>
      </c>
      <c r="C14" s="248">
        <f>_xlfn.XLOOKUP(A14,'Daily KPI'!$A:$A,'Daily KPI'!$AC:$AC,0)</f>
        <v>3.8096774193548386</v>
      </c>
      <c r="D14" s="250">
        <f>_xlfn.XLOOKUP(A14,'Daily KPI'!$A:$A,'Daily KPI'!$AD:$AD,0)*B14/('Modelling New'!$AQ$1)</f>
        <v>171306.96170170087</v>
      </c>
      <c r="E14" s="249">
        <f t="shared" si="1"/>
        <v>1.1468060262912088</v>
      </c>
      <c r="F14" s="249">
        <f t="shared" si="2"/>
        <v>0.18204004261423623</v>
      </c>
      <c r="G14" s="248">
        <f>_xlfn.XLOOKUP(A14,'Daily KPI'!$A:$A,'Daily KPI'!$I:$I,0)</f>
        <v>1.45</v>
      </c>
      <c r="H14" s="250">
        <f t="shared" si="14"/>
        <v>65201.08322177353</v>
      </c>
      <c r="I14" s="248">
        <f>_xlfn.XLOOKUP(A14,Input_Raw!A:A,Input_Raw!AS:AS)</f>
        <v>55000</v>
      </c>
      <c r="J14" s="251"/>
      <c r="K14" s="250">
        <f t="shared" si="3"/>
        <v>55000</v>
      </c>
      <c r="L14" s="250">
        <f t="shared" si="4"/>
        <v>0</v>
      </c>
      <c r="M14" s="249">
        <f t="shared" si="5"/>
        <v>0.96738164964954398</v>
      </c>
      <c r="N14" s="249">
        <f t="shared" si="6"/>
        <v>0.96738164964954398</v>
      </c>
      <c r="O14" s="249">
        <f t="shared" si="7"/>
        <v>5.8445974666326624E-2</v>
      </c>
      <c r="P14" s="249">
        <f t="shared" si="8"/>
        <v>5.8445974666326624E-2</v>
      </c>
      <c r="Q14" s="252">
        <f t="shared" si="9"/>
        <v>-10201.08322177353</v>
      </c>
      <c r="R14" s="253">
        <f t="shared" si="10"/>
        <v>-0.17942437664166477</v>
      </c>
      <c r="S14" s="254"/>
      <c r="T14" s="255"/>
      <c r="U14" s="255"/>
      <c r="V14" s="250">
        <f t="shared" si="11"/>
        <v>0</v>
      </c>
      <c r="W14" s="256"/>
      <c r="X14" s="345">
        <f t="shared" si="12"/>
        <v>1.1468060262912088</v>
      </c>
      <c r="Y14" s="256"/>
      <c r="Z14" s="250">
        <f t="shared" si="0"/>
        <v>0</v>
      </c>
      <c r="AA14" s="254"/>
      <c r="AC14" s="257"/>
    </row>
    <row r="15" spans="1:29">
      <c r="A15" s="246">
        <f t="shared" si="13"/>
        <v>45848</v>
      </c>
      <c r="B15" s="247">
        <v>39.21</v>
      </c>
      <c r="C15" s="248">
        <f>_xlfn.XLOOKUP(A15,'Daily KPI'!$A:$A,'Daily KPI'!$AC:$AC,0)</f>
        <v>3.8096774193548386</v>
      </c>
      <c r="D15" s="250">
        <f>_xlfn.XLOOKUP(A15,'Daily KPI'!$A:$A,'Daily KPI'!$AD:$AD,0)*B15/('Modelling New'!$AQ$1)</f>
        <v>171306.96170170087</v>
      </c>
      <c r="E15" s="249">
        <f t="shared" si="1"/>
        <v>1.1468060262912088</v>
      </c>
      <c r="F15" s="249">
        <f t="shared" si="2"/>
        <v>0.18204004261423623</v>
      </c>
      <c r="G15" s="248">
        <f>_xlfn.XLOOKUP(A15,'Daily KPI'!$A:$A,'Daily KPI'!$I:$I,0)</f>
        <v>1.66</v>
      </c>
      <c r="H15" s="250">
        <f t="shared" si="14"/>
        <v>74643.99872285797</v>
      </c>
      <c r="I15" s="248">
        <f>_xlfn.XLOOKUP(A15,Input_Raw!A:A,Input_Raw!AS:AS)</f>
        <v>59000</v>
      </c>
      <c r="J15" s="251"/>
      <c r="K15" s="250">
        <f t="shared" si="3"/>
        <v>59000</v>
      </c>
      <c r="L15" s="250">
        <f t="shared" si="4"/>
        <v>0</v>
      </c>
      <c r="M15" s="249">
        <f t="shared" si="5"/>
        <v>0.90645673743174693</v>
      </c>
      <c r="N15" s="249">
        <f t="shared" si="6"/>
        <v>0.90645673743174693</v>
      </c>
      <c r="O15" s="249">
        <f t="shared" si="7"/>
        <v>6.2696591005695829E-2</v>
      </c>
      <c r="P15" s="249">
        <f t="shared" si="8"/>
        <v>6.2696591005695829E-2</v>
      </c>
      <c r="Q15" s="252">
        <f t="shared" si="9"/>
        <v>-15643.99872285797</v>
      </c>
      <c r="R15" s="253">
        <f t="shared" si="10"/>
        <v>-0.24034928885946183</v>
      </c>
      <c r="S15" s="254"/>
      <c r="T15" s="255"/>
      <c r="U15" s="255"/>
      <c r="V15" s="250">
        <f t="shared" si="11"/>
        <v>0</v>
      </c>
      <c r="W15" s="256"/>
      <c r="X15" s="345">
        <f t="shared" si="12"/>
        <v>1.1468060262912088</v>
      </c>
      <c r="Y15" s="256"/>
      <c r="Z15" s="250">
        <f t="shared" si="0"/>
        <v>0</v>
      </c>
      <c r="AA15" s="254"/>
      <c r="AC15" s="257"/>
    </row>
    <row r="16" spans="1:29">
      <c r="A16" s="246">
        <f t="shared" si="13"/>
        <v>45849</v>
      </c>
      <c r="B16" s="247">
        <v>39.21</v>
      </c>
      <c r="C16" s="248">
        <f>_xlfn.XLOOKUP(A16,'Daily KPI'!$A:$A,'Daily KPI'!$AC:$AC,0)</f>
        <v>3.8096774193548386</v>
      </c>
      <c r="D16" s="250">
        <f>_xlfn.XLOOKUP(A16,'Daily KPI'!$A:$A,'Daily KPI'!$AD:$AD,0)*B16/('Modelling New'!$AQ$1)</f>
        <v>171306.96170170087</v>
      </c>
      <c r="E16" s="249">
        <f t="shared" si="1"/>
        <v>1.1468060262912088</v>
      </c>
      <c r="F16" s="249">
        <f t="shared" si="2"/>
        <v>0.18204004261423623</v>
      </c>
      <c r="G16" s="248">
        <f>_xlfn.XLOOKUP(A16,'Daily KPI'!$A:$A,'Daily KPI'!$I:$I,0)</f>
        <v>5.5789999999999997</v>
      </c>
      <c r="H16" s="250">
        <f t="shared" si="14"/>
        <v>250866.78847881002</v>
      </c>
      <c r="I16" s="248">
        <f>_xlfn.XLOOKUP(A16,Input_Raw!A:A,Input_Raw!AS:AS)</f>
        <v>191000</v>
      </c>
      <c r="J16" s="251"/>
      <c r="K16" s="250">
        <f t="shared" si="3"/>
        <v>191000</v>
      </c>
      <c r="L16" s="250">
        <f t="shared" si="4"/>
        <v>0</v>
      </c>
      <c r="M16" s="249">
        <f t="shared" si="5"/>
        <v>0.87313251925382918</v>
      </c>
      <c r="N16" s="249">
        <f t="shared" si="6"/>
        <v>0.87313251925382918</v>
      </c>
      <c r="O16" s="249">
        <f t="shared" si="7"/>
        <v>0.20296693020487971</v>
      </c>
      <c r="P16" s="249">
        <f t="shared" si="8"/>
        <v>0.20296693020487971</v>
      </c>
      <c r="Q16" s="252">
        <f t="shared" si="9"/>
        <v>-59866.78847881002</v>
      </c>
      <c r="R16" s="253">
        <f t="shared" si="10"/>
        <v>-0.27367350703737958</v>
      </c>
      <c r="S16" s="254"/>
      <c r="T16" s="255"/>
      <c r="U16" s="255"/>
      <c r="V16" s="250">
        <f t="shared" si="11"/>
        <v>0</v>
      </c>
      <c r="W16" s="256"/>
      <c r="X16" s="345">
        <f t="shared" si="12"/>
        <v>1.1468060262912088</v>
      </c>
      <c r="Y16" s="256"/>
      <c r="Z16" s="250">
        <f t="shared" si="0"/>
        <v>0</v>
      </c>
      <c r="AA16" s="254"/>
      <c r="AC16" s="257"/>
    </row>
    <row r="17" spans="1:29">
      <c r="A17" s="246">
        <f t="shared" si="13"/>
        <v>45850</v>
      </c>
      <c r="B17" s="247">
        <v>39.21</v>
      </c>
      <c r="C17" s="248">
        <f>_xlfn.XLOOKUP(A17,'Daily KPI'!$A:$A,'Daily KPI'!$AC:$AC,0)</f>
        <v>3.8096774193548386</v>
      </c>
      <c r="D17" s="250">
        <f>_xlfn.XLOOKUP(A17,'Daily KPI'!$A:$A,'Daily KPI'!$AD:$AD,0)*B17/('Modelling New'!$AQ$1)</f>
        <v>171306.96170170087</v>
      </c>
      <c r="E17" s="249">
        <f t="shared" si="1"/>
        <v>1.1468060262912088</v>
      </c>
      <c r="F17" s="249">
        <f t="shared" si="2"/>
        <v>0.18204004261423623</v>
      </c>
      <c r="G17" s="248">
        <f>_xlfn.XLOOKUP(A17,'Daily KPI'!$A:$A,'Daily KPI'!$I:$I,0)</f>
        <v>5.93</v>
      </c>
      <c r="H17" s="250">
        <f t="shared" si="14"/>
        <v>266649.94724490831</v>
      </c>
      <c r="I17" s="248">
        <f>_xlfn.XLOOKUP(A17,Input_Raw!A:A,Input_Raw!AS:AS)</f>
        <v>189000</v>
      </c>
      <c r="J17" s="251"/>
      <c r="K17" s="250">
        <f t="shared" si="3"/>
        <v>189000</v>
      </c>
      <c r="L17" s="250">
        <f t="shared" si="4"/>
        <v>0</v>
      </c>
      <c r="M17" s="249">
        <f t="shared" si="5"/>
        <v>0.81284973504969349</v>
      </c>
      <c r="N17" s="249">
        <f t="shared" si="6"/>
        <v>0.8128497350496936</v>
      </c>
      <c r="O17" s="249">
        <f t="shared" si="7"/>
        <v>0.20084162203519512</v>
      </c>
      <c r="P17" s="249">
        <f t="shared" si="8"/>
        <v>0.20084162203519512</v>
      </c>
      <c r="Q17" s="252">
        <f t="shared" si="9"/>
        <v>-77649.947244908311</v>
      </c>
      <c r="R17" s="253">
        <f t="shared" si="10"/>
        <v>-0.33395629124151516</v>
      </c>
      <c r="S17" s="254"/>
      <c r="T17" s="255"/>
      <c r="U17" s="255"/>
      <c r="V17" s="250">
        <f t="shared" si="11"/>
        <v>0</v>
      </c>
      <c r="W17" s="256"/>
      <c r="X17" s="345">
        <f t="shared" si="12"/>
        <v>1.1468060262912088</v>
      </c>
      <c r="Y17" s="256"/>
      <c r="Z17" s="250">
        <f t="shared" si="0"/>
        <v>0</v>
      </c>
      <c r="AA17" s="254"/>
      <c r="AC17" s="257"/>
    </row>
    <row r="18" spans="1:29">
      <c r="A18" s="246">
        <f t="shared" si="13"/>
        <v>45851</v>
      </c>
      <c r="B18" s="247">
        <v>39.21</v>
      </c>
      <c r="C18" s="248">
        <f>_xlfn.XLOOKUP(A18,'Daily KPI'!$A:$A,'Daily KPI'!$AC:$AC,0)</f>
        <v>3.8096774193548386</v>
      </c>
      <c r="D18" s="250">
        <f>_xlfn.XLOOKUP(A18,'Daily KPI'!$A:$A,'Daily KPI'!$AD:$AD,0)*B18/('Modelling New'!$AQ$1)</f>
        <v>171306.96170170087</v>
      </c>
      <c r="E18" s="249">
        <f t="shared" si="1"/>
        <v>1.1468060262912088</v>
      </c>
      <c r="F18" s="249">
        <f t="shared" si="2"/>
        <v>0.18204004261423623</v>
      </c>
      <c r="G18" s="248">
        <f>_xlfn.XLOOKUP(A18,'Daily KPI'!$A:$A,'Daily KPI'!$I:$I,0)</f>
        <v>4.2805</v>
      </c>
      <c r="H18" s="250">
        <f t="shared" si="14"/>
        <v>192478.09429710457</v>
      </c>
      <c r="I18" s="248">
        <f>_xlfn.XLOOKUP(A18,Input_Raw!A:A,Input_Raw!AS:AS)</f>
        <v>150000</v>
      </c>
      <c r="J18" s="251"/>
      <c r="K18" s="250">
        <f t="shared" si="3"/>
        <v>150000</v>
      </c>
      <c r="L18" s="250">
        <f t="shared" si="4"/>
        <v>0</v>
      </c>
      <c r="M18" s="249">
        <f t="shared" si="5"/>
        <v>0.89371678669134158</v>
      </c>
      <c r="N18" s="249">
        <f t="shared" si="6"/>
        <v>0.89371678669134169</v>
      </c>
      <c r="O18" s="249">
        <f t="shared" si="7"/>
        <v>0.15939811272634533</v>
      </c>
      <c r="P18" s="249">
        <f t="shared" si="8"/>
        <v>0.15939811272634533</v>
      </c>
      <c r="Q18" s="252">
        <f t="shared" si="9"/>
        <v>-42478.094297104573</v>
      </c>
      <c r="R18" s="253">
        <f t="shared" si="10"/>
        <v>-0.25308923959986707</v>
      </c>
      <c r="S18" s="254"/>
      <c r="T18" s="255"/>
      <c r="U18" s="255"/>
      <c r="V18" s="250">
        <f t="shared" si="11"/>
        <v>0</v>
      </c>
      <c r="W18" s="256"/>
      <c r="X18" s="345">
        <f t="shared" si="12"/>
        <v>1.1468060262912088</v>
      </c>
      <c r="Y18" s="256"/>
      <c r="Z18" s="250">
        <f t="shared" si="0"/>
        <v>0</v>
      </c>
      <c r="AA18" s="254"/>
      <c r="AC18" s="257"/>
    </row>
    <row r="19" spans="1:29">
      <c r="A19" s="246">
        <f t="shared" si="13"/>
        <v>45852</v>
      </c>
      <c r="B19" s="247">
        <v>39.21</v>
      </c>
      <c r="C19" s="248">
        <f>_xlfn.XLOOKUP(A19,'Daily KPI'!$A:$A,'Daily KPI'!$AC:$AC,0)</f>
        <v>3.8096774193548386</v>
      </c>
      <c r="D19" s="250">
        <f>_xlfn.XLOOKUP(A19,'Daily KPI'!$A:$A,'Daily KPI'!$AD:$AD,0)*B19/('Modelling New'!$AQ$1)</f>
        <v>171306.96170170087</v>
      </c>
      <c r="E19" s="249">
        <f t="shared" si="1"/>
        <v>1.1468060262912088</v>
      </c>
      <c r="F19" s="249">
        <f t="shared" si="2"/>
        <v>0.18204004261423623</v>
      </c>
      <c r="G19" s="248">
        <f>_xlfn.XLOOKUP(A19,'Daily KPI'!$A:$A,'Daily KPI'!$I:$I,0)</f>
        <v>5.4051</v>
      </c>
      <c r="H19" s="250">
        <f t="shared" si="14"/>
        <v>243047.15511862628</v>
      </c>
      <c r="I19" s="248">
        <f>_xlfn.XLOOKUP(A19,Input_Raw!A:A,Input_Raw!AS:AS)</f>
        <v>168000</v>
      </c>
      <c r="J19" s="251"/>
      <c r="K19" s="250">
        <f t="shared" si="3"/>
        <v>168000</v>
      </c>
      <c r="L19" s="250">
        <f t="shared" si="4"/>
        <v>0</v>
      </c>
      <c r="M19" s="249">
        <f t="shared" si="5"/>
        <v>0.79269972249989118</v>
      </c>
      <c r="N19" s="249">
        <f t="shared" si="6"/>
        <v>0.79269972249989118</v>
      </c>
      <c r="O19" s="249">
        <f t="shared" si="7"/>
        <v>0.17852588625350677</v>
      </c>
      <c r="P19" s="249">
        <f t="shared" si="8"/>
        <v>0.17852588625350677</v>
      </c>
      <c r="Q19" s="252">
        <f t="shared" si="9"/>
        <v>-75047.15511862628</v>
      </c>
      <c r="R19" s="253">
        <f t="shared" si="10"/>
        <v>-0.35410630379131758</v>
      </c>
      <c r="S19" s="254"/>
      <c r="T19" s="255"/>
      <c r="U19" s="255"/>
      <c r="V19" s="250">
        <f t="shared" si="11"/>
        <v>0</v>
      </c>
      <c r="W19" s="256"/>
      <c r="X19" s="345">
        <f t="shared" si="12"/>
        <v>1.1468060262912088</v>
      </c>
      <c r="Y19" s="256"/>
      <c r="Z19" s="250">
        <f t="shared" si="0"/>
        <v>0</v>
      </c>
      <c r="AA19" s="254"/>
      <c r="AC19" s="257"/>
    </row>
    <row r="20" spans="1:29">
      <c r="A20" s="246">
        <f t="shared" si="13"/>
        <v>45853</v>
      </c>
      <c r="B20" s="247">
        <v>39.21</v>
      </c>
      <c r="C20" s="248">
        <f>_xlfn.XLOOKUP(A20,'Daily KPI'!$A:$A,'Daily KPI'!$AC:$AC,0)</f>
        <v>3.8096774193548386</v>
      </c>
      <c r="D20" s="250">
        <f>_xlfn.XLOOKUP(A20,'Daily KPI'!$A:$A,'Daily KPI'!$AD:$AD,0)*B20/('Modelling New'!$AQ$1)</f>
        <v>171306.96170170087</v>
      </c>
      <c r="E20" s="249">
        <f t="shared" si="1"/>
        <v>1.1468060262912088</v>
      </c>
      <c r="F20" s="249">
        <f t="shared" si="2"/>
        <v>0.18204004261423623</v>
      </c>
      <c r="G20" s="248">
        <f>_xlfn.XLOOKUP(A20,'Daily KPI'!$A:$A,'Daily KPI'!$I:$I,0)</f>
        <v>4.4325999999999999</v>
      </c>
      <c r="H20" s="250">
        <f t="shared" si="14"/>
        <v>199317.46309574714</v>
      </c>
      <c r="I20" s="248">
        <f>_xlfn.XLOOKUP(A20,Input_Raw!A:A,Input_Raw!AS:AS)</f>
        <v>145000</v>
      </c>
      <c r="J20" s="251"/>
      <c r="K20" s="250">
        <f t="shared" si="3"/>
        <v>145000</v>
      </c>
      <c r="L20" s="250">
        <f t="shared" si="4"/>
        <v>0</v>
      </c>
      <c r="M20" s="249">
        <f t="shared" si="5"/>
        <v>0.83428150865208039</v>
      </c>
      <c r="N20" s="249">
        <f t="shared" si="6"/>
        <v>0.83428150865208028</v>
      </c>
      <c r="O20" s="249">
        <f t="shared" si="7"/>
        <v>0.15408484230213382</v>
      </c>
      <c r="P20" s="249">
        <f t="shared" si="8"/>
        <v>0.15408484230213382</v>
      </c>
      <c r="Q20" s="252">
        <f t="shared" si="9"/>
        <v>-54317.463095747138</v>
      </c>
      <c r="R20" s="253">
        <f t="shared" si="10"/>
        <v>-0.31252451763912847</v>
      </c>
      <c r="S20" s="254"/>
      <c r="T20" s="255"/>
      <c r="U20" s="255"/>
      <c r="V20" s="250">
        <f t="shared" si="11"/>
        <v>0</v>
      </c>
      <c r="W20" s="256"/>
      <c r="X20" s="345">
        <f t="shared" si="12"/>
        <v>1.1468060262912088</v>
      </c>
      <c r="Y20" s="256"/>
      <c r="Z20" s="250">
        <f t="shared" si="0"/>
        <v>0</v>
      </c>
      <c r="AA20" s="254"/>
      <c r="AC20" s="257"/>
    </row>
    <row r="21" spans="1:29">
      <c r="A21" s="246">
        <f t="shared" si="13"/>
        <v>45854</v>
      </c>
      <c r="B21" s="247">
        <v>39.21</v>
      </c>
      <c r="C21" s="248">
        <f>_xlfn.XLOOKUP(A21,'Daily KPI'!$A:$A,'Daily KPI'!$AC:$AC,0)</f>
        <v>3.8096774193548386</v>
      </c>
      <c r="D21" s="250">
        <f>_xlfn.XLOOKUP(A21,'Daily KPI'!$A:$A,'Daily KPI'!$AD:$AD,0)*B21/('Modelling New'!$AQ$1)</f>
        <v>171306.96170170087</v>
      </c>
      <c r="E21" s="249">
        <f t="shared" si="1"/>
        <v>1.1468060262912088</v>
      </c>
      <c r="F21" s="249">
        <f t="shared" si="2"/>
        <v>0.18204004261423623</v>
      </c>
      <c r="G21" s="248">
        <f>_xlfn.XLOOKUP(A21,'Daily KPI'!$A:$A,'Daily KPI'!$I:$I,0)</f>
        <v>3.9315000000000002</v>
      </c>
      <c r="H21" s="250">
        <f t="shared" si="14"/>
        <v>176784.86805958807</v>
      </c>
      <c r="I21" s="248">
        <f>_xlfn.XLOOKUP(A21,Input_Raw!A:A,Input_Raw!AS:AS)</f>
        <v>135000</v>
      </c>
      <c r="J21" s="251"/>
      <c r="K21" s="250">
        <f t="shared" si="3"/>
        <v>135000</v>
      </c>
      <c r="L21" s="250">
        <f t="shared" si="4"/>
        <v>0</v>
      </c>
      <c r="M21" s="249">
        <f t="shared" si="5"/>
        <v>0.87574697568079829</v>
      </c>
      <c r="N21" s="249">
        <f t="shared" si="6"/>
        <v>0.87574697568079829</v>
      </c>
      <c r="O21" s="249">
        <f t="shared" si="7"/>
        <v>0.1434583014537108</v>
      </c>
      <c r="P21" s="249">
        <f t="shared" si="8"/>
        <v>0.1434583014537108</v>
      </c>
      <c r="Q21" s="252">
        <f t="shared" si="9"/>
        <v>-41784.868059588072</v>
      </c>
      <c r="R21" s="253">
        <f t="shared" si="10"/>
        <v>-0.27105905061041047</v>
      </c>
      <c r="S21" s="254"/>
      <c r="T21" s="255"/>
      <c r="U21" s="255"/>
      <c r="V21" s="250">
        <f t="shared" si="11"/>
        <v>0</v>
      </c>
      <c r="W21" s="256"/>
      <c r="X21" s="345">
        <f t="shared" si="12"/>
        <v>1.1468060262912088</v>
      </c>
      <c r="Y21" s="256"/>
      <c r="Z21" s="250">
        <f t="shared" si="0"/>
        <v>0</v>
      </c>
      <c r="AA21" s="254"/>
      <c r="AC21" s="257"/>
    </row>
    <row r="22" spans="1:29">
      <c r="A22" s="246">
        <f t="shared" si="13"/>
        <v>45855</v>
      </c>
      <c r="B22" s="247">
        <v>39.21</v>
      </c>
      <c r="C22" s="248">
        <f>_xlfn.XLOOKUP(A22,'Daily KPI'!$A:$A,'Daily KPI'!$AC:$AC,0)</f>
        <v>3.8096774193548386</v>
      </c>
      <c r="D22" s="250">
        <f>_xlfn.XLOOKUP(A22,'Daily KPI'!$A:$A,'Daily KPI'!$AD:$AD,0)*B22/('Modelling New'!$AQ$1)</f>
        <v>171306.96170170087</v>
      </c>
      <c r="E22" s="249">
        <f t="shared" si="1"/>
        <v>1.1468060262912088</v>
      </c>
      <c r="F22" s="249">
        <f t="shared" si="2"/>
        <v>0.18204004261423623</v>
      </c>
      <c r="G22" s="248">
        <f>_xlfn.XLOOKUP(A22,'Daily KPI'!$A:$A,'Daily KPI'!$I:$I,0)</f>
        <v>3.3351999999999999</v>
      </c>
      <c r="H22" s="250">
        <f t="shared" si="14"/>
        <v>149971.48466293729</v>
      </c>
      <c r="I22" s="248">
        <f>_xlfn.XLOOKUP(A22,Input_Raw!A:A,Input_Raw!AS:AS)</f>
        <v>120000</v>
      </c>
      <c r="J22" s="251"/>
      <c r="K22" s="250">
        <f t="shared" si="3"/>
        <v>120000</v>
      </c>
      <c r="L22" s="250">
        <f t="shared" si="4"/>
        <v>0</v>
      </c>
      <c r="M22" s="249">
        <f t="shared" si="5"/>
        <v>0.91761926251673975</v>
      </c>
      <c r="N22" s="249">
        <f t="shared" si="6"/>
        <v>0.91761926251673964</v>
      </c>
      <c r="O22" s="249">
        <f t="shared" si="7"/>
        <v>0.12751849018107625</v>
      </c>
      <c r="P22" s="249">
        <f t="shared" si="8"/>
        <v>0.12751849018107625</v>
      </c>
      <c r="Q22" s="252">
        <f t="shared" si="9"/>
        <v>-29971.484662937291</v>
      </c>
      <c r="R22" s="253">
        <f t="shared" si="10"/>
        <v>-0.22918676377446912</v>
      </c>
      <c r="S22" s="258"/>
      <c r="T22" s="255"/>
      <c r="U22" s="255"/>
      <c r="V22" s="250">
        <f>(U22-T22)*(24*60)</f>
        <v>0</v>
      </c>
      <c r="W22" s="256"/>
      <c r="X22" s="345">
        <f t="shared" si="12"/>
        <v>1.1468060262912088</v>
      </c>
      <c r="Y22" s="256"/>
      <c r="Z22" s="250">
        <f t="shared" si="0"/>
        <v>0</v>
      </c>
      <c r="AA22" s="254"/>
      <c r="AC22" s="257"/>
    </row>
    <row r="23" spans="1:29" s="259" customFormat="1">
      <c r="A23" s="246">
        <f t="shared" si="13"/>
        <v>45856</v>
      </c>
      <c r="B23" s="247">
        <v>39.21</v>
      </c>
      <c r="C23" s="248">
        <f>_xlfn.XLOOKUP(A23,'Daily KPI'!$A:$A,'Daily KPI'!$AC:$AC,0)</f>
        <v>3.8096774193548386</v>
      </c>
      <c r="D23" s="250">
        <f>_xlfn.XLOOKUP(A23,'Daily KPI'!$A:$A,'Daily KPI'!$AD:$AD,0)*B23/('Modelling New'!$AQ$1)</f>
        <v>171306.96170170087</v>
      </c>
      <c r="E23" s="249">
        <f t="shared" si="1"/>
        <v>1.1468060262912088</v>
      </c>
      <c r="F23" s="249">
        <f t="shared" si="2"/>
        <v>0.18204004261423623</v>
      </c>
      <c r="G23" s="248">
        <f>_xlfn.XLOOKUP(A23,'Daily KPI'!$A:$A,'Daily KPI'!$I:$I,0)</f>
        <v>4.1150000000000002</v>
      </c>
      <c r="H23" s="250">
        <f t="shared" si="14"/>
        <v>185036.17755696422</v>
      </c>
      <c r="I23" s="248">
        <f>_xlfn.XLOOKUP(A23,Input_Raw!A:A,Input_Raw!AS:AS)</f>
        <v>144000</v>
      </c>
      <c r="J23" s="251"/>
      <c r="K23" s="250">
        <f t="shared" si="3"/>
        <v>144000</v>
      </c>
      <c r="L23" s="250">
        <f t="shared" si="4"/>
        <v>0</v>
      </c>
      <c r="M23" s="249">
        <f t="shared" si="5"/>
        <v>0.89247448778007188</v>
      </c>
      <c r="N23" s="249">
        <f t="shared" si="6"/>
        <v>0.89247448778007199</v>
      </c>
      <c r="O23" s="249">
        <f t="shared" si="7"/>
        <v>0.15302218821729149</v>
      </c>
      <c r="P23" s="249">
        <f t="shared" si="8"/>
        <v>0.15302218821729149</v>
      </c>
      <c r="Q23" s="252">
        <f t="shared" si="9"/>
        <v>-41036.17755696422</v>
      </c>
      <c r="R23" s="253">
        <f t="shared" si="10"/>
        <v>-0.25433153851113677</v>
      </c>
      <c r="S23" s="258"/>
      <c r="T23" s="255"/>
      <c r="U23" s="255"/>
      <c r="V23" s="250">
        <f t="shared" si="11"/>
        <v>0</v>
      </c>
      <c r="W23" s="256"/>
      <c r="X23" s="345">
        <f t="shared" si="12"/>
        <v>1.1468060262912088</v>
      </c>
      <c r="Y23" s="256"/>
      <c r="Z23" s="250">
        <f t="shared" si="0"/>
        <v>0</v>
      </c>
      <c r="AA23" s="254"/>
      <c r="AC23" s="257"/>
    </row>
    <row r="24" spans="1:29" s="259" customFormat="1">
      <c r="A24" s="246">
        <f t="shared" si="13"/>
        <v>45857</v>
      </c>
      <c r="B24" s="247">
        <v>39.21</v>
      </c>
      <c r="C24" s="248">
        <f>_xlfn.XLOOKUP(A24,'Daily KPI'!$A:$A,'Daily KPI'!$AC:$AC,0)</f>
        <v>3.8096774193548386</v>
      </c>
      <c r="D24" s="250">
        <f>_xlfn.XLOOKUP(A24,'Daily KPI'!$A:$A,'Daily KPI'!$AD:$AD,0)*B24/('Modelling New'!$AQ$1)</f>
        <v>171306.96170170087</v>
      </c>
      <c r="E24" s="249">
        <f t="shared" si="1"/>
        <v>1.1468060262912088</v>
      </c>
      <c r="F24" s="249">
        <f t="shared" si="2"/>
        <v>0.18204004261423623</v>
      </c>
      <c r="G24" s="248">
        <f>_xlfn.XLOOKUP(A24,'Daily KPI'!$A:$A,'Daily KPI'!$I:$I,0)</f>
        <v>6.1589999999999998</v>
      </c>
      <c r="H24" s="250">
        <f t="shared" si="14"/>
        <v>276947.22176751943</v>
      </c>
      <c r="I24" s="248">
        <f>_xlfn.XLOOKUP(A24,Input_Raw!A:A,Input_Raw!AS:AS)</f>
        <v>201000</v>
      </c>
      <c r="J24" s="251"/>
      <c r="K24" s="250">
        <f t="shared" si="3"/>
        <v>201000</v>
      </c>
      <c r="L24" s="250">
        <f t="shared" si="4"/>
        <v>0</v>
      </c>
      <c r="M24" s="249">
        <f t="shared" si="5"/>
        <v>0.83231747122572908</v>
      </c>
      <c r="N24" s="249">
        <f t="shared" si="6"/>
        <v>0.83231747122572908</v>
      </c>
      <c r="O24" s="249">
        <f t="shared" si="7"/>
        <v>0.21359347105330276</v>
      </c>
      <c r="P24" s="249">
        <f t="shared" si="8"/>
        <v>0.21359347105330276</v>
      </c>
      <c r="Q24" s="252">
        <f t="shared" si="9"/>
        <v>-75947.221767519426</v>
      </c>
      <c r="R24" s="253">
        <f t="shared" si="10"/>
        <v>-0.31448855506547968</v>
      </c>
      <c r="S24" s="258"/>
      <c r="T24" s="255"/>
      <c r="U24" s="255"/>
      <c r="V24" s="250">
        <f t="shared" si="11"/>
        <v>0</v>
      </c>
      <c r="W24" s="256"/>
      <c r="X24" s="345">
        <f t="shared" si="12"/>
        <v>1.1468060262912088</v>
      </c>
      <c r="Y24" s="256"/>
      <c r="Z24" s="250">
        <f t="shared" si="0"/>
        <v>0</v>
      </c>
      <c r="AA24" s="254"/>
      <c r="AC24" s="257"/>
    </row>
    <row r="25" spans="1:29">
      <c r="A25" s="246">
        <f t="shared" si="13"/>
        <v>45858</v>
      </c>
      <c r="B25" s="247">
        <v>39.21</v>
      </c>
      <c r="C25" s="248">
        <f>_xlfn.XLOOKUP(A25,'Daily KPI'!$A:$A,'Daily KPI'!$AC:$AC,0)</f>
        <v>3.8096774193548386</v>
      </c>
      <c r="D25" s="250">
        <f>_xlfn.XLOOKUP(A25,'Daily KPI'!$A:$A,'Daily KPI'!$AD:$AD,0)*B25/('Modelling New'!$AQ$1)</f>
        <v>171306.96170170087</v>
      </c>
      <c r="E25" s="249">
        <f t="shared" si="1"/>
        <v>1.1468060262912088</v>
      </c>
      <c r="F25" s="249">
        <f t="shared" si="2"/>
        <v>0.18204004261423623</v>
      </c>
      <c r="G25" s="248">
        <f>_xlfn.XLOOKUP(A25,'Daily KPI'!$A:$A,'Daily KPI'!$I:$I,0)</f>
        <v>4.8470000000000004</v>
      </c>
      <c r="H25" s="250">
        <f t="shared" si="14"/>
        <v>217951.48301788713</v>
      </c>
      <c r="I25" s="248">
        <f>_xlfn.XLOOKUP(A25,Input_Raw!A:A,Input_Raw!AS:AS)</f>
        <v>171000</v>
      </c>
      <c r="J25" s="251"/>
      <c r="K25" s="250">
        <f t="shared" si="3"/>
        <v>171000</v>
      </c>
      <c r="L25" s="250">
        <f t="shared" si="4"/>
        <v>0</v>
      </c>
      <c r="M25" s="249">
        <f t="shared" si="5"/>
        <v>0.89975910133955173</v>
      </c>
      <c r="N25" s="249">
        <f t="shared" si="6"/>
        <v>0.89975910133955173</v>
      </c>
      <c r="O25" s="249">
        <f t="shared" si="7"/>
        <v>0.18171384850803365</v>
      </c>
      <c r="P25" s="249">
        <f t="shared" si="8"/>
        <v>0.18171384850803365</v>
      </c>
      <c r="Q25" s="252">
        <f t="shared" si="9"/>
        <v>-46951.483017887134</v>
      </c>
      <c r="R25" s="253">
        <f t="shared" si="10"/>
        <v>-0.24704692495165703</v>
      </c>
      <c r="S25" s="258"/>
      <c r="T25" s="255"/>
      <c r="U25" s="255"/>
      <c r="V25" s="250">
        <f t="shared" si="11"/>
        <v>0</v>
      </c>
      <c r="W25" s="256"/>
      <c r="X25" s="345">
        <f t="shared" si="12"/>
        <v>1.1468060262912088</v>
      </c>
      <c r="Y25" s="256"/>
      <c r="Z25" s="250">
        <f t="shared" si="0"/>
        <v>0</v>
      </c>
      <c r="AA25" s="254"/>
      <c r="AC25" s="257"/>
    </row>
    <row r="26" spans="1:29">
      <c r="A26" s="246">
        <f t="shared" si="13"/>
        <v>45859</v>
      </c>
      <c r="B26" s="247">
        <v>39.21</v>
      </c>
      <c r="C26" s="248">
        <f>_xlfn.XLOOKUP(A26,'Daily KPI'!$A:$A,'Daily KPI'!$AC:$AC,0)</f>
        <v>3.8096774193548386</v>
      </c>
      <c r="D26" s="250">
        <f>_xlfn.XLOOKUP(A26,'Daily KPI'!$A:$A,'Daily KPI'!$AD:$AD,0)*B26/('Modelling New'!$AQ$1)</f>
        <v>171306.96170170087</v>
      </c>
      <c r="E26" s="249">
        <f t="shared" si="1"/>
        <v>1.1468060262912088</v>
      </c>
      <c r="F26" s="249">
        <f t="shared" si="2"/>
        <v>0.18204004261423623</v>
      </c>
      <c r="G26" s="248">
        <f>_xlfn.XLOOKUP(A26,'Daily KPI'!$A:$A,'Daily KPI'!$I:$I,0)</f>
        <v>4.8570000000000002</v>
      </c>
      <c r="H26" s="250">
        <f t="shared" si="14"/>
        <v>218401.14566079591</v>
      </c>
      <c r="I26" s="248">
        <f>_xlfn.XLOOKUP(A26,Input_Raw!A:A,Input_Raw!AS:AS)</f>
        <v>162000</v>
      </c>
      <c r="J26" s="251"/>
      <c r="K26" s="250">
        <f t="shared" si="3"/>
        <v>162000</v>
      </c>
      <c r="L26" s="250">
        <f t="shared" si="4"/>
        <v>0</v>
      </c>
      <c r="M26" s="249">
        <f t="shared" si="5"/>
        <v>0.85064835945375139</v>
      </c>
      <c r="N26" s="249">
        <f t="shared" si="6"/>
        <v>0.85064835945375139</v>
      </c>
      <c r="O26" s="249">
        <f t="shared" si="7"/>
        <v>0.17214996174445296</v>
      </c>
      <c r="P26" s="249">
        <f t="shared" si="8"/>
        <v>0.17214996174445296</v>
      </c>
      <c r="Q26" s="252">
        <f t="shared" si="9"/>
        <v>-56401.145660795912</v>
      </c>
      <c r="R26" s="253">
        <f t="shared" si="10"/>
        <v>-0.29615766683745737</v>
      </c>
      <c r="S26" s="254"/>
      <c r="T26" s="255"/>
      <c r="U26" s="255"/>
      <c r="V26" s="250">
        <f t="shared" si="11"/>
        <v>0</v>
      </c>
      <c r="W26" s="256"/>
      <c r="X26" s="345">
        <f t="shared" si="12"/>
        <v>1.1468060262912088</v>
      </c>
      <c r="Y26" s="256"/>
      <c r="Z26" s="250">
        <f t="shared" si="0"/>
        <v>0</v>
      </c>
      <c r="AA26" s="254"/>
      <c r="AC26" s="257"/>
    </row>
    <row r="27" spans="1:29">
      <c r="A27" s="246">
        <f t="shared" si="13"/>
        <v>45860</v>
      </c>
      <c r="B27" s="247">
        <v>39.21</v>
      </c>
      <c r="C27" s="248">
        <f>_xlfn.XLOOKUP(A27,'Daily KPI'!$A:$A,'Daily KPI'!$AC:$AC,0)</f>
        <v>3.8096774193548386</v>
      </c>
      <c r="D27" s="250">
        <f>_xlfn.XLOOKUP(A27,'Daily KPI'!$A:$A,'Daily KPI'!$AD:$AD,0)*B27/('Modelling New'!$AQ$1)</f>
        <v>171306.96170170087</v>
      </c>
      <c r="E27" s="249">
        <f t="shared" si="1"/>
        <v>1.1468060262912088</v>
      </c>
      <c r="F27" s="249">
        <f t="shared" si="2"/>
        <v>0.18204004261423623</v>
      </c>
      <c r="G27" s="248">
        <f>_xlfn.XLOOKUP(A27,'Daily KPI'!$A:$A,'Daily KPI'!$I:$I,0)</f>
        <v>3.08</v>
      </c>
      <c r="H27" s="250">
        <f t="shared" si="14"/>
        <v>138496.09401590517</v>
      </c>
      <c r="I27" s="248">
        <f>_xlfn.XLOOKUP(A27,Input_Raw!A:A,Input_Raw!AS:AS)</f>
        <v>111000</v>
      </c>
      <c r="J27" s="251"/>
      <c r="K27" s="250">
        <f t="shared" si="3"/>
        <v>111000</v>
      </c>
      <c r="L27" s="250">
        <f t="shared" si="4"/>
        <v>0</v>
      </c>
      <c r="M27" s="249">
        <f t="shared" si="5"/>
        <v>0.91912677987658853</v>
      </c>
      <c r="N27" s="249">
        <f t="shared" si="6"/>
        <v>0.91912677987658853</v>
      </c>
      <c r="O27" s="249">
        <f t="shared" si="7"/>
        <v>0.11795460341749554</v>
      </c>
      <c r="P27" s="249">
        <f t="shared" si="8"/>
        <v>0.11795460341749554</v>
      </c>
      <c r="Q27" s="252">
        <f t="shared" si="9"/>
        <v>-27496.094015905168</v>
      </c>
      <c r="R27" s="253">
        <f t="shared" si="10"/>
        <v>-0.22767924641462023</v>
      </c>
      <c r="S27" s="254"/>
      <c r="T27" s="255"/>
      <c r="U27" s="255"/>
      <c r="V27" s="250">
        <f t="shared" si="11"/>
        <v>0</v>
      </c>
      <c r="W27" s="256"/>
      <c r="X27" s="345">
        <f t="shared" si="12"/>
        <v>1.1468060262912088</v>
      </c>
      <c r="Y27" s="256"/>
      <c r="Z27" s="250">
        <f t="shared" si="0"/>
        <v>0</v>
      </c>
      <c r="AA27" s="254"/>
      <c r="AC27" s="257"/>
    </row>
    <row r="28" spans="1:29">
      <c r="A28" s="246">
        <f t="shared" si="13"/>
        <v>45861</v>
      </c>
      <c r="B28" s="247">
        <v>39.21</v>
      </c>
      <c r="C28" s="248">
        <f>_xlfn.XLOOKUP(A28,'Daily KPI'!$A:$A,'Daily KPI'!$AC:$AC,0)</f>
        <v>3.8096774193548386</v>
      </c>
      <c r="D28" s="250">
        <f>_xlfn.XLOOKUP(A28,'Daily KPI'!$A:$A,'Daily KPI'!$AD:$AD,0)*B28/('Modelling New'!$AQ$1)</f>
        <v>171306.96170170087</v>
      </c>
      <c r="E28" s="249">
        <f t="shared" si="1"/>
        <v>1.1468060262912088</v>
      </c>
      <c r="F28" s="249">
        <f t="shared" si="2"/>
        <v>0.18204004261423623</v>
      </c>
      <c r="G28" s="248">
        <f>_xlfn.XLOOKUP(A28,'Daily KPI'!$A:$A,'Daily KPI'!$I:$I,0)</f>
        <v>4.024</v>
      </c>
      <c r="H28" s="250">
        <f t="shared" si="14"/>
        <v>180944.24750649428</v>
      </c>
      <c r="I28" s="248">
        <f>_xlfn.XLOOKUP(A28,Input_Raw!A:A,Input_Raw!AS:AS)</f>
        <v>132000</v>
      </c>
      <c r="J28" s="251"/>
      <c r="K28" s="250">
        <f t="shared" si="3"/>
        <v>132000</v>
      </c>
      <c r="L28" s="250">
        <f t="shared" si="4"/>
        <v>0</v>
      </c>
      <c r="M28" s="249">
        <f t="shared" si="5"/>
        <v>0.83660242067107693</v>
      </c>
      <c r="N28" s="249">
        <f t="shared" si="6"/>
        <v>0.83660242067107682</v>
      </c>
      <c r="O28" s="249">
        <f t="shared" si="7"/>
        <v>0.14027033919918389</v>
      </c>
      <c r="P28" s="249">
        <f t="shared" si="8"/>
        <v>0.14027033919918389</v>
      </c>
      <c r="Q28" s="252">
        <f t="shared" si="9"/>
        <v>-48944.247506494285</v>
      </c>
      <c r="R28" s="253">
        <f t="shared" si="10"/>
        <v>-0.31020360562013194</v>
      </c>
      <c r="S28" s="254"/>
      <c r="T28" s="255"/>
      <c r="U28" s="255"/>
      <c r="V28" s="250">
        <f t="shared" si="11"/>
        <v>0</v>
      </c>
      <c r="W28" s="256"/>
      <c r="X28" s="345">
        <f t="shared" si="12"/>
        <v>1.1468060262912088</v>
      </c>
      <c r="Y28" s="256"/>
      <c r="Z28" s="250">
        <f t="shared" si="0"/>
        <v>0</v>
      </c>
      <c r="AA28" s="254"/>
      <c r="AC28" s="257"/>
    </row>
    <row r="29" spans="1:29">
      <c r="A29" s="246">
        <f t="shared" si="13"/>
        <v>45862</v>
      </c>
      <c r="B29" s="247">
        <v>39.21</v>
      </c>
      <c r="C29" s="248">
        <f>_xlfn.XLOOKUP(A29,'Daily KPI'!$A:$A,'Daily KPI'!$AC:$AC,0)</f>
        <v>3.8096774193548386</v>
      </c>
      <c r="D29" s="250">
        <f>_xlfn.XLOOKUP(A29,'Daily KPI'!$A:$A,'Daily KPI'!$AD:$AD,0)*B29/('Modelling New'!$AQ$1)</f>
        <v>171306.96170170087</v>
      </c>
      <c r="E29" s="249">
        <f t="shared" si="1"/>
        <v>1.1468060262912088</v>
      </c>
      <c r="F29" s="249">
        <f t="shared" si="2"/>
        <v>0.18204004261423623</v>
      </c>
      <c r="G29" s="248">
        <f>_xlfn.XLOOKUP(A29,'Daily KPI'!$A:$A,'Daily KPI'!$I:$I,0)</f>
        <v>2.198</v>
      </c>
      <c r="H29" s="250">
        <f>IFERROR(D29*(G29/C29),0)</f>
        <v>98835.848911350491</v>
      </c>
      <c r="I29" s="248">
        <f>_xlfn.XLOOKUP(A29,Input_Raw!A:A,Input_Raw!AS:AS)</f>
        <v>82000</v>
      </c>
      <c r="J29" s="251"/>
      <c r="K29" s="250">
        <f t="shared" si="3"/>
        <v>82000</v>
      </c>
      <c r="L29" s="250">
        <f t="shared" si="4"/>
        <v>0</v>
      </c>
      <c r="M29" s="249">
        <f t="shared" si="5"/>
        <v>0.95145734257035963</v>
      </c>
      <c r="N29" s="249">
        <f t="shared" si="6"/>
        <v>0.95145734257035963</v>
      </c>
      <c r="O29" s="249">
        <f t="shared" si="7"/>
        <v>8.7137634957068777E-2</v>
      </c>
      <c r="P29" s="249">
        <f t="shared" si="8"/>
        <v>8.7137634957068777E-2</v>
      </c>
      <c r="Q29" s="252">
        <f t="shared" si="9"/>
        <v>-16835.848911350491</v>
      </c>
      <c r="R29" s="253">
        <f t="shared" si="10"/>
        <v>-0.19534868372084913</v>
      </c>
      <c r="S29" s="254"/>
      <c r="T29" s="255"/>
      <c r="U29" s="255"/>
      <c r="V29" s="250">
        <f t="shared" si="11"/>
        <v>0</v>
      </c>
      <c r="W29" s="256"/>
      <c r="X29" s="345">
        <f t="shared" si="12"/>
        <v>1.1468060262912088</v>
      </c>
      <c r="Y29" s="256"/>
      <c r="Z29" s="250">
        <f t="shared" si="0"/>
        <v>0</v>
      </c>
      <c r="AA29" s="254"/>
      <c r="AC29" s="257"/>
    </row>
    <row r="30" spans="1:29" ht="16.5" customHeight="1">
      <c r="A30" s="246">
        <f t="shared" si="13"/>
        <v>45863</v>
      </c>
      <c r="B30" s="247">
        <v>39.21</v>
      </c>
      <c r="C30" s="248">
        <f>_xlfn.XLOOKUP(A30,'Daily KPI'!$A:$A,'Daily KPI'!$AC:$AC,0)</f>
        <v>3.8096774193548386</v>
      </c>
      <c r="D30" s="250">
        <f>_xlfn.XLOOKUP(A30,'Daily KPI'!$A:$A,'Daily KPI'!$AD:$AD,0)*B30/('Modelling New'!$AQ$1)</f>
        <v>171306.96170170087</v>
      </c>
      <c r="E30" s="249">
        <f t="shared" si="1"/>
        <v>1.1468060262912088</v>
      </c>
      <c r="F30" s="249">
        <f t="shared" si="2"/>
        <v>0.18204004261423623</v>
      </c>
      <c r="G30" s="248">
        <f>_xlfn.XLOOKUP(A30,'Daily KPI'!$A:$A,'Daily KPI'!$I:$I,0)</f>
        <v>1.6439999999999999</v>
      </c>
      <c r="H30" s="250">
        <f t="shared" si="14"/>
        <v>73924.538494203924</v>
      </c>
      <c r="I30" s="248">
        <f>_xlfn.XLOOKUP(A30,Input_Raw!A:A,Input_Raw!AS:AS)</f>
        <v>62000</v>
      </c>
      <c r="J30" s="251"/>
      <c r="K30" s="250">
        <f t="shared" si="3"/>
        <v>62000</v>
      </c>
      <c r="L30" s="250">
        <f t="shared" si="4"/>
        <v>0</v>
      </c>
      <c r="M30" s="249">
        <f t="shared" si="5"/>
        <v>0.96181829576967481</v>
      </c>
      <c r="N30" s="249">
        <f t="shared" si="6"/>
        <v>0.96181829576967481</v>
      </c>
      <c r="O30" s="249">
        <f t="shared" si="7"/>
        <v>6.5884553260222731E-2</v>
      </c>
      <c r="P30" s="249">
        <f t="shared" si="8"/>
        <v>6.5884553260222731E-2</v>
      </c>
      <c r="Q30" s="252">
        <f t="shared" si="9"/>
        <v>-11924.538494203924</v>
      </c>
      <c r="R30" s="253">
        <f t="shared" si="10"/>
        <v>-0.18498773052153394</v>
      </c>
      <c r="S30" s="254"/>
      <c r="T30" s="255"/>
      <c r="U30" s="255"/>
      <c r="V30" s="250">
        <f t="shared" si="11"/>
        <v>0</v>
      </c>
      <c r="W30" s="256"/>
      <c r="X30" s="345">
        <f t="shared" si="12"/>
        <v>1.1468060262912088</v>
      </c>
      <c r="Y30" s="256"/>
      <c r="Z30" s="250">
        <f t="shared" si="0"/>
        <v>0</v>
      </c>
      <c r="AA30" s="254"/>
      <c r="AC30" s="257"/>
    </row>
    <row r="31" spans="1:29">
      <c r="A31" s="246">
        <f t="shared" si="13"/>
        <v>45864</v>
      </c>
      <c r="B31" s="247">
        <v>39.21</v>
      </c>
      <c r="C31" s="248">
        <f>_xlfn.XLOOKUP(A31,'Daily KPI'!$A:$A,'Daily KPI'!$AC:$AC,0)</f>
        <v>3.8096774193548386</v>
      </c>
      <c r="D31" s="250">
        <f>_xlfn.XLOOKUP(A31,'Daily KPI'!$A:$A,'Daily KPI'!$AD:$AD,0)*B31/('Modelling New'!$AQ$1)</f>
        <v>171306.96170170087</v>
      </c>
      <c r="E31" s="249">
        <f t="shared" si="1"/>
        <v>1.1468060262912088</v>
      </c>
      <c r="F31" s="249">
        <f t="shared" si="2"/>
        <v>0.18204004261423623</v>
      </c>
      <c r="G31" s="248">
        <f>_xlfn.XLOOKUP(A31,'Daily KPI'!$A:$A,'Daily KPI'!$I:$I,0)</f>
        <v>1.0980000000000001</v>
      </c>
      <c r="H31" s="250">
        <f t="shared" si="14"/>
        <v>49372.958191384379</v>
      </c>
      <c r="I31" s="248">
        <f>_xlfn.XLOOKUP(A31,Input_Raw!A:A,Input_Raw!AS:AS)</f>
        <v>44000</v>
      </c>
      <c r="J31" s="251"/>
      <c r="K31" s="250">
        <f t="shared" si="3"/>
        <v>44000</v>
      </c>
      <c r="L31" s="250">
        <f t="shared" si="4"/>
        <v>0</v>
      </c>
      <c r="M31" s="249">
        <f t="shared" si="5"/>
        <v>1.0220061143838532</v>
      </c>
      <c r="N31" s="249">
        <f t="shared" si="6"/>
        <v>1.0220061143838532</v>
      </c>
      <c r="O31" s="249">
        <f t="shared" si="7"/>
        <v>4.6756779733061291E-2</v>
      </c>
      <c r="P31" s="249">
        <f t="shared" si="8"/>
        <v>4.6756779733061291E-2</v>
      </c>
      <c r="Q31" s="252">
        <f t="shared" si="9"/>
        <v>-5372.9581913843795</v>
      </c>
      <c r="R31" s="253">
        <f t="shared" si="10"/>
        <v>-0.12479991190735551</v>
      </c>
      <c r="S31" s="254"/>
      <c r="T31" s="255"/>
      <c r="U31" s="255"/>
      <c r="V31" s="250">
        <f t="shared" si="11"/>
        <v>0</v>
      </c>
      <c r="W31" s="256"/>
      <c r="X31" s="345">
        <f t="shared" si="12"/>
        <v>1.1468060262912088</v>
      </c>
      <c r="Y31" s="256"/>
      <c r="Z31" s="250">
        <f t="shared" si="0"/>
        <v>0</v>
      </c>
      <c r="AA31" s="254"/>
      <c r="AC31" s="257"/>
    </row>
    <row r="32" spans="1:29">
      <c r="A32" s="246">
        <f t="shared" si="13"/>
        <v>45865</v>
      </c>
      <c r="B32" s="247">
        <v>39.21</v>
      </c>
      <c r="C32" s="248">
        <f>_xlfn.XLOOKUP(A32,'Daily KPI'!$A:$A,'Daily KPI'!$AC:$AC,0)</f>
        <v>3.8096774193548386</v>
      </c>
      <c r="D32" s="250">
        <f>_xlfn.XLOOKUP(A32,'Daily KPI'!$A:$A,'Daily KPI'!$AD:$AD,0)*B32/('Modelling New'!$AQ$1)</f>
        <v>171306.96170170087</v>
      </c>
      <c r="E32" s="249">
        <f t="shared" si="1"/>
        <v>1.1468060262912088</v>
      </c>
      <c r="F32" s="249">
        <f t="shared" si="2"/>
        <v>0.18204004261423623</v>
      </c>
      <c r="G32" s="248">
        <f>_xlfn.XLOOKUP(A32,'Daily KPI'!$A:$A,'Daily KPI'!$I:$I,0)</f>
        <v>2.1960000000000002</v>
      </c>
      <c r="H32" s="250">
        <f t="shared" si="14"/>
        <v>98745.916382768759</v>
      </c>
      <c r="I32" s="248">
        <f>_xlfn.XLOOKUP(A32,Input_Raw!A:A,Input_Raw!AS:AS)</f>
        <v>81000</v>
      </c>
      <c r="J32" s="251"/>
      <c r="K32" s="250">
        <f t="shared" si="3"/>
        <v>81000</v>
      </c>
      <c r="L32" s="250">
        <f t="shared" si="4"/>
        <v>0</v>
      </c>
      <c r="M32" s="249">
        <f t="shared" si="5"/>
        <v>0.94071017346695573</v>
      </c>
      <c r="N32" s="249">
        <f t="shared" si="6"/>
        <v>0.94071017346695585</v>
      </c>
      <c r="O32" s="249">
        <f t="shared" si="7"/>
        <v>8.6074980872226481E-2</v>
      </c>
      <c r="P32" s="249">
        <f t="shared" si="8"/>
        <v>8.6074980872226481E-2</v>
      </c>
      <c r="Q32" s="252">
        <f t="shared" si="9"/>
        <v>-17745.916382768759</v>
      </c>
      <c r="R32" s="253">
        <f t="shared" si="10"/>
        <v>-0.20609585282425291</v>
      </c>
      <c r="S32" s="254"/>
      <c r="T32" s="255"/>
      <c r="U32" s="255"/>
      <c r="V32" s="250">
        <f t="shared" si="11"/>
        <v>0</v>
      </c>
      <c r="W32" s="256"/>
      <c r="X32" s="345">
        <f t="shared" si="12"/>
        <v>1.1468060262912088</v>
      </c>
      <c r="Y32" s="256"/>
      <c r="Z32" s="250">
        <f t="shared" si="0"/>
        <v>0</v>
      </c>
      <c r="AA32" s="254"/>
      <c r="AC32" s="257"/>
    </row>
    <row r="33" spans="1:27">
      <c r="A33" s="246">
        <f t="shared" si="13"/>
        <v>45866</v>
      </c>
      <c r="B33" s="247">
        <v>39.21</v>
      </c>
      <c r="C33" s="248">
        <f>_xlfn.XLOOKUP(A33,'Daily KPI'!$A:$A,'Daily KPI'!$AC:$AC,0)</f>
        <v>3.8096774193548386</v>
      </c>
      <c r="D33" s="250">
        <f>_xlfn.XLOOKUP(A33,'Daily KPI'!$A:$A,'Daily KPI'!$AD:$AD,0)*B33/('Modelling New'!$AQ$1)</f>
        <v>171306.96170170087</v>
      </c>
      <c r="E33" s="249">
        <f t="shared" si="1"/>
        <v>1.1468060262912088</v>
      </c>
      <c r="F33" s="249">
        <f t="shared" si="2"/>
        <v>0.18204004261423623</v>
      </c>
      <c r="G33" s="248">
        <f>_xlfn.XLOOKUP(A33,'Daily KPI'!$A:$A,'Daily KPI'!$I:$I,0)</f>
        <v>0</v>
      </c>
      <c r="H33" s="250">
        <f t="shared" si="14"/>
        <v>0</v>
      </c>
      <c r="I33" s="248">
        <f>_xlfn.XLOOKUP(A33,Input_Raw!A:A,Input_Raw!AS:AS)</f>
        <v>0</v>
      </c>
      <c r="J33" s="251"/>
      <c r="K33" s="250">
        <f t="shared" si="3"/>
        <v>0</v>
      </c>
      <c r="L33" s="250">
        <f t="shared" si="4"/>
        <v>0</v>
      </c>
      <c r="M33" s="249">
        <f t="shared" si="5"/>
        <v>0</v>
      </c>
      <c r="N33" s="249">
        <f t="shared" si="6"/>
        <v>0</v>
      </c>
      <c r="O33" s="249">
        <f t="shared" si="7"/>
        <v>0</v>
      </c>
      <c r="P33" s="249">
        <f t="shared" si="8"/>
        <v>0</v>
      </c>
      <c r="Q33" s="252">
        <f t="shared" si="9"/>
        <v>0</v>
      </c>
      <c r="R33" s="253">
        <f t="shared" si="10"/>
        <v>-1.1468060262912088</v>
      </c>
      <c r="S33" s="254"/>
      <c r="T33" s="255"/>
      <c r="U33" s="255"/>
      <c r="V33" s="250">
        <f t="shared" si="11"/>
        <v>0</v>
      </c>
      <c r="W33" s="256"/>
      <c r="X33" s="345">
        <f t="shared" si="12"/>
        <v>1.1468060262912088</v>
      </c>
      <c r="Y33" s="256"/>
      <c r="Z33" s="250">
        <f t="shared" si="0"/>
        <v>0</v>
      </c>
      <c r="AA33" s="254"/>
    </row>
    <row r="34" spans="1:27">
      <c r="A34" s="246">
        <f t="shared" si="13"/>
        <v>45867</v>
      </c>
      <c r="B34" s="247">
        <v>39.21</v>
      </c>
      <c r="C34" s="248">
        <f>_xlfn.XLOOKUP(A34,'Daily KPI'!$A:$A,'Daily KPI'!$AC:$AC,0)</f>
        <v>3.8096774193548386</v>
      </c>
      <c r="D34" s="250">
        <f>_xlfn.XLOOKUP(A34,'Daily KPI'!$A:$A,'Daily KPI'!$AD:$AD,0)*B34/('Modelling New'!$AQ$1)</f>
        <v>171306.96170170087</v>
      </c>
      <c r="E34" s="249">
        <f t="shared" si="1"/>
        <v>1.1468060262912088</v>
      </c>
      <c r="F34" s="249">
        <f t="shared" si="2"/>
        <v>0.18204004261423623</v>
      </c>
      <c r="G34" s="248">
        <f>_xlfn.XLOOKUP(A34,'Daily KPI'!$A:$A,'Daily KPI'!$I:$I,0)</f>
        <v>0</v>
      </c>
      <c r="H34" s="250">
        <f t="shared" ref="H34:H35" si="15">IFERROR(D34*(G34/C34),0)</f>
        <v>0</v>
      </c>
      <c r="I34" s="248">
        <f>_xlfn.XLOOKUP(A34,Input_Raw!A:A,Input_Raw!AS:AS)</f>
        <v>0</v>
      </c>
      <c r="J34" s="251"/>
      <c r="K34" s="250">
        <f t="shared" ref="K34:K35" si="16">I34-J34</f>
        <v>0</v>
      </c>
      <c r="L34" s="250">
        <f t="shared" ref="L34:L35" si="17">Z34</f>
        <v>0</v>
      </c>
      <c r="M34" s="249">
        <f t="shared" si="5"/>
        <v>0</v>
      </c>
      <c r="N34" s="249">
        <f t="shared" si="6"/>
        <v>0</v>
      </c>
      <c r="O34" s="249">
        <f t="shared" si="7"/>
        <v>0</v>
      </c>
      <c r="P34" s="249">
        <f t="shared" si="8"/>
        <v>0</v>
      </c>
      <c r="Q34" s="252">
        <f t="shared" ref="Q34:Q35" si="18">(I34+L34)-H34</f>
        <v>0</v>
      </c>
      <c r="R34" s="253">
        <f t="shared" ref="R34:R35" si="19">N34-E34</f>
        <v>-1.1468060262912088</v>
      </c>
      <c r="S34" s="254"/>
      <c r="T34" s="255"/>
      <c r="U34" s="255"/>
      <c r="V34" s="250">
        <f t="shared" ref="V34:V35" si="20">(U34-T34)*(24*60)</f>
        <v>0</v>
      </c>
      <c r="W34" s="256"/>
      <c r="X34" s="345">
        <f t="shared" ref="X34:X35" si="21">E34</f>
        <v>1.1468060262912088</v>
      </c>
      <c r="Y34" s="256"/>
      <c r="Z34" s="250">
        <f t="shared" si="0"/>
        <v>0</v>
      </c>
      <c r="AA34" s="254"/>
    </row>
    <row r="35" spans="1:27">
      <c r="A35" s="246">
        <f t="shared" si="13"/>
        <v>45868</v>
      </c>
      <c r="B35" s="247">
        <v>39.21</v>
      </c>
      <c r="C35" s="248">
        <f>_xlfn.XLOOKUP(A35,'Daily KPI'!$A:$A,'Daily KPI'!$AC:$AC,0)</f>
        <v>3.8096774193548386</v>
      </c>
      <c r="D35" s="250">
        <f>_xlfn.XLOOKUP(A35,'Daily KPI'!$A:$A,'Daily KPI'!$AD:$AD,0)*B35/('Modelling New'!$AQ$1)</f>
        <v>171306.96170170087</v>
      </c>
      <c r="E35" s="249">
        <f t="shared" si="1"/>
        <v>1.1468060262912088</v>
      </c>
      <c r="F35" s="249">
        <f t="shared" si="2"/>
        <v>0.18204004261423623</v>
      </c>
      <c r="G35" s="248">
        <f>_xlfn.XLOOKUP(A35,'Daily KPI'!$A:$A,'Daily KPI'!$I:$I,0)</f>
        <v>0</v>
      </c>
      <c r="H35" s="250">
        <f t="shared" si="15"/>
        <v>0</v>
      </c>
      <c r="I35" s="248">
        <f>_xlfn.XLOOKUP(A35,Input_Raw!A:A,Input_Raw!AS:AS)</f>
        <v>0</v>
      </c>
      <c r="J35" s="251"/>
      <c r="K35" s="250">
        <f t="shared" si="16"/>
        <v>0</v>
      </c>
      <c r="L35" s="250">
        <f t="shared" si="17"/>
        <v>0</v>
      </c>
      <c r="M35" s="249">
        <f t="shared" si="5"/>
        <v>0</v>
      </c>
      <c r="N35" s="249">
        <f t="shared" si="6"/>
        <v>0</v>
      </c>
      <c r="O35" s="249">
        <f t="shared" si="7"/>
        <v>0</v>
      </c>
      <c r="P35" s="249">
        <f t="shared" si="8"/>
        <v>0</v>
      </c>
      <c r="Q35" s="252">
        <f t="shared" si="18"/>
        <v>0</v>
      </c>
      <c r="R35" s="253">
        <f t="shared" si="19"/>
        <v>-1.1468060262912088</v>
      </c>
      <c r="S35" s="254"/>
      <c r="T35" s="255"/>
      <c r="U35" s="255"/>
      <c r="V35" s="250">
        <f t="shared" si="20"/>
        <v>0</v>
      </c>
      <c r="W35" s="256"/>
      <c r="X35" s="345">
        <f t="shared" si="21"/>
        <v>1.1468060262912088</v>
      </c>
      <c r="Y35" s="256"/>
      <c r="Z35" s="250">
        <f t="shared" si="0"/>
        <v>0</v>
      </c>
      <c r="AA35" s="254"/>
    </row>
    <row r="36" spans="1:27">
      <c r="A36" s="246">
        <f t="shared" si="13"/>
        <v>45869</v>
      </c>
      <c r="B36" s="247">
        <v>39.21</v>
      </c>
      <c r="C36" s="248">
        <f>_xlfn.XLOOKUP(A36,'Daily KPI'!$A:$A,'Daily KPI'!$AC:$AC,0)</f>
        <v>3.8096774193548386</v>
      </c>
      <c r="D36" s="250">
        <f>_xlfn.XLOOKUP(A36,'Daily KPI'!$A:$A,'Daily KPI'!$AD:$AD,0)*B36/('Modelling New'!$AQ$1)</f>
        <v>171306.96170170087</v>
      </c>
      <c r="E36" s="249">
        <f t="shared" ref="E36" si="22">IFERROR(D36/(B36*C36*1000),0)</f>
        <v>1.1468060262912088</v>
      </c>
      <c r="F36" s="249">
        <f t="shared" ref="F36" si="23">IFERROR(D36/(24*1*B36*1000),0)</f>
        <v>0.18204004261423623</v>
      </c>
      <c r="G36" s="248">
        <f>_xlfn.XLOOKUP(A36,'Daily KPI'!$A:$A,'Daily KPI'!$I:$I,0)</f>
        <v>0</v>
      </c>
      <c r="H36" s="250">
        <f t="shared" ref="H36" si="24">IFERROR(D36*(G36/C36),0)</f>
        <v>0</v>
      </c>
      <c r="I36" s="248">
        <f>_xlfn.XLOOKUP(A36,Input_Raw!A:A,Input_Raw!AS:AS)</f>
        <v>0</v>
      </c>
      <c r="J36" s="251"/>
      <c r="K36" s="250">
        <f t="shared" ref="K36" si="25">I36-J36</f>
        <v>0</v>
      </c>
      <c r="L36" s="250">
        <f t="shared" ref="L36" si="26">Z36</f>
        <v>0</v>
      </c>
      <c r="M36" s="249">
        <f t="shared" ref="M36" si="27">IFERROR(I36/(B36*G36*1000),0)</f>
        <v>0</v>
      </c>
      <c r="N36" s="249">
        <f t="shared" ref="N36" si="28">IFERROR((I36+L36)/(B36*G36)/1000,0)</f>
        <v>0</v>
      </c>
      <c r="O36" s="249">
        <f t="shared" ref="O36" si="29">IFERROR(I36/(24*1*B36)/1000,0)</f>
        <v>0</v>
      </c>
      <c r="P36" s="249">
        <f t="shared" ref="P36" si="30">IFERROR((I36+L36)/(24*1*B36)/1000,0)</f>
        <v>0</v>
      </c>
      <c r="Q36" s="252">
        <f t="shared" ref="Q36" si="31">(I36+L36)-H36</f>
        <v>0</v>
      </c>
      <c r="R36" s="253">
        <f t="shared" ref="R36" si="32">N36-E36</f>
        <v>-1.1468060262912088</v>
      </c>
      <c r="S36" s="254"/>
      <c r="T36" s="255"/>
      <c r="U36" s="255"/>
      <c r="V36" s="250">
        <f t="shared" ref="V36" si="33">(U36-T36)*(24*60)</f>
        <v>0</v>
      </c>
      <c r="W36" s="256"/>
      <c r="X36" s="345">
        <f t="shared" ref="X36" si="34">E36</f>
        <v>1.1468060262912088</v>
      </c>
      <c r="Y36" s="256"/>
      <c r="Z36" s="250">
        <f t="shared" ref="Z36" si="35">(Y36*X36*W36)</f>
        <v>0</v>
      </c>
      <c r="AA36" s="254"/>
    </row>
    <row r="37" spans="1:27" s="270" customFormat="1" ht="15" customHeight="1">
      <c r="A37" s="260" t="s">
        <v>68</v>
      </c>
      <c r="B37" s="261">
        <f>IFERROR(AVERAGEIF(B6:B36,"&lt;&gt;0"),0)</f>
        <v>39.210000000000015</v>
      </c>
      <c r="C37" s="262">
        <f>SUM(C6:C36)</f>
        <v>118.10000000000005</v>
      </c>
      <c r="D37" s="263">
        <f>SUM(D6:D36)</f>
        <v>5310515.8127527256</v>
      </c>
      <c r="E37" s="264">
        <f>IFERROR(AVERAGEIF(E6:E36,"&lt;&gt;0"),0)</f>
        <v>1.1468060262912088</v>
      </c>
      <c r="F37" s="264">
        <f>IFERROR(AVERAGEIF(F6:F36,"&lt;&gt;0"),0)</f>
        <v>0.18204004261423631</v>
      </c>
      <c r="G37" s="262">
        <f>SUM(G6:G36)</f>
        <v>89.647899999999993</v>
      </c>
      <c r="H37" s="265">
        <f>IFERROR(D37*(G37/C37),0)</f>
        <v>4031131.1645222255</v>
      </c>
      <c r="I37" s="263">
        <f>SUM(I6:I36)</f>
        <v>3102000</v>
      </c>
      <c r="J37" s="263">
        <f>SUM(J6:J36)</f>
        <v>0</v>
      </c>
      <c r="K37" s="263">
        <f>SUM(K6:K36)</f>
        <v>3102000</v>
      </c>
      <c r="L37" s="263">
        <f>SUM(L6:L36)</f>
        <v>0</v>
      </c>
      <c r="M37" s="264">
        <f>IFERROR(AVERAGEIF(M6:M36,"&lt;&gt;0"),0)</f>
        <v>0.90252821741813083</v>
      </c>
      <c r="N37" s="264">
        <f>IFERROR(AVERAGEIF(N6:N36,"&lt;&gt;0"),0)</f>
        <v>0.90252821741813083</v>
      </c>
      <c r="O37" s="264">
        <f>IFERROR(AVERAGEIF(O6:O36,"&lt;&gt;0"),0)</f>
        <v>0.1220871470807712</v>
      </c>
      <c r="P37" s="264">
        <f>IFERROR(AVERAGEIF(P6:P36,"&lt;&gt;0"),0)</f>
        <v>0.1220871470807712</v>
      </c>
      <c r="Q37" s="263">
        <f>(I37+L37)-H37</f>
        <v>-929131.1645222255</v>
      </c>
      <c r="R37" s="266">
        <f>N37-E37</f>
        <v>-0.24427780887307793</v>
      </c>
      <c r="S37" s="267"/>
      <c r="T37" s="267"/>
      <c r="U37" s="267"/>
      <c r="V37" s="263">
        <f>SUM(V6:V36)</f>
        <v>0</v>
      </c>
      <c r="W37" s="262"/>
      <c r="X37" s="268"/>
      <c r="Y37" s="269"/>
      <c r="Z37" s="263">
        <f>SUM(Z6:Z36)</f>
        <v>0</v>
      </c>
      <c r="AA37" s="263"/>
    </row>
    <row r="38" spans="1:27">
      <c r="I38" s="271"/>
      <c r="J38" s="271"/>
      <c r="K38" s="271"/>
      <c r="L38" s="271"/>
      <c r="M38" s="271"/>
      <c r="N38" s="271"/>
      <c r="O38" s="271"/>
      <c r="P38" s="271"/>
    </row>
    <row r="39" spans="1:27">
      <c r="C39" s="272"/>
      <c r="E39" s="272"/>
      <c r="F39" s="272"/>
      <c r="Z39" s="271"/>
    </row>
    <row r="41" spans="1:27">
      <c r="I41" s="273"/>
      <c r="J41" s="273"/>
      <c r="K41" s="273"/>
      <c r="L41" s="273"/>
      <c r="M41" s="273"/>
      <c r="N41" s="273"/>
      <c r="O41" s="273"/>
      <c r="P41" s="273"/>
    </row>
  </sheetData>
  <mergeCells count="30">
    <mergeCell ref="R3:R5"/>
    <mergeCell ref="T3:AA3"/>
    <mergeCell ref="T4:U4"/>
    <mergeCell ref="V4:V5"/>
    <mergeCell ref="W4:W5"/>
    <mergeCell ref="X4:X5"/>
    <mergeCell ref="Y4:Y5"/>
    <mergeCell ref="Z4:Z5"/>
    <mergeCell ref="AA4:AA5"/>
    <mergeCell ref="M3:M5"/>
    <mergeCell ref="N3:N5"/>
    <mergeCell ref="O3:O5"/>
    <mergeCell ref="P3:P5"/>
    <mergeCell ref="Q3:Q5"/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N4" sqref="N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5" t="s">
        <v>69</v>
      </c>
      <c r="B1" s="76">
        <f>O2Summary!B5</f>
        <v>45865</v>
      </c>
      <c r="C1" s="80">
        <f>O2Summary!B4</f>
        <v>45839</v>
      </c>
    </row>
    <row r="2" spans="1:14" ht="21">
      <c r="A2" s="391" t="s">
        <v>70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</row>
    <row r="3" spans="1:14" ht="31">
      <c r="A3" s="89" t="s">
        <v>71</v>
      </c>
      <c r="B3" s="89" t="s">
        <v>72</v>
      </c>
      <c r="C3" s="79" t="s">
        <v>73</v>
      </c>
      <c r="D3" s="79" t="s">
        <v>74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83</v>
      </c>
      <c r="N3" s="79" t="s">
        <v>84</v>
      </c>
    </row>
    <row r="4" spans="1:14">
      <c r="A4" s="144">
        <f>YEAR(B1)+IF(MONTH(B1)&gt;=4,1,0)</f>
        <v>2026</v>
      </c>
      <c r="B4" s="81">
        <f>B1-(O2Summary!B7)+1</f>
        <v>118</v>
      </c>
      <c r="C4" s="82">
        <f>_xlfn.XLOOKUP($C$1,'Modelling New'!$D:$D,'Modelling New'!$S:$S,0)</f>
        <v>639.9693244225806</v>
      </c>
      <c r="D4" s="83">
        <f>SUMIFS('Daily KPI'!$I:$I,'Daily KPI'!$A:$A,"&gt;="&amp;O2Summary!$B$7,'Daily KPI'!$A:$A,"&lt;="&amp;AnnualKPI!$B$1)</f>
        <v>577.9955982366663</v>
      </c>
      <c r="E4" s="81">
        <f>_xlfn.XLOOKUP($C$1,'Modelling New'!$D:$D,'Modelling New'!$V:$V,0)</f>
        <v>20892.301640589714</v>
      </c>
      <c r="F4" s="84">
        <f>SUMIFS('Daily KPI'!$Y:$Y,'Daily KPI'!$D:$D,"&gt;="&amp;O2Summary!$B$7,'Daily KPI'!$A:$A,"&lt;="&amp;AnnualKPI!$B$1)/1000</f>
        <v>17635</v>
      </c>
      <c r="G4" s="85">
        <f>_xlfn.XLOOKUP($C$1,'Modelling New'!$D:$D,'Modelling New'!$Y:$Y,0)</f>
        <v>0.1356824637207249</v>
      </c>
      <c r="H4" s="86">
        <f>F4/_xlfn.XLOOKUP(C1,'Modelling New'!D:D,'Modelling New'!N:N)/(24*B4)</f>
        <v>0.11452832190907639</v>
      </c>
      <c r="I4" s="85">
        <f>IFERROR(_xlfn.XLOOKUP($C$1,'Modelling New'!$D:$D,'Modelling New'!AF:AF),"")</f>
        <v>0.995</v>
      </c>
      <c r="J4" s="87">
        <f>AVERAGEIFS('Daily KPI'!$R:$R,'Daily KPI'!B:B,"&gt;="&amp;AnnualKPI!$A$4,'Daily KPI'!$A:$A,"&gt;="&amp;AnnualKPI!$B$1)</f>
        <v>1</v>
      </c>
      <c r="K4" s="85">
        <f>IFERROR(_xlfn.XLOOKUP($C$1,'Modelling New'!$D:$D,'Modelling New'!AE:AE),"")</f>
        <v>0.995</v>
      </c>
      <c r="L4" s="87">
        <f>AVERAGEIFS('Daily KPI'!$O:$O,'Daily KPI'!D:D,"&gt;="&amp;AnnualKPI!$A$4,'Daily KPI'!$A:$A,"&gt;="&amp;AnnualKPI!$B$1)</f>
        <v>1</v>
      </c>
      <c r="M4" s="88">
        <f>_xlfn.XLOOKUP($C$1,'Modelling New'!$D:$D,'Modelling New'!O:O)</f>
        <v>0.82702281611841366</v>
      </c>
      <c r="N4" s="86">
        <f>F4/D4/_xlfn.XLOOKUP($C$1,'Modelling New'!$D:$D,'Modelling New'!$AA:$AA)</f>
        <v>0.79488531519411676</v>
      </c>
    </row>
    <row r="6" spans="1:14">
      <c r="L6" s="25"/>
      <c r="M6" s="25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B1" sqref="B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3" t="s">
        <v>69</v>
      </c>
      <c r="B1" s="76">
        <f>O2Summary!B5</f>
        <v>45865</v>
      </c>
      <c r="C1" s="77">
        <v>0</v>
      </c>
      <c r="D1" s="77">
        <v>0</v>
      </c>
      <c r="E1" s="77">
        <v>0</v>
      </c>
      <c r="F1" s="77">
        <v>0</v>
      </c>
    </row>
    <row r="2" spans="1:15" ht="29.25" customHeight="1">
      <c r="A2" s="391" t="s">
        <v>85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</row>
    <row r="3" spans="1:15" ht="29.25" customHeight="1">
      <c r="A3" s="89" t="s">
        <v>86</v>
      </c>
      <c r="B3" s="78" t="s">
        <v>72</v>
      </c>
      <c r="C3" s="79" t="s">
        <v>87</v>
      </c>
      <c r="D3" s="79" t="s">
        <v>88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89</v>
      </c>
      <c r="N3" s="79" t="s">
        <v>90</v>
      </c>
      <c r="O3" s="79" t="s">
        <v>91</v>
      </c>
    </row>
    <row r="4" spans="1:15" ht="29.25" customHeight="1">
      <c r="A4" s="80">
        <f>O2Summary!B4</f>
        <v>45839</v>
      </c>
      <c r="B4" s="81">
        <f>DAY(B1)</f>
        <v>27</v>
      </c>
      <c r="C4" s="82">
        <f>_xlfn.XLOOKUP($A$4,'Modelling New'!$D:$D,'Modelling New'!$R:$R,0)</f>
        <v>102.86129032258064</v>
      </c>
      <c r="D4" s="83">
        <f>SUMIF('Daily KPI'!$D:$D,$A$4,'Daily KPI'!I:I)</f>
        <v>89.647899999999993</v>
      </c>
      <c r="E4" s="81">
        <f>_xlfn.XLOOKUP($A$4,'Modelling New'!$D:$D,'Modelling New'!$U:$U,0)</f>
        <v>4625.2879659459231</v>
      </c>
      <c r="F4" s="84">
        <f>SUMIFS('Daily KPI'!$AA:$AA,'Daily KPI'!$D:$D,"&gt;="&amp;$A$4,'Daily KPI'!$A:$A,"&lt;="&amp;MonthlyKPI!$B$1)/1000</f>
        <v>3068.1056689864531</v>
      </c>
      <c r="G4" s="85">
        <f>E4/_xlfn.XLOOKUP(A4,'Modelling New'!D:D,'Modelling New'!N:N)/(24*B4)</f>
        <v>0.13127875616073204</v>
      </c>
      <c r="H4" s="86">
        <f>F4/(24*B4)/(_xlfn.XLOOKUP(A4,'Modelling New'!D:D,'Modelling New'!N:N))</f>
        <v>8.7081517725969268E-2</v>
      </c>
      <c r="I4" s="85">
        <f>_xlfn.XLOOKUP($A$4,'Modelling New'!$D:$D,'Modelling New'!$AF:$AF)</f>
        <v>0.995</v>
      </c>
      <c r="J4" s="86">
        <f>AVERAGEIF('Daily KPI'!$D:$D,$A$4,'Daily KPI'!$R:$R)</f>
        <v>1</v>
      </c>
      <c r="K4" s="85">
        <f>_xlfn.XLOOKUP($A$4,'Modelling New'!$D:$D,'Modelling New'!$AE:$AE)</f>
        <v>0.995</v>
      </c>
      <c r="L4" s="86">
        <f>AVERAGEIF('Daily KPI'!$D:$D,$A$4,'Daily KPI'!$O:$O)</f>
        <v>0.97955892189929283</v>
      </c>
      <c r="M4" s="88">
        <f>_xlfn.XLOOKUP($A$4,'Modelling New'!$D:$D,'Modelling New'!$O:$O,0)</f>
        <v>0.82702281611841366</v>
      </c>
      <c r="N4" s="86">
        <f>F4/D4/(_xlfn.XLOOKUP(A4,'Modelling New'!$D:$D,'Modelling New'!$Z:$Z))</f>
        <v>0.87283740639803786</v>
      </c>
      <c r="O4" s="86" t="str">
        <f>IFERROR(AVERAGEIF('Daily KPI'!$D:$D,$A$4,'Daily KPI'!$V:$V),"")</f>
        <v/>
      </c>
    </row>
    <row r="6" spans="1:15" ht="29.25" customHeight="1">
      <c r="A6" s="143" t="s">
        <v>92</v>
      </c>
      <c r="B6" s="76">
        <f>B7-6</f>
        <v>45859</v>
      </c>
      <c r="D6" s="25"/>
      <c r="F6" s="25"/>
    </row>
    <row r="7" spans="1:15" ht="29.25" customHeight="1">
      <c r="A7" s="143" t="s">
        <v>93</v>
      </c>
      <c r="B7" s="76">
        <f>B1</f>
        <v>45865</v>
      </c>
    </row>
    <row r="8" spans="1:15" ht="29.25" customHeight="1">
      <c r="A8" s="391" t="s">
        <v>85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</row>
    <row r="9" spans="1:15" ht="29.25" customHeight="1">
      <c r="A9" s="89" t="s">
        <v>86</v>
      </c>
      <c r="B9" s="78" t="s">
        <v>72</v>
      </c>
      <c r="C9" s="79" t="s">
        <v>87</v>
      </c>
      <c r="D9" s="79" t="s">
        <v>88</v>
      </c>
      <c r="E9" s="79" t="s">
        <v>75</v>
      </c>
      <c r="F9" s="79" t="s">
        <v>76</v>
      </c>
      <c r="G9" s="79" t="s">
        <v>77</v>
      </c>
      <c r="H9" s="79" t="s">
        <v>78</v>
      </c>
      <c r="I9" s="79" t="s">
        <v>79</v>
      </c>
      <c r="J9" s="79" t="s">
        <v>80</v>
      </c>
      <c r="K9" s="79" t="s">
        <v>81</v>
      </c>
      <c r="L9" s="79" t="s">
        <v>82</v>
      </c>
      <c r="M9" s="79" t="s">
        <v>89</v>
      </c>
      <c r="N9" s="79" t="s">
        <v>90</v>
      </c>
      <c r="O9" s="79" t="s">
        <v>91</v>
      </c>
    </row>
    <row r="10" spans="1:15" s="52" customFormat="1" ht="29.25" customHeight="1">
      <c r="A10" s="80">
        <f>A4</f>
        <v>45839</v>
      </c>
      <c r="B10" s="81">
        <f>(B7-B6)+1</f>
        <v>7</v>
      </c>
      <c r="C10" s="82">
        <f>SUMIFS('Daily KPI'!$AC:$AC,'Daily KPI'!$A:$A,"&gt;="&amp;$B$6,'Daily KPI'!$A:$A,"&lt;="&amp;$B$7)</f>
        <v>26.667741935483868</v>
      </c>
      <c r="D10" s="83">
        <f>SUMIFS('Daily KPI'!$I:$I,'Daily KPI'!$A:$A,"&gt;="&amp;B6,'Daily KPI'!$A:$A,"&lt;="&amp;B7)</f>
        <v>19.097000000000001</v>
      </c>
      <c r="E10" s="81">
        <f>SUMIFS('Daily KPI'!$AD:$AD,'Daily KPI'!$A:$A,"&gt;="&amp;B6,'Daily KPI'!$A:$A,"&lt;="&amp;B7)/1000</f>
        <v>1199.1487319119062</v>
      </c>
      <c r="F10" s="84">
        <f>SUMIFS('Daily KPI'!$AA:$AA,'Daily KPI'!$A:$A,"&gt;="&amp;B6,'Daily KPI'!$A:$A,"&lt;="&amp;B7)/1000</f>
        <v>665.00125135260078</v>
      </c>
      <c r="G10" s="85">
        <f>E10/(24*B10)/_xlfn.XLOOKUP(A10,'Modelling New'!D:D,'Modelling New'!N:N)</f>
        <v>0.13127875616073206</v>
      </c>
      <c r="H10" s="86">
        <f>F10/(24*B10)/(_xlfn.XLOOKUP(A10,'Modelling New'!D:D,'Modelling New'!N:N))</f>
        <v>7.280209268429029E-2</v>
      </c>
      <c r="I10" s="85">
        <f>_xlfn.XLOOKUP($A$10,'Modelling New'!$D:$D,'Modelling New'!$AF:$AF)</f>
        <v>0.995</v>
      </c>
      <c r="J10" s="86">
        <f>AVERAGEIFS('Daily KPI'!$R:$R,'Daily KPI'!$A:$A,"&gt;="&amp;B6,'Daily KPI'!$A:$A,"&lt;="&amp;B7)</f>
        <v>1</v>
      </c>
      <c r="K10" s="85">
        <f>_xlfn.XLOOKUP($A$10,'Modelling New'!$D:$D,'Modelling New'!$AE:$AE)</f>
        <v>0.995</v>
      </c>
      <c r="L10" s="86">
        <f>AVERAGEIFS('Daily KPI'!$O:$O,'Daily KPI'!$A:$A,"&gt;="&amp;B6,'Daily KPI'!$A:$A,"&lt;="&amp;B7)</f>
        <v>0.9926972532717403</v>
      </c>
      <c r="M10" s="85">
        <f>E10/C10/AVERAGEIFS('Daily KPI'!$AR:$AR,'Daily KPI'!$A:$A,"&gt;="&amp;B6,'Daily KPI'!$A:$A,"&lt;="&amp;B7)</f>
        <v>0.82702281611841355</v>
      </c>
      <c r="N10" s="86">
        <f>F10/D10/AVERAGEIFS('Daily KPI'!$AR:$AR,'Daily KPI'!$A:$A,"&gt;="&amp;B6,'Daily KPI'!$A:$A,"&lt;="&amp;B7)</f>
        <v>0.64045408027233419</v>
      </c>
      <c r="O10" s="86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221" t="s">
        <v>94</v>
      </c>
      <c r="B1" t="s">
        <v>95</v>
      </c>
      <c r="C1" t="s">
        <v>96</v>
      </c>
    </row>
    <row r="2" spans="1:3">
      <c r="A2" s="17" t="s">
        <v>97</v>
      </c>
      <c r="B2" s="74">
        <v>8349710.6500000004</v>
      </c>
      <c r="C2" s="74">
        <v>1715597.4899999998</v>
      </c>
    </row>
    <row r="3" spans="1:3">
      <c r="A3" s="222" t="s">
        <v>98</v>
      </c>
      <c r="B3" s="74">
        <v>1263514</v>
      </c>
      <c r="C3" s="74">
        <v>99126.389999999985</v>
      </c>
    </row>
    <row r="4" spans="1:3">
      <c r="A4" s="222" t="s">
        <v>99</v>
      </c>
      <c r="B4" s="74">
        <v>2993651.2600000002</v>
      </c>
      <c r="C4" s="74">
        <v>577993.19999999995</v>
      </c>
    </row>
    <row r="5" spans="1:3">
      <c r="A5" s="222" t="s">
        <v>100</v>
      </c>
      <c r="B5" s="74">
        <v>4092545.39</v>
      </c>
      <c r="C5" s="74">
        <v>1038477.8999999999</v>
      </c>
    </row>
    <row r="6" spans="1:3">
      <c r="A6" s="222" t="s">
        <v>101</v>
      </c>
      <c r="B6" s="74">
        <v>0</v>
      </c>
      <c r="C6" s="74">
        <v>0</v>
      </c>
    </row>
    <row r="7" spans="1:3">
      <c r="A7" s="222" t="s">
        <v>102</v>
      </c>
      <c r="B7" s="74">
        <v>0</v>
      </c>
      <c r="C7" s="74">
        <v>0</v>
      </c>
    </row>
    <row r="8" spans="1:3">
      <c r="A8" s="222" t="s">
        <v>103</v>
      </c>
      <c r="B8" s="74">
        <v>0</v>
      </c>
      <c r="C8" s="74">
        <v>0</v>
      </c>
    </row>
    <row r="9" spans="1:3">
      <c r="A9" s="222" t="s">
        <v>104</v>
      </c>
      <c r="B9" s="74">
        <v>0</v>
      </c>
      <c r="C9" s="74">
        <v>0</v>
      </c>
    </row>
    <row r="10" spans="1:3">
      <c r="A10" s="222" t="s">
        <v>105</v>
      </c>
      <c r="B10" s="74">
        <v>0</v>
      </c>
      <c r="C10" s="74">
        <v>0</v>
      </c>
    </row>
    <row r="11" spans="1:3">
      <c r="A11" s="222" t="s">
        <v>106</v>
      </c>
      <c r="B11" s="74">
        <v>0</v>
      </c>
      <c r="C11" s="74">
        <v>0</v>
      </c>
    </row>
    <row r="12" spans="1:3">
      <c r="A12" s="222" t="s">
        <v>107</v>
      </c>
      <c r="B12" s="74">
        <v>0</v>
      </c>
      <c r="C12" s="74">
        <v>0</v>
      </c>
    </row>
    <row r="13" spans="1:3">
      <c r="A13" s="222" t="s">
        <v>108</v>
      </c>
      <c r="B13" s="74">
        <v>0</v>
      </c>
      <c r="C13" s="74">
        <v>0</v>
      </c>
    </row>
    <row r="14" spans="1:3">
      <c r="A14" s="17" t="s">
        <v>109</v>
      </c>
      <c r="B14" s="74">
        <v>8349710.6500000004</v>
      </c>
      <c r="C14" s="74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Q93" activePane="bottomRight" state="frozen"/>
      <selection pane="topRight" activeCell="E1" sqref="E1"/>
      <selection pane="bottomLeft" activeCell="A2" sqref="A2"/>
      <selection pane="bottomRight" activeCell="AC98" sqref="AC98"/>
    </sheetView>
  </sheetViews>
  <sheetFormatPr defaultColWidth="8.453125" defaultRowHeight="14.5"/>
  <cols>
    <col min="1" max="1" width="9.81640625" style="292" bestFit="1" customWidth="1"/>
    <col min="2" max="5" width="9" style="292" customWidth="1"/>
    <col min="6" max="9" width="10.453125" style="292" customWidth="1"/>
    <col min="10" max="12" width="11.453125" style="292" customWidth="1"/>
    <col min="13" max="13" width="15.1796875" style="292" bestFit="1" customWidth="1"/>
    <col min="14" max="39" width="11.453125" style="292" customWidth="1"/>
    <col min="40" max="40" width="11.453125" style="306" customWidth="1"/>
    <col min="41" max="45" width="11.453125" style="292" customWidth="1"/>
    <col min="46" max="16384" width="8.453125" style="292"/>
  </cols>
  <sheetData>
    <row r="1" spans="1:45" ht="58">
      <c r="A1" s="288" t="s">
        <v>110</v>
      </c>
      <c r="B1" s="289" t="s">
        <v>111</v>
      </c>
      <c r="C1" s="289" t="s">
        <v>112</v>
      </c>
      <c r="D1" s="289" t="s">
        <v>113</v>
      </c>
      <c r="E1" s="289" t="s">
        <v>72</v>
      </c>
      <c r="F1" s="290" t="s">
        <v>114</v>
      </c>
      <c r="G1" s="290" t="s">
        <v>115</v>
      </c>
      <c r="H1" s="290" t="s">
        <v>116</v>
      </c>
      <c r="I1" s="290" t="s">
        <v>117</v>
      </c>
      <c r="J1" s="290" t="s">
        <v>118</v>
      </c>
      <c r="K1" s="290" t="s">
        <v>119</v>
      </c>
      <c r="L1" s="290" t="s">
        <v>120</v>
      </c>
      <c r="M1" s="290" t="s">
        <v>121</v>
      </c>
      <c r="N1" s="290" t="s">
        <v>122</v>
      </c>
      <c r="O1" s="290" t="s">
        <v>123</v>
      </c>
      <c r="P1" s="290" t="s">
        <v>124</v>
      </c>
      <c r="Q1" s="290" t="s">
        <v>125</v>
      </c>
      <c r="R1" s="290" t="s">
        <v>126</v>
      </c>
      <c r="S1" s="290" t="s">
        <v>127</v>
      </c>
      <c r="T1" s="290" t="s">
        <v>128</v>
      </c>
      <c r="U1" s="290" t="s">
        <v>129</v>
      </c>
      <c r="V1" s="290" t="s">
        <v>130</v>
      </c>
      <c r="W1" s="290" t="s">
        <v>131</v>
      </c>
      <c r="X1" s="290" t="s">
        <v>132</v>
      </c>
      <c r="Y1" s="290" t="s">
        <v>133</v>
      </c>
      <c r="Z1" s="290" t="s">
        <v>134</v>
      </c>
      <c r="AA1" s="290" t="s">
        <v>135</v>
      </c>
      <c r="AB1" s="290" t="s">
        <v>136</v>
      </c>
      <c r="AC1" s="290" t="s">
        <v>137</v>
      </c>
      <c r="AD1" s="290" t="s">
        <v>138</v>
      </c>
      <c r="AE1" s="290" t="s">
        <v>139</v>
      </c>
      <c r="AF1" s="290" t="s">
        <v>140</v>
      </c>
      <c r="AG1" s="290" t="s">
        <v>141</v>
      </c>
      <c r="AH1" s="290" t="s">
        <v>142</v>
      </c>
      <c r="AI1" s="290" t="s">
        <v>143</v>
      </c>
      <c r="AJ1" s="290" t="s">
        <v>144</v>
      </c>
      <c r="AK1" s="290" t="s">
        <v>145</v>
      </c>
      <c r="AL1" s="290" t="s">
        <v>146</v>
      </c>
      <c r="AM1" s="290" t="s">
        <v>147</v>
      </c>
      <c r="AN1" s="291" t="s">
        <v>148</v>
      </c>
      <c r="AO1" s="290" t="s">
        <v>149</v>
      </c>
      <c r="AP1" s="290" t="s">
        <v>150</v>
      </c>
      <c r="AQ1" s="290" t="s">
        <v>151</v>
      </c>
      <c r="AR1" s="290" t="s">
        <v>152</v>
      </c>
      <c r="AS1" s="290" t="s">
        <v>153</v>
      </c>
    </row>
    <row r="2" spans="1:45">
      <c r="A2" s="293">
        <v>45745</v>
      </c>
      <c r="B2" s="294">
        <f>YEAR(Daily_KPI[[#This Row],[Date]])+IF(MONTH(Daily_KPI[[#This Row],[Date]])&gt;=4,1,0)</f>
        <v>2025</v>
      </c>
      <c r="C2" s="295">
        <f>YEAR(Daily_KPI[[#This Row],[Date]])</f>
        <v>2025</v>
      </c>
      <c r="D2" s="296">
        <f>Daily_KPI[[#This Row],[Date]]-DAY(Daily_KPI[[#This Row],[Date]])+1</f>
        <v>45717</v>
      </c>
      <c r="E2" s="295">
        <f t="shared" ref="E2:E9" si="0">DAY(EOMONTH(A2,0))</f>
        <v>31</v>
      </c>
      <c r="F2" s="297">
        <f>IFERROR(_xlfn.XLOOKUP($A2,Input_Raw!$A:$A,Input_Raw!$AR:$AR),"")</f>
        <v>11.566666666666666</v>
      </c>
      <c r="G2" s="298">
        <f>IFERROR(_xlfn.XLOOKUP($A2,Input_Raw!$A:$A,Input_Raw!$R:$R),"")</f>
        <v>5.73</v>
      </c>
      <c r="H2" s="298"/>
      <c r="I2" s="298">
        <f>IFERROR(_xlfn.XLOOKUP($A2,Input_Raw!$A:$A,Input_Raw!$Q:$Q),"")</f>
        <v>6.29</v>
      </c>
      <c r="J2" s="298"/>
      <c r="K2" s="298">
        <f>IFERROR(_xlfn.XLOOKUP($A2,Input_Raw!$A:$A,Input_Raw!S:S),"")</f>
        <v>35.94</v>
      </c>
      <c r="L2" s="298">
        <f>IFERROR(_xlfn.XLOOKUP($A2,Input_Raw!$A:$A,Input_Raw!T:T),"")</f>
        <v>44.76</v>
      </c>
      <c r="M2" s="298">
        <f>IFERROR(_xlfn.XLOOKUP($A2,Input_Raw!$A:$A,Input_Raw!W:W),"")</f>
        <v>2.76</v>
      </c>
      <c r="N2" s="298">
        <f>IFERROR(_xlfn.XLOOKUP($A2,Input_Raw!$A:$A,Input_Raw!X:X),"")</f>
        <v>7.89</v>
      </c>
      <c r="O2" s="299" t="str">
        <f>IFERROR(1-(SUMIF(Plant_BD!$B:$B,$A2,Plant_BD!$AL:$AL)/($AA2+SUMIF(Plant_BD!$B:$B,$A2,Plant_BD!$AL:$AL))),"")</f>
        <v/>
      </c>
      <c r="P2" s="299"/>
      <c r="Q2" s="300"/>
      <c r="R2" s="299" t="str">
        <f>IFERROR(1-(SUMIF(Grid_BD!$B:$B,$A2,Grid_BD!$V:$V)/($AA2+SUMIF(Grid_BD!$B:$B,$A2,Grid_BD!$V:$V))),"")</f>
        <v/>
      </c>
      <c r="S2" s="295"/>
      <c r="T2" s="300"/>
      <c r="U2" s="301" t="str">
        <f t="shared" ref="U2:U9" si="1">IFERROR(AA2/I2/AB2/1000,"")</f>
        <v/>
      </c>
      <c r="V2" s="301" t="str">
        <f>IFERROR(_xlfn.XLOOKUP($A2,Input_Raw!$A:$A,Input_Raw!$AX:$AX),"")</f>
        <v/>
      </c>
      <c r="W2" s="302" t="str">
        <f t="shared" ref="W2:W9" si="2">IFERROR(AA2/(24*AR2*1000),"")</f>
        <v/>
      </c>
      <c r="X2" s="294">
        <f>IFERROR(_xlfn.XLOOKUP($A2,Input_Raw!$A:$A,Input_Raw!$AA:$AA),"")</f>
        <v>147871.1</v>
      </c>
      <c r="Y2" s="294" t="str">
        <f>IFERROR(_xlfn.XLOOKUP($A2,Input_Raw!$A:$A,Input_Raw!$AS:$AS),"")</f>
        <v/>
      </c>
      <c r="Z2" s="294"/>
      <c r="AA2" s="294" t="str">
        <f>IFERROR(_xlfn.XLOOKUP($A2,Input_Raw!$A:$A,Input_Raw!$AT:$AT),"")</f>
        <v/>
      </c>
      <c r="AB2" s="294">
        <f>IFERROR(_xlfn.XLOOKUP($A2,Input_Raw!$A:$A,Input_Raw!$AU:$AU),"")</f>
        <v>30.72</v>
      </c>
      <c r="AC2" s="303">
        <f>IFERROR(_xlfn.XLOOKUP($D2,'Modelling New'!$D:$D,'Modelling New'!P:P),"")</f>
        <v>6.870967741935484</v>
      </c>
      <c r="AD2" s="294">
        <f>IFERROR(_xlfn.XLOOKUP($D2,'Modelling New'!$D:$D,'Modelling New'!T:T)*1000,"")</f>
        <v>214258.06451612903</v>
      </c>
      <c r="AE2" s="304">
        <f>IFERROR(_xlfn.XLOOKUP($D2,'Modelling New'!$D:$D,'Modelling New'!$O:$O),"")</f>
        <v>0.79528433031240231</v>
      </c>
      <c r="AF2" s="304">
        <f>IFERROR(_xlfn.XLOOKUP($D2,'Modelling New'!$D:$D,'Modelling New'!$W:$W),"")</f>
        <v>0.22768220746847004</v>
      </c>
      <c r="AG2" s="304">
        <f>IFERROR(_xlfn.XLOOKUP($D2,'Modelling New'!$D:$D,'Modelling New'!$AE:$AE),"")</f>
        <v>0.995</v>
      </c>
      <c r="AH2" s="304">
        <f>IFERROR(_xlfn.XLOOKUP($D2,'Modelling New'!$D:$D,'Modelling New'!$AF:$AF),"")</f>
        <v>0.995</v>
      </c>
      <c r="AI2" s="295"/>
      <c r="AJ2" s="295"/>
      <c r="AK2" s="295"/>
      <c r="AL2" s="295"/>
      <c r="AM2" s="295"/>
      <c r="AN2" s="305"/>
      <c r="AO2" s="302"/>
      <c r="AP2" s="302"/>
      <c r="AQ2" s="302"/>
      <c r="AR2" s="294">
        <f>_xlfn.XLOOKUP($D2,'Modelling New'!$D:$D,'Modelling New'!$N:$N)</f>
        <v>39.21</v>
      </c>
      <c r="AS2" s="294">
        <f t="shared" ref="AS2:AS9" si="3">IFERROR((AD2/AR2)*AB2,"")</f>
        <v>167865.53792235357</v>
      </c>
    </row>
    <row r="3" spans="1:45">
      <c r="A3" s="293">
        <f t="shared" ref="A3:A11" si="4">A2+1</f>
        <v>45746</v>
      </c>
      <c r="B3" s="294">
        <f>YEAR(Daily_KPI[[#This Row],[Date]])+IF(MONTH(Daily_KPI[[#This Row],[Date]])&gt;=4,1,0)</f>
        <v>2025</v>
      </c>
      <c r="C3" s="295">
        <f>YEAR(Daily_KPI[[#This Row],[Date]])</f>
        <v>2025</v>
      </c>
      <c r="D3" s="296">
        <f>Daily_KPI[[#This Row],[Date]]-DAY(Daily_KPI[[#This Row],[Date]])+1</f>
        <v>45717</v>
      </c>
      <c r="E3" s="295">
        <f t="shared" si="0"/>
        <v>31</v>
      </c>
      <c r="F3" s="297">
        <f>IFERROR(_xlfn.XLOOKUP($A3,Input_Raw!$A:$A,Input_Raw!$AR:$AR),"")</f>
        <v>11.566666666666666</v>
      </c>
      <c r="G3" s="298">
        <f>IFERROR(_xlfn.XLOOKUP($A3,Input_Raw!$A:$A,Input_Raw!$R:$R),"")</f>
        <v>5.68</v>
      </c>
      <c r="H3" s="298"/>
      <c r="I3" s="298">
        <f>IFERROR(_xlfn.XLOOKUP($A3,Input_Raw!$A:$A,Input_Raw!$Q:$Q),"")</f>
        <v>5.81</v>
      </c>
      <c r="J3" s="298"/>
      <c r="K3" s="298">
        <f>IFERROR(_xlfn.XLOOKUP($A3,Input_Raw!$A:$A,Input_Raw!S:S),"")</f>
        <v>36.33</v>
      </c>
      <c r="L3" s="298">
        <f>IFERROR(_xlfn.XLOOKUP($A3,Input_Raw!$A:$A,Input_Raw!T:T),"")</f>
        <v>44.98</v>
      </c>
      <c r="M3" s="298">
        <f>IFERROR(_xlfn.XLOOKUP($A3,Input_Raw!$A:$A,Input_Raw!W:W),"")</f>
        <v>2.06</v>
      </c>
      <c r="N3" s="298">
        <f>IFERROR(_xlfn.XLOOKUP($A3,Input_Raw!$A:$A,Input_Raw!X:X),"")</f>
        <v>7.88</v>
      </c>
      <c r="O3" s="299">
        <f>IFERROR(1-(SUMIF(Plant_BD!$B:$B,$A3,Plant_BD!$AL:$AL)/($AA3+SUMIF(Plant_BD!$B:$B,$A3,Plant_BD!$AL:$AL))),"")</f>
        <v>1</v>
      </c>
      <c r="P3" s="299"/>
      <c r="Q3" s="300"/>
      <c r="R3" s="299">
        <f>IFERROR(1-(SUMIF(Grid_BD!$B:$B,$A3,Grid_BD!$V:$V)/($AA3+SUMIF(Grid_BD!$B:$B,$A3,Grid_BD!$V:$V))),"")</f>
        <v>1</v>
      </c>
      <c r="S3" s="295"/>
      <c r="T3" s="300"/>
      <c r="U3" s="301">
        <f t="shared" si="1"/>
        <v>0.7789149477143279</v>
      </c>
      <c r="V3" s="301" t="str">
        <f>IFERROR(_xlfn.XLOOKUP($A3,Input_Raw!$A:$A,Input_Raw!$AX:$AX),"")</f>
        <v/>
      </c>
      <c r="W3" s="302">
        <f t="shared" si="2"/>
        <v>0.14773360579346884</v>
      </c>
      <c r="X3" s="294">
        <f>IFERROR(_xlfn.XLOOKUP($A3,Input_Raw!$A:$A,Input_Raw!$AA:$AA),"")</f>
        <v>141377.1</v>
      </c>
      <c r="Y3" s="294">
        <f>IFERROR(_xlfn.XLOOKUP($A3,Input_Raw!$A:$A,Input_Raw!$AS:$AS),"")</f>
        <v>140000</v>
      </c>
      <c r="Z3" s="294"/>
      <c r="AA3" s="294">
        <f>IFERROR(_xlfn.XLOOKUP($A3,Input_Raw!$A:$A,Input_Raw!$AT:$AT),"")</f>
        <v>139023.23239588592</v>
      </c>
      <c r="AB3" s="294">
        <f>IFERROR(_xlfn.XLOOKUP($A3,Input_Raw!$A:$A,Input_Raw!$AU:$AU),"")</f>
        <v>30.72</v>
      </c>
      <c r="AC3" s="303">
        <f>IFERROR(_xlfn.XLOOKUP($D3,'Modelling New'!$D:$D,'Modelling New'!P:P),"")</f>
        <v>6.870967741935484</v>
      </c>
      <c r="AD3" s="294">
        <f>IFERROR(_xlfn.XLOOKUP($D3,'Modelling New'!$D:$D,'Modelling New'!T:T)*1000,"")</f>
        <v>214258.06451612903</v>
      </c>
      <c r="AE3" s="304">
        <f>IFERROR(_xlfn.XLOOKUP($D3,'Modelling New'!$D:$D,'Modelling New'!$O:$O),"")</f>
        <v>0.79528433031240231</v>
      </c>
      <c r="AF3" s="304">
        <f>IFERROR(_xlfn.XLOOKUP($D3,'Modelling New'!$D:$D,'Modelling New'!$W:$W),"")</f>
        <v>0.22768220746847004</v>
      </c>
      <c r="AG3" s="304">
        <f>IFERROR(_xlfn.XLOOKUP($D3,'Modelling New'!$D:$D,'Modelling New'!$AE:$AE),"")</f>
        <v>0.995</v>
      </c>
      <c r="AH3" s="304">
        <f>IFERROR(_xlfn.XLOOKUP($D3,'Modelling New'!$D:$D,'Modelling New'!$AF:$AF),"")</f>
        <v>0.995</v>
      </c>
      <c r="AI3" s="295"/>
      <c r="AJ3" s="295"/>
      <c r="AK3" s="295"/>
      <c r="AL3" s="295"/>
      <c r="AM3" s="295"/>
      <c r="AN3" s="305"/>
      <c r="AO3" s="302"/>
      <c r="AP3" s="302"/>
      <c r="AQ3" s="302"/>
      <c r="AR3" s="294">
        <f>_xlfn.XLOOKUP($D3,'Modelling New'!$D:$D,'Modelling New'!$N:$N)</f>
        <v>39.21</v>
      </c>
      <c r="AS3" s="294">
        <f t="shared" si="3"/>
        <v>167865.53792235357</v>
      </c>
    </row>
    <row r="4" spans="1:45">
      <c r="A4" s="293">
        <f t="shared" si="4"/>
        <v>45747</v>
      </c>
      <c r="B4" s="294">
        <f>YEAR(Daily_KPI[[#This Row],[Date]])+IF(MONTH(Daily_KPI[[#This Row],[Date]])&gt;=4,1,0)</f>
        <v>2025</v>
      </c>
      <c r="C4" s="295">
        <f>YEAR(Daily_KPI[[#This Row],[Date]])</f>
        <v>2025</v>
      </c>
      <c r="D4" s="296">
        <f>Daily_KPI[[#This Row],[Date]]-DAY(Daily_KPI[[#This Row],[Date]])+1</f>
        <v>45717</v>
      </c>
      <c r="E4" s="295">
        <f t="shared" si="0"/>
        <v>31</v>
      </c>
      <c r="F4" s="297">
        <f>IFERROR(_xlfn.XLOOKUP($A4,Input_Raw!$A:$A,Input_Raw!$AR:$AR),"")</f>
        <v>11.433333333333334</v>
      </c>
      <c r="G4" s="298">
        <f>IFERROR(_xlfn.XLOOKUP($A4,Input_Raw!$A:$A,Input_Raw!$R:$R),"")</f>
        <v>5.15</v>
      </c>
      <c r="H4" s="298"/>
      <c r="I4" s="298">
        <f>IFERROR(_xlfn.XLOOKUP($A4,Input_Raw!$A:$A,Input_Raw!$Q:$Q),"")</f>
        <v>5.26</v>
      </c>
      <c r="J4" s="298"/>
      <c r="K4" s="298">
        <f>IFERROR(_xlfn.XLOOKUP($A4,Input_Raw!$A:$A,Input_Raw!S:S),"")</f>
        <v>36.299999999999997</v>
      </c>
      <c r="L4" s="298">
        <f>IFERROR(_xlfn.XLOOKUP($A4,Input_Raw!$A:$A,Input_Raw!T:T),"")</f>
        <v>45.84</v>
      </c>
      <c r="M4" s="298">
        <f>IFERROR(_xlfn.XLOOKUP($A4,Input_Raw!$A:$A,Input_Raw!W:W),"")</f>
        <v>1.74</v>
      </c>
      <c r="N4" s="298">
        <f>IFERROR(_xlfn.XLOOKUP($A4,Input_Raw!$A:$A,Input_Raw!X:X),"")</f>
        <v>4.8</v>
      </c>
      <c r="O4" s="299">
        <f>IFERROR(1-(SUMIF(Plant_BD!$B:$B,$A4,Plant_BD!$AL:$AL)/($AA4+SUMIF(Plant_BD!$B:$B,$A4,Plant_BD!$AL:$AL))),"")</f>
        <v>1</v>
      </c>
      <c r="P4" s="299"/>
      <c r="Q4" s="300"/>
      <c r="R4" s="299">
        <f>IFERROR(1-(SUMIF(Grid_BD!$B:$B,$A4,Grid_BD!$V:$V)/($AA4+SUMIF(Grid_BD!$B:$B,$A4,Grid_BD!$V:$V))),"")</f>
        <v>1</v>
      </c>
      <c r="S4" s="295"/>
      <c r="T4" s="300"/>
      <c r="U4" s="301">
        <f t="shared" si="1"/>
        <v>0.7860303228596488</v>
      </c>
      <c r="V4" s="301" t="str">
        <f>IFERROR(_xlfn.XLOOKUP($A4,Input_Raw!$A:$A,Input_Raw!$AX:$AX),"")</f>
        <v/>
      </c>
      <c r="W4" s="302">
        <f t="shared" si="2"/>
        <v>0.13497028711424236</v>
      </c>
      <c r="X4" s="294">
        <f>IFERROR(_xlfn.XLOOKUP($A4,Input_Raw!$A:$A,Input_Raw!$AA:$AA),"")</f>
        <v>129252.39999999998</v>
      </c>
      <c r="Y4" s="294">
        <f>IFERROR(_xlfn.XLOOKUP($A4,Input_Raw!$A:$A,Input_Raw!$AS:$AS),"")</f>
        <v>128000</v>
      </c>
      <c r="Z4" s="294"/>
      <c r="AA4" s="294">
        <f>IFERROR(_xlfn.XLOOKUP($A4,Input_Raw!$A:$A,Input_Raw!$AT:$AT),"")</f>
        <v>127012.43898598662</v>
      </c>
      <c r="AB4" s="294">
        <f>IFERROR(_xlfn.XLOOKUP($A4,Input_Raw!$A:$A,Input_Raw!$AU:$AU),"")</f>
        <v>30.72</v>
      </c>
      <c r="AC4" s="303">
        <f>IFERROR(_xlfn.XLOOKUP($D4,'Modelling New'!$D:$D,'Modelling New'!P:P),"")</f>
        <v>6.870967741935484</v>
      </c>
      <c r="AD4" s="294">
        <f>IFERROR(_xlfn.XLOOKUP($D4,'Modelling New'!$D:$D,'Modelling New'!T:T)*1000,"")</f>
        <v>214258.06451612903</v>
      </c>
      <c r="AE4" s="304">
        <f>IFERROR(_xlfn.XLOOKUP($D4,'Modelling New'!$D:$D,'Modelling New'!$O:$O),"")</f>
        <v>0.79528433031240231</v>
      </c>
      <c r="AF4" s="304">
        <f>IFERROR(_xlfn.XLOOKUP($D4,'Modelling New'!$D:$D,'Modelling New'!$W:$W),"")</f>
        <v>0.22768220746847004</v>
      </c>
      <c r="AG4" s="304">
        <f>IFERROR(_xlfn.XLOOKUP($D4,'Modelling New'!$D:$D,'Modelling New'!$AE:$AE),"")</f>
        <v>0.995</v>
      </c>
      <c r="AH4" s="304">
        <f>IFERROR(_xlfn.XLOOKUP($D4,'Modelling New'!$D:$D,'Modelling New'!$AF:$AF),"")</f>
        <v>0.995</v>
      </c>
      <c r="AI4" s="295"/>
      <c r="AJ4" s="295"/>
      <c r="AK4" s="295"/>
      <c r="AL4" s="295"/>
      <c r="AM4" s="295"/>
      <c r="AN4" s="305"/>
      <c r="AO4" s="302"/>
      <c r="AP4" s="302"/>
      <c r="AQ4" s="302"/>
      <c r="AR4" s="294">
        <f>_xlfn.XLOOKUP($D4,'Modelling New'!$D:$D,'Modelling New'!$N:$N)</f>
        <v>39.21</v>
      </c>
      <c r="AS4" s="294">
        <f t="shared" si="3"/>
        <v>167865.53792235357</v>
      </c>
    </row>
    <row r="5" spans="1:45">
      <c r="A5" s="293">
        <f t="shared" si="4"/>
        <v>45748</v>
      </c>
      <c r="B5" s="294">
        <f>YEAR(Daily_KPI[[#This Row],[Date]])+IF(MONTH(Daily_KPI[[#This Row],[Date]])&gt;=4,1,0)</f>
        <v>2026</v>
      </c>
      <c r="C5" s="295">
        <f>YEAR(Daily_KPI[[#This Row],[Date]])</f>
        <v>2025</v>
      </c>
      <c r="D5" s="296">
        <f>Daily_KPI[[#This Row],[Date]]-DAY(Daily_KPI[[#This Row],[Date]])+1</f>
        <v>45748</v>
      </c>
      <c r="E5" s="295">
        <f t="shared" si="0"/>
        <v>30</v>
      </c>
      <c r="F5" s="297">
        <f>IFERROR(_xlfn.XLOOKUP($A5,Input_Raw!$A:$A,Input_Raw!$AR:$AR),"")</f>
        <v>10.766666666666666</v>
      </c>
      <c r="G5" s="298">
        <f>IFERROR(_xlfn.XLOOKUP($A5,Input_Raw!$A:$A,Input_Raw!$R:$R),"")</f>
        <v>4.28</v>
      </c>
      <c r="H5" s="298"/>
      <c r="I5" s="298">
        <f>IFERROR(_xlfn.XLOOKUP($A5,Input_Raw!$A:$A,Input_Raw!$Q:$Q),"")</f>
        <v>4.29</v>
      </c>
      <c r="J5" s="298"/>
      <c r="K5" s="298">
        <f>IFERROR(_xlfn.XLOOKUP($A5,Input_Raw!$A:$A,Input_Raw!S:S),"")</f>
        <v>35</v>
      </c>
      <c r="L5" s="298">
        <f>IFERROR(_xlfn.XLOOKUP($A5,Input_Raw!$A:$A,Input_Raw!T:T),"")</f>
        <v>43.05</v>
      </c>
      <c r="M5" s="298">
        <f>IFERROR(_xlfn.XLOOKUP($A5,Input_Raw!$A:$A,Input_Raw!W:W),"")</f>
        <v>1.88</v>
      </c>
      <c r="N5" s="298">
        <f>IFERROR(_xlfn.XLOOKUP($A5,Input_Raw!$A:$A,Input_Raw!X:X),"")</f>
        <v>5.22</v>
      </c>
      <c r="O5" s="299">
        <f>IFERROR(1-(SUMIF(Plant_BD!$B:$B,$A5,Plant_BD!$AL:$AL)/($AA5+SUMIF(Plant_BD!$B:$B,$A5,Plant_BD!$AL:$AL))),"")</f>
        <v>1</v>
      </c>
      <c r="P5" s="299"/>
      <c r="Q5" s="300"/>
      <c r="R5" s="299">
        <f>IFERROR(1-(SUMIF(Grid_BD!$B:$B,$A5,Grid_BD!$V:$V)/($AA5+SUMIF(Grid_BD!$B:$B,$A5,Grid_BD!$V:$V))),"")</f>
        <v>1</v>
      </c>
      <c r="S5" s="295"/>
      <c r="T5" s="300"/>
      <c r="U5" s="301">
        <f t="shared" si="1"/>
        <v>0.74375841466178239</v>
      </c>
      <c r="V5" s="301" t="str">
        <f>IFERROR(_xlfn.XLOOKUP($A5,Input_Raw!$A:$A,Input_Raw!$AX:$AX),"")</f>
        <v/>
      </c>
      <c r="W5" s="302">
        <f t="shared" si="2"/>
        <v>0.11413738886970991</v>
      </c>
      <c r="X5" s="294">
        <f>IFERROR(_xlfn.XLOOKUP($A5,Input_Raw!$A:$A,Input_Raw!$AA:$AA),"")</f>
        <v>109008</v>
      </c>
      <c r="Y5" s="294">
        <f>IFERROR(_xlfn.XLOOKUP($A5,Input_Raw!$A:$A,Input_Raw!$AS:$AS),"")</f>
        <v>108000</v>
      </c>
      <c r="Z5" s="294"/>
      <c r="AA5" s="294">
        <f>IFERROR(_xlfn.XLOOKUP($A5,Input_Raw!$A:$A,Input_Raw!$AT:$AT),"")</f>
        <v>107335.94186696391</v>
      </c>
      <c r="AB5" s="294">
        <f>IFERROR(_xlfn.XLOOKUP($A5,Input_Raw!$A:$A,Input_Raw!$AU:$AU),"")</f>
        <v>33.64</v>
      </c>
      <c r="AC5" s="303">
        <f>IFERROR(_xlfn.XLOOKUP($D5,'Modelling New'!$D:$D,'Modelling New'!P:P),"")</f>
        <v>6.0635436999999994</v>
      </c>
      <c r="AD5" s="294">
        <f>IFERROR(_xlfn.XLOOKUP($D5,'Modelling New'!$D:$D,'Modelling New'!T:T)*1000,"")</f>
        <v>166595.64726048111</v>
      </c>
      <c r="AE5" s="304">
        <f>IFERROR(_xlfn.XLOOKUP($D5,'Modelling New'!$D:$D,'Modelling New'!$O:$O),"")</f>
        <v>0.70118261764763101</v>
      </c>
      <c r="AF5" s="304">
        <f>IFERROR(_xlfn.XLOOKUP($D5,'Modelling New'!$D:$D,'Modelling New'!$W:$W),"")</f>
        <v>0.17715214349111674</v>
      </c>
      <c r="AG5" s="304">
        <f>IFERROR(_xlfn.XLOOKUP($D5,'Modelling New'!$D:$D,'Modelling New'!$AE:$AE),"")</f>
        <v>0.995</v>
      </c>
      <c r="AH5" s="304">
        <f>IFERROR(_xlfn.XLOOKUP($D5,'Modelling New'!$D:$D,'Modelling New'!$AF:$AF),"")</f>
        <v>0.995</v>
      </c>
      <c r="AI5" s="295"/>
      <c r="AJ5" s="295"/>
      <c r="AK5" s="295"/>
      <c r="AL5" s="295"/>
      <c r="AM5" s="295"/>
      <c r="AN5" s="305"/>
      <c r="AO5" s="302"/>
      <c r="AP5" s="302"/>
      <c r="AQ5" s="302"/>
      <c r="AR5" s="294">
        <f>_xlfn.XLOOKUP($D5,'Modelling New'!$D:$D,'Modelling New'!$N:$N)</f>
        <v>39.183750000000003</v>
      </c>
      <c r="AS5" s="294">
        <f t="shared" si="3"/>
        <v>143025.55456898801</v>
      </c>
    </row>
    <row r="6" spans="1:45">
      <c r="A6" s="293">
        <f t="shared" si="4"/>
        <v>45749</v>
      </c>
      <c r="B6" s="294">
        <f>YEAR(Daily_KPI[[#This Row],[Date]])+IF(MONTH(Daily_KPI[[#This Row],[Date]])&gt;=4,1,0)</f>
        <v>2026</v>
      </c>
      <c r="C6" s="295">
        <f>YEAR(Daily_KPI[[#This Row],[Date]])</f>
        <v>2025</v>
      </c>
      <c r="D6" s="296">
        <f>Daily_KPI[[#This Row],[Date]]-DAY(Daily_KPI[[#This Row],[Date]])+1</f>
        <v>45748</v>
      </c>
      <c r="E6" s="295">
        <f t="shared" si="0"/>
        <v>30</v>
      </c>
      <c r="F6" s="297">
        <f>IFERROR(_xlfn.XLOOKUP($A6,Input_Raw!$A:$A,Input_Raw!$AR:$AR),"")</f>
        <v>11.649999999999999</v>
      </c>
      <c r="G6" s="298">
        <f>IFERROR(_xlfn.XLOOKUP($A6,Input_Raw!$A:$A,Input_Raw!$R:$R),"")</f>
        <v>5.4</v>
      </c>
      <c r="H6" s="298"/>
      <c r="I6" s="298">
        <f>IFERROR(_xlfn.XLOOKUP($A6,Input_Raw!$A:$A,Input_Raw!$Q:$Q),"")</f>
        <v>5.47</v>
      </c>
      <c r="J6" s="298"/>
      <c r="K6" s="298">
        <f>IFERROR(_xlfn.XLOOKUP($A6,Input_Raw!$A:$A,Input_Raw!S:S),"")</f>
        <v>33.619999999999997</v>
      </c>
      <c r="L6" s="298">
        <f>IFERROR(_xlfn.XLOOKUP($A6,Input_Raw!$A:$A,Input_Raw!T:T),"")</f>
        <v>41.29</v>
      </c>
      <c r="M6" s="298">
        <f>IFERROR(_xlfn.XLOOKUP($A6,Input_Raw!$A:$A,Input_Raw!W:W),"")</f>
        <v>3.31</v>
      </c>
      <c r="N6" s="298">
        <f>IFERROR(_xlfn.XLOOKUP($A6,Input_Raw!$A:$A,Input_Raw!X:X),"")</f>
        <v>7.96</v>
      </c>
      <c r="O6" s="299">
        <f>IFERROR(1-(SUMIF(Plant_BD!$B:$B,$A6,Plant_BD!$AL:$AL)/($AA6+SUMIF(Plant_BD!$B:$B,$A6,Plant_BD!$AL:$AL))),"")</f>
        <v>1</v>
      </c>
      <c r="P6" s="299"/>
      <c r="Q6" s="300"/>
      <c r="R6" s="299">
        <f>IFERROR(1-(SUMIF(Grid_BD!$B:$B,$A6,Grid_BD!$V:$V)/($AA6+SUMIF(Grid_BD!$B:$B,$A6,Grid_BD!$V:$V))),"")</f>
        <v>1</v>
      </c>
      <c r="S6" s="295"/>
      <c r="T6" s="300"/>
      <c r="U6" s="301">
        <f t="shared" si="1"/>
        <v>0.76161206195035103</v>
      </c>
      <c r="V6" s="301" t="str">
        <f>IFERROR(_xlfn.XLOOKUP($A6,Input_Raw!$A:$A,Input_Raw!$AX:$AX),"")</f>
        <v/>
      </c>
      <c r="W6" s="302">
        <f t="shared" si="2"/>
        <v>0.14902526005586247</v>
      </c>
      <c r="X6" s="294">
        <f>IFERROR(_xlfn.XLOOKUP($A6,Input_Raw!$A:$A,Input_Raw!$AA:$AA),"")</f>
        <v>142503.70000000001</v>
      </c>
      <c r="Y6" s="294">
        <f>IFERROR(_xlfn.XLOOKUP($A6,Input_Raw!$A:$A,Input_Raw!$AS:$AS),"")</f>
        <v>141000</v>
      </c>
      <c r="Z6" s="294"/>
      <c r="AA6" s="294">
        <f>IFERROR(_xlfn.XLOOKUP($A6,Input_Raw!$A:$A,Input_Raw!$AT:$AT),"")</f>
        <v>140144.84480913365</v>
      </c>
      <c r="AB6" s="294">
        <f>IFERROR(_xlfn.XLOOKUP($A6,Input_Raw!$A:$A,Input_Raw!$AU:$AU),"")</f>
        <v>33.64</v>
      </c>
      <c r="AC6" s="303">
        <f>IFERROR(_xlfn.XLOOKUP($D6,'Modelling New'!$D:$D,'Modelling New'!P:P),"")</f>
        <v>6.0635436999999994</v>
      </c>
      <c r="AD6" s="294">
        <f>IFERROR(_xlfn.XLOOKUP($D6,'Modelling New'!$D:$D,'Modelling New'!T:T)*1000,"")</f>
        <v>166595.64726048111</v>
      </c>
      <c r="AE6" s="304">
        <f>IFERROR(_xlfn.XLOOKUP($D6,'Modelling New'!$D:$D,'Modelling New'!$O:$O),"")</f>
        <v>0.70118261764763101</v>
      </c>
      <c r="AF6" s="304">
        <f>IFERROR(_xlfn.XLOOKUP($D6,'Modelling New'!$D:$D,'Modelling New'!$W:$W),"")</f>
        <v>0.17715214349111674</v>
      </c>
      <c r="AG6" s="304">
        <f>IFERROR(_xlfn.XLOOKUP($D6,'Modelling New'!$D:$D,'Modelling New'!$AE:$AE),"")</f>
        <v>0.995</v>
      </c>
      <c r="AH6" s="304">
        <f>IFERROR(_xlfn.XLOOKUP($D6,'Modelling New'!$D:$D,'Modelling New'!$AF:$AF),"")</f>
        <v>0.995</v>
      </c>
      <c r="AI6" s="295"/>
      <c r="AJ6" s="295"/>
      <c r="AK6" s="295"/>
      <c r="AL6" s="295"/>
      <c r="AM6" s="295"/>
      <c r="AN6" s="305"/>
      <c r="AO6" s="302"/>
      <c r="AP6" s="302"/>
      <c r="AQ6" s="302"/>
      <c r="AR6" s="294">
        <f>_xlfn.XLOOKUP($D6,'Modelling New'!$D:$D,'Modelling New'!$N:$N)</f>
        <v>39.183750000000003</v>
      </c>
      <c r="AS6" s="294">
        <f t="shared" si="3"/>
        <v>143025.55456898801</v>
      </c>
    </row>
    <row r="7" spans="1:45">
      <c r="A7" s="293">
        <f t="shared" si="4"/>
        <v>45750</v>
      </c>
      <c r="B7" s="294">
        <f>YEAR(Daily_KPI[[#This Row],[Date]])+IF(MONTH(Daily_KPI[[#This Row],[Date]])&gt;=4,1,0)</f>
        <v>2026</v>
      </c>
      <c r="C7" s="295">
        <f>YEAR(Daily_KPI[[#This Row],[Date]])</f>
        <v>2025</v>
      </c>
      <c r="D7" s="296">
        <f>Daily_KPI[[#This Row],[Date]]-DAY(Daily_KPI[[#This Row],[Date]])+1</f>
        <v>45748</v>
      </c>
      <c r="E7" s="295">
        <f t="shared" si="0"/>
        <v>30</v>
      </c>
      <c r="F7" s="297">
        <f>IFERROR(_xlfn.XLOOKUP($A7,Input_Raw!$A:$A,Input_Raw!$AR:$AR),"")</f>
        <v>10.95</v>
      </c>
      <c r="G7" s="298">
        <f>IFERROR(_xlfn.XLOOKUP($A7,Input_Raw!$A:$A,Input_Raw!$R:$R),"")</f>
        <v>4.8600000000000003</v>
      </c>
      <c r="H7" s="298"/>
      <c r="I7" s="298">
        <f>IFERROR(_xlfn.XLOOKUP($A7,Input_Raw!$A:$A,Input_Raw!$Q:$Q),"")</f>
        <v>4.93</v>
      </c>
      <c r="J7" s="298"/>
      <c r="K7" s="298">
        <f>IFERROR(_xlfn.XLOOKUP($A7,Input_Raw!$A:$A,Input_Raw!S:S),"")</f>
        <v>31.69</v>
      </c>
      <c r="L7" s="298">
        <f>IFERROR(_xlfn.XLOOKUP($A7,Input_Raw!$A:$A,Input_Raw!T:T),"")</f>
        <v>39.79</v>
      </c>
      <c r="M7" s="298">
        <f>IFERROR(_xlfn.XLOOKUP($A7,Input_Raw!$A:$A,Input_Raw!W:W),"")</f>
        <v>3.55</v>
      </c>
      <c r="N7" s="298">
        <f>IFERROR(_xlfn.XLOOKUP($A7,Input_Raw!$A:$A,Input_Raw!X:X),"")</f>
        <v>9.8699999999999992</v>
      </c>
      <c r="O7" s="299">
        <f>IFERROR(1-(SUMIF(Plant_BD!$B:$B,$A7,Plant_BD!$AL:$AL)/($AA7+SUMIF(Plant_BD!$B:$B,$A7,Plant_BD!$AL:$AL))),"")</f>
        <v>1</v>
      </c>
      <c r="P7" s="299"/>
      <c r="Q7" s="300"/>
      <c r="R7" s="299">
        <f>IFERROR(1-(SUMIF(Grid_BD!$B:$B,$A7,Grid_BD!$V:$V)/($AA7+SUMIF(Grid_BD!$B:$B,$A7,Grid_BD!$V:$V))),"")</f>
        <v>1</v>
      </c>
      <c r="S7" s="295"/>
      <c r="T7" s="300"/>
      <c r="U7" s="301">
        <f t="shared" si="1"/>
        <v>0.74659348192333608</v>
      </c>
      <c r="V7" s="301" t="str">
        <f>IFERROR(_xlfn.XLOOKUP($A7,Input_Raw!$A:$A,Input_Raw!$AX:$AX),"")</f>
        <v/>
      </c>
      <c r="W7" s="302">
        <f t="shared" si="2"/>
        <v>0.13166485397674632</v>
      </c>
      <c r="X7" s="294">
        <f>IFERROR(_xlfn.XLOOKUP($A7,Input_Raw!$A:$A,Input_Raw!$AA:$AA),"")</f>
        <v>125939.3</v>
      </c>
      <c r="Y7" s="294">
        <f>IFERROR(_xlfn.XLOOKUP($A7,Input_Raw!$A:$A,Input_Raw!$AS:$AS),"")</f>
        <v>125000</v>
      </c>
      <c r="Z7" s="294"/>
      <c r="AA7" s="294">
        <f>IFERROR(_xlfn.XLOOKUP($A7,Input_Raw!$A:$A,Input_Raw!$AT:$AT),"")</f>
        <v>123818.94532827204</v>
      </c>
      <c r="AB7" s="294">
        <f>IFERROR(_xlfn.XLOOKUP($A7,Input_Raw!$A:$A,Input_Raw!$AU:$AU),"")</f>
        <v>33.64</v>
      </c>
      <c r="AC7" s="303">
        <f>IFERROR(_xlfn.XLOOKUP($D7,'Modelling New'!$D:$D,'Modelling New'!P:P),"")</f>
        <v>6.0635436999999994</v>
      </c>
      <c r="AD7" s="294">
        <f>IFERROR(_xlfn.XLOOKUP($D7,'Modelling New'!$D:$D,'Modelling New'!T:T)*1000,"")</f>
        <v>166595.64726048111</v>
      </c>
      <c r="AE7" s="304">
        <f>IFERROR(_xlfn.XLOOKUP($D7,'Modelling New'!$D:$D,'Modelling New'!$O:$O),"")</f>
        <v>0.70118261764763101</v>
      </c>
      <c r="AF7" s="304">
        <f>IFERROR(_xlfn.XLOOKUP($D7,'Modelling New'!$D:$D,'Modelling New'!$W:$W),"")</f>
        <v>0.17715214349111674</v>
      </c>
      <c r="AG7" s="304">
        <f>IFERROR(_xlfn.XLOOKUP($D7,'Modelling New'!$D:$D,'Modelling New'!$AE:$AE),"")</f>
        <v>0.995</v>
      </c>
      <c r="AH7" s="304">
        <f>IFERROR(_xlfn.XLOOKUP($D7,'Modelling New'!$D:$D,'Modelling New'!$AF:$AF),"")</f>
        <v>0.995</v>
      </c>
      <c r="AI7" s="295"/>
      <c r="AJ7" s="295"/>
      <c r="AK7" s="295"/>
      <c r="AL7" s="295"/>
      <c r="AM7" s="295"/>
      <c r="AN7" s="305"/>
      <c r="AO7" s="302"/>
      <c r="AP7" s="302"/>
      <c r="AQ7" s="302"/>
      <c r="AR7" s="294">
        <f>_xlfn.XLOOKUP($D7,'Modelling New'!$D:$D,'Modelling New'!$N:$N)</f>
        <v>39.183750000000003</v>
      </c>
      <c r="AS7" s="294">
        <f t="shared" si="3"/>
        <v>143025.55456898801</v>
      </c>
    </row>
    <row r="8" spans="1:45">
      <c r="A8" s="293">
        <f t="shared" si="4"/>
        <v>45751</v>
      </c>
      <c r="B8" s="294">
        <f>YEAR(Daily_KPI[[#This Row],[Date]])+IF(MONTH(Daily_KPI[[#This Row],[Date]])&gt;=4,1,0)</f>
        <v>2026</v>
      </c>
      <c r="C8" s="295">
        <f>YEAR(Daily_KPI[[#This Row],[Date]])</f>
        <v>2025</v>
      </c>
      <c r="D8" s="296">
        <f>Daily_KPI[[#This Row],[Date]]-DAY(Daily_KPI[[#This Row],[Date]])+1</f>
        <v>45748</v>
      </c>
      <c r="E8" s="295">
        <f t="shared" si="0"/>
        <v>30</v>
      </c>
      <c r="F8" s="297">
        <f>IFERROR(_xlfn.XLOOKUP($A8,Input_Raw!$A:$A,Input_Raw!$AR:$AR),"")</f>
        <v>11.65</v>
      </c>
      <c r="G8" s="298">
        <f>IFERROR(_xlfn.XLOOKUP($A8,Input_Raw!$A:$A,Input_Raw!$R:$R),"")</f>
        <v>6.38</v>
      </c>
      <c r="H8" s="298"/>
      <c r="I8" s="298">
        <f>IFERROR(_xlfn.XLOOKUP($A8,Input_Raw!$A:$A,Input_Raw!$Q:$Q),"")</f>
        <v>6.45</v>
      </c>
      <c r="J8" s="298"/>
      <c r="K8" s="298">
        <f>IFERROR(_xlfn.XLOOKUP($A8,Input_Raw!$A:$A,Input_Raw!S:S),"")</f>
        <v>32.729999999999997</v>
      </c>
      <c r="L8" s="298">
        <f>IFERROR(_xlfn.XLOOKUP($A8,Input_Raw!$A:$A,Input_Raw!T:T),"")</f>
        <v>45.1</v>
      </c>
      <c r="M8" s="298">
        <f>IFERROR(_xlfn.XLOOKUP($A8,Input_Raw!$A:$A,Input_Raw!W:W),"")</f>
        <v>2.19</v>
      </c>
      <c r="N8" s="298">
        <f>IFERROR(_xlfn.XLOOKUP($A8,Input_Raw!$A:$A,Input_Raw!X:X),"")</f>
        <v>6.83</v>
      </c>
      <c r="O8" s="299">
        <f>IFERROR(1-(SUMIF(Plant_BD!$B:$B,$A8,Plant_BD!$AL:$AL)/($AA8+SUMIF(Plant_BD!$B:$B,$A8,Plant_BD!$AL:$AL))),"")</f>
        <v>1</v>
      </c>
      <c r="P8" s="299"/>
      <c r="Q8" s="300"/>
      <c r="R8" s="299">
        <f>IFERROR(1-(SUMIF(Grid_BD!$B:$B,$A8,Grid_BD!$V:$V)/($AA8+SUMIF(Grid_BD!$B:$B,$A8,Grid_BD!$V:$V))),"")</f>
        <v>1</v>
      </c>
      <c r="S8" s="295"/>
      <c r="T8" s="300"/>
      <c r="U8" s="301">
        <f t="shared" si="1"/>
        <v>0.77415132596633962</v>
      </c>
      <c r="V8" s="301" t="str">
        <f>IFERROR(_xlfn.XLOOKUP($A8,Input_Raw!$A:$A,Input_Raw!$AX:$AX),"")</f>
        <v/>
      </c>
      <c r="W8" s="302">
        <f t="shared" si="2"/>
        <v>0.17861763103914721</v>
      </c>
      <c r="X8" s="294">
        <f>IFERROR(_xlfn.XLOOKUP($A8,Input_Raw!$A:$A,Input_Raw!$AA:$AA),"")</f>
        <v>170766.2</v>
      </c>
      <c r="Y8" s="294">
        <f>IFERROR(_xlfn.XLOOKUP($A8,Input_Raw!$A:$A,Input_Raw!$AS:$AS),"")</f>
        <v>169000</v>
      </c>
      <c r="Z8" s="294"/>
      <c r="AA8" s="294">
        <f>IFERROR(_xlfn.XLOOKUP($A8,Input_Raw!$A:$A,Input_Raw!$AT:$AT),"")</f>
        <v>167973.80640552446</v>
      </c>
      <c r="AB8" s="294">
        <f>IFERROR(_xlfn.XLOOKUP($A8,Input_Raw!$A:$A,Input_Raw!$AU:$AU),"")</f>
        <v>33.64</v>
      </c>
      <c r="AC8" s="303">
        <f>IFERROR(_xlfn.XLOOKUP($D8,'Modelling New'!$D:$D,'Modelling New'!P:P),"")</f>
        <v>6.0635436999999994</v>
      </c>
      <c r="AD8" s="294">
        <f>IFERROR(_xlfn.XLOOKUP($D8,'Modelling New'!$D:$D,'Modelling New'!T:T)*1000,"")</f>
        <v>166595.64726048111</v>
      </c>
      <c r="AE8" s="304">
        <f>IFERROR(_xlfn.XLOOKUP($D8,'Modelling New'!$D:$D,'Modelling New'!$O:$O),"")</f>
        <v>0.70118261764763101</v>
      </c>
      <c r="AF8" s="304">
        <f>IFERROR(_xlfn.XLOOKUP($D8,'Modelling New'!$D:$D,'Modelling New'!$W:$W),"")</f>
        <v>0.17715214349111674</v>
      </c>
      <c r="AG8" s="304">
        <f>IFERROR(_xlfn.XLOOKUP($D8,'Modelling New'!$D:$D,'Modelling New'!$AE:$AE),"")</f>
        <v>0.995</v>
      </c>
      <c r="AH8" s="304">
        <f>IFERROR(_xlfn.XLOOKUP($D8,'Modelling New'!$D:$D,'Modelling New'!$AF:$AF),"")</f>
        <v>0.995</v>
      </c>
      <c r="AI8" s="295"/>
      <c r="AJ8" s="295"/>
      <c r="AK8" s="295"/>
      <c r="AL8" s="295"/>
      <c r="AM8" s="295"/>
      <c r="AN8" s="305"/>
      <c r="AO8" s="302"/>
      <c r="AP8" s="302"/>
      <c r="AQ8" s="302"/>
      <c r="AR8" s="294">
        <f>_xlfn.XLOOKUP($D8,'Modelling New'!$D:$D,'Modelling New'!$N:$N)</f>
        <v>39.183750000000003</v>
      </c>
      <c r="AS8" s="294">
        <f t="shared" si="3"/>
        <v>143025.55456898801</v>
      </c>
    </row>
    <row r="9" spans="1:45">
      <c r="A9" s="293">
        <f t="shared" si="4"/>
        <v>45752</v>
      </c>
      <c r="B9" s="294">
        <f>YEAR(Daily_KPI[[#This Row],[Date]])+IF(MONTH(Daily_KPI[[#This Row],[Date]])&gt;=4,1,0)</f>
        <v>2026</v>
      </c>
      <c r="C9" s="295">
        <f>YEAR(Daily_KPI[[#This Row],[Date]])</f>
        <v>2025</v>
      </c>
      <c r="D9" s="296">
        <f>Daily_KPI[[#This Row],[Date]]-DAY(Daily_KPI[[#This Row],[Date]])+1</f>
        <v>45748</v>
      </c>
      <c r="E9" s="295">
        <f t="shared" si="0"/>
        <v>30</v>
      </c>
      <c r="F9" s="297">
        <f>IFERROR(_xlfn.XLOOKUP($A9,Input_Raw!$A:$A,Input_Raw!$AR:$AR),"")</f>
        <v>11.75</v>
      </c>
      <c r="G9" s="298">
        <f>IFERROR(_xlfn.XLOOKUP($A9,Input_Raw!$A:$A,Input_Raw!$R:$R),"")</f>
        <v>6.44</v>
      </c>
      <c r="H9" s="298"/>
      <c r="I9" s="298">
        <f>IFERROR(_xlfn.XLOOKUP($A9,Input_Raw!$A:$A,Input_Raw!$Q:$Q),"")</f>
        <v>6.5</v>
      </c>
      <c r="J9" s="298"/>
      <c r="K9" s="298">
        <f>IFERROR(_xlfn.XLOOKUP($A9,Input_Raw!$A:$A,Input_Raw!S:S),"")</f>
        <v>35.47</v>
      </c>
      <c r="L9" s="298">
        <f>IFERROR(_xlfn.XLOOKUP($A9,Input_Raw!$A:$A,Input_Raw!T:T),"")</f>
        <v>47.05</v>
      </c>
      <c r="M9" s="298">
        <f>IFERROR(_xlfn.XLOOKUP($A9,Input_Raw!$A:$A,Input_Raw!W:W),"")</f>
        <v>2.1800000000000002</v>
      </c>
      <c r="N9" s="298">
        <f>IFERROR(_xlfn.XLOOKUP($A9,Input_Raw!$A:$A,Input_Raw!X:X),"")</f>
        <v>6.22</v>
      </c>
      <c r="O9" s="299">
        <f>IFERROR(1-(SUMIF(Plant_BD!$B:$B,$A9,Plant_BD!$AL:$AL)/($AA9+SUMIF(Plant_BD!$B:$B,$A9,Plant_BD!$AL:$AL))),"")</f>
        <v>1</v>
      </c>
      <c r="P9" s="299"/>
      <c r="Q9" s="300"/>
      <c r="R9" s="299">
        <f>IFERROR(1-(SUMIF(Grid_BD!$B:$B,$A9,Grid_BD!$V:$V)/($AA9+SUMIF(Grid_BD!$B:$B,$A9,Grid_BD!$V:$V))),"")</f>
        <v>1</v>
      </c>
      <c r="S9" s="295"/>
      <c r="T9" s="300"/>
      <c r="U9" s="301">
        <f t="shared" si="1"/>
        <v>0.77184295902130917</v>
      </c>
      <c r="V9" s="301" t="str">
        <f>IFERROR(_xlfn.XLOOKUP($A9,Input_Raw!$A:$A,Input_Raw!$AX:$AX),"")</f>
        <v/>
      </c>
      <c r="W9" s="302">
        <f t="shared" si="2"/>
        <v>0.17946553250135519</v>
      </c>
      <c r="X9" s="294">
        <f>IFERROR(_xlfn.XLOOKUP($A9,Input_Raw!$A:$A,Input_Raw!$AA:$AA),"")</f>
        <v>171536.5</v>
      </c>
      <c r="Y9" s="294">
        <f>IFERROR(_xlfn.XLOOKUP($A9,Input_Raw!$A:$A,Input_Raw!$AS:$AS),"")</f>
        <v>170000</v>
      </c>
      <c r="Z9" s="294"/>
      <c r="AA9" s="294">
        <f>IFERROR(_xlfn.XLOOKUP($A9,Input_Raw!$A:$A,Input_Raw!$AT:$AT),"")</f>
        <v>168771.18141959945</v>
      </c>
      <c r="AB9" s="294">
        <f>IFERROR(_xlfn.XLOOKUP($A9,Input_Raw!$A:$A,Input_Raw!$AU:$AU),"")</f>
        <v>33.64</v>
      </c>
      <c r="AC9" s="303">
        <f>IFERROR(_xlfn.XLOOKUP($D9,'Modelling New'!$D:$D,'Modelling New'!P:P),"")</f>
        <v>6.0635436999999994</v>
      </c>
      <c r="AD9" s="294">
        <f>IFERROR(_xlfn.XLOOKUP($D9,'Modelling New'!$D:$D,'Modelling New'!T:T)*1000,"")</f>
        <v>166595.64726048111</v>
      </c>
      <c r="AE9" s="304">
        <f>IFERROR(_xlfn.XLOOKUP($D9,'Modelling New'!$D:$D,'Modelling New'!$O:$O),"")</f>
        <v>0.70118261764763101</v>
      </c>
      <c r="AF9" s="304">
        <f>IFERROR(_xlfn.XLOOKUP($D9,'Modelling New'!$D:$D,'Modelling New'!$W:$W),"")</f>
        <v>0.17715214349111674</v>
      </c>
      <c r="AG9" s="304">
        <f>IFERROR(_xlfn.XLOOKUP($D9,'Modelling New'!$D:$D,'Modelling New'!$AE:$AE),"")</f>
        <v>0.995</v>
      </c>
      <c r="AH9" s="304">
        <f>IFERROR(_xlfn.XLOOKUP($D9,'Modelling New'!$D:$D,'Modelling New'!$AF:$AF),"")</f>
        <v>0.995</v>
      </c>
      <c r="AI9" s="295"/>
      <c r="AJ9" s="295"/>
      <c r="AK9" s="295"/>
      <c r="AL9" s="295"/>
      <c r="AM9" s="295"/>
      <c r="AN9" s="305"/>
      <c r="AO9" s="302"/>
      <c r="AP9" s="302"/>
      <c r="AQ9" s="302"/>
      <c r="AR9" s="294">
        <f>_xlfn.XLOOKUP($D9,'Modelling New'!$D:$D,'Modelling New'!$N:$N)</f>
        <v>39.183750000000003</v>
      </c>
      <c r="AS9" s="294">
        <f t="shared" si="3"/>
        <v>143025.55456898801</v>
      </c>
    </row>
    <row r="10" spans="1:45">
      <c r="A10" s="293">
        <f t="shared" si="4"/>
        <v>45753</v>
      </c>
      <c r="B10" s="294">
        <f>YEAR(Daily_KPI[[#This Row],[Date]])+IF(MONTH(Daily_KPI[[#This Row],[Date]])&gt;=4,1,0)</f>
        <v>2026</v>
      </c>
      <c r="C10" s="295">
        <f>YEAR(Daily_KPI[[#This Row],[Date]])</f>
        <v>2025</v>
      </c>
      <c r="D10" s="296">
        <f>Daily_KPI[[#This Row],[Date]]-DAY(Daily_KPI[[#This Row],[Date]])+1</f>
        <v>45748</v>
      </c>
      <c r="E10" s="295">
        <f t="shared" ref="E10:E73" si="5">DAY(EOMONTH(A10,0))</f>
        <v>30</v>
      </c>
      <c r="F10" s="297">
        <f>IFERROR(_xlfn.XLOOKUP($A10,Input_Raw!$A:$A,Input_Raw!$AR:$AR),"")</f>
        <v>11.799999999999999</v>
      </c>
      <c r="G10" s="298">
        <f>IFERROR(_xlfn.XLOOKUP($A10,Input_Raw!$A:$A,Input_Raw!$R:$R),"")</f>
        <v>7.08</v>
      </c>
      <c r="H10" s="298"/>
      <c r="I10" s="298">
        <f>IFERROR(_xlfn.XLOOKUP($A10,Input_Raw!$A:$A,Input_Raw!$Q:$Q),"")</f>
        <v>7.13</v>
      </c>
      <c r="J10" s="298"/>
      <c r="K10" s="298">
        <f>IFERROR(_xlfn.XLOOKUP($A10,Input_Raw!$A:$A,Input_Raw!S:S),"")</f>
        <v>36.69</v>
      </c>
      <c r="L10" s="298">
        <f>IFERROR(_xlfn.XLOOKUP($A10,Input_Raw!$A:$A,Input_Raw!T:T),"")</f>
        <v>46.52</v>
      </c>
      <c r="M10" s="298">
        <f>IFERROR(_xlfn.XLOOKUP($A10,Input_Raw!$A:$A,Input_Raw!W:W),"")</f>
        <v>2.38</v>
      </c>
      <c r="N10" s="298">
        <f>IFERROR(_xlfn.XLOOKUP($A10,Input_Raw!$A:$A,Input_Raw!X:X),"")</f>
        <v>9.06</v>
      </c>
      <c r="O10" s="299">
        <f>IFERROR(1-(SUMIF(Plant_BD!$B:$B,$A10,Plant_BD!$AL:$AL)/($AA10+SUMIF(Plant_BD!$B:$B,$A10,Plant_BD!$AL:$AL))),"")</f>
        <v>0.8521571084547892</v>
      </c>
      <c r="P10" s="299"/>
      <c r="Q10" s="300"/>
      <c r="R10" s="299">
        <f>IFERROR(1-(SUMIF(Grid_BD!$B:$B,$A10,Grid_BD!$V:$V)/($AA10+SUMIF(Grid_BD!$B:$B,$A10,Grid_BD!$V:$V))),"")</f>
        <v>1</v>
      </c>
      <c r="S10" s="295"/>
      <c r="T10" s="300"/>
      <c r="U10" s="301">
        <f t="shared" ref="U10:U73" si="6">IFERROR(AA10/I10/AB10/1000,"")</f>
        <v>0.65832966203485621</v>
      </c>
      <c r="V10" s="301" t="str">
        <f>IFERROR(_xlfn.XLOOKUP($A10,Input_Raw!$A:$A,Input_Raw!$AX:$AX),"")</f>
        <v/>
      </c>
      <c r="W10" s="302">
        <f t="shared" ref="W10:W73" si="7">IFERROR(AA10/(24*AR10*1000),"")</f>
        <v>0.1679081210259129</v>
      </c>
      <c r="X10" s="294">
        <f>IFERROR(_xlfn.XLOOKUP($A10,Input_Raw!$A:$A,Input_Raw!$AA:$AA),"")</f>
        <v>160533.79999999999</v>
      </c>
      <c r="Y10" s="294">
        <f>IFERROR(_xlfn.XLOOKUP($A10,Input_Raw!$A:$A,Input_Raw!$AS:$AS),"")</f>
        <v>159000</v>
      </c>
      <c r="Z10" s="294"/>
      <c r="AA10" s="294">
        <f>IFERROR(_xlfn.XLOOKUP($A10,Input_Raw!$A:$A,Input_Raw!$AT:$AT),"")</f>
        <v>157902.47609397877</v>
      </c>
      <c r="AB10" s="294">
        <f>IFERROR(_xlfn.XLOOKUP($A10,Input_Raw!$A:$A,Input_Raw!$AU:$AU),"")</f>
        <v>33.64</v>
      </c>
      <c r="AC10" s="303">
        <f>IFERROR(_xlfn.XLOOKUP($D10,'Modelling New'!$D:$D,'Modelling New'!P:P),"")</f>
        <v>6.0635436999999994</v>
      </c>
      <c r="AD10" s="294">
        <f>IFERROR(_xlfn.XLOOKUP($D10,'Modelling New'!$D:$D,'Modelling New'!T:T)*1000,"")</f>
        <v>166595.64726048111</v>
      </c>
      <c r="AE10" s="304">
        <f>IFERROR(_xlfn.XLOOKUP($D10,'Modelling New'!$D:$D,'Modelling New'!$O:$O),"")</f>
        <v>0.70118261764763101</v>
      </c>
      <c r="AF10" s="304">
        <f>IFERROR(_xlfn.XLOOKUP($D10,'Modelling New'!$D:$D,'Modelling New'!$W:$W),"")</f>
        <v>0.17715214349111674</v>
      </c>
      <c r="AG10" s="304">
        <f>IFERROR(_xlfn.XLOOKUP($D10,'Modelling New'!$D:$D,'Modelling New'!$AE:$AE),"")</f>
        <v>0.995</v>
      </c>
      <c r="AH10" s="304">
        <f>IFERROR(_xlfn.XLOOKUP($D10,'Modelling New'!$D:$D,'Modelling New'!$AF:$AF),"")</f>
        <v>0.995</v>
      </c>
      <c r="AI10" s="295"/>
      <c r="AJ10" s="295"/>
      <c r="AK10" s="295"/>
      <c r="AL10" s="295"/>
      <c r="AM10" s="295"/>
      <c r="AN10" s="305"/>
      <c r="AO10" s="302"/>
      <c r="AP10" s="302"/>
      <c r="AQ10" s="302"/>
      <c r="AR10" s="294">
        <f>_xlfn.XLOOKUP($D10,'Modelling New'!$D:$D,'Modelling New'!$N:$N)</f>
        <v>39.183750000000003</v>
      </c>
      <c r="AS10" s="294">
        <f t="shared" ref="AS10:AS73" si="8">IFERROR((AD10/AR10)*AB10,"")</f>
        <v>143025.55456898801</v>
      </c>
    </row>
    <row r="11" spans="1:45">
      <c r="A11" s="293">
        <f t="shared" si="4"/>
        <v>45754</v>
      </c>
      <c r="B11" s="294">
        <f>YEAR(Daily_KPI[[#This Row],[Date]])+IF(MONTH(Daily_KPI[[#This Row],[Date]])&gt;=4,1,0)</f>
        <v>2026</v>
      </c>
      <c r="C11" s="295">
        <f>YEAR(Daily_KPI[[#This Row],[Date]])</f>
        <v>2025</v>
      </c>
      <c r="D11" s="296">
        <f>Daily_KPI[[#This Row],[Date]]-DAY(Daily_KPI[[#This Row],[Date]])+1</f>
        <v>45748</v>
      </c>
      <c r="E11" s="295">
        <f t="shared" si="5"/>
        <v>30</v>
      </c>
      <c r="F11" s="297">
        <f>IFERROR(_xlfn.XLOOKUP($A11,Input_Raw!$A:$A,Input_Raw!$AR:$AR),"")</f>
        <v>11.799999999999999</v>
      </c>
      <c r="G11" s="298">
        <f>IFERROR(_xlfn.XLOOKUP($A11,Input_Raw!$A:$A,Input_Raw!$R:$R),"")</f>
        <v>6.77</v>
      </c>
      <c r="H11" s="298"/>
      <c r="I11" s="298">
        <f>IFERROR(_xlfn.XLOOKUP($A11,Input_Raw!$A:$A,Input_Raw!$Q:$Q),"")</f>
        <v>6.82</v>
      </c>
      <c r="J11" s="298"/>
      <c r="K11" s="298">
        <f>IFERROR(_xlfn.XLOOKUP($A11,Input_Raw!$A:$A,Input_Raw!S:S),"")</f>
        <v>37.89</v>
      </c>
      <c r="L11" s="298">
        <f>IFERROR(_xlfn.XLOOKUP($A11,Input_Raw!$A:$A,Input_Raw!T:T),"")</f>
        <v>46.46</v>
      </c>
      <c r="M11" s="298">
        <f>IFERROR(_xlfn.XLOOKUP($A11,Input_Raw!$A:$A,Input_Raw!W:W),"")</f>
        <v>2.52</v>
      </c>
      <c r="N11" s="298">
        <f>IFERROR(_xlfn.XLOOKUP($A11,Input_Raw!$A:$A,Input_Raw!X:X),"")</f>
        <v>9.18</v>
      </c>
      <c r="O11" s="299">
        <f>IFERROR(1-(SUMIF(Plant_BD!$B:$B,$A11,Plant_BD!$AL:$AL)/($AA11+SUMIF(Plant_BD!$B:$B,$A11,Plant_BD!$AL:$AL))),"")</f>
        <v>0.96943520617639023</v>
      </c>
      <c r="P11" s="299"/>
      <c r="Q11" s="300"/>
      <c r="R11" s="299">
        <f>IFERROR(1-(SUMIF(Grid_BD!$B:$B,$A11,Grid_BD!$V:$V)/($AA11+SUMIF(Grid_BD!$B:$B,$A11,Grid_BD!$V:$V))),"")</f>
        <v>1</v>
      </c>
      <c r="S11" s="295"/>
      <c r="T11" s="300"/>
      <c r="U11" s="301">
        <f t="shared" si="6"/>
        <v>0.76354501197032842</v>
      </c>
      <c r="V11" s="301" t="str">
        <f>IFERROR(_xlfn.XLOOKUP($A11,Input_Raw!$A:$A,Input_Raw!$AX:$AX),"")</f>
        <v/>
      </c>
      <c r="W11" s="302">
        <f t="shared" si="7"/>
        <v>0.18627637058547888</v>
      </c>
      <c r="X11" s="294">
        <f>IFERROR(_xlfn.XLOOKUP($A11,Input_Raw!$A:$A,Input_Raw!$AA:$AA),"")</f>
        <v>178266.9</v>
      </c>
      <c r="Y11" s="294">
        <f>IFERROR(_xlfn.XLOOKUP($A11,Input_Raw!$A:$A,Input_Raw!$AS:$AS),"")</f>
        <v>176000</v>
      </c>
      <c r="Z11" s="294"/>
      <c r="AA11" s="294">
        <f>IFERROR(_xlfn.XLOOKUP($A11,Input_Raw!$A:$A,Input_Raw!$AT:$AT),"")</f>
        <v>175176.16166229022</v>
      </c>
      <c r="AB11" s="294">
        <f>IFERROR(_xlfn.XLOOKUP($A11,Input_Raw!$A:$A,Input_Raw!$AU:$AU),"")</f>
        <v>33.64</v>
      </c>
      <c r="AC11" s="303">
        <f>IFERROR(_xlfn.XLOOKUP($D11,'Modelling New'!$D:$D,'Modelling New'!P:P),"")</f>
        <v>6.0635436999999994</v>
      </c>
      <c r="AD11" s="294">
        <f>IFERROR(_xlfn.XLOOKUP($D11,'Modelling New'!$D:$D,'Modelling New'!T:T)*1000,"")</f>
        <v>166595.64726048111</v>
      </c>
      <c r="AE11" s="304">
        <f>IFERROR(_xlfn.XLOOKUP($D11,'Modelling New'!$D:$D,'Modelling New'!$O:$O),"")</f>
        <v>0.70118261764763101</v>
      </c>
      <c r="AF11" s="304">
        <f>IFERROR(_xlfn.XLOOKUP($D11,'Modelling New'!$D:$D,'Modelling New'!$W:$W),"")</f>
        <v>0.17715214349111674</v>
      </c>
      <c r="AG11" s="304">
        <f>IFERROR(_xlfn.XLOOKUP($D11,'Modelling New'!$D:$D,'Modelling New'!$AE:$AE),"")</f>
        <v>0.995</v>
      </c>
      <c r="AH11" s="304">
        <f>IFERROR(_xlfn.XLOOKUP($D11,'Modelling New'!$D:$D,'Modelling New'!$AF:$AF),"")</f>
        <v>0.995</v>
      </c>
      <c r="AI11" s="295"/>
      <c r="AJ11" s="295"/>
      <c r="AK11" s="295"/>
      <c r="AL11" s="295"/>
      <c r="AM11" s="295"/>
      <c r="AN11" s="305"/>
      <c r="AO11" s="302"/>
      <c r="AP11" s="302"/>
      <c r="AQ11" s="302"/>
      <c r="AR11" s="294">
        <f>_xlfn.XLOOKUP($D11,'Modelling New'!$D:$D,'Modelling New'!$N:$N)</f>
        <v>39.183750000000003</v>
      </c>
      <c r="AS11" s="294">
        <f t="shared" si="8"/>
        <v>143025.55456898801</v>
      </c>
    </row>
    <row r="12" spans="1:45">
      <c r="A12" s="293">
        <f t="shared" ref="A12:A75" si="9">A11+1</f>
        <v>45755</v>
      </c>
      <c r="B12" s="294">
        <f>YEAR(Daily_KPI[[#This Row],[Date]])+IF(MONTH(Daily_KPI[[#This Row],[Date]])&gt;=4,1,0)</f>
        <v>2026</v>
      </c>
      <c r="C12" s="295">
        <f>YEAR(Daily_KPI[[#This Row],[Date]])</f>
        <v>2025</v>
      </c>
      <c r="D12" s="296">
        <f>Daily_KPI[[#This Row],[Date]]-DAY(Daily_KPI[[#This Row],[Date]])+1</f>
        <v>45748</v>
      </c>
      <c r="E12" s="295">
        <f t="shared" si="5"/>
        <v>30</v>
      </c>
      <c r="F12" s="297">
        <f>IFERROR(_xlfn.XLOOKUP($A12,Input_Raw!$A:$A,Input_Raw!$AR:$AR),"")</f>
        <v>11.799999999999999</v>
      </c>
      <c r="G12" s="298">
        <f>IFERROR(_xlfn.XLOOKUP($A12,Input_Raw!$A:$A,Input_Raw!$R:$R),"")</f>
        <v>6.36</v>
      </c>
      <c r="H12" s="298"/>
      <c r="I12" s="298">
        <f>IFERROR(_xlfn.XLOOKUP($A12,Input_Raw!$A:$A,Input_Raw!$Q:$Q),"")</f>
        <v>6.4</v>
      </c>
      <c r="J12" s="298"/>
      <c r="K12" s="298">
        <f>IFERROR(_xlfn.XLOOKUP($A12,Input_Raw!$A:$A,Input_Raw!S:S),"")</f>
        <v>37.07</v>
      </c>
      <c r="L12" s="298">
        <f>IFERROR(_xlfn.XLOOKUP($A12,Input_Raw!$A:$A,Input_Raw!T:T),"")</f>
        <v>47.88</v>
      </c>
      <c r="M12" s="298">
        <f>IFERROR(_xlfn.XLOOKUP($A12,Input_Raw!$A:$A,Input_Raw!W:W),"")</f>
        <v>2.4500000000000002</v>
      </c>
      <c r="N12" s="298">
        <f>IFERROR(_xlfn.XLOOKUP($A12,Input_Raw!$A:$A,Input_Raw!X:X),"")</f>
        <v>6.44</v>
      </c>
      <c r="O12" s="299">
        <f>IFERROR(1-(SUMIF(Plant_BD!$B:$B,$A12,Plant_BD!$AL:$AL)/($AA12+SUMIF(Plant_BD!$B:$B,$A12,Plant_BD!$AL:$AL))),"")</f>
        <v>1</v>
      </c>
      <c r="P12" s="299"/>
      <c r="Q12" s="300"/>
      <c r="R12" s="299">
        <f>IFERROR(1-(SUMIF(Grid_BD!$B:$B,$A12,Grid_BD!$V:$V)/($AA12+SUMIF(Grid_BD!$B:$B,$A12,Grid_BD!$V:$V))),"")</f>
        <v>1</v>
      </c>
      <c r="S12" s="295"/>
      <c r="T12" s="300"/>
      <c r="U12" s="301">
        <f t="shared" si="6"/>
        <v>0.7831501649741397</v>
      </c>
      <c r="V12" s="301" t="str">
        <f>IFERROR(_xlfn.XLOOKUP($A12,Input_Raw!$A:$A,Input_Raw!$AX:$AX),"")</f>
        <v/>
      </c>
      <c r="W12" s="302">
        <f t="shared" si="7"/>
        <v>0.17929317842034043</v>
      </c>
      <c r="X12" s="294">
        <f>IFERROR(_xlfn.XLOOKUP($A12,Input_Raw!$A:$A,Input_Raw!$AA:$AA),"")</f>
        <v>171545.1</v>
      </c>
      <c r="Y12" s="294">
        <f>IFERROR(_xlfn.XLOOKUP($A12,Input_Raw!$A:$A,Input_Raw!$AS:$AS),"")</f>
        <v>169000</v>
      </c>
      <c r="Z12" s="294"/>
      <c r="AA12" s="294">
        <f>IFERROR(_xlfn.XLOOKUP($A12,Input_Raw!$A:$A,Input_Raw!$AT:$AT),"")</f>
        <v>168609.09791827237</v>
      </c>
      <c r="AB12" s="294">
        <f>IFERROR(_xlfn.XLOOKUP($A12,Input_Raw!$A:$A,Input_Raw!$AU:$AU),"")</f>
        <v>33.64</v>
      </c>
      <c r="AC12" s="303">
        <f>IFERROR(_xlfn.XLOOKUP($D12,'Modelling New'!$D:$D,'Modelling New'!P:P),"")</f>
        <v>6.0635436999999994</v>
      </c>
      <c r="AD12" s="294">
        <f>IFERROR(_xlfn.XLOOKUP($D12,'Modelling New'!$D:$D,'Modelling New'!T:T)*1000,"")</f>
        <v>166595.64726048111</v>
      </c>
      <c r="AE12" s="304">
        <f>IFERROR(_xlfn.XLOOKUP($D12,'Modelling New'!$D:$D,'Modelling New'!$O:$O),"")</f>
        <v>0.70118261764763101</v>
      </c>
      <c r="AF12" s="304">
        <f>IFERROR(_xlfn.XLOOKUP($D12,'Modelling New'!$D:$D,'Modelling New'!$W:$W),"")</f>
        <v>0.17715214349111674</v>
      </c>
      <c r="AG12" s="304">
        <f>IFERROR(_xlfn.XLOOKUP($D12,'Modelling New'!$D:$D,'Modelling New'!$AE:$AE),"")</f>
        <v>0.995</v>
      </c>
      <c r="AH12" s="304">
        <f>IFERROR(_xlfn.XLOOKUP($D12,'Modelling New'!$D:$D,'Modelling New'!$AF:$AF),"")</f>
        <v>0.995</v>
      </c>
      <c r="AI12" s="295"/>
      <c r="AJ12" s="295"/>
      <c r="AK12" s="295"/>
      <c r="AL12" s="295"/>
      <c r="AM12" s="295"/>
      <c r="AN12" s="305"/>
      <c r="AO12" s="302"/>
      <c r="AP12" s="302"/>
      <c r="AQ12" s="302"/>
      <c r="AR12" s="294">
        <f>_xlfn.XLOOKUP($D12,'Modelling New'!$D:$D,'Modelling New'!$N:$N)</f>
        <v>39.183750000000003</v>
      </c>
      <c r="AS12" s="294">
        <f t="shared" si="8"/>
        <v>143025.55456898801</v>
      </c>
    </row>
    <row r="13" spans="1:45">
      <c r="A13" s="293">
        <f t="shared" si="9"/>
        <v>45756</v>
      </c>
      <c r="B13" s="294">
        <f>YEAR(Daily_KPI[[#This Row],[Date]])+IF(MONTH(Daily_KPI[[#This Row],[Date]])&gt;=4,1,0)</f>
        <v>2026</v>
      </c>
      <c r="C13" s="295">
        <f>YEAR(Daily_KPI[[#This Row],[Date]])</f>
        <v>2025</v>
      </c>
      <c r="D13" s="296">
        <f>Daily_KPI[[#This Row],[Date]]-DAY(Daily_KPI[[#This Row],[Date]])+1</f>
        <v>45748</v>
      </c>
      <c r="E13" s="295">
        <f t="shared" si="5"/>
        <v>30</v>
      </c>
      <c r="F13" s="297">
        <f>IFERROR(_xlfn.XLOOKUP($A13,Input_Raw!$A:$A,Input_Raw!$AR:$AR),"")</f>
        <v>11.533333333333331</v>
      </c>
      <c r="G13" s="298">
        <f>IFERROR(_xlfn.XLOOKUP($A13,Input_Raw!$A:$A,Input_Raw!$R:$R),"")</f>
        <v>6.17</v>
      </c>
      <c r="H13" s="298"/>
      <c r="I13" s="298">
        <f>IFERROR(_xlfn.XLOOKUP($A13,Input_Raw!$A:$A,Input_Raw!$Q:$Q),"")</f>
        <v>6.21</v>
      </c>
      <c r="J13" s="298"/>
      <c r="K13" s="298">
        <f>IFERROR(_xlfn.XLOOKUP($A13,Input_Raw!$A:$A,Input_Raw!S:S),"")</f>
        <v>36.200000000000003</v>
      </c>
      <c r="L13" s="298">
        <f>IFERROR(_xlfn.XLOOKUP($A13,Input_Raw!$A:$A,Input_Raw!T:T),"")</f>
        <v>46.92</v>
      </c>
      <c r="M13" s="298">
        <f>IFERROR(_xlfn.XLOOKUP($A13,Input_Raw!$A:$A,Input_Raw!W:W),"")</f>
        <v>2.91</v>
      </c>
      <c r="N13" s="298">
        <f>IFERROR(_xlfn.XLOOKUP($A13,Input_Raw!$A:$A,Input_Raw!X:X),"")</f>
        <v>6.66</v>
      </c>
      <c r="O13" s="299">
        <f>IFERROR(1-(SUMIF(Plant_BD!$B:$B,$A13,Plant_BD!$AL:$AL)/($AA13+SUMIF(Plant_BD!$B:$B,$A13,Plant_BD!$AL:$AL))),"")</f>
        <v>1</v>
      </c>
      <c r="P13" s="299"/>
      <c r="Q13" s="300"/>
      <c r="R13" s="299">
        <f>IFERROR(1-(SUMIF(Grid_BD!$B:$B,$A13,Grid_BD!$V:$V)/($AA13+SUMIF(Grid_BD!$B:$B,$A13,Grid_BD!$V:$V))),"")</f>
        <v>1</v>
      </c>
      <c r="S13" s="295"/>
      <c r="T13" s="300"/>
      <c r="U13" s="301">
        <f t="shared" si="6"/>
        <v>0.75795627736674254</v>
      </c>
      <c r="V13" s="301" t="str">
        <f>IFERROR(_xlfn.XLOOKUP($A13,Input_Raw!$A:$A,Input_Raw!$AX:$AX),"")</f>
        <v/>
      </c>
      <c r="W13" s="302">
        <f t="shared" si="7"/>
        <v>0.17673242363992323</v>
      </c>
      <c r="X13" s="294">
        <f>IFERROR(_xlfn.XLOOKUP($A13,Input_Raw!$A:$A,Input_Raw!$AA:$AA),"")</f>
        <v>169153.5</v>
      </c>
      <c r="Y13" s="294">
        <f>IFERROR(_xlfn.XLOOKUP($A13,Input_Raw!$A:$A,Input_Raw!$AS:$AS),"")</f>
        <v>168000</v>
      </c>
      <c r="Z13" s="294"/>
      <c r="AA13" s="294">
        <f>IFERROR(_xlfn.XLOOKUP($A13,Input_Raw!$A:$A,Input_Raw!$AT:$AT),"")</f>
        <v>166200.93851522022</v>
      </c>
      <c r="AB13" s="294">
        <f>IFERROR(_xlfn.XLOOKUP($A13,Input_Raw!$A:$A,Input_Raw!$AU:$AU),"")</f>
        <v>35.31</v>
      </c>
      <c r="AC13" s="303">
        <f>IFERROR(_xlfn.XLOOKUP($D13,'Modelling New'!$D:$D,'Modelling New'!P:P),"")</f>
        <v>6.0635436999999994</v>
      </c>
      <c r="AD13" s="294">
        <f>IFERROR(_xlfn.XLOOKUP($D13,'Modelling New'!$D:$D,'Modelling New'!T:T)*1000,"")</f>
        <v>166595.64726048111</v>
      </c>
      <c r="AE13" s="304">
        <f>IFERROR(_xlfn.XLOOKUP($D13,'Modelling New'!$D:$D,'Modelling New'!$O:$O),"")</f>
        <v>0.70118261764763101</v>
      </c>
      <c r="AF13" s="304">
        <f>IFERROR(_xlfn.XLOOKUP($D13,'Modelling New'!$D:$D,'Modelling New'!$W:$W),"")</f>
        <v>0.17715214349111674</v>
      </c>
      <c r="AG13" s="304">
        <f>IFERROR(_xlfn.XLOOKUP($D13,'Modelling New'!$D:$D,'Modelling New'!$AE:$AE),"")</f>
        <v>0.995</v>
      </c>
      <c r="AH13" s="304">
        <f>IFERROR(_xlfn.XLOOKUP($D13,'Modelling New'!$D:$D,'Modelling New'!$AF:$AF),"")</f>
        <v>0.995</v>
      </c>
      <c r="AI13" s="295"/>
      <c r="AJ13" s="295"/>
      <c r="AK13" s="295"/>
      <c r="AL13" s="295"/>
      <c r="AM13" s="295"/>
      <c r="AN13" s="305"/>
      <c r="AO13" s="302"/>
      <c r="AP13" s="302"/>
      <c r="AQ13" s="302"/>
      <c r="AR13" s="294">
        <f>_xlfn.XLOOKUP($D13,'Modelling New'!$D:$D,'Modelling New'!$N:$N)</f>
        <v>39.183750000000003</v>
      </c>
      <c r="AS13" s="294">
        <f t="shared" si="8"/>
        <v>150125.81248011198</v>
      </c>
    </row>
    <row r="14" spans="1:45">
      <c r="A14" s="293">
        <f t="shared" si="9"/>
        <v>45757</v>
      </c>
      <c r="B14" s="294">
        <f>YEAR(Daily_KPI[[#This Row],[Date]])+IF(MONTH(Daily_KPI[[#This Row],[Date]])&gt;=4,1,0)</f>
        <v>2026</v>
      </c>
      <c r="C14" s="295">
        <f>YEAR(Daily_KPI[[#This Row],[Date]])</f>
        <v>2025</v>
      </c>
      <c r="D14" s="296">
        <f>Daily_KPI[[#This Row],[Date]]-DAY(Daily_KPI[[#This Row],[Date]])+1</f>
        <v>45748</v>
      </c>
      <c r="E14" s="295">
        <f t="shared" si="5"/>
        <v>30</v>
      </c>
      <c r="F14" s="297">
        <f>IFERROR(_xlfn.XLOOKUP($A14,Input_Raw!$A:$A,Input_Raw!$AR:$AR),"")</f>
        <v>11.833333333333332</v>
      </c>
      <c r="G14" s="298">
        <f>IFERROR(_xlfn.XLOOKUP($A14,Input_Raw!$A:$A,Input_Raw!$R:$R),"")</f>
        <v>6.25</v>
      </c>
      <c r="H14" s="298"/>
      <c r="I14" s="298">
        <f>IFERROR(_xlfn.XLOOKUP($A14,Input_Raw!$A:$A,Input_Raw!$Q:$Q),"")</f>
        <v>6.27</v>
      </c>
      <c r="J14" s="298"/>
      <c r="K14" s="298">
        <f>IFERROR(_xlfn.XLOOKUP($A14,Input_Raw!$A:$A,Input_Raw!S:S),"")</f>
        <v>36.950000000000003</v>
      </c>
      <c r="L14" s="298">
        <f>IFERROR(_xlfn.XLOOKUP($A14,Input_Raw!$A:$A,Input_Raw!T:T),"")</f>
        <v>46.54</v>
      </c>
      <c r="M14" s="298">
        <f>IFERROR(_xlfn.XLOOKUP($A14,Input_Raw!$A:$A,Input_Raw!W:W),"")</f>
        <v>2.86</v>
      </c>
      <c r="N14" s="298">
        <f>IFERROR(_xlfn.XLOOKUP($A14,Input_Raw!$A:$A,Input_Raw!X:X),"")</f>
        <v>8.27</v>
      </c>
      <c r="O14" s="299">
        <f>IFERROR(1-(SUMIF(Plant_BD!$B:$B,$A14,Plant_BD!$AL:$AL)/($AA14+SUMIF(Plant_BD!$B:$B,$A14,Plant_BD!$AL:$AL))),"")</f>
        <v>1</v>
      </c>
      <c r="P14" s="299"/>
      <c r="Q14" s="300"/>
      <c r="R14" s="299">
        <f>IFERROR(1-(SUMIF(Grid_BD!$B:$B,$A14,Grid_BD!$V:$V)/($AA14+SUMIF(Grid_BD!$B:$B,$A14,Grid_BD!$V:$V))),"")</f>
        <v>1</v>
      </c>
      <c r="S14" s="295"/>
      <c r="T14" s="300"/>
      <c r="U14" s="301">
        <f t="shared" si="6"/>
        <v>0.79265362051524924</v>
      </c>
      <c r="V14" s="301" t="str">
        <f>IFERROR(_xlfn.XLOOKUP($A14,Input_Raw!$A:$A,Input_Raw!$AX:$AX),"")</f>
        <v/>
      </c>
      <c r="W14" s="302">
        <f t="shared" si="7"/>
        <v>0.18660851954388716</v>
      </c>
      <c r="X14" s="294">
        <f>IFERROR(_xlfn.XLOOKUP($A14,Input_Raw!$A:$A,Input_Raw!$AA:$AA),"")</f>
        <v>178601</v>
      </c>
      <c r="Y14" s="294">
        <f>IFERROR(_xlfn.XLOOKUP($A14,Input_Raw!$A:$A,Input_Raw!$AS:$AS),"")</f>
        <v>176000</v>
      </c>
      <c r="Z14" s="294"/>
      <c r="AA14" s="294">
        <f>IFERROR(_xlfn.XLOOKUP($A14,Input_Raw!$A:$A,Input_Raw!$AT:$AT),"")</f>
        <v>175488.51786426693</v>
      </c>
      <c r="AB14" s="294">
        <f>IFERROR(_xlfn.XLOOKUP($A14,Input_Raw!$A:$A,Input_Raw!$AU:$AU),"")</f>
        <v>35.31</v>
      </c>
      <c r="AC14" s="303">
        <f>IFERROR(_xlfn.XLOOKUP($D14,'Modelling New'!$D:$D,'Modelling New'!P:P),"")</f>
        <v>6.0635436999999994</v>
      </c>
      <c r="AD14" s="294">
        <f>IFERROR(_xlfn.XLOOKUP($D14,'Modelling New'!$D:$D,'Modelling New'!T:T)*1000,"")</f>
        <v>166595.64726048111</v>
      </c>
      <c r="AE14" s="304">
        <f>IFERROR(_xlfn.XLOOKUP($D14,'Modelling New'!$D:$D,'Modelling New'!$O:$O),"")</f>
        <v>0.70118261764763101</v>
      </c>
      <c r="AF14" s="304">
        <f>IFERROR(_xlfn.XLOOKUP($D14,'Modelling New'!$D:$D,'Modelling New'!$W:$W),"")</f>
        <v>0.17715214349111674</v>
      </c>
      <c r="AG14" s="304">
        <f>IFERROR(_xlfn.XLOOKUP($D14,'Modelling New'!$D:$D,'Modelling New'!$AE:$AE),"")</f>
        <v>0.995</v>
      </c>
      <c r="AH14" s="304">
        <f>IFERROR(_xlfn.XLOOKUP($D14,'Modelling New'!$D:$D,'Modelling New'!$AF:$AF),"")</f>
        <v>0.995</v>
      </c>
      <c r="AI14" s="295"/>
      <c r="AJ14" s="295"/>
      <c r="AK14" s="295"/>
      <c r="AL14" s="295"/>
      <c r="AM14" s="295"/>
      <c r="AN14" s="305"/>
      <c r="AO14" s="302"/>
      <c r="AP14" s="302"/>
      <c r="AQ14" s="302"/>
      <c r="AR14" s="294">
        <f>_xlfn.XLOOKUP($D14,'Modelling New'!$D:$D,'Modelling New'!$N:$N)</f>
        <v>39.183750000000003</v>
      </c>
      <c r="AS14" s="294">
        <f t="shared" si="8"/>
        <v>150125.81248011198</v>
      </c>
    </row>
    <row r="15" spans="1:45">
      <c r="A15" s="293">
        <f t="shared" si="9"/>
        <v>45758</v>
      </c>
      <c r="B15" s="294">
        <f>YEAR(Daily_KPI[[#This Row],[Date]])+IF(MONTH(Daily_KPI[[#This Row],[Date]])&gt;=4,1,0)</f>
        <v>2026</v>
      </c>
      <c r="C15" s="295">
        <f>YEAR(Daily_KPI[[#This Row],[Date]])</f>
        <v>2025</v>
      </c>
      <c r="D15" s="296">
        <f>Daily_KPI[[#This Row],[Date]]-DAY(Daily_KPI[[#This Row],[Date]])+1</f>
        <v>45748</v>
      </c>
      <c r="E15" s="295">
        <f t="shared" si="5"/>
        <v>30</v>
      </c>
      <c r="F15" s="297">
        <f>IFERROR(_xlfn.XLOOKUP($A15,Input_Raw!$A:$A,Input_Raw!$AR:$AR),"")</f>
        <v>11.7</v>
      </c>
      <c r="G15" s="298">
        <f>IFERROR(_xlfn.XLOOKUP($A15,Input_Raw!$A:$A,Input_Raw!$R:$R),"")</f>
        <v>6.52</v>
      </c>
      <c r="H15" s="298"/>
      <c r="I15" s="298">
        <f>IFERROR(_xlfn.XLOOKUP($A15,Input_Raw!$A:$A,Input_Raw!$Q:$Q),"")</f>
        <v>6.52</v>
      </c>
      <c r="J15" s="298"/>
      <c r="K15" s="298">
        <f>IFERROR(_xlfn.XLOOKUP($A15,Input_Raw!$A:$A,Input_Raw!S:S),"")</f>
        <v>36.729999999999997</v>
      </c>
      <c r="L15" s="298">
        <f>IFERROR(_xlfn.XLOOKUP($A15,Input_Raw!$A:$A,Input_Raw!T:T),"")</f>
        <v>45.41</v>
      </c>
      <c r="M15" s="298">
        <f>IFERROR(_xlfn.XLOOKUP($A15,Input_Raw!$A:$A,Input_Raw!W:W),"")</f>
        <v>3.15</v>
      </c>
      <c r="N15" s="298">
        <f>IFERROR(_xlfn.XLOOKUP($A15,Input_Raw!$A:$A,Input_Raw!X:X),"")</f>
        <v>7.42</v>
      </c>
      <c r="O15" s="299">
        <f>IFERROR(1-(SUMIF(Plant_BD!$B:$B,$A15,Plant_BD!$AL:$AL)/($AA15+SUMIF(Plant_BD!$B:$B,$A15,Plant_BD!$AL:$AL))),"")</f>
        <v>0.92991635905970227</v>
      </c>
      <c r="P15" s="299"/>
      <c r="Q15" s="300"/>
      <c r="R15" s="299">
        <f>IFERROR(1-(SUMIF(Grid_BD!$B:$B,$A15,Grid_BD!$V:$V)/($AA15+SUMIF(Grid_BD!$B:$B,$A15,Grid_BD!$V:$V))),"")</f>
        <v>1</v>
      </c>
      <c r="S15" s="295"/>
      <c r="T15" s="300"/>
      <c r="U15" s="301">
        <f t="shared" si="6"/>
        <v>0.74071154558988561</v>
      </c>
      <c r="V15" s="301" t="str">
        <f>IFERROR(_xlfn.XLOOKUP($A15,Input_Raw!$A:$A,Input_Raw!$AX:$AX),"")</f>
        <v/>
      </c>
      <c r="W15" s="302">
        <f t="shared" si="7"/>
        <v>0.1813331428627494</v>
      </c>
      <c r="X15" s="294">
        <f>IFERROR(_xlfn.XLOOKUP($A15,Input_Raw!$A:$A,Input_Raw!$AA:$AA),"")</f>
        <v>173429.4</v>
      </c>
      <c r="Y15" s="294">
        <f>IFERROR(_xlfn.XLOOKUP($A15,Input_Raw!$A:$A,Input_Raw!$AS:$AS),"")</f>
        <v>172000</v>
      </c>
      <c r="Z15" s="294"/>
      <c r="AA15" s="294">
        <f>IFERROR(_xlfn.XLOOKUP($A15,Input_Raw!$A:$A,Input_Raw!$AT:$AT),"")</f>
        <v>170527.50087955818</v>
      </c>
      <c r="AB15" s="294">
        <f>IFERROR(_xlfn.XLOOKUP($A15,Input_Raw!$A:$A,Input_Raw!$AU:$AU),"")</f>
        <v>35.31</v>
      </c>
      <c r="AC15" s="303">
        <f>IFERROR(_xlfn.XLOOKUP($D15,'Modelling New'!$D:$D,'Modelling New'!P:P),"")</f>
        <v>6.0635436999999994</v>
      </c>
      <c r="AD15" s="294">
        <f>IFERROR(_xlfn.XLOOKUP($D15,'Modelling New'!$D:$D,'Modelling New'!T:T)*1000,"")</f>
        <v>166595.64726048111</v>
      </c>
      <c r="AE15" s="304">
        <f>IFERROR(_xlfn.XLOOKUP($D15,'Modelling New'!$D:$D,'Modelling New'!$O:$O),"")</f>
        <v>0.70118261764763101</v>
      </c>
      <c r="AF15" s="304">
        <f>IFERROR(_xlfn.XLOOKUP($D15,'Modelling New'!$D:$D,'Modelling New'!$W:$W),"")</f>
        <v>0.17715214349111674</v>
      </c>
      <c r="AG15" s="304">
        <f>IFERROR(_xlfn.XLOOKUP($D15,'Modelling New'!$D:$D,'Modelling New'!$AE:$AE),"")</f>
        <v>0.995</v>
      </c>
      <c r="AH15" s="304">
        <f>IFERROR(_xlfn.XLOOKUP($D15,'Modelling New'!$D:$D,'Modelling New'!$AF:$AF),"")</f>
        <v>0.995</v>
      </c>
      <c r="AI15" s="295"/>
      <c r="AJ15" s="295"/>
      <c r="AK15" s="295"/>
      <c r="AL15" s="295"/>
      <c r="AM15" s="295"/>
      <c r="AN15" s="305"/>
      <c r="AO15" s="302"/>
      <c r="AP15" s="302"/>
      <c r="AQ15" s="302"/>
      <c r="AR15" s="294">
        <f>_xlfn.XLOOKUP($D15,'Modelling New'!$D:$D,'Modelling New'!$N:$N)</f>
        <v>39.183750000000003</v>
      </c>
      <c r="AS15" s="294">
        <f t="shared" si="8"/>
        <v>150125.81248011198</v>
      </c>
    </row>
    <row r="16" spans="1:45">
      <c r="A16" s="293">
        <f t="shared" si="9"/>
        <v>45759</v>
      </c>
      <c r="B16" s="294">
        <f>YEAR(Daily_KPI[[#This Row],[Date]])+IF(MONTH(Daily_KPI[[#This Row],[Date]])&gt;=4,1,0)</f>
        <v>2026</v>
      </c>
      <c r="C16" s="295">
        <f>YEAR(Daily_KPI[[#This Row],[Date]])</f>
        <v>2025</v>
      </c>
      <c r="D16" s="296">
        <f>Daily_KPI[[#This Row],[Date]]-DAY(Daily_KPI[[#This Row],[Date]])+1</f>
        <v>45748</v>
      </c>
      <c r="E16" s="295">
        <f t="shared" si="5"/>
        <v>30</v>
      </c>
      <c r="F16" s="297">
        <f>IFERROR(_xlfn.XLOOKUP($A16,Input_Raw!$A:$A,Input_Raw!$AR:$AR),"")</f>
        <v>11.383333333333333</v>
      </c>
      <c r="G16" s="298">
        <f>IFERROR(_xlfn.XLOOKUP($A16,Input_Raw!$A:$A,Input_Raw!$R:$R),"")</f>
        <v>6.66</v>
      </c>
      <c r="H16" s="298"/>
      <c r="I16" s="298">
        <f>IFERROR(_xlfn.XLOOKUP($A16,Input_Raw!$A:$A,Input_Raw!$Q:$Q),"")</f>
        <v>6.67</v>
      </c>
      <c r="J16" s="298"/>
      <c r="K16" s="298">
        <f>IFERROR(_xlfn.XLOOKUP($A16,Input_Raw!$A:$A,Input_Raw!S:S),"")</f>
        <v>36.520000000000003</v>
      </c>
      <c r="L16" s="298">
        <f>IFERROR(_xlfn.XLOOKUP($A16,Input_Raw!$A:$A,Input_Raw!T:T),"")</f>
        <v>48.68</v>
      </c>
      <c r="M16" s="298">
        <f>IFERROR(_xlfn.XLOOKUP($A16,Input_Raw!$A:$A,Input_Raw!W:W),"")</f>
        <v>3.66</v>
      </c>
      <c r="N16" s="298">
        <f>IFERROR(_xlfn.XLOOKUP($A16,Input_Raw!$A:$A,Input_Raw!X:X),"")</f>
        <v>8.68</v>
      </c>
      <c r="O16" s="299">
        <f>IFERROR(1-(SUMIF(Plant_BD!$B:$B,$A16,Plant_BD!$AL:$AL)/($AA16+SUMIF(Plant_BD!$B:$B,$A16,Plant_BD!$AL:$AL))),"")</f>
        <v>1</v>
      </c>
      <c r="P16" s="299"/>
      <c r="Q16" s="300"/>
      <c r="R16" s="299">
        <f>IFERROR(1-(SUMIF(Grid_BD!$B:$B,$A16,Grid_BD!$V:$V)/($AA16+SUMIF(Grid_BD!$B:$B,$A16,Grid_BD!$V:$V))),"")</f>
        <v>1</v>
      </c>
      <c r="S16" s="295"/>
      <c r="T16" s="300"/>
      <c r="U16" s="301">
        <f t="shared" si="6"/>
        <v>0.77505207722181979</v>
      </c>
      <c r="V16" s="301" t="str">
        <f>IFERROR(_xlfn.XLOOKUP($A16,Input_Raw!$A:$A,Input_Raw!$AX:$AX),"")</f>
        <v/>
      </c>
      <c r="W16" s="302">
        <f t="shared" si="7"/>
        <v>0.194105212202662</v>
      </c>
      <c r="X16" s="294">
        <f>IFERROR(_xlfn.XLOOKUP($A16,Input_Raw!$A:$A,Input_Raw!$AA:$AA),"")</f>
        <v>185766.59999999998</v>
      </c>
      <c r="Y16" s="294">
        <f>IFERROR(_xlfn.XLOOKUP($A16,Input_Raw!$A:$A,Input_Raw!$AS:$AS),"")</f>
        <v>184000</v>
      </c>
      <c r="Z16" s="294"/>
      <c r="AA16" s="294">
        <f>IFERROR(_xlfn.XLOOKUP($A16,Input_Raw!$A:$A,Input_Raw!$AT:$AT),"")</f>
        <v>182538.4826075054</v>
      </c>
      <c r="AB16" s="294">
        <f>IFERROR(_xlfn.XLOOKUP($A16,Input_Raw!$A:$A,Input_Raw!$AU:$AU),"")</f>
        <v>35.31</v>
      </c>
      <c r="AC16" s="303">
        <f>IFERROR(_xlfn.XLOOKUP($D16,'Modelling New'!$D:$D,'Modelling New'!P:P),"")</f>
        <v>6.0635436999999994</v>
      </c>
      <c r="AD16" s="294">
        <f>IFERROR(_xlfn.XLOOKUP($D16,'Modelling New'!$D:$D,'Modelling New'!T:T)*1000,"")</f>
        <v>166595.64726048111</v>
      </c>
      <c r="AE16" s="304">
        <f>IFERROR(_xlfn.XLOOKUP($D16,'Modelling New'!$D:$D,'Modelling New'!$O:$O),"")</f>
        <v>0.70118261764763101</v>
      </c>
      <c r="AF16" s="304">
        <f>IFERROR(_xlfn.XLOOKUP($D16,'Modelling New'!$D:$D,'Modelling New'!$W:$W),"")</f>
        <v>0.17715214349111674</v>
      </c>
      <c r="AG16" s="304">
        <f>IFERROR(_xlfn.XLOOKUP($D16,'Modelling New'!$D:$D,'Modelling New'!$AE:$AE),"")</f>
        <v>0.995</v>
      </c>
      <c r="AH16" s="304">
        <f>IFERROR(_xlfn.XLOOKUP($D16,'Modelling New'!$D:$D,'Modelling New'!$AF:$AF),"")</f>
        <v>0.995</v>
      </c>
      <c r="AI16" s="295"/>
      <c r="AJ16" s="295"/>
      <c r="AK16" s="295"/>
      <c r="AL16" s="295"/>
      <c r="AM16" s="295"/>
      <c r="AN16" s="305"/>
      <c r="AO16" s="302"/>
      <c r="AP16" s="302"/>
      <c r="AQ16" s="302"/>
      <c r="AR16" s="294">
        <f>_xlfn.XLOOKUP($D16,'Modelling New'!$D:$D,'Modelling New'!$N:$N)</f>
        <v>39.183750000000003</v>
      </c>
      <c r="AS16" s="294">
        <f t="shared" si="8"/>
        <v>150125.81248011198</v>
      </c>
    </row>
    <row r="17" spans="1:45">
      <c r="A17" s="293">
        <f t="shared" si="9"/>
        <v>45760</v>
      </c>
      <c r="B17" s="294">
        <f>YEAR(Daily_KPI[[#This Row],[Date]])+IF(MONTH(Daily_KPI[[#This Row],[Date]])&gt;=4,1,0)</f>
        <v>2026</v>
      </c>
      <c r="C17" s="295">
        <f>YEAR(Daily_KPI[[#This Row],[Date]])</f>
        <v>2025</v>
      </c>
      <c r="D17" s="296">
        <f>Daily_KPI[[#This Row],[Date]]-DAY(Daily_KPI[[#This Row],[Date]])+1</f>
        <v>45748</v>
      </c>
      <c r="E17" s="295">
        <f t="shared" si="5"/>
        <v>30</v>
      </c>
      <c r="F17" s="297">
        <f>IFERROR(_xlfn.XLOOKUP($A17,Input_Raw!$A:$A,Input_Raw!$AR:$AR),"")</f>
        <v>11.95</v>
      </c>
      <c r="G17" s="298">
        <f>IFERROR(_xlfn.XLOOKUP($A17,Input_Raw!$A:$A,Input_Raw!$R:$R),"")</f>
        <v>6.24</v>
      </c>
      <c r="H17" s="298"/>
      <c r="I17" s="298">
        <f>IFERROR(_xlfn.XLOOKUP($A17,Input_Raw!$A:$A,Input_Raw!$Q:$Q),"")</f>
        <v>6.15</v>
      </c>
      <c r="J17" s="298"/>
      <c r="K17" s="298">
        <f>IFERROR(_xlfn.XLOOKUP($A17,Input_Raw!$A:$A,Input_Raw!S:S),"")</f>
        <v>36.53</v>
      </c>
      <c r="L17" s="298">
        <f>IFERROR(_xlfn.XLOOKUP($A17,Input_Raw!$A:$A,Input_Raw!T:T),"")</f>
        <v>44.93</v>
      </c>
      <c r="M17" s="298">
        <f>IFERROR(_xlfn.XLOOKUP($A17,Input_Raw!$A:$A,Input_Raw!W:W),"")</f>
        <v>2.98</v>
      </c>
      <c r="N17" s="298">
        <f>IFERROR(_xlfn.XLOOKUP($A17,Input_Raw!$A:$A,Input_Raw!X:X),"")</f>
        <v>7.7</v>
      </c>
      <c r="O17" s="299">
        <f>IFERROR(1-(SUMIF(Plant_BD!$B:$B,$A17,Plant_BD!$AL:$AL)/($AA17+SUMIF(Plant_BD!$B:$B,$A17,Plant_BD!$AL:$AL))),"")</f>
        <v>1</v>
      </c>
      <c r="P17" s="299"/>
      <c r="Q17" s="300"/>
      <c r="R17" s="299">
        <f>IFERROR(1-(SUMIF(Grid_BD!$B:$B,$A17,Grid_BD!$V:$V)/($AA17+SUMIF(Grid_BD!$B:$B,$A17,Grid_BD!$V:$V))),"")</f>
        <v>1</v>
      </c>
      <c r="S17" s="295"/>
      <c r="T17" s="300"/>
      <c r="U17" s="301">
        <f t="shared" si="6"/>
        <v>0.74927291206799662</v>
      </c>
      <c r="V17" s="301" t="str">
        <f>IFERROR(_xlfn.XLOOKUP($A17,Input_Raw!$A:$A,Input_Raw!$AX:$AX),"")</f>
        <v/>
      </c>
      <c r="W17" s="302">
        <f t="shared" si="7"/>
        <v>0.17301972876670166</v>
      </c>
      <c r="X17" s="294">
        <f>IFERROR(_xlfn.XLOOKUP($A17,Input_Raw!$A:$A,Input_Raw!$AA:$AA),"")</f>
        <v>165703.60000000003</v>
      </c>
      <c r="Y17" s="294">
        <f>IFERROR(_xlfn.XLOOKUP($A17,Input_Raw!$A:$A,Input_Raw!$AS:$AS),"")</f>
        <v>163000</v>
      </c>
      <c r="Z17" s="294"/>
      <c r="AA17" s="294">
        <f>IFERROR(_xlfn.XLOOKUP($A17,Input_Raw!$A:$A,Input_Raw!$AT:$AT),"")</f>
        <v>162709.48312949392</v>
      </c>
      <c r="AB17" s="294">
        <f>IFERROR(_xlfn.XLOOKUP($A17,Input_Raw!$A:$A,Input_Raw!$AU:$AU),"")</f>
        <v>35.31</v>
      </c>
      <c r="AC17" s="303">
        <f>IFERROR(_xlfn.XLOOKUP($D17,'Modelling New'!$D:$D,'Modelling New'!P:P),"")</f>
        <v>6.0635436999999994</v>
      </c>
      <c r="AD17" s="294">
        <f>IFERROR(_xlfn.XLOOKUP($D17,'Modelling New'!$D:$D,'Modelling New'!T:T)*1000,"")</f>
        <v>166595.64726048111</v>
      </c>
      <c r="AE17" s="304">
        <f>IFERROR(_xlfn.XLOOKUP($D17,'Modelling New'!$D:$D,'Modelling New'!$O:$O),"")</f>
        <v>0.70118261764763101</v>
      </c>
      <c r="AF17" s="304">
        <f>IFERROR(_xlfn.XLOOKUP($D17,'Modelling New'!$D:$D,'Modelling New'!$W:$W),"")</f>
        <v>0.17715214349111674</v>
      </c>
      <c r="AG17" s="304">
        <f>IFERROR(_xlfn.XLOOKUP($D17,'Modelling New'!$D:$D,'Modelling New'!$AE:$AE),"")</f>
        <v>0.995</v>
      </c>
      <c r="AH17" s="304">
        <f>IFERROR(_xlfn.XLOOKUP($D17,'Modelling New'!$D:$D,'Modelling New'!$AF:$AF),"")</f>
        <v>0.995</v>
      </c>
      <c r="AI17" s="295"/>
      <c r="AJ17" s="295"/>
      <c r="AK17" s="295"/>
      <c r="AL17" s="295"/>
      <c r="AM17" s="295"/>
      <c r="AN17" s="305"/>
      <c r="AO17" s="302"/>
      <c r="AP17" s="302"/>
      <c r="AQ17" s="302"/>
      <c r="AR17" s="294">
        <f>_xlfn.XLOOKUP($D17,'Modelling New'!$D:$D,'Modelling New'!$N:$N)</f>
        <v>39.183750000000003</v>
      </c>
      <c r="AS17" s="294">
        <f t="shared" si="8"/>
        <v>150125.81248011198</v>
      </c>
    </row>
    <row r="18" spans="1:45">
      <c r="A18" s="293">
        <f t="shared" si="9"/>
        <v>45761</v>
      </c>
      <c r="B18" s="294">
        <f>YEAR(Daily_KPI[[#This Row],[Date]])+IF(MONTH(Daily_KPI[[#This Row],[Date]])&gt;=4,1,0)</f>
        <v>2026</v>
      </c>
      <c r="C18" s="295">
        <f>YEAR(Daily_KPI[[#This Row],[Date]])</f>
        <v>2025</v>
      </c>
      <c r="D18" s="296">
        <f>Daily_KPI[[#This Row],[Date]]-DAY(Daily_KPI[[#This Row],[Date]])+1</f>
        <v>45748</v>
      </c>
      <c r="E18" s="295">
        <f t="shared" si="5"/>
        <v>30</v>
      </c>
      <c r="F18" s="297">
        <f>IFERROR(_xlfn.XLOOKUP($A18,Input_Raw!$A:$A,Input_Raw!$AR:$AR),"")</f>
        <v>11.85</v>
      </c>
      <c r="G18" s="298">
        <f>IFERROR(_xlfn.XLOOKUP($A18,Input_Raw!$A:$A,Input_Raw!$R:$R),"")</f>
        <v>6.7</v>
      </c>
      <c r="H18" s="298"/>
      <c r="I18" s="298">
        <f>IFERROR(_xlfn.XLOOKUP($A18,Input_Raw!$A:$A,Input_Raw!$Q:$Q),"")</f>
        <v>6.68</v>
      </c>
      <c r="J18" s="298"/>
      <c r="K18" s="298">
        <f>IFERROR(_xlfn.XLOOKUP($A18,Input_Raw!$A:$A,Input_Raw!S:S),"")</f>
        <v>36.76</v>
      </c>
      <c r="L18" s="298">
        <f>IFERROR(_xlfn.XLOOKUP($A18,Input_Raw!$A:$A,Input_Raw!T:T),"")</f>
        <v>45.63</v>
      </c>
      <c r="M18" s="298">
        <f>IFERROR(_xlfn.XLOOKUP($A18,Input_Raw!$A:$A,Input_Raw!W:W),"")</f>
        <v>3.14</v>
      </c>
      <c r="N18" s="298">
        <f>IFERROR(_xlfn.XLOOKUP($A18,Input_Raw!$A:$A,Input_Raw!X:X),"")</f>
        <v>9.32</v>
      </c>
      <c r="O18" s="299">
        <f>IFERROR(1-(SUMIF(Plant_BD!$B:$B,$A18,Plant_BD!$AL:$AL)/($AA18+SUMIF(Plant_BD!$B:$B,$A18,Plant_BD!$AL:$AL))),"")</f>
        <v>1</v>
      </c>
      <c r="P18" s="299"/>
      <c r="Q18" s="300"/>
      <c r="R18" s="299">
        <f>IFERROR(1-(SUMIF(Grid_BD!$B:$B,$A18,Grid_BD!$V:$V)/($AA18+SUMIF(Grid_BD!$B:$B,$A18,Grid_BD!$V:$V))),"")</f>
        <v>1</v>
      </c>
      <c r="S18" s="295"/>
      <c r="T18" s="300"/>
      <c r="U18" s="301">
        <f t="shared" si="6"/>
        <v>0.74737359387951952</v>
      </c>
      <c r="V18" s="301" t="str">
        <f>IFERROR(_xlfn.XLOOKUP($A18,Input_Raw!$A:$A,Input_Raw!$AX:$AX),"")</f>
        <v/>
      </c>
      <c r="W18" s="302">
        <f t="shared" si="7"/>
        <v>0.18745399079894659</v>
      </c>
      <c r="X18" s="294">
        <f>IFERROR(_xlfn.XLOOKUP($A18,Input_Raw!$A:$A,Input_Raw!$AA:$AA),"")</f>
        <v>179771.00000000003</v>
      </c>
      <c r="Y18" s="294">
        <f>IFERROR(_xlfn.XLOOKUP($A18,Input_Raw!$A:$A,Input_Raw!$AS:$AS),"")</f>
        <v>178000</v>
      </c>
      <c r="Z18" s="294"/>
      <c r="AA18" s="294">
        <f>IFERROR(_xlfn.XLOOKUP($A18,Input_Raw!$A:$A,Input_Raw!$AT:$AT),"")</f>
        <v>176283.60748723737</v>
      </c>
      <c r="AB18" s="294">
        <f>IFERROR(_xlfn.XLOOKUP($A18,Input_Raw!$A:$A,Input_Raw!$AU:$AU),"")</f>
        <v>35.31</v>
      </c>
      <c r="AC18" s="303">
        <f>IFERROR(_xlfn.XLOOKUP($D18,'Modelling New'!$D:$D,'Modelling New'!P:P),"")</f>
        <v>6.0635436999999994</v>
      </c>
      <c r="AD18" s="294">
        <f>IFERROR(_xlfn.XLOOKUP($D18,'Modelling New'!$D:$D,'Modelling New'!T:T)*1000,"")</f>
        <v>166595.64726048111</v>
      </c>
      <c r="AE18" s="304">
        <f>IFERROR(_xlfn.XLOOKUP($D18,'Modelling New'!$D:$D,'Modelling New'!$O:$O),"")</f>
        <v>0.70118261764763101</v>
      </c>
      <c r="AF18" s="304">
        <f>IFERROR(_xlfn.XLOOKUP($D18,'Modelling New'!$D:$D,'Modelling New'!$W:$W),"")</f>
        <v>0.17715214349111674</v>
      </c>
      <c r="AG18" s="304">
        <f>IFERROR(_xlfn.XLOOKUP($D18,'Modelling New'!$D:$D,'Modelling New'!$AE:$AE),"")</f>
        <v>0.995</v>
      </c>
      <c r="AH18" s="304">
        <f>IFERROR(_xlfn.XLOOKUP($D18,'Modelling New'!$D:$D,'Modelling New'!$AF:$AF),"")</f>
        <v>0.995</v>
      </c>
      <c r="AI18" s="295"/>
      <c r="AJ18" s="295"/>
      <c r="AK18" s="295"/>
      <c r="AL18" s="295"/>
      <c r="AM18" s="295"/>
      <c r="AN18" s="305"/>
      <c r="AO18" s="302"/>
      <c r="AP18" s="302"/>
      <c r="AQ18" s="302"/>
      <c r="AR18" s="294">
        <f>_xlfn.XLOOKUP($D18,'Modelling New'!$D:$D,'Modelling New'!$N:$N)</f>
        <v>39.183750000000003</v>
      </c>
      <c r="AS18" s="294">
        <f t="shared" si="8"/>
        <v>150125.81248011198</v>
      </c>
    </row>
    <row r="19" spans="1:45">
      <c r="A19" s="293">
        <f t="shared" si="9"/>
        <v>45762</v>
      </c>
      <c r="B19" s="294">
        <f>YEAR(Daily_KPI[[#This Row],[Date]])+IF(MONTH(Daily_KPI[[#This Row],[Date]])&gt;=4,1,0)</f>
        <v>2026</v>
      </c>
      <c r="C19" s="295">
        <f>YEAR(Daily_KPI[[#This Row],[Date]])</f>
        <v>2025</v>
      </c>
      <c r="D19" s="296">
        <f>Daily_KPI[[#This Row],[Date]]-DAY(Daily_KPI[[#This Row],[Date]])+1</f>
        <v>45748</v>
      </c>
      <c r="E19" s="295">
        <f t="shared" si="5"/>
        <v>30</v>
      </c>
      <c r="F19" s="297">
        <f>IFERROR(_xlfn.XLOOKUP($A19,Input_Raw!$A:$A,Input_Raw!$AR:$AR),"")</f>
        <v>11.916666666666666</v>
      </c>
      <c r="G19" s="298">
        <f>IFERROR(_xlfn.XLOOKUP($A19,Input_Raw!$A:$A,Input_Raw!$R:$R),"")</f>
        <v>6.3</v>
      </c>
      <c r="H19" s="298"/>
      <c r="I19" s="298">
        <f>IFERROR(_xlfn.XLOOKUP($A19,Input_Raw!$A:$A,Input_Raw!$Q:$Q),"")</f>
        <v>6.23</v>
      </c>
      <c r="J19" s="298"/>
      <c r="K19" s="298">
        <f>IFERROR(_xlfn.XLOOKUP($A19,Input_Raw!$A:$A,Input_Raw!S:S),"")</f>
        <v>37.450000000000003</v>
      </c>
      <c r="L19" s="298">
        <f>IFERROR(_xlfn.XLOOKUP($A19,Input_Raw!$A:$A,Input_Raw!T:T),"")</f>
        <v>46.26</v>
      </c>
      <c r="M19" s="298">
        <f>IFERROR(_xlfn.XLOOKUP($A19,Input_Raw!$A:$A,Input_Raw!W:W),"")</f>
        <v>3.09</v>
      </c>
      <c r="N19" s="298">
        <f>IFERROR(_xlfn.XLOOKUP($A19,Input_Raw!$A:$A,Input_Raw!X:X),"")</f>
        <v>10.7</v>
      </c>
      <c r="O19" s="299">
        <f>IFERROR(1-(SUMIF(Plant_BD!$B:$B,$A19,Plant_BD!$AL:$AL)/($AA19+SUMIF(Plant_BD!$B:$B,$A19,Plant_BD!$AL:$AL))),"")</f>
        <v>1</v>
      </c>
      <c r="P19" s="299"/>
      <c r="Q19" s="300"/>
      <c r="R19" s="299">
        <f>IFERROR(1-(SUMIF(Grid_BD!$B:$B,$A19,Grid_BD!$V:$V)/($AA19+SUMIF(Grid_BD!$B:$B,$A19,Grid_BD!$V:$V))),"")</f>
        <v>1</v>
      </c>
      <c r="S19" s="295"/>
      <c r="T19" s="300"/>
      <c r="U19" s="301">
        <f t="shared" si="6"/>
        <v>0.77019311365970589</v>
      </c>
      <c r="V19" s="301" t="str">
        <f>IFERROR(_xlfn.XLOOKUP($A19,Input_Raw!$A:$A,Input_Raw!$AX:$AX),"")</f>
        <v/>
      </c>
      <c r="W19" s="302">
        <f t="shared" si="7"/>
        <v>0.18016405864879131</v>
      </c>
      <c r="X19" s="294">
        <f>IFERROR(_xlfn.XLOOKUP($A19,Input_Raw!$A:$A,Input_Raw!$AA:$AA),"")</f>
        <v>171919.8</v>
      </c>
      <c r="Y19" s="294">
        <f>IFERROR(_xlfn.XLOOKUP($A19,Input_Raw!$A:$A,Input_Raw!$AS:$AS),"")</f>
        <v>170000</v>
      </c>
      <c r="Z19" s="294"/>
      <c r="AA19" s="294">
        <f>IFERROR(_xlfn.XLOOKUP($A19,Input_Raw!$A:$A,Input_Raw!$AT:$AT),"")</f>
        <v>169428.08239390986</v>
      </c>
      <c r="AB19" s="294">
        <f>IFERROR(_xlfn.XLOOKUP($A19,Input_Raw!$A:$A,Input_Raw!$AU:$AU),"")</f>
        <v>35.31</v>
      </c>
      <c r="AC19" s="303">
        <f>IFERROR(_xlfn.XLOOKUP($D19,'Modelling New'!$D:$D,'Modelling New'!P:P),"")</f>
        <v>6.0635436999999994</v>
      </c>
      <c r="AD19" s="294">
        <f>IFERROR(_xlfn.XLOOKUP($D19,'Modelling New'!$D:$D,'Modelling New'!T:T)*1000,"")</f>
        <v>166595.64726048111</v>
      </c>
      <c r="AE19" s="304">
        <f>IFERROR(_xlfn.XLOOKUP($D19,'Modelling New'!$D:$D,'Modelling New'!$O:$O),"")</f>
        <v>0.70118261764763101</v>
      </c>
      <c r="AF19" s="304">
        <f>IFERROR(_xlfn.XLOOKUP($D19,'Modelling New'!$D:$D,'Modelling New'!$W:$W),"")</f>
        <v>0.17715214349111674</v>
      </c>
      <c r="AG19" s="304">
        <f>IFERROR(_xlfn.XLOOKUP($D19,'Modelling New'!$D:$D,'Modelling New'!$AE:$AE),"")</f>
        <v>0.995</v>
      </c>
      <c r="AH19" s="304">
        <f>IFERROR(_xlfn.XLOOKUP($D19,'Modelling New'!$D:$D,'Modelling New'!$AF:$AF),"")</f>
        <v>0.995</v>
      </c>
      <c r="AI19" s="295"/>
      <c r="AJ19" s="295"/>
      <c r="AK19" s="295"/>
      <c r="AL19" s="295"/>
      <c r="AM19" s="295"/>
      <c r="AN19" s="305"/>
      <c r="AO19" s="302"/>
      <c r="AP19" s="302"/>
      <c r="AQ19" s="302"/>
      <c r="AR19" s="294">
        <f>_xlfn.XLOOKUP($D19,'Modelling New'!$D:$D,'Modelling New'!$N:$N)</f>
        <v>39.183750000000003</v>
      </c>
      <c r="AS19" s="294">
        <f t="shared" si="8"/>
        <v>150125.81248011198</v>
      </c>
    </row>
    <row r="20" spans="1:45">
      <c r="A20" s="293">
        <f t="shared" si="9"/>
        <v>45763</v>
      </c>
      <c r="B20" s="294">
        <f>YEAR(Daily_KPI[[#This Row],[Date]])+IF(MONTH(Daily_KPI[[#This Row],[Date]])&gt;=4,1,0)</f>
        <v>2026</v>
      </c>
      <c r="C20" s="295">
        <f>YEAR(Daily_KPI[[#This Row],[Date]])</f>
        <v>2025</v>
      </c>
      <c r="D20" s="296">
        <f>Daily_KPI[[#This Row],[Date]]-DAY(Daily_KPI[[#This Row],[Date]])+1</f>
        <v>45748</v>
      </c>
      <c r="E20" s="295">
        <f t="shared" si="5"/>
        <v>30</v>
      </c>
      <c r="F20" s="297">
        <f>IFERROR(_xlfn.XLOOKUP($A20,Input_Raw!$A:$A,Input_Raw!$AR:$AR),"")</f>
        <v>11.833333333333332</v>
      </c>
      <c r="G20" s="298">
        <f>IFERROR(_xlfn.XLOOKUP($A20,Input_Raw!$A:$A,Input_Raw!$R:$R),"")</f>
        <v>6.1</v>
      </c>
      <c r="H20" s="298"/>
      <c r="I20" s="298">
        <f>IFERROR(_xlfn.XLOOKUP($A20,Input_Raw!$A:$A,Input_Raw!$Q:$Q),"")</f>
        <v>6.05</v>
      </c>
      <c r="J20" s="298"/>
      <c r="K20" s="298">
        <f>IFERROR(_xlfn.XLOOKUP($A20,Input_Raw!$A:$A,Input_Raw!S:S),"")</f>
        <v>36.22</v>
      </c>
      <c r="L20" s="298">
        <f>IFERROR(_xlfn.XLOOKUP($A20,Input_Raw!$A:$A,Input_Raw!T:T),"")</f>
        <v>47</v>
      </c>
      <c r="M20" s="298">
        <f>IFERROR(_xlfn.XLOOKUP($A20,Input_Raw!$A:$A,Input_Raw!W:W),"")</f>
        <v>2.37</v>
      </c>
      <c r="N20" s="298">
        <f>IFERROR(_xlfn.XLOOKUP($A20,Input_Raw!$A:$A,Input_Raw!X:X),"")</f>
        <v>6.75</v>
      </c>
      <c r="O20" s="299">
        <f>IFERROR(1-(SUMIF(Plant_BD!$B:$B,$A20,Plant_BD!$AL:$AL)/($AA20+SUMIF(Plant_BD!$B:$B,$A20,Plant_BD!$AL:$AL))),"")</f>
        <v>1</v>
      </c>
      <c r="P20" s="299"/>
      <c r="Q20" s="300"/>
      <c r="R20" s="299">
        <f>IFERROR(1-(SUMIF(Grid_BD!$B:$B,$A20,Grid_BD!$V:$V)/($AA20+SUMIF(Grid_BD!$B:$B,$A20,Grid_BD!$V:$V))),"")</f>
        <v>1</v>
      </c>
      <c r="S20" s="295"/>
      <c r="T20" s="300"/>
      <c r="U20" s="301">
        <f t="shared" si="6"/>
        <v>0.77282484479846814</v>
      </c>
      <c r="V20" s="301" t="str">
        <f>IFERROR(_xlfn.XLOOKUP($A20,Input_Raw!$A:$A,Input_Raw!$AX:$AX),"")</f>
        <v/>
      </c>
      <c r="W20" s="302">
        <f t="shared" si="7"/>
        <v>0.17555650607978981</v>
      </c>
      <c r="X20" s="294">
        <f>IFERROR(_xlfn.XLOOKUP($A20,Input_Raw!$A:$A,Input_Raw!$AA:$AA),"")</f>
        <v>167880.4</v>
      </c>
      <c r="Y20" s="294">
        <f>IFERROR(_xlfn.XLOOKUP($A20,Input_Raw!$A:$A,Input_Raw!$AS:$AS),"")</f>
        <v>166000</v>
      </c>
      <c r="Z20" s="294"/>
      <c r="AA20" s="294">
        <f>IFERROR(_xlfn.XLOOKUP($A20,Input_Raw!$A:$A,Input_Raw!$AT:$AT),"")</f>
        <v>165095.09388249516</v>
      </c>
      <c r="AB20" s="294">
        <f>IFERROR(_xlfn.XLOOKUP($A20,Input_Raw!$A:$A,Input_Raw!$AU:$AU),"")</f>
        <v>35.31</v>
      </c>
      <c r="AC20" s="303">
        <f>IFERROR(_xlfn.XLOOKUP($D20,'Modelling New'!$D:$D,'Modelling New'!P:P),"")</f>
        <v>6.0635436999999994</v>
      </c>
      <c r="AD20" s="294">
        <f>IFERROR(_xlfn.XLOOKUP($D20,'Modelling New'!$D:$D,'Modelling New'!T:T)*1000,"")</f>
        <v>166595.64726048111</v>
      </c>
      <c r="AE20" s="304">
        <f>IFERROR(_xlfn.XLOOKUP($D20,'Modelling New'!$D:$D,'Modelling New'!$O:$O),"")</f>
        <v>0.70118261764763101</v>
      </c>
      <c r="AF20" s="304">
        <f>IFERROR(_xlfn.XLOOKUP($D20,'Modelling New'!$D:$D,'Modelling New'!$W:$W),"")</f>
        <v>0.17715214349111674</v>
      </c>
      <c r="AG20" s="304">
        <f>IFERROR(_xlfn.XLOOKUP($D20,'Modelling New'!$D:$D,'Modelling New'!$AE:$AE),"")</f>
        <v>0.995</v>
      </c>
      <c r="AH20" s="304">
        <f>IFERROR(_xlfn.XLOOKUP($D20,'Modelling New'!$D:$D,'Modelling New'!$AF:$AF),"")</f>
        <v>0.995</v>
      </c>
      <c r="AI20" s="295"/>
      <c r="AJ20" s="295"/>
      <c r="AK20" s="295"/>
      <c r="AL20" s="295"/>
      <c r="AM20" s="295"/>
      <c r="AN20" s="305"/>
      <c r="AO20" s="302"/>
      <c r="AP20" s="302"/>
      <c r="AQ20" s="302"/>
      <c r="AR20" s="294">
        <f>_xlfn.XLOOKUP($D20,'Modelling New'!$D:$D,'Modelling New'!$N:$N)</f>
        <v>39.183750000000003</v>
      </c>
      <c r="AS20" s="294">
        <f t="shared" si="8"/>
        <v>150125.81248011198</v>
      </c>
    </row>
    <row r="21" spans="1:45">
      <c r="A21" s="293">
        <f t="shared" si="9"/>
        <v>45764</v>
      </c>
      <c r="B21" s="294">
        <f>YEAR(Daily_KPI[[#This Row],[Date]])+IF(MONTH(Daily_KPI[[#This Row],[Date]])&gt;=4,1,0)</f>
        <v>2026</v>
      </c>
      <c r="C21" s="295">
        <f>YEAR(Daily_KPI[[#This Row],[Date]])</f>
        <v>2025</v>
      </c>
      <c r="D21" s="296">
        <f>Daily_KPI[[#This Row],[Date]]-DAY(Daily_KPI[[#This Row],[Date]])+1</f>
        <v>45748</v>
      </c>
      <c r="E21" s="295">
        <f t="shared" si="5"/>
        <v>30</v>
      </c>
      <c r="F21" s="297">
        <f>IFERROR(_xlfn.XLOOKUP($A21,Input_Raw!$A:$A,Input_Raw!$AR:$AR),"")</f>
        <v>11.883333333333333</v>
      </c>
      <c r="G21" s="298">
        <f>IFERROR(_xlfn.XLOOKUP($A21,Input_Raw!$A:$A,Input_Raw!$R:$R),"")</f>
        <v>6.45</v>
      </c>
      <c r="H21" s="298"/>
      <c r="I21" s="298">
        <f>IFERROR(_xlfn.XLOOKUP($A21,Input_Raw!$A:$A,Input_Raw!$Q:$Q),"")</f>
        <v>6.39</v>
      </c>
      <c r="J21" s="298"/>
      <c r="K21" s="298">
        <f>IFERROR(_xlfn.XLOOKUP($A21,Input_Raw!$A:$A,Input_Raw!S:S),"")</f>
        <v>37.65</v>
      </c>
      <c r="L21" s="298">
        <f>IFERROR(_xlfn.XLOOKUP($A21,Input_Raw!$A:$A,Input_Raw!T:T),"")</f>
        <v>48.8</v>
      </c>
      <c r="M21" s="298">
        <f>IFERROR(_xlfn.XLOOKUP($A21,Input_Raw!$A:$A,Input_Raw!W:W),"")</f>
        <v>2.2000000000000002</v>
      </c>
      <c r="N21" s="298">
        <f>IFERROR(_xlfn.XLOOKUP($A21,Input_Raw!$A:$A,Input_Raw!X:X),"")</f>
        <v>9.02</v>
      </c>
      <c r="O21" s="299">
        <f>IFERROR(1-(SUMIF(Plant_BD!$B:$B,$A21,Plant_BD!$AL:$AL)/($AA21+SUMIF(Plant_BD!$B:$B,$A21,Plant_BD!$AL:$AL))),"")</f>
        <v>1</v>
      </c>
      <c r="P21" s="299"/>
      <c r="Q21" s="300"/>
      <c r="R21" s="299">
        <f>IFERROR(1-(SUMIF(Grid_BD!$B:$B,$A21,Grid_BD!$V:$V)/($AA21+SUMIF(Grid_BD!$B:$B,$A21,Grid_BD!$V:$V))),"")</f>
        <v>1</v>
      </c>
      <c r="S21" s="295"/>
      <c r="T21" s="300"/>
      <c r="U21" s="301">
        <f t="shared" si="6"/>
        <v>0.75008393232480119</v>
      </c>
      <c r="V21" s="301" t="str">
        <f>IFERROR(_xlfn.XLOOKUP($A21,Input_Raw!$A:$A,Input_Raw!$AX:$AX),"")</f>
        <v/>
      </c>
      <c r="W21" s="302">
        <f t="shared" si="7"/>
        <v>0.1799663048308546</v>
      </c>
      <c r="X21" s="294">
        <f>IFERROR(_xlfn.XLOOKUP($A21,Input_Raw!$A:$A,Input_Raw!$AA:$AA),"")</f>
        <v>173337.60000000001</v>
      </c>
      <c r="Y21" s="294">
        <f>IFERROR(_xlfn.XLOOKUP($A21,Input_Raw!$A:$A,Input_Raw!$AS:$AS),"")</f>
        <v>171000</v>
      </c>
      <c r="Z21" s="294"/>
      <c r="AA21" s="294">
        <f>IFERROR(_xlfn.XLOOKUP($A21,Input_Raw!$A:$A,Input_Raw!$AT:$AT),"")</f>
        <v>169242.11272598399</v>
      </c>
      <c r="AB21" s="294">
        <f>IFERROR(_xlfn.XLOOKUP($A21,Input_Raw!$A:$A,Input_Raw!$AU:$AU),"")</f>
        <v>35.31</v>
      </c>
      <c r="AC21" s="303">
        <f>IFERROR(_xlfn.XLOOKUP($D21,'Modelling New'!$D:$D,'Modelling New'!P:P),"")</f>
        <v>6.0635436999999994</v>
      </c>
      <c r="AD21" s="294">
        <f>IFERROR(_xlfn.XLOOKUP($D21,'Modelling New'!$D:$D,'Modelling New'!T:T)*1000,"")</f>
        <v>166595.64726048111</v>
      </c>
      <c r="AE21" s="304">
        <f>IFERROR(_xlfn.XLOOKUP($D21,'Modelling New'!$D:$D,'Modelling New'!$O:$O),"")</f>
        <v>0.70118261764763101</v>
      </c>
      <c r="AF21" s="304">
        <f>IFERROR(_xlfn.XLOOKUP($D21,'Modelling New'!$D:$D,'Modelling New'!$W:$W),"")</f>
        <v>0.17715214349111674</v>
      </c>
      <c r="AG21" s="304">
        <f>IFERROR(_xlfn.XLOOKUP($D21,'Modelling New'!$D:$D,'Modelling New'!$AE:$AE),"")</f>
        <v>0.995</v>
      </c>
      <c r="AH21" s="304">
        <f>IFERROR(_xlfn.XLOOKUP($D21,'Modelling New'!$D:$D,'Modelling New'!$AF:$AF),"")</f>
        <v>0.995</v>
      </c>
      <c r="AI21" s="295"/>
      <c r="AJ21" s="295"/>
      <c r="AK21" s="295"/>
      <c r="AL21" s="295"/>
      <c r="AM21" s="295"/>
      <c r="AN21" s="305"/>
      <c r="AO21" s="302"/>
      <c r="AP21" s="302"/>
      <c r="AQ21" s="302"/>
      <c r="AR21" s="294">
        <f>_xlfn.XLOOKUP($D21,'Modelling New'!$D:$D,'Modelling New'!$N:$N)</f>
        <v>39.183750000000003</v>
      </c>
      <c r="AS21" s="294">
        <f t="shared" si="8"/>
        <v>150125.81248011198</v>
      </c>
    </row>
    <row r="22" spans="1:45">
      <c r="A22" s="293">
        <f t="shared" si="9"/>
        <v>45765</v>
      </c>
      <c r="B22" s="294">
        <f>YEAR(Daily_KPI[[#This Row],[Date]])+IF(MONTH(Daily_KPI[[#This Row],[Date]])&gt;=4,1,0)</f>
        <v>2026</v>
      </c>
      <c r="C22" s="295">
        <f>YEAR(Daily_KPI[[#This Row],[Date]])</f>
        <v>2025</v>
      </c>
      <c r="D22" s="296">
        <f>Daily_KPI[[#This Row],[Date]]-DAY(Daily_KPI[[#This Row],[Date]])+1</f>
        <v>45748</v>
      </c>
      <c r="E22" s="295">
        <f t="shared" si="5"/>
        <v>30</v>
      </c>
      <c r="F22" s="297">
        <f>IFERROR(_xlfn.XLOOKUP($A22,Input_Raw!$A:$A,Input_Raw!$AR:$AR),"")</f>
        <v>11.683333333333334</v>
      </c>
      <c r="G22" s="298">
        <f>IFERROR(_xlfn.XLOOKUP($A22,Input_Raw!$A:$A,Input_Raw!$R:$R),"")</f>
        <v>4.45</v>
      </c>
      <c r="H22" s="298"/>
      <c r="I22" s="298">
        <f>IFERROR(_xlfn.XLOOKUP($A22,Input_Raw!$A:$A,Input_Raw!$Q:$Q),"")</f>
        <v>4.41</v>
      </c>
      <c r="J22" s="298"/>
      <c r="K22" s="298">
        <f>IFERROR(_xlfn.XLOOKUP($A22,Input_Raw!$A:$A,Input_Raw!S:S),"")</f>
        <v>36.840000000000003</v>
      </c>
      <c r="L22" s="298">
        <f>IFERROR(_xlfn.XLOOKUP($A22,Input_Raw!$A:$A,Input_Raw!T:T),"")</f>
        <v>44.34</v>
      </c>
      <c r="M22" s="298">
        <f>IFERROR(_xlfn.XLOOKUP($A22,Input_Raw!$A:$A,Input_Raw!W:W),"")</f>
        <v>2.73</v>
      </c>
      <c r="N22" s="298">
        <f>IFERROR(_xlfn.XLOOKUP($A22,Input_Raw!$A:$A,Input_Raw!X:X),"")</f>
        <v>9.4</v>
      </c>
      <c r="O22" s="299">
        <f>IFERROR(1-(SUMIF(Plant_BD!$B:$B,$A22,Plant_BD!$AL:$AL)/($AA22+SUMIF(Plant_BD!$B:$B,$A22,Plant_BD!$AL:$AL))),"")</f>
        <v>1</v>
      </c>
      <c r="P22" s="299"/>
      <c r="Q22" s="300"/>
      <c r="R22" s="299">
        <f>IFERROR(1-(SUMIF(Grid_BD!$B:$B,$A22,Grid_BD!$V:$V)/($AA22+SUMIF(Grid_BD!$B:$B,$A22,Grid_BD!$V:$V))),"")</f>
        <v>1</v>
      </c>
      <c r="S22" s="295"/>
      <c r="T22" s="300"/>
      <c r="U22" s="301">
        <f t="shared" si="6"/>
        <v>0.77979441168900787</v>
      </c>
      <c r="V22" s="301" t="str">
        <f>IFERROR(_xlfn.XLOOKUP($A22,Input_Raw!$A:$A,Input_Raw!$AX:$AX),"")</f>
        <v/>
      </c>
      <c r="W22" s="302">
        <f t="shared" si="7"/>
        <v>0.12912168563118046</v>
      </c>
      <c r="X22" s="294">
        <f>IFERROR(_xlfn.XLOOKUP($A22,Input_Raw!$A:$A,Input_Raw!$AA:$AA),"")</f>
        <v>123455.7</v>
      </c>
      <c r="Y22" s="294">
        <f>IFERROR(_xlfn.XLOOKUP($A22,Input_Raw!$A:$A,Input_Raw!$AS:$AS),"")</f>
        <v>122000</v>
      </c>
      <c r="Z22" s="294"/>
      <c r="AA22" s="294">
        <f>IFERROR(_xlfn.XLOOKUP($A22,Input_Raw!$A:$A,Input_Raw!$AT:$AT),"")</f>
        <v>121427.32438441842</v>
      </c>
      <c r="AB22" s="294">
        <f>IFERROR(_xlfn.XLOOKUP($A22,Input_Raw!$A:$A,Input_Raw!$AU:$AU),"")</f>
        <v>35.31</v>
      </c>
      <c r="AC22" s="303">
        <f>IFERROR(_xlfn.XLOOKUP($D22,'Modelling New'!$D:$D,'Modelling New'!P:P),"")</f>
        <v>6.0635436999999994</v>
      </c>
      <c r="AD22" s="294">
        <f>IFERROR(_xlfn.XLOOKUP($D22,'Modelling New'!$D:$D,'Modelling New'!T:T)*1000,"")</f>
        <v>166595.64726048111</v>
      </c>
      <c r="AE22" s="304">
        <f>IFERROR(_xlfn.XLOOKUP($D22,'Modelling New'!$D:$D,'Modelling New'!$O:$O),"")</f>
        <v>0.70118261764763101</v>
      </c>
      <c r="AF22" s="304">
        <f>IFERROR(_xlfn.XLOOKUP($D22,'Modelling New'!$D:$D,'Modelling New'!$W:$W),"")</f>
        <v>0.17715214349111674</v>
      </c>
      <c r="AG22" s="304">
        <f>IFERROR(_xlfn.XLOOKUP($D22,'Modelling New'!$D:$D,'Modelling New'!$AE:$AE),"")</f>
        <v>0.995</v>
      </c>
      <c r="AH22" s="304">
        <f>IFERROR(_xlfn.XLOOKUP($D22,'Modelling New'!$D:$D,'Modelling New'!$AF:$AF),"")</f>
        <v>0.995</v>
      </c>
      <c r="AI22" s="295"/>
      <c r="AJ22" s="295"/>
      <c r="AK22" s="295"/>
      <c r="AL22" s="295"/>
      <c r="AM22" s="295"/>
      <c r="AN22" s="305"/>
      <c r="AO22" s="302"/>
      <c r="AP22" s="302"/>
      <c r="AQ22" s="302"/>
      <c r="AR22" s="294">
        <f>_xlfn.XLOOKUP($D22,'Modelling New'!$D:$D,'Modelling New'!$N:$N)</f>
        <v>39.183750000000003</v>
      </c>
      <c r="AS22" s="294">
        <f t="shared" si="8"/>
        <v>150125.81248011198</v>
      </c>
    </row>
    <row r="23" spans="1:45">
      <c r="A23" s="293">
        <f t="shared" si="9"/>
        <v>45766</v>
      </c>
      <c r="B23" s="294">
        <f>YEAR(Daily_KPI[[#This Row],[Date]])+IF(MONTH(Daily_KPI[[#This Row],[Date]])&gt;=4,1,0)</f>
        <v>2026</v>
      </c>
      <c r="C23" s="295">
        <f>YEAR(Daily_KPI[[#This Row],[Date]])</f>
        <v>2025</v>
      </c>
      <c r="D23" s="296">
        <f>Daily_KPI[[#This Row],[Date]]-DAY(Daily_KPI[[#This Row],[Date]])+1</f>
        <v>45748</v>
      </c>
      <c r="E23" s="295">
        <f t="shared" si="5"/>
        <v>30</v>
      </c>
      <c r="F23" s="297">
        <f>IFERROR(_xlfn.XLOOKUP($A23,Input_Raw!$A:$A,Input_Raw!$AR:$AR),"")</f>
        <v>12.033333333333333</v>
      </c>
      <c r="G23" s="298">
        <f>IFERROR(_xlfn.XLOOKUP($A23,Input_Raw!$A:$A,Input_Raw!$R:$R),"")</f>
        <v>7.01</v>
      </c>
      <c r="H23" s="298"/>
      <c r="I23" s="298">
        <f>IFERROR(_xlfn.XLOOKUP($A23,Input_Raw!$A:$A,Input_Raw!$Q:$Q),"")</f>
        <v>6.92</v>
      </c>
      <c r="J23" s="298"/>
      <c r="K23" s="298">
        <f>IFERROR(_xlfn.XLOOKUP($A23,Input_Raw!$A:$A,Input_Raw!S:S),"")</f>
        <v>38.5</v>
      </c>
      <c r="L23" s="298">
        <f>IFERROR(_xlfn.XLOOKUP($A23,Input_Raw!$A:$A,Input_Raw!T:T),"")</f>
        <v>47.72</v>
      </c>
      <c r="M23" s="298">
        <f>IFERROR(_xlfn.XLOOKUP($A23,Input_Raw!$A:$A,Input_Raw!W:W),"")</f>
        <v>3.12</v>
      </c>
      <c r="N23" s="298">
        <f>IFERROR(_xlfn.XLOOKUP($A23,Input_Raw!$A:$A,Input_Raw!X:X),"")</f>
        <v>7.92</v>
      </c>
      <c r="O23" s="299">
        <f>IFERROR(1-(SUMIF(Plant_BD!$B:$B,$A23,Plant_BD!$AL:$AL)/($AA23+SUMIF(Plant_BD!$B:$B,$A23,Plant_BD!$AL:$AL))),"")</f>
        <v>1</v>
      </c>
      <c r="P23" s="299"/>
      <c r="Q23" s="300"/>
      <c r="R23" s="299">
        <f>IFERROR(1-(SUMIF(Grid_BD!$B:$B,$A23,Grid_BD!$V:$V)/($AA23+SUMIF(Grid_BD!$B:$B,$A23,Grid_BD!$V:$V))),"")</f>
        <v>1</v>
      </c>
      <c r="S23" s="295"/>
      <c r="T23" s="300"/>
      <c r="U23" s="301">
        <f t="shared" si="6"/>
        <v>0.76735154472715805</v>
      </c>
      <c r="V23" s="301" t="str">
        <f>IFERROR(_xlfn.XLOOKUP($A23,Input_Raw!$A:$A,Input_Raw!$AX:$AX),"")</f>
        <v/>
      </c>
      <c r="W23" s="302">
        <f t="shared" si="7"/>
        <v>0.1993797031791095</v>
      </c>
      <c r="X23" s="294">
        <f>IFERROR(_xlfn.XLOOKUP($A23,Input_Raw!$A:$A,Input_Raw!$AA:$AA),"")</f>
        <v>190763.1</v>
      </c>
      <c r="Y23" s="294">
        <f>IFERROR(_xlfn.XLOOKUP($A23,Input_Raw!$A:$A,Input_Raw!$AS:$AS),"")</f>
        <v>188000</v>
      </c>
      <c r="Z23" s="294"/>
      <c r="AA23" s="294">
        <f>IFERROR(_xlfn.XLOOKUP($A23,Input_Raw!$A:$A,Input_Raw!$AT:$AT),"")</f>
        <v>187498.6666666664</v>
      </c>
      <c r="AB23" s="294">
        <f>IFERROR(_xlfn.XLOOKUP($A23,Input_Raw!$A:$A,Input_Raw!$AU:$AU),"")</f>
        <v>35.31</v>
      </c>
      <c r="AC23" s="303">
        <f>IFERROR(_xlfn.XLOOKUP($D23,'Modelling New'!$D:$D,'Modelling New'!P:P),"")</f>
        <v>6.0635436999999994</v>
      </c>
      <c r="AD23" s="294">
        <f>IFERROR(_xlfn.XLOOKUP($D23,'Modelling New'!$D:$D,'Modelling New'!T:T)*1000,"")</f>
        <v>166595.64726048111</v>
      </c>
      <c r="AE23" s="304">
        <f>IFERROR(_xlfn.XLOOKUP($D23,'Modelling New'!$D:$D,'Modelling New'!$O:$O),"")</f>
        <v>0.70118261764763101</v>
      </c>
      <c r="AF23" s="304">
        <f>IFERROR(_xlfn.XLOOKUP($D23,'Modelling New'!$D:$D,'Modelling New'!$W:$W),"")</f>
        <v>0.17715214349111674</v>
      </c>
      <c r="AG23" s="304">
        <f>IFERROR(_xlfn.XLOOKUP($D23,'Modelling New'!$D:$D,'Modelling New'!$AE:$AE),"")</f>
        <v>0.995</v>
      </c>
      <c r="AH23" s="304">
        <f>IFERROR(_xlfn.XLOOKUP($D23,'Modelling New'!$D:$D,'Modelling New'!$AF:$AF),"")</f>
        <v>0.995</v>
      </c>
      <c r="AI23" s="295"/>
      <c r="AJ23" s="295"/>
      <c r="AK23" s="295"/>
      <c r="AL23" s="295"/>
      <c r="AM23" s="295"/>
      <c r="AN23" s="305"/>
      <c r="AO23" s="302"/>
      <c r="AP23" s="302"/>
      <c r="AQ23" s="302"/>
      <c r="AR23" s="294">
        <f>_xlfn.XLOOKUP($D23,'Modelling New'!$D:$D,'Modelling New'!$N:$N)</f>
        <v>39.183750000000003</v>
      </c>
      <c r="AS23" s="294">
        <f t="shared" si="8"/>
        <v>150125.81248011198</v>
      </c>
    </row>
    <row r="24" spans="1:45">
      <c r="A24" s="293">
        <f t="shared" si="9"/>
        <v>45767</v>
      </c>
      <c r="B24" s="294">
        <f>YEAR(Daily_KPI[[#This Row],[Date]])+IF(MONTH(Daily_KPI[[#This Row],[Date]])&gt;=4,1,0)</f>
        <v>2026</v>
      </c>
      <c r="C24" s="295">
        <f>YEAR(Daily_KPI[[#This Row],[Date]])</f>
        <v>2025</v>
      </c>
      <c r="D24" s="296">
        <f>Daily_KPI[[#This Row],[Date]]-DAY(Daily_KPI[[#This Row],[Date]])+1</f>
        <v>45748</v>
      </c>
      <c r="E24" s="295">
        <f t="shared" si="5"/>
        <v>30</v>
      </c>
      <c r="F24" s="297">
        <f>IFERROR(_xlfn.XLOOKUP($A24,Input_Raw!$A:$A,Input_Raw!$AR:$AR),"")</f>
        <v>12.150000000000002</v>
      </c>
      <c r="G24" s="298">
        <f>IFERROR(_xlfn.XLOOKUP($A24,Input_Raw!$A:$A,Input_Raw!$R:$R),"")</f>
        <v>7.17</v>
      </c>
      <c r="H24" s="298"/>
      <c r="I24" s="298">
        <f>IFERROR(_xlfn.XLOOKUP($A24,Input_Raw!$A:$A,Input_Raw!$Q:$Q),"")</f>
        <v>7.05</v>
      </c>
      <c r="J24" s="298"/>
      <c r="K24" s="298">
        <f>IFERROR(_xlfn.XLOOKUP($A24,Input_Raw!$A:$A,Input_Raw!S:S),"")</f>
        <v>38.97</v>
      </c>
      <c r="L24" s="298">
        <f>IFERROR(_xlfn.XLOOKUP($A24,Input_Raw!$A:$A,Input_Raw!T:T),"")</f>
        <v>49.7</v>
      </c>
      <c r="M24" s="298">
        <f>IFERROR(_xlfn.XLOOKUP($A24,Input_Raw!$A:$A,Input_Raw!W:W),"")</f>
        <v>2.77</v>
      </c>
      <c r="N24" s="298">
        <f>IFERROR(_xlfn.XLOOKUP($A24,Input_Raw!$A:$A,Input_Raw!X:X),"")</f>
        <v>7.35</v>
      </c>
      <c r="O24" s="299">
        <f>IFERROR(1-(SUMIF(Plant_BD!$B:$B,$A24,Plant_BD!$AL:$AL)/($AA24+SUMIF(Plant_BD!$B:$B,$A24,Plant_BD!$AL:$AL))),"")</f>
        <v>1</v>
      </c>
      <c r="P24" s="299"/>
      <c r="Q24" s="300"/>
      <c r="R24" s="299">
        <f>IFERROR(1-(SUMIF(Grid_BD!$B:$B,$A24,Grid_BD!$V:$V)/($AA24+SUMIF(Grid_BD!$B:$B,$A24,Grid_BD!$V:$V))),"")</f>
        <v>1</v>
      </c>
      <c r="S24" s="295"/>
      <c r="T24" s="300"/>
      <c r="U24" s="301">
        <f t="shared" si="6"/>
        <v>0.76660823968064229</v>
      </c>
      <c r="V24" s="301" t="str">
        <f>IFERROR(_xlfn.XLOOKUP($A24,Input_Raw!$A:$A,Input_Raw!$AX:$AX),"")</f>
        <v/>
      </c>
      <c r="W24" s="302">
        <f t="shared" si="7"/>
        <v>0.20292851569955711</v>
      </c>
      <c r="X24" s="294">
        <f>IFERROR(_xlfn.XLOOKUP($A24,Input_Raw!$A:$A,Input_Raw!$AA:$AA),"")</f>
        <v>194360.7</v>
      </c>
      <c r="Y24" s="294">
        <f>IFERROR(_xlfn.XLOOKUP($A24,Input_Raw!$A:$A,Input_Raw!$AS:$AS),"")</f>
        <v>193000</v>
      </c>
      <c r="Z24" s="294"/>
      <c r="AA24" s="294">
        <f>IFERROR(_xlfn.XLOOKUP($A24,Input_Raw!$A:$A,Input_Raw!$AT:$AT),"")</f>
        <v>190836.00544902054</v>
      </c>
      <c r="AB24" s="294">
        <f>IFERROR(_xlfn.XLOOKUP($A24,Input_Raw!$A:$A,Input_Raw!$AU:$AU),"")</f>
        <v>35.31</v>
      </c>
      <c r="AC24" s="303">
        <f>IFERROR(_xlfn.XLOOKUP($D24,'Modelling New'!$D:$D,'Modelling New'!P:P),"")</f>
        <v>6.0635436999999994</v>
      </c>
      <c r="AD24" s="294">
        <f>IFERROR(_xlfn.XLOOKUP($D24,'Modelling New'!$D:$D,'Modelling New'!T:T)*1000,"")</f>
        <v>166595.64726048111</v>
      </c>
      <c r="AE24" s="304">
        <f>IFERROR(_xlfn.XLOOKUP($D24,'Modelling New'!$D:$D,'Modelling New'!$O:$O),"")</f>
        <v>0.70118261764763101</v>
      </c>
      <c r="AF24" s="304">
        <f>IFERROR(_xlfn.XLOOKUP($D24,'Modelling New'!$D:$D,'Modelling New'!$W:$W),"")</f>
        <v>0.17715214349111674</v>
      </c>
      <c r="AG24" s="304">
        <f>IFERROR(_xlfn.XLOOKUP($D24,'Modelling New'!$D:$D,'Modelling New'!$AE:$AE),"")</f>
        <v>0.995</v>
      </c>
      <c r="AH24" s="304">
        <f>IFERROR(_xlfn.XLOOKUP($D24,'Modelling New'!$D:$D,'Modelling New'!$AF:$AF),"")</f>
        <v>0.995</v>
      </c>
      <c r="AI24" s="295"/>
      <c r="AJ24" s="295"/>
      <c r="AK24" s="295"/>
      <c r="AL24" s="295"/>
      <c r="AM24" s="295"/>
      <c r="AN24" s="305"/>
      <c r="AO24" s="302"/>
      <c r="AP24" s="302"/>
      <c r="AQ24" s="302"/>
      <c r="AR24" s="294">
        <f>_xlfn.XLOOKUP($D24,'Modelling New'!$D:$D,'Modelling New'!$N:$N)</f>
        <v>39.183750000000003</v>
      </c>
      <c r="AS24" s="294">
        <f t="shared" si="8"/>
        <v>150125.81248011198</v>
      </c>
    </row>
    <row r="25" spans="1:45">
      <c r="A25" s="293">
        <f t="shared" si="9"/>
        <v>45768</v>
      </c>
      <c r="B25" s="294">
        <f>YEAR(Daily_KPI[[#This Row],[Date]])+IF(MONTH(Daily_KPI[[#This Row],[Date]])&gt;=4,1,0)</f>
        <v>2026</v>
      </c>
      <c r="C25" s="295">
        <f>YEAR(Daily_KPI[[#This Row],[Date]])</f>
        <v>2025</v>
      </c>
      <c r="D25" s="296">
        <f>Daily_KPI[[#This Row],[Date]]-DAY(Daily_KPI[[#This Row],[Date]])+1</f>
        <v>45748</v>
      </c>
      <c r="E25" s="295">
        <f t="shared" si="5"/>
        <v>30</v>
      </c>
      <c r="F25" s="297">
        <f>IFERROR(_xlfn.XLOOKUP($A25,Input_Raw!$A:$A,Input_Raw!$AR:$AR),"")</f>
        <v>12.066666666666666</v>
      </c>
      <c r="G25" s="298">
        <f>IFERROR(_xlfn.XLOOKUP($A25,Input_Raw!$A:$A,Input_Raw!$R:$R),"")</f>
        <v>7.28</v>
      </c>
      <c r="H25" s="298"/>
      <c r="I25" s="298">
        <f>IFERROR(_xlfn.XLOOKUP($A25,Input_Raw!$A:$A,Input_Raw!$Q:$Q),"")</f>
        <v>7.16</v>
      </c>
      <c r="J25" s="298"/>
      <c r="K25" s="298">
        <f>IFERROR(_xlfn.XLOOKUP($A25,Input_Raw!$A:$A,Input_Raw!S:S),"")</f>
        <v>38.880000000000003</v>
      </c>
      <c r="L25" s="298">
        <f>IFERROR(_xlfn.XLOOKUP($A25,Input_Raw!$A:$A,Input_Raw!T:T),"")</f>
        <v>50.19</v>
      </c>
      <c r="M25" s="298">
        <f>IFERROR(_xlfn.XLOOKUP($A25,Input_Raw!$A:$A,Input_Raw!W:W),"")</f>
        <v>2.91</v>
      </c>
      <c r="N25" s="298">
        <f>IFERROR(_xlfn.XLOOKUP($A25,Input_Raw!$A:$A,Input_Raw!X:X),"")</f>
        <v>7.53</v>
      </c>
      <c r="O25" s="299">
        <f>IFERROR(1-(SUMIF(Plant_BD!$B:$B,$A25,Plant_BD!$AL:$AL)/($AA25+SUMIF(Plant_BD!$B:$B,$A25,Plant_BD!$AL:$AL))),"")</f>
        <v>0.9704460040830345</v>
      </c>
      <c r="P25" s="299"/>
      <c r="Q25" s="300"/>
      <c r="R25" s="299">
        <f>IFERROR(1-(SUMIF(Grid_BD!$B:$B,$A25,Grid_BD!$V:$V)/($AA25+SUMIF(Grid_BD!$B:$B,$A25,Grid_BD!$V:$V))),"")</f>
        <v>1</v>
      </c>
      <c r="S25" s="295"/>
      <c r="T25" s="300"/>
      <c r="U25" s="301">
        <f t="shared" si="6"/>
        <v>0.720059056223183</v>
      </c>
      <c r="V25" s="301" t="str">
        <f>IFERROR(_xlfn.XLOOKUP($A25,Input_Raw!$A:$A,Input_Raw!$AX:$AX),"")</f>
        <v/>
      </c>
      <c r="W25" s="302">
        <f t="shared" si="7"/>
        <v>0.19358050485503409</v>
      </c>
      <c r="X25" s="294">
        <f>IFERROR(_xlfn.XLOOKUP($A25,Input_Raw!$A:$A,Input_Raw!$AA:$AA),"")</f>
        <v>185473</v>
      </c>
      <c r="Y25" s="294">
        <f>IFERROR(_xlfn.XLOOKUP($A25,Input_Raw!$A:$A,Input_Raw!$AS:$AS),"")</f>
        <v>183000</v>
      </c>
      <c r="Z25" s="294"/>
      <c r="AA25" s="294">
        <f>IFERROR(_xlfn.XLOOKUP($A25,Input_Raw!$A:$A,Input_Raw!$AT:$AT),"")</f>
        <v>182045.04257072264</v>
      </c>
      <c r="AB25" s="294">
        <f>IFERROR(_xlfn.XLOOKUP($A25,Input_Raw!$A:$A,Input_Raw!$AU:$AU),"")</f>
        <v>35.31</v>
      </c>
      <c r="AC25" s="303">
        <f>IFERROR(_xlfn.XLOOKUP($D25,'Modelling New'!$D:$D,'Modelling New'!P:P),"")</f>
        <v>6.0635436999999994</v>
      </c>
      <c r="AD25" s="294">
        <f>IFERROR(_xlfn.XLOOKUP($D25,'Modelling New'!$D:$D,'Modelling New'!T:T)*1000,"")</f>
        <v>166595.64726048111</v>
      </c>
      <c r="AE25" s="304">
        <f>IFERROR(_xlfn.XLOOKUP($D25,'Modelling New'!$D:$D,'Modelling New'!$O:$O),"")</f>
        <v>0.70118261764763101</v>
      </c>
      <c r="AF25" s="304">
        <f>IFERROR(_xlfn.XLOOKUP($D25,'Modelling New'!$D:$D,'Modelling New'!$W:$W),"")</f>
        <v>0.17715214349111674</v>
      </c>
      <c r="AG25" s="304">
        <f>IFERROR(_xlfn.XLOOKUP($D25,'Modelling New'!$D:$D,'Modelling New'!$AE:$AE),"")</f>
        <v>0.995</v>
      </c>
      <c r="AH25" s="304">
        <f>IFERROR(_xlfn.XLOOKUP($D25,'Modelling New'!$D:$D,'Modelling New'!$AF:$AF),"")</f>
        <v>0.995</v>
      </c>
      <c r="AI25" s="295"/>
      <c r="AJ25" s="295"/>
      <c r="AK25" s="295"/>
      <c r="AL25" s="295"/>
      <c r="AM25" s="295"/>
      <c r="AN25" s="305"/>
      <c r="AO25" s="302"/>
      <c r="AP25" s="302"/>
      <c r="AQ25" s="302"/>
      <c r="AR25" s="294">
        <f>_xlfn.XLOOKUP($D25,'Modelling New'!$D:$D,'Modelling New'!$N:$N)</f>
        <v>39.183750000000003</v>
      </c>
      <c r="AS25" s="294">
        <f t="shared" si="8"/>
        <v>150125.81248011198</v>
      </c>
    </row>
    <row r="26" spans="1:45">
      <c r="A26" s="293">
        <f t="shared" si="9"/>
        <v>45769</v>
      </c>
      <c r="B26" s="294">
        <f>YEAR(Daily_KPI[[#This Row],[Date]])+IF(MONTH(Daily_KPI[[#This Row],[Date]])&gt;=4,1,0)</f>
        <v>2026</v>
      </c>
      <c r="C26" s="295">
        <f>YEAR(Daily_KPI[[#This Row],[Date]])</f>
        <v>2025</v>
      </c>
      <c r="D26" s="296">
        <f>Daily_KPI[[#This Row],[Date]]-DAY(Daily_KPI[[#This Row],[Date]])+1</f>
        <v>45748</v>
      </c>
      <c r="E26" s="295">
        <f t="shared" si="5"/>
        <v>30</v>
      </c>
      <c r="F26" s="297">
        <f>IFERROR(_xlfn.XLOOKUP($A26,Input_Raw!$A:$A,Input_Raw!$AR:$AR),"")</f>
        <v>12.066666666666666</v>
      </c>
      <c r="G26" s="298">
        <f>IFERROR(_xlfn.XLOOKUP($A26,Input_Raw!$A:$A,Input_Raw!$R:$R),"")</f>
        <v>7.03</v>
      </c>
      <c r="H26" s="298"/>
      <c r="I26" s="298">
        <f>IFERROR(_xlfn.XLOOKUP($A26,Input_Raw!$A:$A,Input_Raw!$Q:$Q),"")</f>
        <v>6.85</v>
      </c>
      <c r="J26" s="298"/>
      <c r="K26" s="298">
        <f>IFERROR(_xlfn.XLOOKUP($A26,Input_Raw!$A:$A,Input_Raw!S:S),"")</f>
        <v>39.340000000000003</v>
      </c>
      <c r="L26" s="298">
        <f>IFERROR(_xlfn.XLOOKUP($A26,Input_Raw!$A:$A,Input_Raw!T:T),"")</f>
        <v>50.33</v>
      </c>
      <c r="M26" s="298">
        <f>IFERROR(_xlfn.XLOOKUP($A26,Input_Raw!$A:$A,Input_Raw!W:W),"")</f>
        <v>2.2999999999999998</v>
      </c>
      <c r="N26" s="298">
        <f>IFERROR(_xlfn.XLOOKUP($A26,Input_Raw!$A:$A,Input_Raw!X:X),"")</f>
        <v>6.44</v>
      </c>
      <c r="O26" s="299">
        <f>IFERROR(1-(SUMIF(Plant_BD!$B:$B,$A26,Plant_BD!$AL:$AL)/($AA26+SUMIF(Plant_BD!$B:$B,$A26,Plant_BD!$AL:$AL))),"")</f>
        <v>0.98704917480390342</v>
      </c>
      <c r="P26" s="299"/>
      <c r="Q26" s="300"/>
      <c r="R26" s="299">
        <f>IFERROR(1-(SUMIF(Grid_BD!$B:$B,$A26,Grid_BD!$V:$V)/($AA26+SUMIF(Grid_BD!$B:$B,$A26,Grid_BD!$V:$V))),"")</f>
        <v>1</v>
      </c>
      <c r="S26" s="295"/>
      <c r="T26" s="300"/>
      <c r="U26" s="301">
        <f t="shared" si="6"/>
        <v>0.76454762100359597</v>
      </c>
      <c r="V26" s="301" t="str">
        <f>IFERROR(_xlfn.XLOOKUP($A26,Input_Raw!$A:$A,Input_Raw!$AX:$AX),"")</f>
        <v/>
      </c>
      <c r="W26" s="302">
        <f t="shared" si="7"/>
        <v>0.19664168714583344</v>
      </c>
      <c r="X26" s="294">
        <f>IFERROR(_xlfn.XLOOKUP($A26,Input_Raw!$A:$A,Input_Raw!$AA:$AA),"")</f>
        <v>188205.19</v>
      </c>
      <c r="Y26" s="294">
        <f>IFERROR(_xlfn.XLOOKUP($A26,Input_Raw!$A:$A,Input_Raw!$AS:$AS),"")</f>
        <v>186000</v>
      </c>
      <c r="Z26" s="294"/>
      <c r="AA26" s="294">
        <f>IFERROR(_xlfn.XLOOKUP($A26,Input_Raw!$A:$A,Input_Raw!$AT:$AT),"")</f>
        <v>184923.80900881326</v>
      </c>
      <c r="AB26" s="294">
        <f>IFERROR(_xlfn.XLOOKUP($A26,Input_Raw!$A:$A,Input_Raw!$AU:$AU),"")</f>
        <v>35.31</v>
      </c>
      <c r="AC26" s="303">
        <f>IFERROR(_xlfn.XLOOKUP($D26,'Modelling New'!$D:$D,'Modelling New'!P:P),"")</f>
        <v>6.0635436999999994</v>
      </c>
      <c r="AD26" s="294">
        <f>IFERROR(_xlfn.XLOOKUP($D26,'Modelling New'!$D:$D,'Modelling New'!T:T)*1000,"")</f>
        <v>166595.64726048111</v>
      </c>
      <c r="AE26" s="304">
        <f>IFERROR(_xlfn.XLOOKUP($D26,'Modelling New'!$D:$D,'Modelling New'!$O:$O),"")</f>
        <v>0.70118261764763101</v>
      </c>
      <c r="AF26" s="304">
        <f>IFERROR(_xlfn.XLOOKUP($D26,'Modelling New'!$D:$D,'Modelling New'!$W:$W),"")</f>
        <v>0.17715214349111674</v>
      </c>
      <c r="AG26" s="304">
        <f>IFERROR(_xlfn.XLOOKUP($D26,'Modelling New'!$D:$D,'Modelling New'!$AE:$AE),"")</f>
        <v>0.995</v>
      </c>
      <c r="AH26" s="304">
        <f>IFERROR(_xlfn.XLOOKUP($D26,'Modelling New'!$D:$D,'Modelling New'!$AF:$AF),"")</f>
        <v>0.995</v>
      </c>
      <c r="AI26" s="295"/>
      <c r="AJ26" s="295"/>
      <c r="AK26" s="295"/>
      <c r="AL26" s="295"/>
      <c r="AM26" s="295"/>
      <c r="AN26" s="305"/>
      <c r="AO26" s="302"/>
      <c r="AP26" s="302"/>
      <c r="AQ26" s="302"/>
      <c r="AR26" s="294">
        <f>_xlfn.XLOOKUP($D26,'Modelling New'!$D:$D,'Modelling New'!$N:$N)</f>
        <v>39.183750000000003</v>
      </c>
      <c r="AS26" s="294">
        <f t="shared" si="8"/>
        <v>150125.81248011198</v>
      </c>
    </row>
    <row r="27" spans="1:45">
      <c r="A27" s="293">
        <f t="shared" si="9"/>
        <v>45770</v>
      </c>
      <c r="B27" s="294">
        <f>YEAR(Daily_KPI[[#This Row],[Date]])+IF(MONTH(Daily_KPI[[#This Row],[Date]])&gt;=4,1,0)</f>
        <v>2026</v>
      </c>
      <c r="C27" s="295">
        <f>YEAR(Daily_KPI[[#This Row],[Date]])</f>
        <v>2025</v>
      </c>
      <c r="D27" s="296">
        <f>Daily_KPI[[#This Row],[Date]]-DAY(Daily_KPI[[#This Row],[Date]])+1</f>
        <v>45748</v>
      </c>
      <c r="E27" s="295">
        <f t="shared" si="5"/>
        <v>30</v>
      </c>
      <c r="F27" s="297">
        <f>IFERROR(_xlfn.XLOOKUP($A27,Input_Raw!$A:$A,Input_Raw!$AR:$AR),"")</f>
        <v>11.999999999999998</v>
      </c>
      <c r="G27" s="298">
        <f>IFERROR(_xlfn.XLOOKUP($A27,Input_Raw!$A:$A,Input_Raw!$R:$R),"")</f>
        <v>6.09</v>
      </c>
      <c r="H27" s="298"/>
      <c r="I27" s="298">
        <f>IFERROR(_xlfn.XLOOKUP($A27,Input_Raw!$A:$A,Input_Raw!$Q:$Q),"")</f>
        <v>6.01</v>
      </c>
      <c r="J27" s="298"/>
      <c r="K27" s="298">
        <f>IFERROR(_xlfn.XLOOKUP($A27,Input_Raw!$A:$A,Input_Raw!S:S),"")</f>
        <v>39.86</v>
      </c>
      <c r="L27" s="298">
        <f>IFERROR(_xlfn.XLOOKUP($A27,Input_Raw!$A:$A,Input_Raw!T:T),"")</f>
        <v>50.62</v>
      </c>
      <c r="M27" s="298">
        <f>IFERROR(_xlfn.XLOOKUP($A27,Input_Raw!$A:$A,Input_Raw!W:W),"")</f>
        <v>2.97</v>
      </c>
      <c r="N27" s="298">
        <f>IFERROR(_xlfn.XLOOKUP($A27,Input_Raw!$A:$A,Input_Raw!X:X),"")</f>
        <v>7.13</v>
      </c>
      <c r="O27" s="299">
        <f>IFERROR(1-(SUMIF(Plant_BD!$B:$B,$A27,Plant_BD!$AL:$AL)/($AA27+SUMIF(Plant_BD!$B:$B,$A27,Plant_BD!$AL:$AL))),"")</f>
        <v>0.98897909082206947</v>
      </c>
      <c r="P27" s="299"/>
      <c r="Q27" s="300"/>
      <c r="R27" s="299">
        <f>IFERROR(1-(SUMIF(Grid_BD!$B:$B,$A27,Grid_BD!$V:$V)/($AA27+SUMIF(Grid_BD!$B:$B,$A27,Grid_BD!$V:$V))),"")</f>
        <v>1</v>
      </c>
      <c r="S27" s="295"/>
      <c r="T27" s="300"/>
      <c r="U27" s="301">
        <f t="shared" si="6"/>
        <v>0.7894907329637787</v>
      </c>
      <c r="V27" s="301" t="str">
        <f>IFERROR(_xlfn.XLOOKUP($A27,Input_Raw!$A:$A,Input_Raw!$AX:$AX),"")</f>
        <v/>
      </c>
      <c r="W27" s="302">
        <f t="shared" si="7"/>
        <v>0.19783408210615971</v>
      </c>
      <c r="X27" s="294">
        <f>IFERROR(_xlfn.XLOOKUP($A27,Input_Raw!$A:$A,Input_Raw!$AA:$AA),"")</f>
        <v>189521.8</v>
      </c>
      <c r="Y27" s="294">
        <f>IFERROR(_xlfn.XLOOKUP($A27,Input_Raw!$A:$A,Input_Raw!$AS:$AS),"")</f>
        <v>187000</v>
      </c>
      <c r="Z27" s="294"/>
      <c r="AA27" s="294">
        <f>IFERROR(_xlfn.XLOOKUP($A27,Input_Raw!$A:$A,Input_Raw!$AT:$AT),"")</f>
        <v>186045.14915345368</v>
      </c>
      <c r="AB27" s="294">
        <f>IFERROR(_xlfn.XLOOKUP($A27,Input_Raw!$A:$A,Input_Raw!$AU:$AU),"")</f>
        <v>39.21</v>
      </c>
      <c r="AC27" s="303">
        <f>IFERROR(_xlfn.XLOOKUP($D27,'Modelling New'!$D:$D,'Modelling New'!P:P),"")</f>
        <v>6.0635436999999994</v>
      </c>
      <c r="AD27" s="294">
        <f>IFERROR(_xlfn.XLOOKUP($D27,'Modelling New'!$D:$D,'Modelling New'!T:T)*1000,"")</f>
        <v>166595.64726048111</v>
      </c>
      <c r="AE27" s="304">
        <f>IFERROR(_xlfn.XLOOKUP($D27,'Modelling New'!$D:$D,'Modelling New'!$O:$O),"")</f>
        <v>0.70118261764763101</v>
      </c>
      <c r="AF27" s="304">
        <f>IFERROR(_xlfn.XLOOKUP($D27,'Modelling New'!$D:$D,'Modelling New'!$W:$W),"")</f>
        <v>0.17715214349111674</v>
      </c>
      <c r="AG27" s="304">
        <f>IFERROR(_xlfn.XLOOKUP($D27,'Modelling New'!$D:$D,'Modelling New'!$AE:$AE),"")</f>
        <v>0.995</v>
      </c>
      <c r="AH27" s="304">
        <f>IFERROR(_xlfn.XLOOKUP($D27,'Modelling New'!$D:$D,'Modelling New'!$AF:$AF),"")</f>
        <v>0.995</v>
      </c>
      <c r="AI27" s="295"/>
      <c r="AJ27" s="295"/>
      <c r="AK27" s="295"/>
      <c r="AL27" s="295"/>
      <c r="AM27" s="295"/>
      <c r="AN27" s="305"/>
      <c r="AO27" s="302"/>
      <c r="AP27" s="302"/>
      <c r="AQ27" s="302"/>
      <c r="AR27" s="294">
        <f>_xlfn.XLOOKUP($D27,'Modelling New'!$D:$D,'Modelling New'!$N:$N)</f>
        <v>39.183750000000003</v>
      </c>
      <c r="AS27" s="294">
        <f t="shared" si="8"/>
        <v>166707.2531108805</v>
      </c>
    </row>
    <row r="28" spans="1:45">
      <c r="A28" s="293">
        <f t="shared" si="9"/>
        <v>45771</v>
      </c>
      <c r="B28" s="294">
        <f>YEAR(Daily_KPI[[#This Row],[Date]])+IF(MONTH(Daily_KPI[[#This Row],[Date]])&gt;=4,1,0)</f>
        <v>2026</v>
      </c>
      <c r="C28" s="295">
        <f>YEAR(Daily_KPI[[#This Row],[Date]])</f>
        <v>2025</v>
      </c>
      <c r="D28" s="296">
        <f>Daily_KPI[[#This Row],[Date]]-DAY(Daily_KPI[[#This Row],[Date]])+1</f>
        <v>45748</v>
      </c>
      <c r="E28" s="295">
        <f t="shared" si="5"/>
        <v>30</v>
      </c>
      <c r="F28" s="297">
        <f>IFERROR(_xlfn.XLOOKUP($A28,Input_Raw!$A:$A,Input_Raw!$AR:$AR),"")</f>
        <v>12.066666666666666</v>
      </c>
      <c r="G28" s="298">
        <f>IFERROR(_xlfn.XLOOKUP($A28,Input_Raw!$A:$A,Input_Raw!$R:$R),"")</f>
        <v>7</v>
      </c>
      <c r="H28" s="298"/>
      <c r="I28" s="298">
        <f>IFERROR(_xlfn.XLOOKUP($A28,Input_Raw!$A:$A,Input_Raw!$Q:$Q),"")</f>
        <v>6.83</v>
      </c>
      <c r="J28" s="298"/>
      <c r="K28" s="298">
        <f>IFERROR(_xlfn.XLOOKUP($A28,Input_Raw!$A:$A,Input_Raw!S:S),"")</f>
        <v>39.479999999999997</v>
      </c>
      <c r="L28" s="298">
        <f>IFERROR(_xlfn.XLOOKUP($A28,Input_Raw!$A:$A,Input_Raw!T:T),"")</f>
        <v>50.97</v>
      </c>
      <c r="M28" s="298">
        <f>IFERROR(_xlfn.XLOOKUP($A28,Input_Raw!$A:$A,Input_Raw!W:W),"")</f>
        <v>2.2200000000000002</v>
      </c>
      <c r="N28" s="298">
        <f>IFERROR(_xlfn.XLOOKUP($A28,Input_Raw!$A:$A,Input_Raw!X:X),"")</f>
        <v>6.45</v>
      </c>
      <c r="O28" s="299">
        <f>IFERROR(1-(SUMIF(Plant_BD!$B:$B,$A28,Plant_BD!$AL:$AL)/($AA28+SUMIF(Plant_BD!$B:$B,$A28,Plant_BD!$AL:$AL))),"")</f>
        <v>0.97422286127058455</v>
      </c>
      <c r="P28" s="299"/>
      <c r="Q28" s="300"/>
      <c r="R28" s="299">
        <f>IFERROR(1-(SUMIF(Grid_BD!$B:$B,$A28,Grid_BD!$V:$V)/($AA28+SUMIF(Grid_BD!$B:$B,$A28,Grid_BD!$V:$V))),"")</f>
        <v>1</v>
      </c>
      <c r="S28" s="295"/>
      <c r="T28" s="300"/>
      <c r="U28" s="301">
        <f t="shared" si="6"/>
        <v>0.67742805376601367</v>
      </c>
      <c r="V28" s="301" t="str">
        <f>IFERROR(_xlfn.XLOOKUP($A28,Input_Raw!$A:$A,Input_Raw!$AX:$AX),"")</f>
        <v/>
      </c>
      <c r="W28" s="302">
        <f t="shared" si="7"/>
        <v>0.19291388409222537</v>
      </c>
      <c r="X28" s="294">
        <f>IFERROR(_xlfn.XLOOKUP($A28,Input_Raw!$A:$A,Input_Raw!$AA:$AA),"")</f>
        <v>181268.30000000002</v>
      </c>
      <c r="Y28" s="294">
        <f>IFERROR(_xlfn.XLOOKUP($A28,Input_Raw!$A:$A,Input_Raw!$AS:$AS),"")</f>
        <v>182000</v>
      </c>
      <c r="Z28" s="294"/>
      <c r="AA28" s="294">
        <f>IFERROR(_xlfn.XLOOKUP($A28,Input_Raw!$A:$A,Input_Raw!$AT:$AT),"")</f>
        <v>181418.14573916967</v>
      </c>
      <c r="AB28" s="294">
        <f>IFERROR(_xlfn.XLOOKUP($A28,Input_Raw!$A:$A,Input_Raw!$AU:$AU),"")</f>
        <v>39.21</v>
      </c>
      <c r="AC28" s="303">
        <f>IFERROR(_xlfn.XLOOKUP($D28,'Modelling New'!$D:$D,'Modelling New'!P:P),"")</f>
        <v>6.0635436999999994</v>
      </c>
      <c r="AD28" s="294">
        <f>IFERROR(_xlfn.XLOOKUP($D28,'Modelling New'!$D:$D,'Modelling New'!T:T)*1000,"")</f>
        <v>166595.64726048111</v>
      </c>
      <c r="AE28" s="304">
        <f>IFERROR(_xlfn.XLOOKUP($D28,'Modelling New'!$D:$D,'Modelling New'!$O:$O),"")</f>
        <v>0.70118261764763101</v>
      </c>
      <c r="AF28" s="304">
        <f>IFERROR(_xlfn.XLOOKUP($D28,'Modelling New'!$D:$D,'Modelling New'!$W:$W),"")</f>
        <v>0.17715214349111674</v>
      </c>
      <c r="AG28" s="304">
        <f>IFERROR(_xlfn.XLOOKUP($D28,'Modelling New'!$D:$D,'Modelling New'!$AE:$AE),"")</f>
        <v>0.995</v>
      </c>
      <c r="AH28" s="304">
        <f>IFERROR(_xlfn.XLOOKUP($D28,'Modelling New'!$D:$D,'Modelling New'!$AF:$AF),"")</f>
        <v>0.995</v>
      </c>
      <c r="AI28" s="295"/>
      <c r="AJ28" s="295"/>
      <c r="AK28" s="295"/>
      <c r="AL28" s="295"/>
      <c r="AM28" s="295"/>
      <c r="AN28" s="305"/>
      <c r="AO28" s="302"/>
      <c r="AP28" s="302"/>
      <c r="AQ28" s="302"/>
      <c r="AR28" s="294">
        <f>_xlfn.XLOOKUP($D28,'Modelling New'!$D:$D,'Modelling New'!$N:$N)</f>
        <v>39.183750000000003</v>
      </c>
      <c r="AS28" s="294">
        <f t="shared" si="8"/>
        <v>166707.2531108805</v>
      </c>
    </row>
    <row r="29" spans="1:45">
      <c r="A29" s="293">
        <f t="shared" si="9"/>
        <v>45772</v>
      </c>
      <c r="B29" s="294">
        <f>YEAR(Daily_KPI[[#This Row],[Date]])+IF(MONTH(Daily_KPI[[#This Row],[Date]])&gt;=4,1,0)</f>
        <v>2026</v>
      </c>
      <c r="C29" s="295">
        <f>YEAR(Daily_KPI[[#This Row],[Date]])</f>
        <v>2025</v>
      </c>
      <c r="D29" s="296">
        <f>Daily_KPI[[#This Row],[Date]]-DAY(Daily_KPI[[#This Row],[Date]])+1</f>
        <v>45748</v>
      </c>
      <c r="E29" s="295">
        <f t="shared" si="5"/>
        <v>30</v>
      </c>
      <c r="F29" s="297">
        <f>IFERROR(_xlfn.XLOOKUP($A29,Input_Raw!$A:$A,Input_Raw!$AR:$AR),"")</f>
        <v>11.866666666666665</v>
      </c>
      <c r="G29" s="298">
        <f>IFERROR(_xlfn.XLOOKUP($A29,Input_Raw!$A:$A,Input_Raw!$R:$R),"")</f>
        <v>6.45</v>
      </c>
      <c r="H29" s="298"/>
      <c r="I29" s="298">
        <f>IFERROR(_xlfn.XLOOKUP($A29,Input_Raw!$A:$A,Input_Raw!$Q:$Q),"")</f>
        <v>6.25</v>
      </c>
      <c r="J29" s="298"/>
      <c r="K29" s="298">
        <f>IFERROR(_xlfn.XLOOKUP($A29,Input_Raw!$A:$A,Input_Raw!S:S),"")</f>
        <v>39.479999999999997</v>
      </c>
      <c r="L29" s="298">
        <f>IFERROR(_xlfn.XLOOKUP($A29,Input_Raw!$A:$A,Input_Raw!T:T),"")</f>
        <v>48.98</v>
      </c>
      <c r="M29" s="298">
        <f>IFERROR(_xlfn.XLOOKUP($A29,Input_Raw!$A:$A,Input_Raw!W:W),"")</f>
        <v>2.29</v>
      </c>
      <c r="N29" s="298">
        <f>IFERROR(_xlfn.XLOOKUP($A29,Input_Raw!$A:$A,Input_Raw!X:X),"")</f>
        <v>7.53</v>
      </c>
      <c r="O29" s="299">
        <f>IFERROR(1-(SUMIF(Plant_BD!$B:$B,$A29,Plant_BD!$AL:$AL)/($AA29+SUMIF(Plant_BD!$B:$B,$A29,Plant_BD!$AL:$AL))),"")</f>
        <v>1</v>
      </c>
      <c r="P29" s="299"/>
      <c r="Q29" s="300"/>
      <c r="R29" s="299">
        <f>IFERROR(1-(SUMIF(Grid_BD!$B:$B,$A29,Grid_BD!$V:$V)/($AA29+SUMIF(Grid_BD!$B:$B,$A29,Grid_BD!$V:$V))),"")</f>
        <v>1</v>
      </c>
      <c r="S29" s="295"/>
      <c r="T29" s="300"/>
      <c r="U29" s="301">
        <f t="shared" si="6"/>
        <v>0.69127371597791842</v>
      </c>
      <c r="V29" s="301" t="str">
        <f>IFERROR(_xlfn.XLOOKUP($A29,Input_Raw!$A:$A,Input_Raw!$AX:$AX),"")</f>
        <v/>
      </c>
      <c r="W29" s="302">
        <f t="shared" si="7"/>
        <v>0.18013979543160813</v>
      </c>
      <c r="X29" s="294">
        <f>IFERROR(_xlfn.XLOOKUP($A29,Input_Raw!$A:$A,Input_Raw!$AA:$AA),"")</f>
        <v>172704.4</v>
      </c>
      <c r="Y29" s="294">
        <f>IFERROR(_xlfn.XLOOKUP($A29,Input_Raw!$A:$A,Input_Raw!$AS:$AS),"")</f>
        <v>171000</v>
      </c>
      <c r="Z29" s="294"/>
      <c r="AA29" s="294">
        <f>IFERROR(_xlfn.XLOOKUP($A29,Input_Raw!$A:$A,Input_Raw!$AT:$AT),"")</f>
        <v>169405.26502183863</v>
      </c>
      <c r="AB29" s="294">
        <f>IFERROR(_xlfn.XLOOKUP($A29,Input_Raw!$A:$A,Input_Raw!$AU:$AU),"")</f>
        <v>39.21</v>
      </c>
      <c r="AC29" s="303">
        <f>IFERROR(_xlfn.XLOOKUP($D29,'Modelling New'!$D:$D,'Modelling New'!P:P),"")</f>
        <v>6.0635436999999994</v>
      </c>
      <c r="AD29" s="294">
        <f>IFERROR(_xlfn.XLOOKUP($D29,'Modelling New'!$D:$D,'Modelling New'!T:T)*1000,"")</f>
        <v>166595.64726048111</v>
      </c>
      <c r="AE29" s="304">
        <f>IFERROR(_xlfn.XLOOKUP($D29,'Modelling New'!$D:$D,'Modelling New'!$O:$O),"")</f>
        <v>0.70118261764763101</v>
      </c>
      <c r="AF29" s="304">
        <f>IFERROR(_xlfn.XLOOKUP($D29,'Modelling New'!$D:$D,'Modelling New'!$W:$W),"")</f>
        <v>0.17715214349111674</v>
      </c>
      <c r="AG29" s="304">
        <f>IFERROR(_xlfn.XLOOKUP($D29,'Modelling New'!$D:$D,'Modelling New'!$AE:$AE),"")</f>
        <v>0.995</v>
      </c>
      <c r="AH29" s="304">
        <f>IFERROR(_xlfn.XLOOKUP($D29,'Modelling New'!$D:$D,'Modelling New'!$AF:$AF),"")</f>
        <v>0.995</v>
      </c>
      <c r="AI29" s="295"/>
      <c r="AJ29" s="295"/>
      <c r="AK29" s="295"/>
      <c r="AL29" s="295"/>
      <c r="AM29" s="295"/>
      <c r="AN29" s="305"/>
      <c r="AO29" s="302"/>
      <c r="AP29" s="302"/>
      <c r="AQ29" s="302"/>
      <c r="AR29" s="294">
        <f>_xlfn.XLOOKUP($D29,'Modelling New'!$D:$D,'Modelling New'!$N:$N)</f>
        <v>39.183750000000003</v>
      </c>
      <c r="AS29" s="294">
        <f t="shared" si="8"/>
        <v>166707.2531108805</v>
      </c>
    </row>
    <row r="30" spans="1:45">
      <c r="A30" s="293">
        <f t="shared" si="9"/>
        <v>45773</v>
      </c>
      <c r="B30" s="294">
        <f>YEAR(Daily_KPI[[#This Row],[Date]])+IF(MONTH(Daily_KPI[[#This Row],[Date]])&gt;=4,1,0)</f>
        <v>2026</v>
      </c>
      <c r="C30" s="295">
        <f>YEAR(Daily_KPI[[#This Row],[Date]])</f>
        <v>2025</v>
      </c>
      <c r="D30" s="296">
        <f>Daily_KPI[[#This Row],[Date]]-DAY(Daily_KPI[[#This Row],[Date]])+1</f>
        <v>45748</v>
      </c>
      <c r="E30" s="295">
        <f t="shared" si="5"/>
        <v>30</v>
      </c>
      <c r="F30" s="297">
        <f>IFERROR(_xlfn.XLOOKUP($A30,Input_Raw!$A:$A,Input_Raw!$AR:$AR),"")</f>
        <v>12.049999999999997</v>
      </c>
      <c r="G30" s="298">
        <f>IFERROR(_xlfn.XLOOKUP($A30,Input_Raw!$A:$A,Input_Raw!$R:$R),"")</f>
        <v>5.92</v>
      </c>
      <c r="H30" s="298"/>
      <c r="I30" s="298">
        <f>IFERROR(_xlfn.XLOOKUP($A30,Input_Raw!$A:$A,Input_Raw!$Q:$Q),"")</f>
        <v>5.75</v>
      </c>
      <c r="J30" s="298"/>
      <c r="K30" s="298">
        <f>IFERROR(_xlfn.XLOOKUP($A30,Input_Raw!$A:$A,Input_Raw!S:S),"")</f>
        <v>37.770000000000003</v>
      </c>
      <c r="L30" s="298">
        <f>IFERROR(_xlfn.XLOOKUP($A30,Input_Raw!$A:$A,Input_Raw!T:T),"")</f>
        <v>46.78</v>
      </c>
      <c r="M30" s="298">
        <f>IFERROR(_xlfn.XLOOKUP($A30,Input_Raw!$A:$A,Input_Raw!W:W),"")</f>
        <v>3.31</v>
      </c>
      <c r="N30" s="298">
        <f>IFERROR(_xlfn.XLOOKUP($A30,Input_Raw!$A:$A,Input_Raw!X:X),"")</f>
        <v>11.44</v>
      </c>
      <c r="O30" s="299">
        <f>IFERROR(1-(SUMIF(Plant_BD!$B:$B,$A30,Plant_BD!$AL:$AL)/($AA30+SUMIF(Plant_BD!$B:$B,$A30,Plant_BD!$AL:$AL))),"")</f>
        <v>0.99788834291076622</v>
      </c>
      <c r="P30" s="299"/>
      <c r="Q30" s="300"/>
      <c r="R30" s="299">
        <f>IFERROR(1-(SUMIF(Grid_BD!$B:$B,$A30,Grid_BD!$V:$V)/($AA30+SUMIF(Grid_BD!$B:$B,$A30,Grid_BD!$V:$V))),"")</f>
        <v>1</v>
      </c>
      <c r="S30" s="295"/>
      <c r="T30" s="300"/>
      <c r="U30" s="301">
        <f t="shared" si="6"/>
        <v>0.71949812952624914</v>
      </c>
      <c r="V30" s="301" t="str">
        <f>IFERROR(_xlfn.XLOOKUP($A30,Input_Raw!$A:$A,Input_Raw!$AX:$AX),"")</f>
        <v/>
      </c>
      <c r="W30" s="302">
        <f t="shared" si="7"/>
        <v>0.17249524094561342</v>
      </c>
      <c r="X30" s="294">
        <f>IFERROR(_xlfn.XLOOKUP($A30,Input_Raw!$A:$A,Input_Raw!$AA:$AA),"")</f>
        <v>165110.1</v>
      </c>
      <c r="Y30" s="294">
        <f>IFERROR(_xlfn.XLOOKUP($A30,Input_Raw!$A:$A,Input_Raw!$AS:$AS),"")</f>
        <v>163000</v>
      </c>
      <c r="Z30" s="294"/>
      <c r="AA30" s="294">
        <f>IFERROR(_xlfn.XLOOKUP($A30,Input_Raw!$A:$A,Input_Raw!$AT:$AT),"")</f>
        <v>162216.24953766432</v>
      </c>
      <c r="AB30" s="294">
        <f>IFERROR(_xlfn.XLOOKUP($A30,Input_Raw!$A:$A,Input_Raw!$AU:$AU),"")</f>
        <v>39.21</v>
      </c>
      <c r="AC30" s="303">
        <f>IFERROR(_xlfn.XLOOKUP($D30,'Modelling New'!$D:$D,'Modelling New'!P:P),"")</f>
        <v>6.0635436999999994</v>
      </c>
      <c r="AD30" s="294">
        <f>IFERROR(_xlfn.XLOOKUP($D30,'Modelling New'!$D:$D,'Modelling New'!T:T)*1000,"")</f>
        <v>166595.64726048111</v>
      </c>
      <c r="AE30" s="304">
        <f>IFERROR(_xlfn.XLOOKUP($D30,'Modelling New'!$D:$D,'Modelling New'!$O:$O),"")</f>
        <v>0.70118261764763101</v>
      </c>
      <c r="AF30" s="304">
        <f>IFERROR(_xlfn.XLOOKUP($D30,'Modelling New'!$D:$D,'Modelling New'!$W:$W),"")</f>
        <v>0.17715214349111674</v>
      </c>
      <c r="AG30" s="304">
        <f>IFERROR(_xlfn.XLOOKUP($D30,'Modelling New'!$D:$D,'Modelling New'!$AE:$AE),"")</f>
        <v>0.995</v>
      </c>
      <c r="AH30" s="304">
        <f>IFERROR(_xlfn.XLOOKUP($D30,'Modelling New'!$D:$D,'Modelling New'!$AF:$AF),"")</f>
        <v>0.995</v>
      </c>
      <c r="AI30" s="295"/>
      <c r="AJ30" s="295"/>
      <c r="AK30" s="295"/>
      <c r="AL30" s="295"/>
      <c r="AM30" s="295"/>
      <c r="AN30" s="305"/>
      <c r="AO30" s="302"/>
      <c r="AP30" s="302"/>
      <c r="AQ30" s="302"/>
      <c r="AR30" s="294">
        <f>_xlfn.XLOOKUP($D30,'Modelling New'!$D:$D,'Modelling New'!$N:$N)</f>
        <v>39.183750000000003</v>
      </c>
      <c r="AS30" s="294">
        <f t="shared" si="8"/>
        <v>166707.2531108805</v>
      </c>
    </row>
    <row r="31" spans="1:45">
      <c r="A31" s="293">
        <f t="shared" si="9"/>
        <v>45774</v>
      </c>
      <c r="B31" s="294">
        <f>YEAR(Daily_KPI[[#This Row],[Date]])+IF(MONTH(Daily_KPI[[#This Row],[Date]])&gt;=4,1,0)</f>
        <v>2026</v>
      </c>
      <c r="C31" s="295">
        <f>YEAR(Daily_KPI[[#This Row],[Date]])</f>
        <v>2025</v>
      </c>
      <c r="D31" s="296">
        <f>Daily_KPI[[#This Row],[Date]]-DAY(Daily_KPI[[#This Row],[Date]])+1</f>
        <v>45748</v>
      </c>
      <c r="E31" s="295">
        <f t="shared" si="5"/>
        <v>30</v>
      </c>
      <c r="F31" s="297">
        <f>IFERROR(_xlfn.XLOOKUP($A31,Input_Raw!$A:$A,Input_Raw!$AR:$AR),"")</f>
        <v>12.183333333333335</v>
      </c>
      <c r="G31" s="298">
        <f>IFERROR(_xlfn.XLOOKUP($A31,Input_Raw!$A:$A,Input_Raw!$R:$R),"")</f>
        <v>6.96</v>
      </c>
      <c r="H31" s="298"/>
      <c r="I31" s="298">
        <f>IFERROR(_xlfn.XLOOKUP($A31,Input_Raw!$A:$A,Input_Raw!$Q:$Q),"")</f>
        <v>6.9</v>
      </c>
      <c r="J31" s="298"/>
      <c r="K31" s="298">
        <f>IFERROR(_xlfn.XLOOKUP($A31,Input_Raw!$A:$A,Input_Raw!S:S),"")</f>
        <v>35.22</v>
      </c>
      <c r="L31" s="298">
        <f>IFERROR(_xlfn.XLOOKUP($A31,Input_Raw!$A:$A,Input_Raw!T:T),"")</f>
        <v>46.45</v>
      </c>
      <c r="M31" s="298">
        <f>IFERROR(_xlfn.XLOOKUP($A31,Input_Raw!$A:$A,Input_Raw!W:W),"")</f>
        <v>2.92</v>
      </c>
      <c r="N31" s="298">
        <f>IFERROR(_xlfn.XLOOKUP($A31,Input_Raw!$A:$A,Input_Raw!X:X),"")</f>
        <v>8.41</v>
      </c>
      <c r="O31" s="299">
        <f>IFERROR(1-(SUMIF(Plant_BD!$B:$B,$A31,Plant_BD!$AL:$AL)/($AA31+SUMIF(Plant_BD!$B:$B,$A31,Plant_BD!$AL:$AL))),"")</f>
        <v>0.99440078456239078</v>
      </c>
      <c r="P31" s="299"/>
      <c r="Q31" s="300"/>
      <c r="R31" s="299">
        <f>IFERROR(1-(SUMIF(Grid_BD!$B:$B,$A31,Grid_BD!$V:$V)/($AA31+SUMIF(Grid_BD!$B:$B,$A31,Grid_BD!$V:$V))),"")</f>
        <v>1</v>
      </c>
      <c r="S31" s="295"/>
      <c r="T31" s="300"/>
      <c r="U31" s="301">
        <f t="shared" si="6"/>
        <v>0.69657466653218658</v>
      </c>
      <c r="V31" s="301" t="str">
        <f>IFERROR(_xlfn.XLOOKUP($A31,Input_Raw!$A:$A,Input_Raw!$AX:$AX),"")</f>
        <v/>
      </c>
      <c r="W31" s="302">
        <f t="shared" si="7"/>
        <v>0.2003993784153896</v>
      </c>
      <c r="X31" s="294">
        <f>IFERROR(_xlfn.XLOOKUP($A31,Input_Raw!$A:$A,Input_Raw!$AA:$AA),"")</f>
        <v>191696.8</v>
      </c>
      <c r="Y31" s="294">
        <f>IFERROR(_xlfn.XLOOKUP($A31,Input_Raw!$A:$A,Input_Raw!$AS:$AS),"")</f>
        <v>190000</v>
      </c>
      <c r="Z31" s="294"/>
      <c r="AA31" s="294">
        <f>IFERROR(_xlfn.XLOOKUP($A31,Input_Raw!$A:$A,Input_Raw!$AT:$AT),"")</f>
        <v>188457.57945561656</v>
      </c>
      <c r="AB31" s="294">
        <f>IFERROR(_xlfn.XLOOKUP($A31,Input_Raw!$A:$A,Input_Raw!$AU:$AU),"")</f>
        <v>39.21</v>
      </c>
      <c r="AC31" s="303">
        <f>IFERROR(_xlfn.XLOOKUP($D31,'Modelling New'!$D:$D,'Modelling New'!P:P),"")</f>
        <v>6.0635436999999994</v>
      </c>
      <c r="AD31" s="294">
        <f>IFERROR(_xlfn.XLOOKUP($D31,'Modelling New'!$D:$D,'Modelling New'!T:T)*1000,"")</f>
        <v>166595.64726048111</v>
      </c>
      <c r="AE31" s="304">
        <f>IFERROR(_xlfn.XLOOKUP($D31,'Modelling New'!$D:$D,'Modelling New'!$O:$O),"")</f>
        <v>0.70118261764763101</v>
      </c>
      <c r="AF31" s="304">
        <f>IFERROR(_xlfn.XLOOKUP($D31,'Modelling New'!$D:$D,'Modelling New'!$W:$W),"")</f>
        <v>0.17715214349111674</v>
      </c>
      <c r="AG31" s="304">
        <f>IFERROR(_xlfn.XLOOKUP($D31,'Modelling New'!$D:$D,'Modelling New'!$AE:$AE),"")</f>
        <v>0.995</v>
      </c>
      <c r="AH31" s="304">
        <f>IFERROR(_xlfn.XLOOKUP($D31,'Modelling New'!$D:$D,'Modelling New'!$AF:$AF),"")</f>
        <v>0.995</v>
      </c>
      <c r="AI31" s="295"/>
      <c r="AJ31" s="295"/>
      <c r="AK31" s="295"/>
      <c r="AL31" s="295"/>
      <c r="AM31" s="295"/>
      <c r="AN31" s="305"/>
      <c r="AO31" s="302"/>
      <c r="AP31" s="302"/>
      <c r="AQ31" s="302"/>
      <c r="AR31" s="294">
        <f>_xlfn.XLOOKUP($D31,'Modelling New'!$D:$D,'Modelling New'!$N:$N)</f>
        <v>39.183750000000003</v>
      </c>
      <c r="AS31" s="294">
        <f t="shared" si="8"/>
        <v>166707.2531108805</v>
      </c>
    </row>
    <row r="32" spans="1:45">
      <c r="A32" s="293">
        <f t="shared" si="9"/>
        <v>45775</v>
      </c>
      <c r="B32" s="294">
        <f>YEAR(Daily_KPI[[#This Row],[Date]])+IF(MONTH(Daily_KPI[[#This Row],[Date]])&gt;=4,1,0)</f>
        <v>2026</v>
      </c>
      <c r="C32" s="295">
        <f>YEAR(Daily_KPI[[#This Row],[Date]])</f>
        <v>2025</v>
      </c>
      <c r="D32" s="296">
        <f>Daily_KPI[[#This Row],[Date]]-DAY(Daily_KPI[[#This Row],[Date]])+1</f>
        <v>45748</v>
      </c>
      <c r="E32" s="295">
        <f t="shared" si="5"/>
        <v>30</v>
      </c>
      <c r="F32" s="297">
        <f>IFERROR(_xlfn.XLOOKUP($A32,Input_Raw!$A:$A,Input_Raw!$AR:$AR),"")</f>
        <v>12.116666666666664</v>
      </c>
      <c r="G32" s="298">
        <f>IFERROR(_xlfn.XLOOKUP($A32,Input_Raw!$A:$A,Input_Raw!$R:$R),"")</f>
        <v>6.52</v>
      </c>
      <c r="H32" s="298"/>
      <c r="I32" s="298">
        <f>IFERROR(_xlfn.XLOOKUP($A32,Input_Raw!$A:$A,Input_Raw!$Q:$Q),"")</f>
        <v>6.28</v>
      </c>
      <c r="J32" s="298"/>
      <c r="K32" s="298">
        <f>IFERROR(_xlfn.XLOOKUP($A32,Input_Raw!$A:$A,Input_Raw!S:S),"")</f>
        <v>37.799999999999997</v>
      </c>
      <c r="L32" s="298">
        <f>IFERROR(_xlfn.XLOOKUP($A32,Input_Raw!$A:$A,Input_Raw!T:T),"")</f>
        <v>47.71</v>
      </c>
      <c r="M32" s="298">
        <f>IFERROR(_xlfn.XLOOKUP($A32,Input_Raw!$A:$A,Input_Raw!W:W),"")</f>
        <v>3.28</v>
      </c>
      <c r="N32" s="298">
        <f>IFERROR(_xlfn.XLOOKUP($A32,Input_Raw!$A:$A,Input_Raw!X:X),"")</f>
        <v>8.31</v>
      </c>
      <c r="O32" s="299">
        <f>IFERROR(1-(SUMIF(Plant_BD!$B:$B,$A32,Plant_BD!$AL:$AL)/($AA32+SUMIF(Plant_BD!$B:$B,$A32,Plant_BD!$AL:$AL))),"")</f>
        <v>0.99102243010416136</v>
      </c>
      <c r="P32" s="299"/>
      <c r="Q32" s="300"/>
      <c r="R32" s="299">
        <f>IFERROR(1-(SUMIF(Grid_BD!$B:$B,$A32,Grid_BD!$V:$V)/($AA32+SUMIF(Grid_BD!$B:$B,$A32,Grid_BD!$V:$V))),"")</f>
        <v>1</v>
      </c>
      <c r="S32" s="295"/>
      <c r="T32" s="300"/>
      <c r="U32" s="301">
        <f t="shared" si="6"/>
        <v>0.69060929547560279</v>
      </c>
      <c r="V32" s="301" t="str">
        <f>IFERROR(_xlfn.XLOOKUP($A32,Input_Raw!$A:$A,Input_Raw!$AX:$AX),"")</f>
        <v/>
      </c>
      <c r="W32" s="302">
        <f t="shared" si="7"/>
        <v>0.18083049328139628</v>
      </c>
      <c r="X32" s="294">
        <f>IFERROR(_xlfn.XLOOKUP($A32,Input_Raw!$A:$A,Input_Raw!$AA:$AA),"")</f>
        <v>173178</v>
      </c>
      <c r="Y32" s="294">
        <f>IFERROR(_xlfn.XLOOKUP($A32,Input_Raw!$A:$A,Input_Raw!$AS:$AS),"")</f>
        <v>171000</v>
      </c>
      <c r="Z32" s="294"/>
      <c r="AA32" s="294">
        <f>IFERROR(_xlfn.XLOOKUP($A32,Input_Raw!$A:$A,Input_Raw!$AT:$AT),"")</f>
        <v>170054.80418675789</v>
      </c>
      <c r="AB32" s="294">
        <f>IFERROR(_xlfn.XLOOKUP($A32,Input_Raw!$A:$A,Input_Raw!$AU:$AU),"")</f>
        <v>39.21</v>
      </c>
      <c r="AC32" s="303">
        <f>IFERROR(_xlfn.XLOOKUP($D32,'Modelling New'!$D:$D,'Modelling New'!P:P),"")</f>
        <v>6.0635436999999994</v>
      </c>
      <c r="AD32" s="294">
        <f>IFERROR(_xlfn.XLOOKUP($D32,'Modelling New'!$D:$D,'Modelling New'!T:T)*1000,"")</f>
        <v>166595.64726048111</v>
      </c>
      <c r="AE32" s="304">
        <f>IFERROR(_xlfn.XLOOKUP($D32,'Modelling New'!$D:$D,'Modelling New'!$O:$O),"")</f>
        <v>0.70118261764763101</v>
      </c>
      <c r="AF32" s="304">
        <f>IFERROR(_xlfn.XLOOKUP($D32,'Modelling New'!$D:$D,'Modelling New'!$W:$W),"")</f>
        <v>0.17715214349111674</v>
      </c>
      <c r="AG32" s="304">
        <f>IFERROR(_xlfn.XLOOKUP($D32,'Modelling New'!$D:$D,'Modelling New'!$AE:$AE),"")</f>
        <v>0.995</v>
      </c>
      <c r="AH32" s="304">
        <f>IFERROR(_xlfn.XLOOKUP($D32,'Modelling New'!$D:$D,'Modelling New'!$AF:$AF),"")</f>
        <v>0.995</v>
      </c>
      <c r="AI32" s="295"/>
      <c r="AJ32" s="295"/>
      <c r="AK32" s="295"/>
      <c r="AL32" s="295"/>
      <c r="AM32" s="295"/>
      <c r="AN32" s="305"/>
      <c r="AO32" s="302"/>
      <c r="AP32" s="302"/>
      <c r="AQ32" s="302"/>
      <c r="AR32" s="294">
        <f>_xlfn.XLOOKUP($D32,'Modelling New'!$D:$D,'Modelling New'!$N:$N)</f>
        <v>39.183750000000003</v>
      </c>
      <c r="AS32" s="294">
        <f t="shared" si="8"/>
        <v>166707.2531108805</v>
      </c>
    </row>
    <row r="33" spans="1:45">
      <c r="A33" s="293">
        <f t="shared" si="9"/>
        <v>45776</v>
      </c>
      <c r="B33" s="294">
        <f>YEAR(Daily_KPI[[#This Row],[Date]])+IF(MONTH(Daily_KPI[[#This Row],[Date]])&gt;=4,1,0)</f>
        <v>2026</v>
      </c>
      <c r="C33" s="295">
        <f>YEAR(Daily_KPI[[#This Row],[Date]])</f>
        <v>2025</v>
      </c>
      <c r="D33" s="296">
        <f>Daily_KPI[[#This Row],[Date]]-DAY(Daily_KPI[[#This Row],[Date]])+1</f>
        <v>45748</v>
      </c>
      <c r="E33" s="295">
        <f t="shared" si="5"/>
        <v>30</v>
      </c>
      <c r="F33" s="297">
        <f>IFERROR(_xlfn.XLOOKUP($A33,Input_Raw!$A:$A,Input_Raw!$AR:$AR),"")</f>
        <v>12.016666666666669</v>
      </c>
      <c r="G33" s="298">
        <f>IFERROR(_xlfn.XLOOKUP($A33,Input_Raw!$A:$A,Input_Raw!$R:$R),"")</f>
        <v>6.81</v>
      </c>
      <c r="H33" s="298"/>
      <c r="I33" s="298">
        <f>IFERROR(_xlfn.XLOOKUP($A33,Input_Raw!$A:$A,Input_Raw!$Q:$Q),"")</f>
        <v>6.54</v>
      </c>
      <c r="J33" s="298"/>
      <c r="K33" s="298">
        <f>IFERROR(_xlfn.XLOOKUP($A33,Input_Raw!$A:$A,Input_Raw!S:S),"")</f>
        <v>38.44</v>
      </c>
      <c r="L33" s="298">
        <f>IFERROR(_xlfn.XLOOKUP($A33,Input_Raw!$A:$A,Input_Raw!T:T),"")</f>
        <v>49.35</v>
      </c>
      <c r="M33" s="298">
        <f>IFERROR(_xlfn.XLOOKUP($A33,Input_Raw!$A:$A,Input_Raw!W:W),"")</f>
        <v>2.64</v>
      </c>
      <c r="N33" s="298">
        <f>IFERROR(_xlfn.XLOOKUP($A33,Input_Raw!$A:$A,Input_Raw!X:X),"")</f>
        <v>8.23</v>
      </c>
      <c r="O33" s="299">
        <f>IFERROR(1-(SUMIF(Plant_BD!$B:$B,$A33,Plant_BD!$AL:$AL)/($AA33+SUMIF(Plant_BD!$B:$B,$A33,Plant_BD!$AL:$AL))),"")</f>
        <v>1</v>
      </c>
      <c r="P33" s="299"/>
      <c r="Q33" s="300"/>
      <c r="R33" s="299">
        <f>IFERROR(1-(SUMIF(Grid_BD!$B:$B,$A33,Grid_BD!$V:$V)/($AA33+SUMIF(Grid_BD!$B:$B,$A33,Grid_BD!$V:$V))),"")</f>
        <v>1</v>
      </c>
      <c r="S33" s="295"/>
      <c r="T33" s="300"/>
      <c r="U33" s="301">
        <f t="shared" si="6"/>
        <v>0.72178859238050419</v>
      </c>
      <c r="V33" s="301" t="str">
        <f>IFERROR(_xlfn.XLOOKUP($A33,Input_Raw!$A:$A,Input_Raw!$AX:$AX),"")</f>
        <v/>
      </c>
      <c r="W33" s="302">
        <f t="shared" si="7"/>
        <v>0.19681915635238542</v>
      </c>
      <c r="X33" s="294">
        <f>IFERROR(_xlfn.XLOOKUP($A33,Input_Raw!$A:$A,Input_Raw!$AA:$AA),"")</f>
        <v>188809.2</v>
      </c>
      <c r="Y33" s="294">
        <f>IFERROR(_xlfn.XLOOKUP($A33,Input_Raw!$A:$A,Input_Raw!$AS:$AS),"")</f>
        <v>187000</v>
      </c>
      <c r="Z33" s="294"/>
      <c r="AA33" s="294">
        <f>IFERROR(_xlfn.XLOOKUP($A33,Input_Raw!$A:$A,Input_Raw!$AT:$AT),"")</f>
        <v>185090.70282534679</v>
      </c>
      <c r="AB33" s="294">
        <f>IFERROR(_xlfn.XLOOKUP($A33,Input_Raw!$A:$A,Input_Raw!$AU:$AU),"")</f>
        <v>39.21</v>
      </c>
      <c r="AC33" s="303">
        <f>IFERROR(_xlfn.XLOOKUP($D33,'Modelling New'!$D:$D,'Modelling New'!P:P),"")</f>
        <v>6.0635436999999994</v>
      </c>
      <c r="AD33" s="294">
        <f>IFERROR(_xlfn.XLOOKUP($D33,'Modelling New'!$D:$D,'Modelling New'!T:T)*1000,"")</f>
        <v>166595.64726048111</v>
      </c>
      <c r="AE33" s="304">
        <f>IFERROR(_xlfn.XLOOKUP($D33,'Modelling New'!$D:$D,'Modelling New'!$O:$O),"")</f>
        <v>0.70118261764763101</v>
      </c>
      <c r="AF33" s="304">
        <f>IFERROR(_xlfn.XLOOKUP($D33,'Modelling New'!$D:$D,'Modelling New'!$W:$W),"")</f>
        <v>0.17715214349111674</v>
      </c>
      <c r="AG33" s="304">
        <f>IFERROR(_xlfn.XLOOKUP($D33,'Modelling New'!$D:$D,'Modelling New'!$AE:$AE),"")</f>
        <v>0.995</v>
      </c>
      <c r="AH33" s="304">
        <f>IFERROR(_xlfn.XLOOKUP($D33,'Modelling New'!$D:$D,'Modelling New'!$AF:$AF),"")</f>
        <v>0.995</v>
      </c>
      <c r="AI33" s="295"/>
      <c r="AJ33" s="295"/>
      <c r="AK33" s="295"/>
      <c r="AL33" s="295"/>
      <c r="AM33" s="295"/>
      <c r="AN33" s="305"/>
      <c r="AO33" s="302"/>
      <c r="AP33" s="302"/>
      <c r="AQ33" s="302"/>
      <c r="AR33" s="294">
        <f>_xlfn.XLOOKUP($D33,'Modelling New'!$D:$D,'Modelling New'!$N:$N)</f>
        <v>39.183750000000003</v>
      </c>
      <c r="AS33" s="294">
        <f t="shared" si="8"/>
        <v>166707.2531108805</v>
      </c>
    </row>
    <row r="34" spans="1:45">
      <c r="A34" s="293">
        <f t="shared" si="9"/>
        <v>45777</v>
      </c>
      <c r="B34" s="294">
        <f>YEAR(Daily_KPI[[#This Row],[Date]])+IF(MONTH(Daily_KPI[[#This Row],[Date]])&gt;=4,1,0)</f>
        <v>2026</v>
      </c>
      <c r="C34" s="295">
        <f>YEAR(Daily_KPI[[#This Row],[Date]])</f>
        <v>2025</v>
      </c>
      <c r="D34" s="296">
        <f>Daily_KPI[[#This Row],[Date]]-DAY(Daily_KPI[[#This Row],[Date]])+1</f>
        <v>45748</v>
      </c>
      <c r="E34" s="295">
        <f t="shared" si="5"/>
        <v>30</v>
      </c>
      <c r="F34" s="297">
        <f>IFERROR(_xlfn.XLOOKUP($A34,Input_Raw!$A:$A,Input_Raw!$AR:$AR),"")</f>
        <v>12.166666666666666</v>
      </c>
      <c r="G34" s="298">
        <f>IFERROR(_xlfn.XLOOKUP($A34,Input_Raw!$A:$A,Input_Raw!$R:$R),"")</f>
        <v>6.76</v>
      </c>
      <c r="H34" s="298"/>
      <c r="I34" s="298">
        <f>IFERROR(_xlfn.XLOOKUP($A34,Input_Raw!$A:$A,Input_Raw!$Q:$Q),"")</f>
        <v>6.45</v>
      </c>
      <c r="J34" s="298"/>
      <c r="K34" s="298">
        <f>IFERROR(_xlfn.XLOOKUP($A34,Input_Raw!$A:$A,Input_Raw!S:S),"")</f>
        <v>38.89</v>
      </c>
      <c r="L34" s="298">
        <f>IFERROR(_xlfn.XLOOKUP($A34,Input_Raw!$A:$A,Input_Raw!T:T),"")</f>
        <v>48.04</v>
      </c>
      <c r="M34" s="298">
        <f>IFERROR(_xlfn.XLOOKUP($A34,Input_Raw!$A:$A,Input_Raw!W:W),"")</f>
        <v>3.72</v>
      </c>
      <c r="N34" s="298">
        <f>IFERROR(_xlfn.XLOOKUP($A34,Input_Raw!$A:$A,Input_Raw!X:X),"")</f>
        <v>9.5299999999999994</v>
      </c>
      <c r="O34" s="299">
        <f>IFERROR(1-(SUMIF(Plant_BD!$B:$B,$A34,Plant_BD!$AL:$AL)/($AA34+SUMIF(Plant_BD!$B:$B,$A34,Plant_BD!$AL:$AL))),"")</f>
        <v>1</v>
      </c>
      <c r="P34" s="299"/>
      <c r="Q34" s="300"/>
      <c r="R34" s="299">
        <f>IFERROR(1-(SUMIF(Grid_BD!$B:$B,$A34,Grid_BD!$V:$V)/($AA34+SUMIF(Grid_BD!$B:$B,$A34,Grid_BD!$V:$V))),"")</f>
        <v>1</v>
      </c>
      <c r="S34" s="295"/>
      <c r="T34" s="300"/>
      <c r="U34" s="301">
        <f t="shared" si="6"/>
        <v>0.74324496089236014</v>
      </c>
      <c r="V34" s="301" t="str">
        <f>IFERROR(_xlfn.XLOOKUP($A34,Input_Raw!$A:$A,Input_Raw!$AX:$AX),"")</f>
        <v/>
      </c>
      <c r="W34" s="302">
        <f t="shared" si="7"/>
        <v>0.19988089791899477</v>
      </c>
      <c r="X34" s="294">
        <f>IFERROR(_xlfn.XLOOKUP($A34,Input_Raw!$A:$A,Input_Raw!$AA:$AA),"")</f>
        <v>190814.59999999998</v>
      </c>
      <c r="Y34" s="294">
        <f>IFERROR(_xlfn.XLOOKUP($A34,Input_Raw!$A:$A,Input_Raw!$AS:$AS),"")</f>
        <v>188000</v>
      </c>
      <c r="Z34" s="294"/>
      <c r="AA34" s="294">
        <f>IFERROR(_xlfn.XLOOKUP($A34,Input_Raw!$A:$A,Input_Raw!$AT:$AT),"")</f>
        <v>187969.9952120019</v>
      </c>
      <c r="AB34" s="294">
        <f>IFERROR(_xlfn.XLOOKUP($A34,Input_Raw!$A:$A,Input_Raw!$AU:$AU),"")</f>
        <v>39.21</v>
      </c>
      <c r="AC34" s="303">
        <f>IFERROR(_xlfn.XLOOKUP($D34,'Modelling New'!$D:$D,'Modelling New'!P:P),"")</f>
        <v>6.0635436999999994</v>
      </c>
      <c r="AD34" s="294">
        <f>IFERROR(_xlfn.XLOOKUP($D34,'Modelling New'!$D:$D,'Modelling New'!T:T)*1000,"")</f>
        <v>166595.64726048111</v>
      </c>
      <c r="AE34" s="304">
        <f>IFERROR(_xlfn.XLOOKUP($D34,'Modelling New'!$D:$D,'Modelling New'!$O:$O),"")</f>
        <v>0.70118261764763101</v>
      </c>
      <c r="AF34" s="304">
        <f>IFERROR(_xlfn.XLOOKUP($D34,'Modelling New'!$D:$D,'Modelling New'!$W:$W),"")</f>
        <v>0.17715214349111674</v>
      </c>
      <c r="AG34" s="304">
        <f>IFERROR(_xlfn.XLOOKUP($D34,'Modelling New'!$D:$D,'Modelling New'!$AE:$AE),"")</f>
        <v>0.995</v>
      </c>
      <c r="AH34" s="304">
        <f>IFERROR(_xlfn.XLOOKUP($D34,'Modelling New'!$D:$D,'Modelling New'!$AF:$AF),"")</f>
        <v>0.995</v>
      </c>
      <c r="AI34" s="295"/>
      <c r="AJ34" s="295"/>
      <c r="AK34" s="295"/>
      <c r="AL34" s="295"/>
      <c r="AM34" s="295"/>
      <c r="AN34" s="305"/>
      <c r="AO34" s="302"/>
      <c r="AP34" s="302"/>
      <c r="AQ34" s="302"/>
      <c r="AR34" s="294">
        <f>_xlfn.XLOOKUP($D34,'Modelling New'!$D:$D,'Modelling New'!$N:$N)</f>
        <v>39.183750000000003</v>
      </c>
      <c r="AS34" s="294">
        <f t="shared" si="8"/>
        <v>166707.2531108805</v>
      </c>
    </row>
    <row r="35" spans="1:45">
      <c r="A35" s="293">
        <f t="shared" si="9"/>
        <v>45778</v>
      </c>
      <c r="B35" s="294">
        <f>YEAR(Daily_KPI[[#This Row],[Date]])+IF(MONTH(Daily_KPI[[#This Row],[Date]])&gt;=4,1,0)</f>
        <v>2026</v>
      </c>
      <c r="C35" s="295">
        <f>YEAR(Daily_KPI[[#This Row],[Date]])</f>
        <v>2025</v>
      </c>
      <c r="D35" s="296">
        <f>Daily_KPI[[#This Row],[Date]]-DAY(Daily_KPI[[#This Row],[Date]])+1</f>
        <v>45778</v>
      </c>
      <c r="E35" s="295">
        <f t="shared" si="5"/>
        <v>31</v>
      </c>
      <c r="F35" s="297">
        <f>IFERROR(_xlfn.XLOOKUP($A35,Input_Raw!$A:$A,Input_Raw!$AR:$AR),"")</f>
        <v>11.999999999999998</v>
      </c>
      <c r="G35" s="298">
        <f>IFERROR(_xlfn.XLOOKUP($A35,Input_Raw!$A:$A,Input_Raw!$R:$R),"")</f>
        <v>6.24</v>
      </c>
      <c r="H35" s="298"/>
      <c r="I35" s="298">
        <f>IFERROR(_xlfn.XLOOKUP($A35,Input_Raw!$A:$A,Input_Raw!$Q:$Q),"")</f>
        <v>6.12</v>
      </c>
      <c r="J35" s="298"/>
      <c r="K35" s="298">
        <f>IFERROR(_xlfn.XLOOKUP($A35,Input_Raw!$A:$A,Input_Raw!S:S),"")</f>
        <v>37.42</v>
      </c>
      <c r="L35" s="298">
        <f>IFERROR(_xlfn.XLOOKUP($A35,Input_Raw!$A:$A,Input_Raw!T:T),"")</f>
        <v>49.2</v>
      </c>
      <c r="M35" s="298">
        <f>IFERROR(_xlfn.XLOOKUP($A35,Input_Raw!$A:$A,Input_Raw!W:W),"")</f>
        <v>2.08</v>
      </c>
      <c r="N35" s="298">
        <f>IFERROR(_xlfn.XLOOKUP($A35,Input_Raw!$A:$A,Input_Raw!X:X),"")</f>
        <v>5.61</v>
      </c>
      <c r="O35" s="299">
        <f>IFERROR(1-(SUMIF(Plant_BD!$B:$B,$A35,Plant_BD!$AL:$AL)/($AA35+SUMIF(Plant_BD!$B:$B,$A35,Plant_BD!$AL:$AL))),"")</f>
        <v>1</v>
      </c>
      <c r="P35" s="299"/>
      <c r="Q35" s="300"/>
      <c r="R35" s="299">
        <f>IFERROR(1-(SUMIF(Grid_BD!$B:$B,$A35,Grid_BD!$V:$V)/($AA35+SUMIF(Grid_BD!$B:$B,$A35,Grid_BD!$V:$V))),"")</f>
        <v>1</v>
      </c>
      <c r="S35" s="295"/>
      <c r="T35" s="300"/>
      <c r="U35" s="301">
        <f t="shared" si="6"/>
        <v>0.72398357015057779</v>
      </c>
      <c r="V35" s="301" t="str">
        <f>IFERROR(_xlfn.XLOOKUP($A35,Input_Raw!$A:$A,Input_Raw!$AX:$AX),"")</f>
        <v/>
      </c>
      <c r="W35" s="302">
        <f t="shared" si="7"/>
        <v>0.15759187798359725</v>
      </c>
      <c r="X35" s="294">
        <f>IFERROR(_xlfn.XLOOKUP($A35,Input_Raw!$A:$A,Input_Raw!$AA:$AA),"")</f>
        <v>177267.9</v>
      </c>
      <c r="Y35" s="294">
        <f>IFERROR(_xlfn.XLOOKUP($A35,Input_Raw!$A:$A,Input_Raw!$AS:$AS),"")</f>
        <v>175000</v>
      </c>
      <c r="Z35" s="294"/>
      <c r="AA35" s="294">
        <f>IFERROR(_xlfn.XLOOKUP($A35,Input_Raw!$A:$A,Input_Raw!$AT:$AT),"")</f>
        <v>173730.86220789744</v>
      </c>
      <c r="AB35" s="294">
        <f>IFERROR(_xlfn.XLOOKUP($A35,Input_Raw!$A:$A,Input_Raw!$AU:$AU),"")</f>
        <v>39.21</v>
      </c>
      <c r="AC35" s="303">
        <f>IFERROR(_xlfn.XLOOKUP($D35,'Modelling New'!$D:$D,'Modelling New'!P:P),"")</f>
        <v>6.832313648387097</v>
      </c>
      <c r="AD35" s="294">
        <f>IFERROR(_xlfn.XLOOKUP($D35,'Modelling New'!$D:$D,'Modelling New'!T:T)*1000,"")</f>
        <v>200698.57823974433</v>
      </c>
      <c r="AE35" s="304">
        <f>IFERROR(_xlfn.XLOOKUP($D35,'Modelling New'!$D:$D,'Modelling New'!$O:$O),"")</f>
        <v>0.63950596310378405</v>
      </c>
      <c r="AF35" s="304">
        <f>IFERROR(_xlfn.XLOOKUP($D35,'Modelling New'!$D:$D,'Modelling New'!$W:$W),"")</f>
        <v>0.1820543883307883</v>
      </c>
      <c r="AG35" s="304">
        <f>IFERROR(_xlfn.XLOOKUP($D35,'Modelling New'!$D:$D,'Modelling New'!$AE:$AE),"")</f>
        <v>0.995</v>
      </c>
      <c r="AH35" s="304">
        <f>IFERROR(_xlfn.XLOOKUP($D35,'Modelling New'!$D:$D,'Modelling New'!$AF:$AF),"")</f>
        <v>0.995</v>
      </c>
      <c r="AI35" s="295"/>
      <c r="AJ35" s="295"/>
      <c r="AK35" s="295"/>
      <c r="AL35" s="295"/>
      <c r="AM35" s="295"/>
      <c r="AN35" s="305"/>
      <c r="AO35" s="302"/>
      <c r="AP35" s="302"/>
      <c r="AQ35" s="302"/>
      <c r="AR35" s="294">
        <f>_xlfn.XLOOKUP($D35,'Modelling New'!$D:$D,'Modelling New'!$N:$N)</f>
        <v>45.933750000000003</v>
      </c>
      <c r="AS35" s="294">
        <f t="shared" si="8"/>
        <v>171320.46159480501</v>
      </c>
    </row>
    <row r="36" spans="1:45">
      <c r="A36" s="293">
        <f t="shared" si="9"/>
        <v>45779</v>
      </c>
      <c r="B36" s="294">
        <f>YEAR(Daily_KPI[[#This Row],[Date]])+IF(MONTH(Daily_KPI[[#This Row],[Date]])&gt;=4,1,0)</f>
        <v>2026</v>
      </c>
      <c r="C36" s="295">
        <f>YEAR(Daily_KPI[[#This Row],[Date]])</f>
        <v>2025</v>
      </c>
      <c r="D36" s="296">
        <f>Daily_KPI[[#This Row],[Date]]-DAY(Daily_KPI[[#This Row],[Date]])+1</f>
        <v>45778</v>
      </c>
      <c r="E36" s="295">
        <f t="shared" si="5"/>
        <v>31</v>
      </c>
      <c r="F36" s="297">
        <f>IFERROR(_xlfn.XLOOKUP($A36,Input_Raw!$A:$A,Input_Raw!$AR:$AR),"")</f>
        <v>12.216666666666669</v>
      </c>
      <c r="G36" s="298">
        <f>IFERROR(_xlfn.XLOOKUP($A36,Input_Raw!$A:$A,Input_Raw!$R:$R),"")</f>
        <v>6.52</v>
      </c>
      <c r="H36" s="298"/>
      <c r="I36" s="298">
        <f>IFERROR(_xlfn.XLOOKUP($A36,Input_Raw!$A:$A,Input_Raw!$Q:$Q),"")</f>
        <v>6.39</v>
      </c>
      <c r="J36" s="298"/>
      <c r="K36" s="298">
        <f>IFERROR(_xlfn.XLOOKUP($A36,Input_Raw!$A:$A,Input_Raw!S:S),"")</f>
        <v>38.17</v>
      </c>
      <c r="L36" s="298">
        <f>IFERROR(_xlfn.XLOOKUP($A36,Input_Raw!$A:$A,Input_Raw!T:T),"")</f>
        <v>47.52</v>
      </c>
      <c r="M36" s="298">
        <f>IFERROR(_xlfn.XLOOKUP($A36,Input_Raw!$A:$A,Input_Raw!W:W),"")</f>
        <v>3.04</v>
      </c>
      <c r="N36" s="298">
        <f>IFERROR(_xlfn.XLOOKUP($A36,Input_Raw!$A:$A,Input_Raw!X:X),"")</f>
        <v>8.6199999999999992</v>
      </c>
      <c r="O36" s="299">
        <f>IFERROR(1-(SUMIF(Plant_BD!$B:$B,$A36,Plant_BD!$AL:$AL)/($AA36+SUMIF(Plant_BD!$B:$B,$A36,Plant_BD!$AL:$AL))),"")</f>
        <v>0.9992968777343193</v>
      </c>
      <c r="P36" s="299"/>
      <c r="Q36" s="300"/>
      <c r="R36" s="299">
        <f>IFERROR(1-(SUMIF(Grid_BD!$B:$B,$A36,Grid_BD!$V:$V)/($AA36+SUMIF(Grid_BD!$B:$B,$A36,Grid_BD!$V:$V))),"")</f>
        <v>1</v>
      </c>
      <c r="S36" s="295"/>
      <c r="T36" s="300"/>
      <c r="U36" s="301">
        <f t="shared" si="6"/>
        <v>0.71762427051925037</v>
      </c>
      <c r="V36" s="301" t="str">
        <f>IFERROR(_xlfn.XLOOKUP($A36,Input_Raw!$A:$A,Input_Raw!$AX:$AX),"")</f>
        <v/>
      </c>
      <c r="W36" s="302">
        <f t="shared" si="7"/>
        <v>0.1630991413945013</v>
      </c>
      <c r="X36" s="294">
        <f>IFERROR(_xlfn.XLOOKUP($A36,Input_Raw!$A:$A,Input_Raw!$AA:$AA),"")</f>
        <v>182791.8</v>
      </c>
      <c r="Y36" s="294">
        <f>IFERROR(_xlfn.XLOOKUP($A36,Input_Raw!$A:$A,Input_Raw!$AS:$AS),"")</f>
        <v>181000</v>
      </c>
      <c r="Z36" s="294"/>
      <c r="AA36" s="294">
        <f>IFERROR(_xlfn.XLOOKUP($A36,Input_Raw!$A:$A,Input_Raw!$AT:$AT),"")</f>
        <v>179802.12446471216</v>
      </c>
      <c r="AB36" s="294">
        <f>IFERROR(_xlfn.XLOOKUP($A36,Input_Raw!$A:$A,Input_Raw!$AU:$AU),"")</f>
        <v>39.21</v>
      </c>
      <c r="AC36" s="303">
        <f>IFERROR(_xlfn.XLOOKUP($D36,'Modelling New'!$D:$D,'Modelling New'!P:P),"")</f>
        <v>6.832313648387097</v>
      </c>
      <c r="AD36" s="294">
        <f>IFERROR(_xlfn.XLOOKUP($D36,'Modelling New'!$D:$D,'Modelling New'!T:T)*1000,"")</f>
        <v>200698.57823974433</v>
      </c>
      <c r="AE36" s="304">
        <f>IFERROR(_xlfn.XLOOKUP($D36,'Modelling New'!$D:$D,'Modelling New'!$O:$O),"")</f>
        <v>0.63950596310378405</v>
      </c>
      <c r="AF36" s="304">
        <f>IFERROR(_xlfn.XLOOKUP($D36,'Modelling New'!$D:$D,'Modelling New'!$W:$W),"")</f>
        <v>0.1820543883307883</v>
      </c>
      <c r="AG36" s="304">
        <f>IFERROR(_xlfn.XLOOKUP($D36,'Modelling New'!$D:$D,'Modelling New'!$AE:$AE),"")</f>
        <v>0.995</v>
      </c>
      <c r="AH36" s="304">
        <f>IFERROR(_xlfn.XLOOKUP($D36,'Modelling New'!$D:$D,'Modelling New'!$AF:$AF),"")</f>
        <v>0.995</v>
      </c>
      <c r="AI36" s="295"/>
      <c r="AJ36" s="295"/>
      <c r="AK36" s="295"/>
      <c r="AL36" s="295"/>
      <c r="AM36" s="295"/>
      <c r="AN36" s="305"/>
      <c r="AO36" s="302"/>
      <c r="AP36" s="302"/>
      <c r="AQ36" s="302"/>
      <c r="AR36" s="294">
        <f>_xlfn.XLOOKUP($D36,'Modelling New'!$D:$D,'Modelling New'!$N:$N)</f>
        <v>45.933750000000003</v>
      </c>
      <c r="AS36" s="294">
        <f t="shared" si="8"/>
        <v>171320.46159480501</v>
      </c>
    </row>
    <row r="37" spans="1:45">
      <c r="A37" s="293">
        <f t="shared" si="9"/>
        <v>45780</v>
      </c>
      <c r="B37" s="294">
        <f>YEAR(Daily_KPI[[#This Row],[Date]])+IF(MONTH(Daily_KPI[[#This Row],[Date]])&gt;=4,1,0)</f>
        <v>2026</v>
      </c>
      <c r="C37" s="295">
        <f>YEAR(Daily_KPI[[#This Row],[Date]])</f>
        <v>2025</v>
      </c>
      <c r="D37" s="296">
        <f>Daily_KPI[[#This Row],[Date]]-DAY(Daily_KPI[[#This Row],[Date]])+1</f>
        <v>45778</v>
      </c>
      <c r="E37" s="295">
        <f t="shared" si="5"/>
        <v>31</v>
      </c>
      <c r="F37" s="297">
        <f>IFERROR(_xlfn.XLOOKUP($A37,Input_Raw!$A:$A,Input_Raw!$AR:$AR),"")</f>
        <v>12.266666666666669</v>
      </c>
      <c r="G37" s="298">
        <f>IFERROR(_xlfn.XLOOKUP($A37,Input_Raw!$A:$A,Input_Raw!$R:$R),"")</f>
        <v>6.65</v>
      </c>
      <c r="H37" s="298"/>
      <c r="I37" s="298">
        <f>IFERROR(_xlfn.XLOOKUP($A37,Input_Raw!$A:$A,Input_Raw!$Q:$Q),"")</f>
        <v>6.42</v>
      </c>
      <c r="J37" s="298"/>
      <c r="K37" s="298">
        <f>IFERROR(_xlfn.XLOOKUP($A37,Input_Raw!$A:$A,Input_Raw!S:S),"")</f>
        <v>38.619999999999997</v>
      </c>
      <c r="L37" s="298">
        <f>IFERROR(_xlfn.XLOOKUP($A37,Input_Raw!$A:$A,Input_Raw!T:T),"")</f>
        <v>48.41</v>
      </c>
      <c r="M37" s="298">
        <f>IFERROR(_xlfn.XLOOKUP($A37,Input_Raw!$A:$A,Input_Raw!W:W),"")</f>
        <v>2.78</v>
      </c>
      <c r="N37" s="298">
        <f>IFERROR(_xlfn.XLOOKUP($A37,Input_Raw!$A:$A,Input_Raw!X:X),"")</f>
        <v>7.26</v>
      </c>
      <c r="O37" s="299">
        <f>IFERROR(1-(SUMIF(Plant_BD!$B:$B,$A37,Plant_BD!$AL:$AL)/($AA37+SUMIF(Plant_BD!$B:$B,$A37,Plant_BD!$AL:$AL))),"")</f>
        <v>0.93794883536381513</v>
      </c>
      <c r="P37" s="299"/>
      <c r="Q37" s="300"/>
      <c r="R37" s="299">
        <f>IFERROR(1-(SUMIF(Grid_BD!$B:$B,$A37,Grid_BD!$V:$V)/($AA37+SUMIF(Grid_BD!$B:$B,$A37,Grid_BD!$V:$V))),"")</f>
        <v>1</v>
      </c>
      <c r="S37" s="295"/>
      <c r="T37" s="300"/>
      <c r="U37" s="301">
        <f t="shared" si="6"/>
        <v>0.70471147037847137</v>
      </c>
      <c r="V37" s="301" t="str">
        <f>IFERROR(_xlfn.XLOOKUP($A37,Input_Raw!$A:$A,Input_Raw!$AX:$AX),"")</f>
        <v/>
      </c>
      <c r="W37" s="302">
        <f t="shared" si="7"/>
        <v>0.16091631059018507</v>
      </c>
      <c r="X37" s="294">
        <f>IFERROR(_xlfn.XLOOKUP($A37,Input_Raw!$A:$A,Input_Raw!$AA:$AA),"")</f>
        <v>180735.10000000003</v>
      </c>
      <c r="Y37" s="294">
        <f>IFERROR(_xlfn.XLOOKUP($A37,Input_Raw!$A:$A,Input_Raw!$AS:$AS),"")</f>
        <v>179000</v>
      </c>
      <c r="Z37" s="294"/>
      <c r="AA37" s="294">
        <f>IFERROR(_xlfn.XLOOKUP($A37,Input_Raw!$A:$A,Input_Raw!$AT:$AT),"")</f>
        <v>177395.74995772593</v>
      </c>
      <c r="AB37" s="294">
        <f>IFERROR(_xlfn.XLOOKUP($A37,Input_Raw!$A:$A,Input_Raw!$AU:$AU),"")</f>
        <v>39.21</v>
      </c>
      <c r="AC37" s="303">
        <f>IFERROR(_xlfn.XLOOKUP($D37,'Modelling New'!$D:$D,'Modelling New'!P:P),"")</f>
        <v>6.832313648387097</v>
      </c>
      <c r="AD37" s="294">
        <f>IFERROR(_xlfn.XLOOKUP($D37,'Modelling New'!$D:$D,'Modelling New'!T:T)*1000,"")</f>
        <v>200698.57823974433</v>
      </c>
      <c r="AE37" s="304">
        <f>IFERROR(_xlfn.XLOOKUP($D37,'Modelling New'!$D:$D,'Modelling New'!$O:$O),"")</f>
        <v>0.63950596310378405</v>
      </c>
      <c r="AF37" s="304">
        <f>IFERROR(_xlfn.XLOOKUP($D37,'Modelling New'!$D:$D,'Modelling New'!$W:$W),"")</f>
        <v>0.1820543883307883</v>
      </c>
      <c r="AG37" s="304">
        <f>IFERROR(_xlfn.XLOOKUP($D37,'Modelling New'!$D:$D,'Modelling New'!$AE:$AE),"")</f>
        <v>0.995</v>
      </c>
      <c r="AH37" s="304">
        <f>IFERROR(_xlfn.XLOOKUP($D37,'Modelling New'!$D:$D,'Modelling New'!$AF:$AF),"")</f>
        <v>0.995</v>
      </c>
      <c r="AI37" s="295"/>
      <c r="AJ37" s="295"/>
      <c r="AK37" s="295"/>
      <c r="AL37" s="295"/>
      <c r="AM37" s="295"/>
      <c r="AN37" s="305"/>
      <c r="AO37" s="302"/>
      <c r="AP37" s="302"/>
      <c r="AQ37" s="302"/>
      <c r="AR37" s="294">
        <f>_xlfn.XLOOKUP($D37,'Modelling New'!$D:$D,'Modelling New'!$N:$N)</f>
        <v>45.933750000000003</v>
      </c>
      <c r="AS37" s="294">
        <f t="shared" si="8"/>
        <v>171320.46159480501</v>
      </c>
    </row>
    <row r="38" spans="1:45">
      <c r="A38" s="293">
        <f t="shared" si="9"/>
        <v>45781</v>
      </c>
      <c r="B38" s="294">
        <f>YEAR(Daily_KPI[[#This Row],[Date]])+IF(MONTH(Daily_KPI[[#This Row],[Date]])&gt;=4,1,0)</f>
        <v>2026</v>
      </c>
      <c r="C38" s="295">
        <f>YEAR(Daily_KPI[[#This Row],[Date]])</f>
        <v>2025</v>
      </c>
      <c r="D38" s="296">
        <f>Daily_KPI[[#This Row],[Date]]-DAY(Daily_KPI[[#This Row],[Date]])+1</f>
        <v>45778</v>
      </c>
      <c r="E38" s="295">
        <f t="shared" si="5"/>
        <v>31</v>
      </c>
      <c r="F38" s="297">
        <f>IFERROR(_xlfn.XLOOKUP($A38,Input_Raw!$A:$A,Input_Raw!$AR:$AR),"")</f>
        <v>12.3</v>
      </c>
      <c r="G38" s="298">
        <f>IFERROR(_xlfn.XLOOKUP($A38,Input_Raw!$A:$A,Input_Raw!$R:$R),"")</f>
        <v>7.03</v>
      </c>
      <c r="H38" s="298"/>
      <c r="I38" s="298">
        <f>IFERROR(_xlfn.XLOOKUP($A38,Input_Raw!$A:$A,Input_Raw!$Q:$Q),"")</f>
        <v>6.79</v>
      </c>
      <c r="J38" s="298"/>
      <c r="K38" s="298">
        <f>IFERROR(_xlfn.XLOOKUP($A38,Input_Raw!$A:$A,Input_Raw!S:S),"")</f>
        <v>35.28</v>
      </c>
      <c r="L38" s="298">
        <f>IFERROR(_xlfn.XLOOKUP($A38,Input_Raw!$A:$A,Input_Raw!T:T),"")</f>
        <v>48.06</v>
      </c>
      <c r="M38" s="298">
        <f>IFERROR(_xlfn.XLOOKUP($A38,Input_Raw!$A:$A,Input_Raw!W:W),"")</f>
        <v>2.25</v>
      </c>
      <c r="N38" s="298">
        <f>IFERROR(_xlfn.XLOOKUP($A38,Input_Raw!$A:$A,Input_Raw!X:X),"")</f>
        <v>5.72</v>
      </c>
      <c r="O38" s="299">
        <f>IFERROR(1-(SUMIF(Plant_BD!$B:$B,$A38,Plant_BD!$AL:$AL)/($AA38+SUMIF(Plant_BD!$B:$B,$A38,Plant_BD!$AL:$AL))),"")</f>
        <v>0.94499893784664857</v>
      </c>
      <c r="P38" s="299"/>
      <c r="Q38" s="300"/>
      <c r="R38" s="299">
        <f>IFERROR(1-(SUMIF(Grid_BD!$B:$B,$A38,Grid_BD!$V:$V)/($AA38+SUMIF(Grid_BD!$B:$B,$A38,Grid_BD!$V:$V))),"")</f>
        <v>1</v>
      </c>
      <c r="S38" s="295"/>
      <c r="T38" s="300"/>
      <c r="U38" s="301">
        <f t="shared" si="6"/>
        <v>0.72766973016239256</v>
      </c>
      <c r="V38" s="301" t="str">
        <f>IFERROR(_xlfn.XLOOKUP($A38,Input_Raw!$A:$A,Input_Raw!$AX:$AX),"")</f>
        <v/>
      </c>
      <c r="W38" s="302">
        <f t="shared" si="7"/>
        <v>0.17573480421308016</v>
      </c>
      <c r="X38" s="294">
        <f>IFERROR(_xlfn.XLOOKUP($A38,Input_Raw!$A:$A,Input_Raw!$AA:$AA),"")</f>
        <v>197226.40000000002</v>
      </c>
      <c r="Y38" s="294">
        <f>IFERROR(_xlfn.XLOOKUP($A38,Input_Raw!$A:$A,Input_Raw!$AS:$AS),"")</f>
        <v>195000</v>
      </c>
      <c r="Z38" s="294"/>
      <c r="AA38" s="294">
        <f>IFERROR(_xlfn.XLOOKUP($A38,Input_Raw!$A:$A,Input_Raw!$AT:$AT),"")</f>
        <v>193731.8055125417</v>
      </c>
      <c r="AB38" s="294">
        <f>IFERROR(_xlfn.XLOOKUP($A38,Input_Raw!$A:$A,Input_Raw!$AU:$AU),"")</f>
        <v>39.21</v>
      </c>
      <c r="AC38" s="303">
        <f>IFERROR(_xlfn.XLOOKUP($D38,'Modelling New'!$D:$D,'Modelling New'!P:P),"")</f>
        <v>6.832313648387097</v>
      </c>
      <c r="AD38" s="294">
        <f>IFERROR(_xlfn.XLOOKUP($D38,'Modelling New'!$D:$D,'Modelling New'!T:T)*1000,"")</f>
        <v>200698.57823974433</v>
      </c>
      <c r="AE38" s="304">
        <f>IFERROR(_xlfn.XLOOKUP($D38,'Modelling New'!$D:$D,'Modelling New'!$O:$O),"")</f>
        <v>0.63950596310378405</v>
      </c>
      <c r="AF38" s="304">
        <f>IFERROR(_xlfn.XLOOKUP($D38,'Modelling New'!$D:$D,'Modelling New'!$W:$W),"")</f>
        <v>0.1820543883307883</v>
      </c>
      <c r="AG38" s="304">
        <f>IFERROR(_xlfn.XLOOKUP($D38,'Modelling New'!$D:$D,'Modelling New'!$AE:$AE),"")</f>
        <v>0.995</v>
      </c>
      <c r="AH38" s="304">
        <f>IFERROR(_xlfn.XLOOKUP($D38,'Modelling New'!$D:$D,'Modelling New'!$AF:$AF),"")</f>
        <v>0.995</v>
      </c>
      <c r="AI38" s="295"/>
      <c r="AJ38" s="295"/>
      <c r="AK38" s="295"/>
      <c r="AL38" s="295"/>
      <c r="AM38" s="295"/>
      <c r="AN38" s="305"/>
      <c r="AO38" s="302"/>
      <c r="AP38" s="302"/>
      <c r="AQ38" s="302"/>
      <c r="AR38" s="294">
        <f>_xlfn.XLOOKUP($D38,'Modelling New'!$D:$D,'Modelling New'!$N:$N)</f>
        <v>45.933750000000003</v>
      </c>
      <c r="AS38" s="294">
        <f t="shared" si="8"/>
        <v>171320.46159480501</v>
      </c>
    </row>
    <row r="39" spans="1:45">
      <c r="A39" s="293">
        <f t="shared" si="9"/>
        <v>45782</v>
      </c>
      <c r="B39" s="294">
        <f>YEAR(Daily_KPI[[#This Row],[Date]])+IF(MONTH(Daily_KPI[[#This Row],[Date]])&gt;=4,1,0)</f>
        <v>2026</v>
      </c>
      <c r="C39" s="295">
        <f>YEAR(Daily_KPI[[#This Row],[Date]])</f>
        <v>2025</v>
      </c>
      <c r="D39" s="296">
        <f>Daily_KPI[[#This Row],[Date]]-DAY(Daily_KPI[[#This Row],[Date]])+1</f>
        <v>45778</v>
      </c>
      <c r="E39" s="295">
        <f t="shared" si="5"/>
        <v>31</v>
      </c>
      <c r="F39" s="297">
        <f>IFERROR(_xlfn.XLOOKUP($A39,Input_Raw!$A:$A,Input_Raw!$AR:$AR),"")</f>
        <v>11.15</v>
      </c>
      <c r="G39" s="298">
        <f>IFERROR(_xlfn.XLOOKUP($A39,Input_Raw!$A:$A,Input_Raw!$R:$R),"")</f>
        <v>6.02</v>
      </c>
      <c r="H39" s="298"/>
      <c r="I39" s="298">
        <f>IFERROR(_xlfn.XLOOKUP($A39,Input_Raw!$A:$A,Input_Raw!$Q:$Q),"")</f>
        <v>5.79</v>
      </c>
      <c r="J39" s="298"/>
      <c r="K39" s="298">
        <f>IFERROR(_xlfn.XLOOKUP($A39,Input_Raw!$A:$A,Input_Raw!S:S),"")</f>
        <v>34.85</v>
      </c>
      <c r="L39" s="298">
        <f>IFERROR(_xlfn.XLOOKUP($A39,Input_Raw!$A:$A,Input_Raw!T:T),"")</f>
        <v>47.54</v>
      </c>
      <c r="M39" s="298">
        <f>IFERROR(_xlfn.XLOOKUP($A39,Input_Raw!$A:$A,Input_Raw!W:W),"")</f>
        <v>2.63</v>
      </c>
      <c r="N39" s="298">
        <f>IFERROR(_xlfn.XLOOKUP($A39,Input_Raw!$A:$A,Input_Raw!X:X),"")</f>
        <v>13.16</v>
      </c>
      <c r="O39" s="299">
        <f>IFERROR(1-(SUMIF(Plant_BD!$B:$B,$A39,Plant_BD!$AL:$AL)/($AA39+SUMIF(Plant_BD!$B:$B,$A39,Plant_BD!$AL:$AL))),"")</f>
        <v>0.95011502927264102</v>
      </c>
      <c r="P39" s="299"/>
      <c r="Q39" s="300"/>
      <c r="R39" s="299">
        <f>IFERROR(1-(SUMIF(Grid_BD!$B:$B,$A39,Grid_BD!$V:$V)/($AA39+SUMIF(Grid_BD!$B:$B,$A39,Grid_BD!$V:$V))),"")</f>
        <v>1</v>
      </c>
      <c r="S39" s="295"/>
      <c r="T39" s="300"/>
      <c r="U39" s="301">
        <f t="shared" si="6"/>
        <v>0.79274752069127963</v>
      </c>
      <c r="V39" s="301" t="str">
        <f>IFERROR(_xlfn.XLOOKUP($A39,Input_Raw!$A:$A,Input_Raw!$AX:$AX),"")</f>
        <v/>
      </c>
      <c r="W39" s="302">
        <f t="shared" si="7"/>
        <v>0.16325524927903992</v>
      </c>
      <c r="X39" s="294">
        <f>IFERROR(_xlfn.XLOOKUP($A39,Input_Raw!$A:$A,Input_Raw!$AA:$AA),"")</f>
        <v>183079.5</v>
      </c>
      <c r="Y39" s="294">
        <f>IFERROR(_xlfn.XLOOKUP($A39,Input_Raw!$A:$A,Input_Raw!$AS:$AS),"")</f>
        <v>181000</v>
      </c>
      <c r="Z39" s="294"/>
      <c r="AA39" s="294">
        <f>IFERROR(_xlfn.XLOOKUP($A39,Input_Raw!$A:$A,Input_Raw!$AT:$AT),"")</f>
        <v>179974.2193577064</v>
      </c>
      <c r="AB39" s="294">
        <f>IFERROR(_xlfn.XLOOKUP($A39,Input_Raw!$A:$A,Input_Raw!$AU:$AU),"")</f>
        <v>39.21</v>
      </c>
      <c r="AC39" s="303">
        <f>IFERROR(_xlfn.XLOOKUP($D39,'Modelling New'!$D:$D,'Modelling New'!P:P),"")</f>
        <v>6.832313648387097</v>
      </c>
      <c r="AD39" s="294">
        <f>IFERROR(_xlfn.XLOOKUP($D39,'Modelling New'!$D:$D,'Modelling New'!T:T)*1000,"")</f>
        <v>200698.57823974433</v>
      </c>
      <c r="AE39" s="304">
        <f>IFERROR(_xlfn.XLOOKUP($D39,'Modelling New'!$D:$D,'Modelling New'!$O:$O),"")</f>
        <v>0.63950596310378405</v>
      </c>
      <c r="AF39" s="304">
        <f>IFERROR(_xlfn.XLOOKUP($D39,'Modelling New'!$D:$D,'Modelling New'!$W:$W),"")</f>
        <v>0.1820543883307883</v>
      </c>
      <c r="AG39" s="304">
        <f>IFERROR(_xlfn.XLOOKUP($D39,'Modelling New'!$D:$D,'Modelling New'!$AE:$AE),"")</f>
        <v>0.995</v>
      </c>
      <c r="AH39" s="304">
        <f>IFERROR(_xlfn.XLOOKUP($D39,'Modelling New'!$D:$D,'Modelling New'!$AF:$AF),"")</f>
        <v>0.995</v>
      </c>
      <c r="AI39" s="295"/>
      <c r="AJ39" s="295"/>
      <c r="AK39" s="295"/>
      <c r="AL39" s="295"/>
      <c r="AM39" s="295"/>
      <c r="AN39" s="305"/>
      <c r="AO39" s="302"/>
      <c r="AP39" s="302"/>
      <c r="AQ39" s="302"/>
      <c r="AR39" s="294">
        <f>_xlfn.XLOOKUP($D39,'Modelling New'!$D:$D,'Modelling New'!$N:$N)</f>
        <v>45.933750000000003</v>
      </c>
      <c r="AS39" s="294">
        <f t="shared" si="8"/>
        <v>171320.46159480501</v>
      </c>
    </row>
    <row r="40" spans="1:45">
      <c r="A40" s="293">
        <f t="shared" si="9"/>
        <v>45783</v>
      </c>
      <c r="B40" s="294">
        <f>YEAR(Daily_KPI[[#This Row],[Date]])+IF(MONTH(Daily_KPI[[#This Row],[Date]])&gt;=4,1,0)</f>
        <v>2026</v>
      </c>
      <c r="C40" s="295">
        <f>YEAR(Daily_KPI[[#This Row],[Date]])</f>
        <v>2025</v>
      </c>
      <c r="D40" s="296">
        <f>Daily_KPI[[#This Row],[Date]]-DAY(Daily_KPI[[#This Row],[Date]])+1</f>
        <v>45778</v>
      </c>
      <c r="E40" s="295">
        <f t="shared" si="5"/>
        <v>31</v>
      </c>
      <c r="F40" s="297">
        <f>IFERROR(_xlfn.XLOOKUP($A40,Input_Raw!$A:$A,Input_Raw!$AR:$AR),"")</f>
        <v>11.183333333333335</v>
      </c>
      <c r="G40" s="298">
        <f>IFERROR(_xlfn.XLOOKUP($A40,Input_Raw!$A:$A,Input_Raw!$R:$R),"")</f>
        <v>7.3</v>
      </c>
      <c r="H40" s="298"/>
      <c r="I40" s="298">
        <f>IFERROR(_xlfn.XLOOKUP($A40,Input_Raw!$A:$A,Input_Raw!$Q:$Q),"")</f>
        <v>7.04</v>
      </c>
      <c r="J40" s="298"/>
      <c r="K40" s="298">
        <f>IFERROR(_xlfn.XLOOKUP($A40,Input_Raw!$A:$A,Input_Raw!S:S),"")</f>
        <v>35.07</v>
      </c>
      <c r="L40" s="298">
        <f>IFERROR(_xlfn.XLOOKUP($A40,Input_Raw!$A:$A,Input_Raw!T:T),"")</f>
        <v>35.07</v>
      </c>
      <c r="M40" s="298">
        <f>IFERROR(_xlfn.XLOOKUP($A40,Input_Raw!$A:$A,Input_Raw!W:W),"")</f>
        <v>3.03</v>
      </c>
      <c r="N40" s="298">
        <f>IFERROR(_xlfn.XLOOKUP($A40,Input_Raw!$A:$A,Input_Raw!X:X),"")</f>
        <v>7.66</v>
      </c>
      <c r="O40" s="299">
        <f>IFERROR(1-(SUMIF(Plant_BD!$B:$B,$A40,Plant_BD!$AL:$AL)/($AA40+SUMIF(Plant_BD!$B:$B,$A40,Plant_BD!$AL:$AL))),"")</f>
        <v>0.9384351879499746</v>
      </c>
      <c r="P40" s="299"/>
      <c r="Q40" s="300"/>
      <c r="R40" s="299">
        <f>IFERROR(1-(SUMIF(Grid_BD!$B:$B,$A40,Grid_BD!$V:$V)/($AA40+SUMIF(Grid_BD!$B:$B,$A40,Grid_BD!$V:$V))),"")</f>
        <v>1</v>
      </c>
      <c r="S40" s="295"/>
      <c r="T40" s="300"/>
      <c r="U40" s="301">
        <f t="shared" si="6"/>
        <v>0.7244089760852318</v>
      </c>
      <c r="V40" s="301" t="str">
        <f>IFERROR(_xlfn.XLOOKUP($A40,Input_Raw!$A:$A,Input_Raw!$AX:$AX),"")</f>
        <v/>
      </c>
      <c r="W40" s="302">
        <f t="shared" si="7"/>
        <v>0.18138867998676142</v>
      </c>
      <c r="X40" s="294">
        <f>IFERROR(_xlfn.XLOOKUP($A40,Input_Raw!$A:$A,Input_Raw!$AA:$AA),"")</f>
        <v>203662.5</v>
      </c>
      <c r="Y40" s="294">
        <f>IFERROR(_xlfn.XLOOKUP($A40,Input_Raw!$A:$A,Input_Raw!$AS:$AS),"")</f>
        <v>201000</v>
      </c>
      <c r="Z40" s="294"/>
      <c r="AA40" s="294">
        <f>IFERROR(_xlfn.XLOOKUP($A40,Input_Raw!$A:$A,Input_Raw!$AT:$AT),"")</f>
        <v>199964.69470420564</v>
      </c>
      <c r="AB40" s="294">
        <f>IFERROR(_xlfn.XLOOKUP($A40,Input_Raw!$A:$A,Input_Raw!$AU:$AU),"")</f>
        <v>39.21</v>
      </c>
      <c r="AC40" s="303">
        <f>IFERROR(_xlfn.XLOOKUP($D40,'Modelling New'!$D:$D,'Modelling New'!P:P),"")</f>
        <v>6.832313648387097</v>
      </c>
      <c r="AD40" s="294">
        <f>IFERROR(_xlfn.XLOOKUP($D40,'Modelling New'!$D:$D,'Modelling New'!T:T)*1000,"")</f>
        <v>200698.57823974433</v>
      </c>
      <c r="AE40" s="304">
        <f>IFERROR(_xlfn.XLOOKUP($D40,'Modelling New'!$D:$D,'Modelling New'!$O:$O),"")</f>
        <v>0.63950596310378405</v>
      </c>
      <c r="AF40" s="304">
        <f>IFERROR(_xlfn.XLOOKUP($D40,'Modelling New'!$D:$D,'Modelling New'!$W:$W),"")</f>
        <v>0.1820543883307883</v>
      </c>
      <c r="AG40" s="304">
        <f>IFERROR(_xlfn.XLOOKUP($D40,'Modelling New'!$D:$D,'Modelling New'!$AE:$AE),"")</f>
        <v>0.995</v>
      </c>
      <c r="AH40" s="304">
        <f>IFERROR(_xlfn.XLOOKUP($D40,'Modelling New'!$D:$D,'Modelling New'!$AF:$AF),"")</f>
        <v>0.995</v>
      </c>
      <c r="AI40" s="295"/>
      <c r="AJ40" s="295"/>
      <c r="AK40" s="295"/>
      <c r="AL40" s="295"/>
      <c r="AM40" s="295"/>
      <c r="AN40" s="305"/>
      <c r="AO40" s="302"/>
      <c r="AP40" s="302"/>
      <c r="AQ40" s="302"/>
      <c r="AR40" s="294">
        <f>_xlfn.XLOOKUP($D40,'Modelling New'!$D:$D,'Modelling New'!$N:$N)</f>
        <v>45.933750000000003</v>
      </c>
      <c r="AS40" s="294">
        <f t="shared" si="8"/>
        <v>171320.46159480501</v>
      </c>
    </row>
    <row r="41" spans="1:45">
      <c r="A41" s="293">
        <f t="shared" si="9"/>
        <v>45784</v>
      </c>
      <c r="B41" s="294">
        <f>YEAR(Daily_KPI[[#This Row],[Date]])+IF(MONTH(Daily_KPI[[#This Row],[Date]])&gt;=4,1,0)</f>
        <v>2026</v>
      </c>
      <c r="C41" s="295">
        <f>YEAR(Daily_KPI[[#This Row],[Date]])</f>
        <v>2025</v>
      </c>
      <c r="D41" s="296">
        <f>Daily_KPI[[#This Row],[Date]]-DAY(Daily_KPI[[#This Row],[Date]])+1</f>
        <v>45778</v>
      </c>
      <c r="E41" s="295">
        <f t="shared" si="5"/>
        <v>31</v>
      </c>
      <c r="F41" s="297">
        <f>IFERROR(_xlfn.XLOOKUP($A41,Input_Raw!$A:$A,Input_Raw!$AR:$AR),"")</f>
        <v>11.95</v>
      </c>
      <c r="G41" s="298">
        <f>IFERROR(_xlfn.XLOOKUP($A41,Input_Raw!$A:$A,Input_Raw!$R:$R),"")</f>
        <v>7.43</v>
      </c>
      <c r="H41" s="298"/>
      <c r="I41" s="298">
        <f>IFERROR(_xlfn.XLOOKUP($A41,Input_Raw!$A:$A,Input_Raw!$Q:$Q),"")</f>
        <v>7.12</v>
      </c>
      <c r="J41" s="298"/>
      <c r="K41" s="298">
        <f>IFERROR(_xlfn.XLOOKUP($A41,Input_Raw!$A:$A,Input_Raw!S:S),"")</f>
        <v>33.29</v>
      </c>
      <c r="L41" s="298">
        <f>IFERROR(_xlfn.XLOOKUP($A41,Input_Raw!$A:$A,Input_Raw!T:T),"")</f>
        <v>46.34</v>
      </c>
      <c r="M41" s="298">
        <f>IFERROR(_xlfn.XLOOKUP($A41,Input_Raw!$A:$A,Input_Raw!W:W),"")</f>
        <v>3.49</v>
      </c>
      <c r="N41" s="298">
        <f>IFERROR(_xlfn.XLOOKUP($A41,Input_Raw!$A:$A,Input_Raw!X:X),"")</f>
        <v>15.01</v>
      </c>
      <c r="O41" s="299">
        <f>IFERROR(1-(SUMIF(Plant_BD!$B:$B,$A41,Plant_BD!$AL:$AL)/($AA41+SUMIF(Plant_BD!$B:$B,$A41,Plant_BD!$AL:$AL))),"")</f>
        <v>0.89148319718928526</v>
      </c>
      <c r="P41" s="299"/>
      <c r="Q41" s="300"/>
      <c r="R41" s="299">
        <f>IFERROR(1-(SUMIF(Grid_BD!$B:$B,$A41,Grid_BD!$V:$V)/($AA41+SUMIF(Grid_BD!$B:$B,$A41,Grid_BD!$V:$V))),"")</f>
        <v>1</v>
      </c>
      <c r="S41" s="295"/>
      <c r="T41" s="300"/>
      <c r="U41" s="301">
        <f t="shared" si="6"/>
        <v>0.65273257230356063</v>
      </c>
      <c r="V41" s="301" t="str">
        <f>IFERROR(_xlfn.XLOOKUP($A41,Input_Raw!$A:$A,Input_Raw!$AX:$AX),"")</f>
        <v/>
      </c>
      <c r="W41" s="302">
        <f t="shared" si="7"/>
        <v>0.16529852452296426</v>
      </c>
      <c r="X41" s="294">
        <f>IFERROR(_xlfn.XLOOKUP($A41,Input_Raw!$A:$A,Input_Raw!$AA:$AA),"")</f>
        <v>185564.6</v>
      </c>
      <c r="Y41" s="294">
        <f>IFERROR(_xlfn.XLOOKUP($A41,Input_Raw!$A:$A,Input_Raw!$AS:$AS),"")</f>
        <v>183000</v>
      </c>
      <c r="Z41" s="294"/>
      <c r="AA41" s="294">
        <f>IFERROR(_xlfn.XLOOKUP($A41,Input_Raw!$A:$A,Input_Raw!$AT:$AT),"")</f>
        <v>182226.74641936104</v>
      </c>
      <c r="AB41" s="294">
        <f>IFERROR(_xlfn.XLOOKUP($A41,Input_Raw!$A:$A,Input_Raw!$AU:$AU),"")</f>
        <v>39.21</v>
      </c>
      <c r="AC41" s="303">
        <f>IFERROR(_xlfn.XLOOKUP($D41,'Modelling New'!$D:$D,'Modelling New'!P:P),"")</f>
        <v>6.832313648387097</v>
      </c>
      <c r="AD41" s="294">
        <f>IFERROR(_xlfn.XLOOKUP($D41,'Modelling New'!$D:$D,'Modelling New'!T:T)*1000,"")</f>
        <v>200698.57823974433</v>
      </c>
      <c r="AE41" s="304">
        <f>IFERROR(_xlfn.XLOOKUP($D41,'Modelling New'!$D:$D,'Modelling New'!$O:$O),"")</f>
        <v>0.63950596310378405</v>
      </c>
      <c r="AF41" s="304">
        <f>IFERROR(_xlfn.XLOOKUP($D41,'Modelling New'!$D:$D,'Modelling New'!$W:$W),"")</f>
        <v>0.1820543883307883</v>
      </c>
      <c r="AG41" s="304">
        <f>IFERROR(_xlfn.XLOOKUP($D41,'Modelling New'!$D:$D,'Modelling New'!$AE:$AE),"")</f>
        <v>0.995</v>
      </c>
      <c r="AH41" s="304">
        <f>IFERROR(_xlfn.XLOOKUP($D41,'Modelling New'!$D:$D,'Modelling New'!$AF:$AF),"")</f>
        <v>0.995</v>
      </c>
      <c r="AI41" s="295"/>
      <c r="AJ41" s="295"/>
      <c r="AK41" s="295"/>
      <c r="AL41" s="295"/>
      <c r="AM41" s="295"/>
      <c r="AN41" s="305"/>
      <c r="AO41" s="302"/>
      <c r="AP41" s="302"/>
      <c r="AQ41" s="302"/>
      <c r="AR41" s="294">
        <f>_xlfn.XLOOKUP($D41,'Modelling New'!$D:$D,'Modelling New'!$N:$N)</f>
        <v>45.933750000000003</v>
      </c>
      <c r="AS41" s="294">
        <f t="shared" si="8"/>
        <v>171320.46159480501</v>
      </c>
    </row>
    <row r="42" spans="1:45">
      <c r="A42" s="293">
        <f t="shared" si="9"/>
        <v>45785</v>
      </c>
      <c r="B42" s="294">
        <f>YEAR(Daily_KPI[[#This Row],[Date]])+IF(MONTH(Daily_KPI[[#This Row],[Date]])&gt;=4,1,0)</f>
        <v>2026</v>
      </c>
      <c r="C42" s="295">
        <f>YEAR(Daily_KPI[[#This Row],[Date]])</f>
        <v>2025</v>
      </c>
      <c r="D42" s="296">
        <f>Daily_KPI[[#This Row],[Date]]-DAY(Daily_KPI[[#This Row],[Date]])+1</f>
        <v>45778</v>
      </c>
      <c r="E42" s="295">
        <f t="shared" si="5"/>
        <v>31</v>
      </c>
      <c r="F42" s="297">
        <f>IFERROR(_xlfn.XLOOKUP($A42,Input_Raw!$A:$A,Input_Raw!$AR:$AR),"")</f>
        <v>11.883333333333333</v>
      </c>
      <c r="G42" s="298">
        <f>IFERROR(_xlfn.XLOOKUP($A42,Input_Raw!$A:$A,Input_Raw!$R:$R),"")</f>
        <v>6.83</v>
      </c>
      <c r="H42" s="298"/>
      <c r="I42" s="298">
        <f>IFERROR(_xlfn.XLOOKUP($A42,Input_Raw!$A:$A,Input_Raw!$Q:$Q),"")</f>
        <v>6.57</v>
      </c>
      <c r="J42" s="298"/>
      <c r="K42" s="298">
        <f>IFERROR(_xlfn.XLOOKUP($A42,Input_Raw!$A:$A,Input_Raw!S:S),"")</f>
        <v>33.46</v>
      </c>
      <c r="L42" s="298">
        <f>IFERROR(_xlfn.XLOOKUP($A42,Input_Raw!$A:$A,Input_Raw!T:T),"")</f>
        <v>46.01</v>
      </c>
      <c r="M42" s="298">
        <f>IFERROR(_xlfn.XLOOKUP($A42,Input_Raw!$A:$A,Input_Raw!W:W),"")</f>
        <v>3.02</v>
      </c>
      <c r="N42" s="298">
        <f>IFERROR(_xlfn.XLOOKUP($A42,Input_Raw!$A:$A,Input_Raw!X:X),"")</f>
        <v>8.76</v>
      </c>
      <c r="O42" s="299">
        <f>IFERROR(1-(SUMIF(Plant_BD!$B:$B,$A42,Plant_BD!$AL:$AL)/($AA42+SUMIF(Plant_BD!$B:$B,$A42,Plant_BD!$AL:$AL))),"")</f>
        <v>0.87521121117562295</v>
      </c>
      <c r="P42" s="299"/>
      <c r="Q42" s="300"/>
      <c r="R42" s="299">
        <f>IFERROR(1-(SUMIF(Grid_BD!$B:$B,$A42,Grid_BD!$V:$V)/($AA42+SUMIF(Grid_BD!$B:$B,$A42,Grid_BD!$V:$V))),"")</f>
        <v>1</v>
      </c>
      <c r="S42" s="295"/>
      <c r="T42" s="300"/>
      <c r="U42" s="301">
        <f t="shared" si="6"/>
        <v>0.65886745286255388</v>
      </c>
      <c r="V42" s="301" t="str">
        <f>IFERROR(_xlfn.XLOOKUP($A42,Input_Raw!$A:$A,Input_Raw!$AX:$AX),"")</f>
        <v/>
      </c>
      <c r="W42" s="302">
        <f t="shared" si="7"/>
        <v>0.15396326854045833</v>
      </c>
      <c r="X42" s="294">
        <f>IFERROR(_xlfn.XLOOKUP($A42,Input_Raw!$A:$A,Input_Raw!$AA:$AA),"")</f>
        <v>172861.40000000002</v>
      </c>
      <c r="Y42" s="294">
        <f>IFERROR(_xlfn.XLOOKUP($A42,Input_Raw!$A:$A,Input_Raw!$AS:$AS),"")</f>
        <v>171000</v>
      </c>
      <c r="Z42" s="294"/>
      <c r="AA42" s="294">
        <f>IFERROR(_xlfn.XLOOKUP($A42,Input_Raw!$A:$A,Input_Raw!$AT:$AT),"")</f>
        <v>169730.64687168668</v>
      </c>
      <c r="AB42" s="294">
        <f>IFERROR(_xlfn.XLOOKUP($A42,Input_Raw!$A:$A,Input_Raw!$AU:$AU),"")</f>
        <v>39.21</v>
      </c>
      <c r="AC42" s="303">
        <f>IFERROR(_xlfn.XLOOKUP($D42,'Modelling New'!$D:$D,'Modelling New'!P:P),"")</f>
        <v>6.832313648387097</v>
      </c>
      <c r="AD42" s="294">
        <f>IFERROR(_xlfn.XLOOKUP($D42,'Modelling New'!$D:$D,'Modelling New'!T:T)*1000,"")</f>
        <v>200698.57823974433</v>
      </c>
      <c r="AE42" s="304">
        <f>IFERROR(_xlfn.XLOOKUP($D42,'Modelling New'!$D:$D,'Modelling New'!$O:$O),"")</f>
        <v>0.63950596310378405</v>
      </c>
      <c r="AF42" s="304">
        <f>IFERROR(_xlfn.XLOOKUP($D42,'Modelling New'!$D:$D,'Modelling New'!$W:$W),"")</f>
        <v>0.1820543883307883</v>
      </c>
      <c r="AG42" s="304">
        <f>IFERROR(_xlfn.XLOOKUP($D42,'Modelling New'!$D:$D,'Modelling New'!$AE:$AE),"")</f>
        <v>0.995</v>
      </c>
      <c r="AH42" s="304">
        <f>IFERROR(_xlfn.XLOOKUP($D42,'Modelling New'!$D:$D,'Modelling New'!$AF:$AF),"")</f>
        <v>0.995</v>
      </c>
      <c r="AI42" s="295"/>
      <c r="AJ42" s="295"/>
      <c r="AK42" s="295"/>
      <c r="AL42" s="295"/>
      <c r="AM42" s="295"/>
      <c r="AN42" s="305"/>
      <c r="AO42" s="302"/>
      <c r="AP42" s="302"/>
      <c r="AQ42" s="302"/>
      <c r="AR42" s="294">
        <f>_xlfn.XLOOKUP($D42,'Modelling New'!$D:$D,'Modelling New'!$N:$N)</f>
        <v>45.933750000000003</v>
      </c>
      <c r="AS42" s="294">
        <f t="shared" si="8"/>
        <v>171320.46159480501</v>
      </c>
    </row>
    <row r="43" spans="1:45">
      <c r="A43" s="293">
        <f t="shared" si="9"/>
        <v>45786</v>
      </c>
      <c r="B43" s="294">
        <f>YEAR(Daily_KPI[[#This Row],[Date]])+IF(MONTH(Daily_KPI[[#This Row],[Date]])&gt;=4,1,0)</f>
        <v>2026</v>
      </c>
      <c r="C43" s="295">
        <f>YEAR(Daily_KPI[[#This Row],[Date]])</f>
        <v>2025</v>
      </c>
      <c r="D43" s="296">
        <f>Daily_KPI[[#This Row],[Date]]-DAY(Daily_KPI[[#This Row],[Date]])+1</f>
        <v>45778</v>
      </c>
      <c r="E43" s="295">
        <f t="shared" si="5"/>
        <v>31</v>
      </c>
      <c r="F43" s="297">
        <f>IFERROR(_xlfn.XLOOKUP($A43,Input_Raw!$A:$A,Input_Raw!$AR:$AR),"")</f>
        <v>12.033333333333333</v>
      </c>
      <c r="G43" s="298">
        <f>IFERROR(_xlfn.XLOOKUP($A43,Input_Raw!$A:$A,Input_Raw!$R:$R),"")</f>
        <v>7.28</v>
      </c>
      <c r="H43" s="298"/>
      <c r="I43" s="298">
        <f>IFERROR(_xlfn.XLOOKUP($A43,Input_Raw!$A:$A,Input_Raw!$Q:$Q),"")</f>
        <v>7.02</v>
      </c>
      <c r="J43" s="298"/>
      <c r="K43" s="298">
        <f>IFERROR(_xlfn.XLOOKUP($A43,Input_Raw!$A:$A,Input_Raw!S:S),"")</f>
        <v>35.61</v>
      </c>
      <c r="L43" s="298">
        <f>IFERROR(_xlfn.XLOOKUP($A43,Input_Raw!$A:$A,Input_Raw!T:T),"")</f>
        <v>49.14</v>
      </c>
      <c r="M43" s="298">
        <f>IFERROR(_xlfn.XLOOKUP($A43,Input_Raw!$A:$A,Input_Raw!W:W),"")</f>
        <v>2.34</v>
      </c>
      <c r="N43" s="298">
        <f>IFERROR(_xlfn.XLOOKUP($A43,Input_Raw!$A:$A,Input_Raw!X:X),"")</f>
        <v>6.85</v>
      </c>
      <c r="O43" s="299">
        <f>IFERROR(1-(SUMIF(Plant_BD!$B:$B,$A43,Plant_BD!$AL:$AL)/($AA43+SUMIF(Plant_BD!$B:$B,$A43,Plant_BD!$AL:$AL))),"")</f>
        <v>0.97232306664407953</v>
      </c>
      <c r="P43" s="299"/>
      <c r="Q43" s="300"/>
      <c r="R43" s="299">
        <f>IFERROR(1-(SUMIF(Grid_BD!$B:$B,$A43,Grid_BD!$V:$V)/($AA43+SUMIF(Grid_BD!$B:$B,$A43,Grid_BD!$V:$V))),"")</f>
        <v>1</v>
      </c>
      <c r="S43" s="295"/>
      <c r="T43" s="300"/>
      <c r="U43" s="301">
        <f t="shared" si="6"/>
        <v>0.73112401835224716</v>
      </c>
      <c r="V43" s="301" t="str">
        <f>IFERROR(_xlfn.XLOOKUP($A43,Input_Raw!$A:$A,Input_Raw!$AX:$AX),"")</f>
        <v/>
      </c>
      <c r="W43" s="302">
        <f t="shared" si="7"/>
        <v>0.18255001022517311</v>
      </c>
      <c r="X43" s="294">
        <f>IFERROR(_xlfn.XLOOKUP($A43,Input_Raw!$A:$A,Input_Raw!$AA:$AA),"")</f>
        <v>204806</v>
      </c>
      <c r="Y43" s="294">
        <f>IFERROR(_xlfn.XLOOKUP($A43,Input_Raw!$A:$A,Input_Raw!$AS:$AS),"")</f>
        <v>203000</v>
      </c>
      <c r="Z43" s="294"/>
      <c r="AA43" s="294">
        <f>IFERROR(_xlfn.XLOOKUP($A43,Input_Raw!$A:$A,Input_Raw!$AT:$AT),"")</f>
        <v>201244.9567723331</v>
      </c>
      <c r="AB43" s="294">
        <f>IFERROR(_xlfn.XLOOKUP($A43,Input_Raw!$A:$A,Input_Raw!$AU:$AU),"")</f>
        <v>39.21</v>
      </c>
      <c r="AC43" s="303">
        <f>IFERROR(_xlfn.XLOOKUP($D43,'Modelling New'!$D:$D,'Modelling New'!P:P),"")</f>
        <v>6.832313648387097</v>
      </c>
      <c r="AD43" s="294">
        <f>IFERROR(_xlfn.XLOOKUP($D43,'Modelling New'!$D:$D,'Modelling New'!T:T)*1000,"")</f>
        <v>200698.57823974433</v>
      </c>
      <c r="AE43" s="304">
        <f>IFERROR(_xlfn.XLOOKUP($D43,'Modelling New'!$D:$D,'Modelling New'!$O:$O),"")</f>
        <v>0.63950596310378405</v>
      </c>
      <c r="AF43" s="304">
        <f>IFERROR(_xlfn.XLOOKUP($D43,'Modelling New'!$D:$D,'Modelling New'!$W:$W),"")</f>
        <v>0.1820543883307883</v>
      </c>
      <c r="AG43" s="304">
        <f>IFERROR(_xlfn.XLOOKUP($D43,'Modelling New'!$D:$D,'Modelling New'!$AE:$AE),"")</f>
        <v>0.995</v>
      </c>
      <c r="AH43" s="304">
        <f>IFERROR(_xlfn.XLOOKUP($D43,'Modelling New'!$D:$D,'Modelling New'!$AF:$AF),"")</f>
        <v>0.995</v>
      </c>
      <c r="AI43" s="295"/>
      <c r="AJ43" s="295"/>
      <c r="AK43" s="295"/>
      <c r="AL43" s="295"/>
      <c r="AM43" s="295"/>
      <c r="AN43" s="305"/>
      <c r="AO43" s="302"/>
      <c r="AP43" s="302"/>
      <c r="AQ43" s="302"/>
      <c r="AR43" s="294">
        <f>_xlfn.XLOOKUP($D43,'Modelling New'!$D:$D,'Modelling New'!$N:$N)</f>
        <v>45.933750000000003</v>
      </c>
      <c r="AS43" s="294">
        <f t="shared" si="8"/>
        <v>171320.46159480501</v>
      </c>
    </row>
    <row r="44" spans="1:45">
      <c r="A44" s="293">
        <f t="shared" si="9"/>
        <v>45787</v>
      </c>
      <c r="B44" s="294">
        <f>YEAR(Daily_KPI[[#This Row],[Date]])+IF(MONTH(Daily_KPI[[#This Row],[Date]])&gt;=4,1,0)</f>
        <v>2026</v>
      </c>
      <c r="C44" s="295">
        <f>YEAR(Daily_KPI[[#This Row],[Date]])</f>
        <v>2025</v>
      </c>
      <c r="D44" s="296">
        <f>Daily_KPI[[#This Row],[Date]]-DAY(Daily_KPI[[#This Row],[Date]])+1</f>
        <v>45778</v>
      </c>
      <c r="E44" s="295">
        <f t="shared" si="5"/>
        <v>31</v>
      </c>
      <c r="F44" s="297">
        <f>IFERROR(_xlfn.XLOOKUP($A44,Input_Raw!$A:$A,Input_Raw!$AR:$AR),"")</f>
        <v>12.433333333333334</v>
      </c>
      <c r="G44" s="298">
        <f>IFERROR(_xlfn.XLOOKUP($A44,Input_Raw!$A:$A,Input_Raw!$R:$R),"")</f>
        <v>6.27</v>
      </c>
      <c r="H44" s="298"/>
      <c r="I44" s="298">
        <f>IFERROR(_xlfn.XLOOKUP($A44,Input_Raw!$A:$A,Input_Raw!$Q:$Q),"")</f>
        <v>6.01</v>
      </c>
      <c r="J44" s="298"/>
      <c r="K44" s="298">
        <f>IFERROR(_xlfn.XLOOKUP($A44,Input_Raw!$A:$A,Input_Raw!S:S),"")</f>
        <v>35.81</v>
      </c>
      <c r="L44" s="298">
        <f>IFERROR(_xlfn.XLOOKUP($A44,Input_Raw!$A:$A,Input_Raw!T:T),"")</f>
        <v>46.41</v>
      </c>
      <c r="M44" s="298">
        <f>IFERROR(_xlfn.XLOOKUP($A44,Input_Raw!$A:$A,Input_Raw!W:W),"")</f>
        <v>2.59</v>
      </c>
      <c r="N44" s="298">
        <f>IFERROR(_xlfn.XLOOKUP($A44,Input_Raw!$A:$A,Input_Raw!X:X),"")</f>
        <v>8.49</v>
      </c>
      <c r="O44" s="299">
        <f>IFERROR(1-(SUMIF(Plant_BD!$B:$B,$A44,Plant_BD!$AL:$AL)/($AA44+SUMIF(Plant_BD!$B:$B,$A44,Plant_BD!$AL:$AL))),"")</f>
        <v>0.94637378855894061</v>
      </c>
      <c r="P44" s="299"/>
      <c r="Q44" s="300"/>
      <c r="R44" s="299">
        <f>IFERROR(1-(SUMIF(Grid_BD!$B:$B,$A44,Grid_BD!$V:$V)/($AA44+SUMIF(Grid_BD!$B:$B,$A44,Grid_BD!$V:$V))),"")</f>
        <v>1</v>
      </c>
      <c r="S44" s="295"/>
      <c r="T44" s="300"/>
      <c r="U44" s="301">
        <f t="shared" si="6"/>
        <v>0.73453756883099264</v>
      </c>
      <c r="V44" s="301" t="str">
        <f>IFERROR(_xlfn.XLOOKUP($A44,Input_Raw!$A:$A,Input_Raw!$AX:$AX),"")</f>
        <v/>
      </c>
      <c r="W44" s="302">
        <f t="shared" si="7"/>
        <v>0.15701537597075313</v>
      </c>
      <c r="X44" s="294">
        <f>IFERROR(_xlfn.XLOOKUP($A44,Input_Raw!$A:$A,Input_Raw!$AA:$AA),"")</f>
        <v>176198.10000000003</v>
      </c>
      <c r="Y44" s="294">
        <f>IFERROR(_xlfn.XLOOKUP($A44,Input_Raw!$A:$A,Input_Raw!$AS:$AS),"")</f>
        <v>174000</v>
      </c>
      <c r="Z44" s="294"/>
      <c r="AA44" s="294">
        <f>IFERROR(_xlfn.XLOOKUP($A44,Input_Raw!$A:$A,Input_Raw!$AT:$AT),"")</f>
        <v>173095.32062391797</v>
      </c>
      <c r="AB44" s="294">
        <f>IFERROR(_xlfn.XLOOKUP($A44,Input_Raw!$A:$A,Input_Raw!$AU:$AU),"")</f>
        <v>39.21</v>
      </c>
      <c r="AC44" s="303">
        <f>IFERROR(_xlfn.XLOOKUP($D44,'Modelling New'!$D:$D,'Modelling New'!P:P),"")</f>
        <v>6.832313648387097</v>
      </c>
      <c r="AD44" s="294">
        <f>IFERROR(_xlfn.XLOOKUP($D44,'Modelling New'!$D:$D,'Modelling New'!T:T)*1000,"")</f>
        <v>200698.57823974433</v>
      </c>
      <c r="AE44" s="304">
        <f>IFERROR(_xlfn.XLOOKUP($D44,'Modelling New'!$D:$D,'Modelling New'!$O:$O),"")</f>
        <v>0.63950596310378405</v>
      </c>
      <c r="AF44" s="304">
        <f>IFERROR(_xlfn.XLOOKUP($D44,'Modelling New'!$D:$D,'Modelling New'!$W:$W),"")</f>
        <v>0.1820543883307883</v>
      </c>
      <c r="AG44" s="304">
        <f>IFERROR(_xlfn.XLOOKUP($D44,'Modelling New'!$D:$D,'Modelling New'!$AE:$AE),"")</f>
        <v>0.995</v>
      </c>
      <c r="AH44" s="304">
        <f>IFERROR(_xlfn.XLOOKUP($D44,'Modelling New'!$D:$D,'Modelling New'!$AF:$AF),"")</f>
        <v>0.995</v>
      </c>
      <c r="AI44" s="295"/>
      <c r="AJ44" s="295"/>
      <c r="AK44" s="295"/>
      <c r="AL44" s="295"/>
      <c r="AM44" s="295"/>
      <c r="AN44" s="305"/>
      <c r="AO44" s="302"/>
      <c r="AP44" s="302"/>
      <c r="AQ44" s="302"/>
      <c r="AR44" s="294">
        <f>_xlfn.XLOOKUP($D44,'Modelling New'!$D:$D,'Modelling New'!$N:$N)</f>
        <v>45.933750000000003</v>
      </c>
      <c r="AS44" s="294">
        <f t="shared" si="8"/>
        <v>171320.46159480501</v>
      </c>
    </row>
    <row r="45" spans="1:45">
      <c r="A45" s="293">
        <f t="shared" si="9"/>
        <v>45788</v>
      </c>
      <c r="B45" s="294">
        <f>YEAR(Daily_KPI[[#This Row],[Date]])+IF(MONTH(Daily_KPI[[#This Row],[Date]])&gt;=4,1,0)</f>
        <v>2026</v>
      </c>
      <c r="C45" s="295">
        <f>YEAR(Daily_KPI[[#This Row],[Date]])</f>
        <v>2025</v>
      </c>
      <c r="D45" s="296">
        <f>Daily_KPI[[#This Row],[Date]]-DAY(Daily_KPI[[#This Row],[Date]])+1</f>
        <v>45778</v>
      </c>
      <c r="E45" s="295">
        <f t="shared" si="5"/>
        <v>31</v>
      </c>
      <c r="F45" s="297">
        <f>IFERROR(_xlfn.XLOOKUP($A45,Input_Raw!$A:$A,Input_Raw!$AR:$AR),"")</f>
        <v>11.966666666666665</v>
      </c>
      <c r="G45" s="298">
        <f>IFERROR(_xlfn.XLOOKUP($A45,Input_Raw!$A:$A,Input_Raw!$R:$R),"")</f>
        <v>6.7</v>
      </c>
      <c r="H45" s="298"/>
      <c r="I45" s="298">
        <f>IFERROR(_xlfn.XLOOKUP($A45,Input_Raw!$A:$A,Input_Raw!$Q:$Q),"")</f>
        <v>6.45</v>
      </c>
      <c r="J45" s="298"/>
      <c r="K45" s="298">
        <f>IFERROR(_xlfn.XLOOKUP($A45,Input_Raw!$A:$A,Input_Raw!S:S),"")</f>
        <v>35.93</v>
      </c>
      <c r="L45" s="298">
        <f>IFERROR(_xlfn.XLOOKUP($A45,Input_Raw!$A:$A,Input_Raw!T:T),"")</f>
        <v>47.43</v>
      </c>
      <c r="M45" s="298">
        <f>IFERROR(_xlfn.XLOOKUP($A45,Input_Raw!$A:$A,Input_Raw!W:W),"")</f>
        <v>2.2999999999999998</v>
      </c>
      <c r="N45" s="298">
        <f>IFERROR(_xlfn.XLOOKUP($A45,Input_Raw!$A:$A,Input_Raw!X:X),"")</f>
        <v>6.74</v>
      </c>
      <c r="O45" s="299">
        <f>IFERROR(1-(SUMIF(Plant_BD!$B:$B,$A45,Plant_BD!$AL:$AL)/($AA45+SUMIF(Plant_BD!$B:$B,$A45,Plant_BD!$AL:$AL))),"")</f>
        <v>0.94789230651317724</v>
      </c>
      <c r="P45" s="299"/>
      <c r="Q45" s="300"/>
      <c r="R45" s="299">
        <f>IFERROR(1-(SUMIF(Grid_BD!$B:$B,$A45,Grid_BD!$V:$V)/($AA45+SUMIF(Grid_BD!$B:$B,$A45,Grid_BD!$V:$V))),"")</f>
        <v>1</v>
      </c>
      <c r="S45" s="295"/>
      <c r="T45" s="300"/>
      <c r="U45" s="301">
        <f t="shared" si="6"/>
        <v>0.75715636002024356</v>
      </c>
      <c r="V45" s="301" t="str">
        <f>IFERROR(_xlfn.XLOOKUP($A45,Input_Raw!$A:$A,Input_Raw!$AX:$AX),"")</f>
        <v/>
      </c>
      <c r="W45" s="302">
        <f t="shared" si="7"/>
        <v>0.17369966768510783</v>
      </c>
      <c r="X45" s="294">
        <f>IFERROR(_xlfn.XLOOKUP($A45,Input_Raw!$A:$A,Input_Raw!$AA:$AA),"")</f>
        <v>194866.3</v>
      </c>
      <c r="Y45" s="294">
        <f>IFERROR(_xlfn.XLOOKUP($A45,Input_Raw!$A:$A,Input_Raw!$AS:$AS),"")</f>
        <v>193000</v>
      </c>
      <c r="Z45" s="294"/>
      <c r="AA45" s="294">
        <f>IFERROR(_xlfn.XLOOKUP($A45,Input_Raw!$A:$A,Input_Raw!$AT:$AT),"")</f>
        <v>191488.25065273972</v>
      </c>
      <c r="AB45" s="294">
        <f>IFERROR(_xlfn.XLOOKUP($A45,Input_Raw!$A:$A,Input_Raw!$AU:$AU),"")</f>
        <v>39.21</v>
      </c>
      <c r="AC45" s="303">
        <f>IFERROR(_xlfn.XLOOKUP($D45,'Modelling New'!$D:$D,'Modelling New'!P:P),"")</f>
        <v>6.832313648387097</v>
      </c>
      <c r="AD45" s="294">
        <f>IFERROR(_xlfn.XLOOKUP($D45,'Modelling New'!$D:$D,'Modelling New'!T:T)*1000,"")</f>
        <v>200698.57823974433</v>
      </c>
      <c r="AE45" s="304">
        <f>IFERROR(_xlfn.XLOOKUP($D45,'Modelling New'!$D:$D,'Modelling New'!$O:$O),"")</f>
        <v>0.63950596310378405</v>
      </c>
      <c r="AF45" s="304">
        <f>IFERROR(_xlfn.XLOOKUP($D45,'Modelling New'!$D:$D,'Modelling New'!$W:$W),"")</f>
        <v>0.1820543883307883</v>
      </c>
      <c r="AG45" s="304">
        <f>IFERROR(_xlfn.XLOOKUP($D45,'Modelling New'!$D:$D,'Modelling New'!$AE:$AE),"")</f>
        <v>0.995</v>
      </c>
      <c r="AH45" s="304">
        <f>IFERROR(_xlfn.XLOOKUP($D45,'Modelling New'!$D:$D,'Modelling New'!$AF:$AF),"")</f>
        <v>0.995</v>
      </c>
      <c r="AI45" s="295"/>
      <c r="AJ45" s="295"/>
      <c r="AK45" s="295"/>
      <c r="AL45" s="295"/>
      <c r="AM45" s="295"/>
      <c r="AN45" s="305"/>
      <c r="AO45" s="302"/>
      <c r="AP45" s="302"/>
      <c r="AQ45" s="302"/>
      <c r="AR45" s="294">
        <f>_xlfn.XLOOKUP($D45,'Modelling New'!$D:$D,'Modelling New'!$N:$N)</f>
        <v>45.933750000000003</v>
      </c>
      <c r="AS45" s="294">
        <f t="shared" si="8"/>
        <v>171320.46159480501</v>
      </c>
    </row>
    <row r="46" spans="1:45">
      <c r="A46" s="293">
        <f t="shared" si="9"/>
        <v>45789</v>
      </c>
      <c r="B46" s="294">
        <f>YEAR(Daily_KPI[[#This Row],[Date]])+IF(MONTH(Daily_KPI[[#This Row],[Date]])&gt;=4,1,0)</f>
        <v>2026</v>
      </c>
      <c r="C46" s="295">
        <f>YEAR(Daily_KPI[[#This Row],[Date]])</f>
        <v>2025</v>
      </c>
      <c r="D46" s="296">
        <f>Daily_KPI[[#This Row],[Date]]-DAY(Daily_KPI[[#This Row],[Date]])+1</f>
        <v>45778</v>
      </c>
      <c r="E46" s="295">
        <f t="shared" si="5"/>
        <v>31</v>
      </c>
      <c r="F46" s="297">
        <f>IFERROR(_xlfn.XLOOKUP($A46,Input_Raw!$A:$A,Input_Raw!$AR:$AR),"")</f>
        <v>11.516666666666667</v>
      </c>
      <c r="G46" s="298">
        <f>IFERROR(_xlfn.XLOOKUP($A46,Input_Raw!$A:$A,Input_Raw!$R:$R),"")</f>
        <v>2.67</v>
      </c>
      <c r="H46" s="298"/>
      <c r="I46" s="298">
        <f>IFERROR(_xlfn.XLOOKUP($A46,Input_Raw!$A:$A,Input_Raw!$Q:$Q),"")</f>
        <v>2.62</v>
      </c>
      <c r="J46" s="298"/>
      <c r="K46" s="298">
        <f>IFERROR(_xlfn.XLOOKUP($A46,Input_Raw!$A:$A,Input_Raw!S:S),"")</f>
        <v>30.36</v>
      </c>
      <c r="L46" s="298">
        <f>IFERROR(_xlfn.XLOOKUP($A46,Input_Raw!$A:$A,Input_Raw!T:T),"")</f>
        <v>34.92</v>
      </c>
      <c r="M46" s="298">
        <f>IFERROR(_xlfn.XLOOKUP($A46,Input_Raw!$A:$A,Input_Raw!W:W),"")</f>
        <v>1.9</v>
      </c>
      <c r="N46" s="298">
        <f>IFERROR(_xlfn.XLOOKUP($A46,Input_Raw!$A:$A,Input_Raw!X:X),"")</f>
        <v>5.8</v>
      </c>
      <c r="O46" s="299">
        <f>IFERROR(1-(SUMIF(Plant_BD!$B:$B,$A46,Plant_BD!$AL:$AL)/($AA46+SUMIF(Plant_BD!$B:$B,$A46,Plant_BD!$AL:$AL))),"")</f>
        <v>0.95241548086901895</v>
      </c>
      <c r="P46" s="299"/>
      <c r="Q46" s="300"/>
      <c r="R46" s="299">
        <f>IFERROR(1-(SUMIF(Grid_BD!$B:$B,$A46,Grid_BD!$V:$V)/($AA46+SUMIF(Grid_BD!$B:$B,$A46,Grid_BD!$V:$V))),"")</f>
        <v>1</v>
      </c>
      <c r="S46" s="295"/>
      <c r="T46" s="300"/>
      <c r="U46" s="301">
        <f t="shared" si="6"/>
        <v>0.84247534135005075</v>
      </c>
      <c r="V46" s="301" t="str">
        <f>IFERROR(_xlfn.XLOOKUP($A46,Input_Raw!$A:$A,Input_Raw!$AX:$AX),"")</f>
        <v/>
      </c>
      <c r="W46" s="302">
        <f t="shared" si="7"/>
        <v>7.8507687985376565E-2</v>
      </c>
      <c r="X46" s="294">
        <f>IFERROR(_xlfn.XLOOKUP($A46,Input_Raw!$A:$A,Input_Raw!$AA:$AA),"")</f>
        <v>88349</v>
      </c>
      <c r="Y46" s="294">
        <f>IFERROR(_xlfn.XLOOKUP($A46,Input_Raw!$A:$A,Input_Raw!$AS:$AS),"")</f>
        <v>87000</v>
      </c>
      <c r="Z46" s="294"/>
      <c r="AA46" s="294">
        <f>IFERROR(_xlfn.XLOOKUP($A46,Input_Raw!$A:$A,Input_Raw!$AT:$AT),"")</f>
        <v>86547.660311958985</v>
      </c>
      <c r="AB46" s="294">
        <f>IFERROR(_xlfn.XLOOKUP($A46,Input_Raw!$A:$A,Input_Raw!$AU:$AU),"")</f>
        <v>39.21</v>
      </c>
      <c r="AC46" s="303">
        <f>IFERROR(_xlfn.XLOOKUP($D46,'Modelling New'!$D:$D,'Modelling New'!P:P),"")</f>
        <v>6.832313648387097</v>
      </c>
      <c r="AD46" s="294">
        <f>IFERROR(_xlfn.XLOOKUP($D46,'Modelling New'!$D:$D,'Modelling New'!T:T)*1000,"")</f>
        <v>200698.57823974433</v>
      </c>
      <c r="AE46" s="304">
        <f>IFERROR(_xlfn.XLOOKUP($D46,'Modelling New'!$D:$D,'Modelling New'!$O:$O),"")</f>
        <v>0.63950596310378405</v>
      </c>
      <c r="AF46" s="304">
        <f>IFERROR(_xlfn.XLOOKUP($D46,'Modelling New'!$D:$D,'Modelling New'!$W:$W),"")</f>
        <v>0.1820543883307883</v>
      </c>
      <c r="AG46" s="304">
        <f>IFERROR(_xlfn.XLOOKUP($D46,'Modelling New'!$D:$D,'Modelling New'!$AE:$AE),"")</f>
        <v>0.995</v>
      </c>
      <c r="AH46" s="304">
        <f>IFERROR(_xlfn.XLOOKUP($D46,'Modelling New'!$D:$D,'Modelling New'!$AF:$AF),"")</f>
        <v>0.995</v>
      </c>
      <c r="AI46" s="295"/>
      <c r="AJ46" s="295"/>
      <c r="AK46" s="295"/>
      <c r="AL46" s="295"/>
      <c r="AM46" s="295"/>
      <c r="AN46" s="305"/>
      <c r="AO46" s="302"/>
      <c r="AP46" s="302"/>
      <c r="AQ46" s="302"/>
      <c r="AR46" s="294">
        <f>_xlfn.XLOOKUP($D46,'Modelling New'!$D:$D,'Modelling New'!$N:$N)</f>
        <v>45.933750000000003</v>
      </c>
      <c r="AS46" s="294">
        <f t="shared" si="8"/>
        <v>171320.46159480501</v>
      </c>
    </row>
    <row r="47" spans="1:45">
      <c r="A47" s="293">
        <f t="shared" si="9"/>
        <v>45790</v>
      </c>
      <c r="B47" s="294">
        <f>YEAR(Daily_KPI[[#This Row],[Date]])+IF(MONTH(Daily_KPI[[#This Row],[Date]])&gt;=4,1,0)</f>
        <v>2026</v>
      </c>
      <c r="C47" s="295">
        <f>YEAR(Daily_KPI[[#This Row],[Date]])</f>
        <v>2025</v>
      </c>
      <c r="D47" s="296">
        <f>Daily_KPI[[#This Row],[Date]]-DAY(Daily_KPI[[#This Row],[Date]])+1</f>
        <v>45778</v>
      </c>
      <c r="E47" s="295">
        <f t="shared" si="5"/>
        <v>31</v>
      </c>
      <c r="F47" s="297">
        <f>IFERROR(_xlfn.XLOOKUP($A47,Input_Raw!$A:$A,Input_Raw!$AR:$AR),"")</f>
        <v>11.383333333333335</v>
      </c>
      <c r="G47" s="298">
        <f>IFERROR(_xlfn.XLOOKUP($A47,Input_Raw!$A:$A,Input_Raw!$R:$R),"")</f>
        <v>3.23</v>
      </c>
      <c r="H47" s="298"/>
      <c r="I47" s="298">
        <f>IFERROR(_xlfn.XLOOKUP($A47,Input_Raw!$A:$A,Input_Raw!$Q:$Q),"")</f>
        <v>3.18</v>
      </c>
      <c r="J47" s="298"/>
      <c r="K47" s="298">
        <f>IFERROR(_xlfn.XLOOKUP($A47,Input_Raw!$A:$A,Input_Raw!S:S),"")</f>
        <v>28.47</v>
      </c>
      <c r="L47" s="298">
        <f>IFERROR(_xlfn.XLOOKUP($A47,Input_Raw!$A:$A,Input_Raw!T:T),"")</f>
        <v>34.35</v>
      </c>
      <c r="M47" s="298">
        <f>IFERROR(_xlfn.XLOOKUP($A47,Input_Raw!$A:$A,Input_Raw!W:W),"")</f>
        <v>2.59</v>
      </c>
      <c r="N47" s="298">
        <f>IFERROR(_xlfn.XLOOKUP($A47,Input_Raw!$A:$A,Input_Raw!X:X),"")</f>
        <v>6.84</v>
      </c>
      <c r="O47" s="299">
        <f>IFERROR(1-(SUMIF(Plant_BD!$B:$B,$A47,Plant_BD!$AL:$AL)/($AA47+SUMIF(Plant_BD!$B:$B,$A47,Plant_BD!$AL:$AL))),"")</f>
        <v>0.96482702632114781</v>
      </c>
      <c r="P47" s="299"/>
      <c r="Q47" s="300"/>
      <c r="R47" s="299">
        <f>IFERROR(1-(SUMIF(Grid_BD!$B:$B,$A47,Grid_BD!$V:$V)/($AA47+SUMIF(Grid_BD!$B:$B,$A47,Grid_BD!$V:$V))),"")</f>
        <v>1</v>
      </c>
      <c r="S47" s="295"/>
      <c r="T47" s="300"/>
      <c r="U47" s="301">
        <f t="shared" si="6"/>
        <v>1.1417441613045054</v>
      </c>
      <c r="V47" s="301" t="str">
        <f>IFERROR(_xlfn.XLOOKUP($A47,Input_Raw!$A:$A,Input_Raw!$AX:$AX),"")</f>
        <v/>
      </c>
      <c r="W47" s="302">
        <f t="shared" si="7"/>
        <v>0.12913668021507779</v>
      </c>
      <c r="X47" s="294">
        <f>IFERROR(_xlfn.XLOOKUP($A47,Input_Raw!$A:$A,Input_Raw!$AA:$AA),"")</f>
        <v>145288.59999999998</v>
      </c>
      <c r="Y47" s="294">
        <f>IFERROR(_xlfn.XLOOKUP($A47,Input_Raw!$A:$A,Input_Raw!$AS:$AS),"")</f>
        <v>144000</v>
      </c>
      <c r="Z47" s="294"/>
      <c r="AA47" s="294">
        <f>IFERROR(_xlfn.XLOOKUP($A47,Input_Raw!$A:$A,Input_Raw!$AT:$AT),"")</f>
        <v>142361.56763590392</v>
      </c>
      <c r="AB47" s="294">
        <f>IFERROR(_xlfn.XLOOKUP($A47,Input_Raw!$A:$A,Input_Raw!$AU:$AU),"")</f>
        <v>39.21</v>
      </c>
      <c r="AC47" s="303">
        <f>IFERROR(_xlfn.XLOOKUP($D47,'Modelling New'!$D:$D,'Modelling New'!P:P),"")</f>
        <v>6.832313648387097</v>
      </c>
      <c r="AD47" s="294">
        <f>IFERROR(_xlfn.XLOOKUP($D47,'Modelling New'!$D:$D,'Modelling New'!T:T)*1000,"")</f>
        <v>200698.57823974433</v>
      </c>
      <c r="AE47" s="304">
        <f>IFERROR(_xlfn.XLOOKUP($D47,'Modelling New'!$D:$D,'Modelling New'!$O:$O),"")</f>
        <v>0.63950596310378405</v>
      </c>
      <c r="AF47" s="304">
        <f>IFERROR(_xlfn.XLOOKUP($D47,'Modelling New'!$D:$D,'Modelling New'!$W:$W),"")</f>
        <v>0.1820543883307883</v>
      </c>
      <c r="AG47" s="304">
        <f>IFERROR(_xlfn.XLOOKUP($D47,'Modelling New'!$D:$D,'Modelling New'!$AE:$AE),"")</f>
        <v>0.995</v>
      </c>
      <c r="AH47" s="304">
        <f>IFERROR(_xlfn.XLOOKUP($D47,'Modelling New'!$D:$D,'Modelling New'!$AF:$AF),"")</f>
        <v>0.995</v>
      </c>
      <c r="AI47" s="295"/>
      <c r="AJ47" s="295"/>
      <c r="AK47" s="295"/>
      <c r="AL47" s="295"/>
      <c r="AM47" s="295"/>
      <c r="AN47" s="305"/>
      <c r="AO47" s="302"/>
      <c r="AP47" s="302"/>
      <c r="AQ47" s="302"/>
      <c r="AR47" s="294">
        <f>_xlfn.XLOOKUP($D47,'Modelling New'!$D:$D,'Modelling New'!$N:$N)</f>
        <v>45.933750000000003</v>
      </c>
      <c r="AS47" s="294">
        <f t="shared" si="8"/>
        <v>171320.46159480501</v>
      </c>
    </row>
    <row r="48" spans="1:45">
      <c r="A48" s="293">
        <f t="shared" si="9"/>
        <v>45791</v>
      </c>
      <c r="B48" s="294">
        <f>YEAR(Daily_KPI[[#This Row],[Date]])+IF(MONTH(Daily_KPI[[#This Row],[Date]])&gt;=4,1,0)</f>
        <v>2026</v>
      </c>
      <c r="C48" s="295">
        <f>YEAR(Daily_KPI[[#This Row],[Date]])</f>
        <v>2025</v>
      </c>
      <c r="D48" s="296">
        <f>Daily_KPI[[#This Row],[Date]]-DAY(Daily_KPI[[#This Row],[Date]])+1</f>
        <v>45778</v>
      </c>
      <c r="E48" s="295">
        <f t="shared" si="5"/>
        <v>31</v>
      </c>
      <c r="F48" s="297">
        <f>IFERROR(_xlfn.XLOOKUP($A48,Input_Raw!$A:$A,Input_Raw!$AR:$AR),"")</f>
        <v>12.25</v>
      </c>
      <c r="G48" s="298">
        <f>IFERROR(_xlfn.XLOOKUP($A48,Input_Raw!$A:$A,Input_Raw!$R:$R),"")</f>
        <v>4.3099999999999996</v>
      </c>
      <c r="H48" s="298"/>
      <c r="I48" s="298">
        <f>IFERROR(_xlfn.XLOOKUP($A48,Input_Raw!$A:$A,Input_Raw!$Q:$Q),"")</f>
        <v>4.1500000000000004</v>
      </c>
      <c r="J48" s="298"/>
      <c r="K48" s="298">
        <f>IFERROR(_xlfn.XLOOKUP($A48,Input_Raw!$A:$A,Input_Raw!S:S),"")</f>
        <v>33.94</v>
      </c>
      <c r="L48" s="298">
        <f>IFERROR(_xlfn.XLOOKUP($A48,Input_Raw!$A:$A,Input_Raw!T:T),"")</f>
        <v>41.83</v>
      </c>
      <c r="M48" s="298">
        <f>IFERROR(_xlfn.XLOOKUP($A48,Input_Raw!$A:$A,Input_Raw!W:W),"")</f>
        <v>2.2599999999999998</v>
      </c>
      <c r="N48" s="298">
        <f>IFERROR(_xlfn.XLOOKUP($A48,Input_Raw!$A:$A,Input_Raw!X:X),"")</f>
        <v>6.66</v>
      </c>
      <c r="O48" s="299">
        <f>IFERROR(1-(SUMIF(Plant_BD!$B:$B,$A48,Plant_BD!$AL:$AL)/($AA48+SUMIF(Plant_BD!$B:$B,$A48,Plant_BD!$AL:$AL))),"")</f>
        <v>1</v>
      </c>
      <c r="P48" s="299"/>
      <c r="Q48" s="300"/>
      <c r="R48" s="299">
        <f>IFERROR(1-(SUMIF(Grid_BD!$B:$B,$A48,Grid_BD!$V:$V)/($AA48+SUMIF(Grid_BD!$B:$B,$A48,Grid_BD!$V:$V))),"")</f>
        <v>1</v>
      </c>
      <c r="S48" s="295"/>
      <c r="T48" s="300"/>
      <c r="U48" s="301">
        <f t="shared" si="6"/>
        <v>0.74417523998344204</v>
      </c>
      <c r="V48" s="301" t="str">
        <f>IFERROR(_xlfn.XLOOKUP($A48,Input_Raw!$A:$A,Input_Raw!$AX:$AX),"")</f>
        <v/>
      </c>
      <c r="W48" s="302">
        <f t="shared" si="7"/>
        <v>0.1098441698759678</v>
      </c>
      <c r="X48" s="294">
        <f>IFERROR(_xlfn.XLOOKUP($A48,Input_Raw!$A:$A,Input_Raw!$AA:$AA),"")</f>
        <v>122942.7</v>
      </c>
      <c r="Y48" s="294">
        <f>IFERROR(_xlfn.XLOOKUP($A48,Input_Raw!$A:$A,Input_Raw!$AS:$AS),"")</f>
        <v>122000</v>
      </c>
      <c r="Z48" s="294"/>
      <c r="AA48" s="294">
        <f>IFERROR(_xlfn.XLOOKUP($A48,Input_Raw!$A:$A,Input_Raw!$AT:$AT),"")</f>
        <v>121093.31131296567</v>
      </c>
      <c r="AB48" s="294">
        <f>IFERROR(_xlfn.XLOOKUP($A48,Input_Raw!$A:$A,Input_Raw!$AU:$AU),"")</f>
        <v>39.21</v>
      </c>
      <c r="AC48" s="303">
        <f>IFERROR(_xlfn.XLOOKUP($D48,'Modelling New'!$D:$D,'Modelling New'!P:P),"")</f>
        <v>6.832313648387097</v>
      </c>
      <c r="AD48" s="294">
        <f>IFERROR(_xlfn.XLOOKUP($D48,'Modelling New'!$D:$D,'Modelling New'!T:T)*1000,"")</f>
        <v>200698.57823974433</v>
      </c>
      <c r="AE48" s="304">
        <f>IFERROR(_xlfn.XLOOKUP($D48,'Modelling New'!$D:$D,'Modelling New'!$O:$O),"")</f>
        <v>0.63950596310378405</v>
      </c>
      <c r="AF48" s="304">
        <f>IFERROR(_xlfn.XLOOKUP($D48,'Modelling New'!$D:$D,'Modelling New'!$W:$W),"")</f>
        <v>0.1820543883307883</v>
      </c>
      <c r="AG48" s="304">
        <f>IFERROR(_xlfn.XLOOKUP($D48,'Modelling New'!$D:$D,'Modelling New'!$AE:$AE),"")</f>
        <v>0.995</v>
      </c>
      <c r="AH48" s="304">
        <f>IFERROR(_xlfn.XLOOKUP($D48,'Modelling New'!$D:$D,'Modelling New'!$AF:$AF),"")</f>
        <v>0.995</v>
      </c>
      <c r="AI48" s="295"/>
      <c r="AJ48" s="295"/>
      <c r="AK48" s="295"/>
      <c r="AL48" s="295"/>
      <c r="AM48" s="295"/>
      <c r="AN48" s="305"/>
      <c r="AO48" s="302"/>
      <c r="AP48" s="302"/>
      <c r="AQ48" s="302"/>
      <c r="AR48" s="294">
        <f>_xlfn.XLOOKUP($D48,'Modelling New'!$D:$D,'Modelling New'!$N:$N)</f>
        <v>45.933750000000003</v>
      </c>
      <c r="AS48" s="294">
        <f t="shared" si="8"/>
        <v>171320.46159480501</v>
      </c>
    </row>
    <row r="49" spans="1:45">
      <c r="A49" s="293">
        <f t="shared" si="9"/>
        <v>45792</v>
      </c>
      <c r="B49" s="294">
        <f>YEAR(Daily_KPI[[#This Row],[Date]])+IF(MONTH(Daily_KPI[[#This Row],[Date]])&gt;=4,1,0)</f>
        <v>2026</v>
      </c>
      <c r="C49" s="295">
        <f>YEAR(Daily_KPI[[#This Row],[Date]])</f>
        <v>2025</v>
      </c>
      <c r="D49" s="296">
        <f>Daily_KPI[[#This Row],[Date]]-DAY(Daily_KPI[[#This Row],[Date]])+1</f>
        <v>45778</v>
      </c>
      <c r="E49" s="295">
        <f t="shared" si="5"/>
        <v>31</v>
      </c>
      <c r="F49" s="297">
        <f>IFERROR(_xlfn.XLOOKUP($A49,Input_Raw!$A:$A,Input_Raw!$AR:$AR),"")</f>
        <v>12.333333333333336</v>
      </c>
      <c r="G49" s="298">
        <f>IFERROR(_xlfn.XLOOKUP($A49,Input_Raw!$A:$A,Input_Raw!$R:$R),"")</f>
        <v>4.91</v>
      </c>
      <c r="H49" s="298"/>
      <c r="I49" s="298">
        <f>IFERROR(_xlfn.XLOOKUP($A49,Input_Raw!$A:$A,Input_Raw!$Q:$Q),"")</f>
        <v>4.7699999999999996</v>
      </c>
      <c r="J49" s="298"/>
      <c r="K49" s="298">
        <f>IFERROR(_xlfn.XLOOKUP($A49,Input_Raw!$A:$A,Input_Raw!S:S),"")</f>
        <v>33.31</v>
      </c>
      <c r="L49" s="298">
        <f>IFERROR(_xlfn.XLOOKUP($A49,Input_Raw!$A:$A,Input_Raw!T:T),"")</f>
        <v>41.68</v>
      </c>
      <c r="M49" s="298">
        <f>IFERROR(_xlfn.XLOOKUP($A49,Input_Raw!$A:$A,Input_Raw!W:W),"")</f>
        <v>2.82</v>
      </c>
      <c r="N49" s="298">
        <f>IFERROR(_xlfn.XLOOKUP($A49,Input_Raw!$A:$A,Input_Raw!X:X),"")</f>
        <v>10.69</v>
      </c>
      <c r="O49" s="299">
        <f>IFERROR(1-(SUMIF(Plant_BD!$B:$B,$A49,Plant_BD!$AL:$AL)/($AA49+SUMIF(Plant_BD!$B:$B,$A49,Plant_BD!$AL:$AL))),"")</f>
        <v>0.95050209112503392</v>
      </c>
      <c r="P49" s="299"/>
      <c r="Q49" s="300"/>
      <c r="R49" s="299">
        <f>IFERROR(1-(SUMIF(Grid_BD!$B:$B,$A49,Grid_BD!$V:$V)/($AA49+SUMIF(Grid_BD!$B:$B,$A49,Grid_BD!$V:$V))),"")</f>
        <v>1</v>
      </c>
      <c r="S49" s="295"/>
      <c r="T49" s="300"/>
      <c r="U49" s="301">
        <f t="shared" si="6"/>
        <v>0.79373835119083402</v>
      </c>
      <c r="V49" s="301" t="str">
        <f>IFERROR(_xlfn.XLOOKUP($A49,Input_Raw!$A:$A,Input_Raw!$AX:$AX),"")</f>
        <v/>
      </c>
      <c r="W49" s="302">
        <f t="shared" si="7"/>
        <v>0.13466335862194528</v>
      </c>
      <c r="X49" s="294">
        <f>IFERROR(_xlfn.XLOOKUP($A49,Input_Raw!$A:$A,Input_Raw!$AA:$AA),"")</f>
        <v>150653.1</v>
      </c>
      <c r="Y49" s="294">
        <f>IFERROR(_xlfn.XLOOKUP($A49,Input_Raw!$A:$A,Input_Raw!$AS:$AS),"")</f>
        <v>150000</v>
      </c>
      <c r="Z49" s="294"/>
      <c r="AA49" s="294">
        <f>IFERROR(_xlfn.XLOOKUP($A49,Input_Raw!$A:$A,Input_Raw!$AT:$AT),"")</f>
        <v>148454.23317841871</v>
      </c>
      <c r="AB49" s="294">
        <f>IFERROR(_xlfn.XLOOKUP($A49,Input_Raw!$A:$A,Input_Raw!$AU:$AU),"")</f>
        <v>39.21</v>
      </c>
      <c r="AC49" s="303">
        <f>IFERROR(_xlfn.XLOOKUP($D49,'Modelling New'!$D:$D,'Modelling New'!P:P),"")</f>
        <v>6.832313648387097</v>
      </c>
      <c r="AD49" s="294">
        <f>IFERROR(_xlfn.XLOOKUP($D49,'Modelling New'!$D:$D,'Modelling New'!T:T)*1000,"")</f>
        <v>200698.57823974433</v>
      </c>
      <c r="AE49" s="304">
        <f>IFERROR(_xlfn.XLOOKUP($D49,'Modelling New'!$D:$D,'Modelling New'!$O:$O),"")</f>
        <v>0.63950596310378405</v>
      </c>
      <c r="AF49" s="304">
        <f>IFERROR(_xlfn.XLOOKUP($D49,'Modelling New'!$D:$D,'Modelling New'!$W:$W),"")</f>
        <v>0.1820543883307883</v>
      </c>
      <c r="AG49" s="304">
        <f>IFERROR(_xlfn.XLOOKUP($D49,'Modelling New'!$D:$D,'Modelling New'!$AE:$AE),"")</f>
        <v>0.995</v>
      </c>
      <c r="AH49" s="304">
        <f>IFERROR(_xlfn.XLOOKUP($D49,'Modelling New'!$D:$D,'Modelling New'!$AF:$AF),"")</f>
        <v>0.995</v>
      </c>
      <c r="AI49" s="295"/>
      <c r="AJ49" s="295"/>
      <c r="AK49" s="295"/>
      <c r="AL49" s="295"/>
      <c r="AM49" s="295"/>
      <c r="AN49" s="305"/>
      <c r="AO49" s="302"/>
      <c r="AP49" s="302"/>
      <c r="AQ49" s="302"/>
      <c r="AR49" s="294">
        <f>_xlfn.XLOOKUP($D49,'Modelling New'!$D:$D,'Modelling New'!$N:$N)</f>
        <v>45.933750000000003</v>
      </c>
      <c r="AS49" s="294">
        <f t="shared" si="8"/>
        <v>171320.46159480501</v>
      </c>
    </row>
    <row r="50" spans="1:45">
      <c r="A50" s="293">
        <f t="shared" si="9"/>
        <v>45793</v>
      </c>
      <c r="B50" s="294">
        <f>YEAR(Daily_KPI[[#This Row],[Date]])+IF(MONTH(Daily_KPI[[#This Row],[Date]])&gt;=4,1,0)</f>
        <v>2026</v>
      </c>
      <c r="C50" s="295">
        <f>YEAR(Daily_KPI[[#This Row],[Date]])</f>
        <v>2025</v>
      </c>
      <c r="D50" s="296">
        <f>Daily_KPI[[#This Row],[Date]]-DAY(Daily_KPI[[#This Row],[Date]])+1</f>
        <v>45778</v>
      </c>
      <c r="E50" s="295">
        <f t="shared" si="5"/>
        <v>31</v>
      </c>
      <c r="F50" s="297">
        <f>IFERROR(_xlfn.XLOOKUP($A50,Input_Raw!$A:$A,Input_Raw!$AR:$AR),"")</f>
        <v>12.250000000000002</v>
      </c>
      <c r="G50" s="298">
        <f>IFERROR(_xlfn.XLOOKUP($A50,Input_Raw!$A:$A,Input_Raw!$R:$R),"")</f>
        <v>5.55</v>
      </c>
      <c r="H50" s="298"/>
      <c r="I50" s="298">
        <f>IFERROR(_xlfn.XLOOKUP($A50,Input_Raw!$A:$A,Input_Raw!$Q:$Q),"")</f>
        <v>5.39</v>
      </c>
      <c r="J50" s="298"/>
      <c r="K50" s="298">
        <f>IFERROR(_xlfn.XLOOKUP($A50,Input_Raw!$A:$A,Input_Raw!S:S),"")</f>
        <v>33.82</v>
      </c>
      <c r="L50" s="298">
        <f>IFERROR(_xlfn.XLOOKUP($A50,Input_Raw!$A:$A,Input_Raw!T:T),"")</f>
        <v>43.71</v>
      </c>
      <c r="M50" s="298">
        <f>IFERROR(_xlfn.XLOOKUP($A50,Input_Raw!$A:$A,Input_Raw!W:W),"")</f>
        <v>2.93</v>
      </c>
      <c r="N50" s="298">
        <f>IFERROR(_xlfn.XLOOKUP($A50,Input_Raw!$A:$A,Input_Raw!X:X),"")</f>
        <v>9.26</v>
      </c>
      <c r="O50" s="299">
        <f>IFERROR(1-(SUMIF(Plant_BD!$B:$B,$A50,Plant_BD!$AL:$AL)/($AA50+SUMIF(Plant_BD!$B:$B,$A50,Plant_BD!$AL:$AL))),"")</f>
        <v>0.97218678969451455</v>
      </c>
      <c r="P50" s="299"/>
      <c r="Q50" s="300"/>
      <c r="R50" s="299">
        <f>IFERROR(1-(SUMIF(Grid_BD!$B:$B,$A50,Grid_BD!$V:$V)/($AA50+SUMIF(Grid_BD!$B:$B,$A50,Grid_BD!$V:$V))),"")</f>
        <v>1</v>
      </c>
      <c r="S50" s="295"/>
      <c r="T50" s="300"/>
      <c r="U50" s="301">
        <f t="shared" si="6"/>
        <v>0.79402949919128518</v>
      </c>
      <c r="V50" s="301" t="str">
        <f>IFERROR(_xlfn.XLOOKUP($A50,Input_Raw!$A:$A,Input_Raw!$AX:$AX),"")</f>
        <v/>
      </c>
      <c r="W50" s="302">
        <f t="shared" si="7"/>
        <v>0.15222258779867262</v>
      </c>
      <c r="X50" s="294">
        <f>IFERROR(_xlfn.XLOOKUP($A50,Input_Raw!$A:$A,Input_Raw!$AA:$AA),"")</f>
        <v>170690.3</v>
      </c>
      <c r="Y50" s="294">
        <f>IFERROR(_xlfn.XLOOKUP($A50,Input_Raw!$A:$A,Input_Raw!$AS:$AS),"")</f>
        <v>169000</v>
      </c>
      <c r="Z50" s="294"/>
      <c r="AA50" s="294">
        <f>IFERROR(_xlfn.XLOOKUP($A50,Input_Raw!$A:$A,Input_Raw!$AT:$AT),"")</f>
        <v>167811.70301513467</v>
      </c>
      <c r="AB50" s="294">
        <f>IFERROR(_xlfn.XLOOKUP($A50,Input_Raw!$A:$A,Input_Raw!$AU:$AU),"")</f>
        <v>39.21</v>
      </c>
      <c r="AC50" s="303">
        <f>IFERROR(_xlfn.XLOOKUP($D50,'Modelling New'!$D:$D,'Modelling New'!P:P),"")</f>
        <v>6.832313648387097</v>
      </c>
      <c r="AD50" s="294">
        <f>IFERROR(_xlfn.XLOOKUP($D50,'Modelling New'!$D:$D,'Modelling New'!T:T)*1000,"")</f>
        <v>200698.57823974433</v>
      </c>
      <c r="AE50" s="304">
        <f>IFERROR(_xlfn.XLOOKUP($D50,'Modelling New'!$D:$D,'Modelling New'!$O:$O),"")</f>
        <v>0.63950596310378405</v>
      </c>
      <c r="AF50" s="304">
        <f>IFERROR(_xlfn.XLOOKUP($D50,'Modelling New'!$D:$D,'Modelling New'!$W:$W),"")</f>
        <v>0.1820543883307883</v>
      </c>
      <c r="AG50" s="304">
        <f>IFERROR(_xlfn.XLOOKUP($D50,'Modelling New'!$D:$D,'Modelling New'!$AE:$AE),"")</f>
        <v>0.995</v>
      </c>
      <c r="AH50" s="304">
        <f>IFERROR(_xlfn.XLOOKUP($D50,'Modelling New'!$D:$D,'Modelling New'!$AF:$AF),"")</f>
        <v>0.995</v>
      </c>
      <c r="AI50" s="295"/>
      <c r="AJ50" s="295"/>
      <c r="AK50" s="295"/>
      <c r="AL50" s="295"/>
      <c r="AM50" s="295"/>
      <c r="AN50" s="305"/>
      <c r="AO50" s="302"/>
      <c r="AP50" s="302"/>
      <c r="AQ50" s="302"/>
      <c r="AR50" s="294">
        <f>_xlfn.XLOOKUP($D50,'Modelling New'!$D:$D,'Modelling New'!$N:$N)</f>
        <v>45.933750000000003</v>
      </c>
      <c r="AS50" s="294">
        <f t="shared" si="8"/>
        <v>171320.46159480501</v>
      </c>
    </row>
    <row r="51" spans="1:45">
      <c r="A51" s="293">
        <f t="shared" si="9"/>
        <v>45794</v>
      </c>
      <c r="B51" s="294">
        <f>YEAR(Daily_KPI[[#This Row],[Date]])+IF(MONTH(Daily_KPI[[#This Row],[Date]])&gt;=4,1,0)</f>
        <v>2026</v>
      </c>
      <c r="C51" s="295">
        <f>YEAR(Daily_KPI[[#This Row],[Date]])</f>
        <v>2025</v>
      </c>
      <c r="D51" s="296">
        <f>Daily_KPI[[#This Row],[Date]]-DAY(Daily_KPI[[#This Row],[Date]])+1</f>
        <v>45778</v>
      </c>
      <c r="E51" s="295">
        <f t="shared" si="5"/>
        <v>31</v>
      </c>
      <c r="F51" s="297">
        <f>IFERROR(_xlfn.XLOOKUP($A51,Input_Raw!$A:$A,Input_Raw!$AR:$AR),"")</f>
        <v>11.483333333333334</v>
      </c>
      <c r="G51" s="298">
        <f>IFERROR(_xlfn.XLOOKUP($A51,Input_Raw!$A:$A,Input_Raw!$R:$R),"")</f>
        <v>5.46</v>
      </c>
      <c r="H51" s="298"/>
      <c r="I51" s="298">
        <f>IFERROR(_xlfn.XLOOKUP($A51,Input_Raw!$A:$A,Input_Raw!$Q:$Q),"")</f>
        <v>5.34</v>
      </c>
      <c r="J51" s="298"/>
      <c r="K51" s="298">
        <f>IFERROR(_xlfn.XLOOKUP($A51,Input_Raw!$A:$A,Input_Raw!S:S),"")</f>
        <v>33.51</v>
      </c>
      <c r="L51" s="298">
        <f>IFERROR(_xlfn.XLOOKUP($A51,Input_Raw!$A:$A,Input_Raw!T:T),"")</f>
        <v>44.31</v>
      </c>
      <c r="M51" s="298">
        <f>IFERROR(_xlfn.XLOOKUP($A51,Input_Raw!$A:$A,Input_Raw!W:W),"")</f>
        <v>2.57</v>
      </c>
      <c r="N51" s="298">
        <f>IFERROR(_xlfn.XLOOKUP($A51,Input_Raw!$A:$A,Input_Raw!X:X),"")</f>
        <v>8.06</v>
      </c>
      <c r="O51" s="299">
        <f>IFERROR(1-(SUMIF(Plant_BD!$B:$B,$A51,Plant_BD!$AL:$AL)/($AA51+SUMIF(Plant_BD!$B:$B,$A51,Plant_BD!$AL:$AL))),"")</f>
        <v>0.99969490816636053</v>
      </c>
      <c r="P51" s="299"/>
      <c r="Q51" s="300"/>
      <c r="R51" s="299">
        <f>IFERROR(1-(SUMIF(Grid_BD!$B:$B,$A51,Grid_BD!$V:$V)/($AA51+SUMIF(Grid_BD!$B:$B,$A51,Grid_BD!$V:$V))),"")</f>
        <v>1</v>
      </c>
      <c r="S51" s="295"/>
      <c r="T51" s="300"/>
      <c r="U51" s="301">
        <f t="shared" si="6"/>
        <v>0.81071972874136888</v>
      </c>
      <c r="V51" s="301" t="str">
        <f>IFERROR(_xlfn.XLOOKUP($A51,Input_Raw!$A:$A,Input_Raw!$AX:$AX),"")</f>
        <v/>
      </c>
      <c r="W51" s="302">
        <f t="shared" si="7"/>
        <v>0.15398048984632581</v>
      </c>
      <c r="X51" s="294">
        <f>IFERROR(_xlfn.XLOOKUP($A51,Input_Raw!$A:$A,Input_Raw!$AA:$AA),"")</f>
        <v>172444</v>
      </c>
      <c r="Y51" s="294">
        <f>IFERROR(_xlfn.XLOOKUP($A51,Input_Raw!$A:$A,Input_Raw!$AS:$AS),"")</f>
        <v>170000</v>
      </c>
      <c r="Z51" s="294"/>
      <c r="AA51" s="294">
        <f>IFERROR(_xlfn.XLOOKUP($A51,Input_Raw!$A:$A,Input_Raw!$AT:$AT),"")</f>
        <v>169749.63181148804</v>
      </c>
      <c r="AB51" s="294">
        <f>IFERROR(_xlfn.XLOOKUP($A51,Input_Raw!$A:$A,Input_Raw!$AU:$AU),"")</f>
        <v>39.21</v>
      </c>
      <c r="AC51" s="303">
        <f>IFERROR(_xlfn.XLOOKUP($D51,'Modelling New'!$D:$D,'Modelling New'!P:P),"")</f>
        <v>6.832313648387097</v>
      </c>
      <c r="AD51" s="294">
        <f>IFERROR(_xlfn.XLOOKUP($D51,'Modelling New'!$D:$D,'Modelling New'!T:T)*1000,"")</f>
        <v>200698.57823974433</v>
      </c>
      <c r="AE51" s="304">
        <f>IFERROR(_xlfn.XLOOKUP($D51,'Modelling New'!$D:$D,'Modelling New'!$O:$O),"")</f>
        <v>0.63950596310378405</v>
      </c>
      <c r="AF51" s="304">
        <f>IFERROR(_xlfn.XLOOKUP($D51,'Modelling New'!$D:$D,'Modelling New'!$W:$W),"")</f>
        <v>0.1820543883307883</v>
      </c>
      <c r="AG51" s="304">
        <f>IFERROR(_xlfn.XLOOKUP($D51,'Modelling New'!$D:$D,'Modelling New'!$AE:$AE),"")</f>
        <v>0.995</v>
      </c>
      <c r="AH51" s="304">
        <f>IFERROR(_xlfn.XLOOKUP($D51,'Modelling New'!$D:$D,'Modelling New'!$AF:$AF),"")</f>
        <v>0.995</v>
      </c>
      <c r="AI51" s="295"/>
      <c r="AJ51" s="295"/>
      <c r="AK51" s="295"/>
      <c r="AL51" s="295"/>
      <c r="AM51" s="295"/>
      <c r="AN51" s="305"/>
      <c r="AO51" s="302"/>
      <c r="AP51" s="302"/>
      <c r="AQ51" s="302"/>
      <c r="AR51" s="294">
        <f>_xlfn.XLOOKUP($D51,'Modelling New'!$D:$D,'Modelling New'!$N:$N)</f>
        <v>45.933750000000003</v>
      </c>
      <c r="AS51" s="294">
        <f t="shared" si="8"/>
        <v>171320.46159480501</v>
      </c>
    </row>
    <row r="52" spans="1:45">
      <c r="A52" s="293">
        <f t="shared" si="9"/>
        <v>45795</v>
      </c>
      <c r="B52" s="294">
        <f>YEAR(Daily_KPI[[#This Row],[Date]])+IF(MONTH(Daily_KPI[[#This Row],[Date]])&gt;=4,1,0)</f>
        <v>2026</v>
      </c>
      <c r="C52" s="295">
        <f>YEAR(Daily_KPI[[#This Row],[Date]])</f>
        <v>2025</v>
      </c>
      <c r="D52" s="296">
        <f>Daily_KPI[[#This Row],[Date]]-DAY(Daily_KPI[[#This Row],[Date]])+1</f>
        <v>45778</v>
      </c>
      <c r="E52" s="295">
        <f t="shared" si="5"/>
        <v>31</v>
      </c>
      <c r="F52" s="297">
        <f>IFERROR(_xlfn.XLOOKUP($A52,Input_Raw!$A:$A,Input_Raw!$AR:$AR),"")</f>
        <v>12.283333333333335</v>
      </c>
      <c r="G52" s="298">
        <f>IFERROR(_xlfn.XLOOKUP($A52,Input_Raw!$A:$A,Input_Raw!$R:$R),"")</f>
        <v>6.07</v>
      </c>
      <c r="H52" s="298"/>
      <c r="I52" s="298">
        <f>IFERROR(_xlfn.XLOOKUP($A52,Input_Raw!$A:$A,Input_Raw!$Q:$Q),"")</f>
        <v>5.82</v>
      </c>
      <c r="J52" s="298"/>
      <c r="K52" s="298">
        <f>IFERROR(_xlfn.XLOOKUP($A52,Input_Raw!$A:$A,Input_Raw!S:S),"")</f>
        <v>35.43</v>
      </c>
      <c r="L52" s="298">
        <f>IFERROR(_xlfn.XLOOKUP($A52,Input_Raw!$A:$A,Input_Raw!T:T),"")</f>
        <v>46.81</v>
      </c>
      <c r="M52" s="298">
        <f>IFERROR(_xlfn.XLOOKUP($A52,Input_Raw!$A:$A,Input_Raw!W:W),"")</f>
        <v>2.04</v>
      </c>
      <c r="N52" s="298">
        <f>IFERROR(_xlfn.XLOOKUP($A52,Input_Raw!$A:$A,Input_Raw!X:X),"")</f>
        <v>6.31</v>
      </c>
      <c r="O52" s="299">
        <f>IFERROR(1-(SUMIF(Plant_BD!$B:$B,$A52,Plant_BD!$AL:$AL)/($AA52+SUMIF(Plant_BD!$B:$B,$A52,Plant_BD!$AL:$AL))),"")</f>
        <v>0.9983829629279658</v>
      </c>
      <c r="P52" s="299"/>
      <c r="Q52" s="300"/>
      <c r="R52" s="299">
        <f>IFERROR(1-(SUMIF(Grid_BD!$B:$B,$A52,Grid_BD!$V:$V)/($AA52+SUMIF(Grid_BD!$B:$B,$A52,Grid_BD!$V:$V))),"")</f>
        <v>1</v>
      </c>
      <c r="S52" s="295"/>
      <c r="T52" s="300"/>
      <c r="U52" s="301">
        <f t="shared" si="6"/>
        <v>0.800478897353607</v>
      </c>
      <c r="V52" s="301" t="str">
        <f>IFERROR(_xlfn.XLOOKUP($A52,Input_Raw!$A:$A,Input_Raw!$AX:$AX),"")</f>
        <v/>
      </c>
      <c r="W52" s="302">
        <f t="shared" si="7"/>
        <v>0.16570154972257808</v>
      </c>
      <c r="X52" s="294">
        <f>IFERROR(_xlfn.XLOOKUP($A52,Input_Raw!$A:$A,Input_Raw!$AA:$AA),"")</f>
        <v>185854.7</v>
      </c>
      <c r="Y52" s="294">
        <f>IFERROR(_xlfn.XLOOKUP($A52,Input_Raw!$A:$A,Input_Raw!$AS:$AS),"")</f>
        <v>185000</v>
      </c>
      <c r="Z52" s="294"/>
      <c r="AA52" s="294">
        <f>IFERROR(_xlfn.XLOOKUP($A52,Input_Raw!$A:$A,Input_Raw!$AT:$AT),"")</f>
        <v>182671.04542966731</v>
      </c>
      <c r="AB52" s="294">
        <f>IFERROR(_xlfn.XLOOKUP($A52,Input_Raw!$A:$A,Input_Raw!$AU:$AU),"")</f>
        <v>39.21</v>
      </c>
      <c r="AC52" s="303">
        <f>IFERROR(_xlfn.XLOOKUP($D52,'Modelling New'!$D:$D,'Modelling New'!P:P),"")</f>
        <v>6.832313648387097</v>
      </c>
      <c r="AD52" s="294">
        <f>IFERROR(_xlfn.XLOOKUP($D52,'Modelling New'!$D:$D,'Modelling New'!T:T)*1000,"")</f>
        <v>200698.57823974433</v>
      </c>
      <c r="AE52" s="304">
        <f>IFERROR(_xlfn.XLOOKUP($D52,'Modelling New'!$D:$D,'Modelling New'!$O:$O),"")</f>
        <v>0.63950596310378405</v>
      </c>
      <c r="AF52" s="304">
        <f>IFERROR(_xlfn.XLOOKUP($D52,'Modelling New'!$D:$D,'Modelling New'!$W:$W),"")</f>
        <v>0.1820543883307883</v>
      </c>
      <c r="AG52" s="304">
        <f>IFERROR(_xlfn.XLOOKUP($D52,'Modelling New'!$D:$D,'Modelling New'!$AE:$AE),"")</f>
        <v>0.995</v>
      </c>
      <c r="AH52" s="304">
        <f>IFERROR(_xlfn.XLOOKUP($D52,'Modelling New'!$D:$D,'Modelling New'!$AF:$AF),"")</f>
        <v>0.995</v>
      </c>
      <c r="AI52" s="295"/>
      <c r="AJ52" s="295"/>
      <c r="AK52" s="295"/>
      <c r="AL52" s="295"/>
      <c r="AM52" s="295"/>
      <c r="AN52" s="305"/>
      <c r="AO52" s="302"/>
      <c r="AP52" s="302"/>
      <c r="AQ52" s="302"/>
      <c r="AR52" s="294">
        <f>_xlfn.XLOOKUP($D52,'Modelling New'!$D:$D,'Modelling New'!$N:$N)</f>
        <v>45.933750000000003</v>
      </c>
      <c r="AS52" s="294">
        <f t="shared" si="8"/>
        <v>171320.46159480501</v>
      </c>
    </row>
    <row r="53" spans="1:45">
      <c r="A53" s="293">
        <f t="shared" si="9"/>
        <v>45796</v>
      </c>
      <c r="B53" s="294">
        <f>YEAR(Daily_KPI[[#This Row],[Date]])+IF(MONTH(Daily_KPI[[#This Row],[Date]])&gt;=4,1,0)</f>
        <v>2026</v>
      </c>
      <c r="C53" s="295">
        <f>YEAR(Daily_KPI[[#This Row],[Date]])</f>
        <v>2025</v>
      </c>
      <c r="D53" s="296">
        <f>Daily_KPI[[#This Row],[Date]]-DAY(Daily_KPI[[#This Row],[Date]])+1</f>
        <v>45778</v>
      </c>
      <c r="E53" s="295">
        <f t="shared" si="5"/>
        <v>31</v>
      </c>
      <c r="F53" s="297">
        <f>IFERROR(_xlfn.XLOOKUP($A53,Input_Raw!$A:$A,Input_Raw!$AR:$AR),"")</f>
        <v>12.316666666666668</v>
      </c>
      <c r="G53" s="298">
        <f>IFERROR(_xlfn.XLOOKUP($A53,Input_Raw!$A:$A,Input_Raw!$R:$R),"")</f>
        <v>5.53</v>
      </c>
      <c r="H53" s="298"/>
      <c r="I53" s="298">
        <f>IFERROR(_xlfn.XLOOKUP($A53,Input_Raw!$A:$A,Input_Raw!$Q:$Q),"")</f>
        <v>5.31</v>
      </c>
      <c r="J53" s="298"/>
      <c r="K53" s="298">
        <f>IFERROR(_xlfn.XLOOKUP($A53,Input_Raw!$A:$A,Input_Raw!S:S),"")</f>
        <v>33.409999999999997</v>
      </c>
      <c r="L53" s="298">
        <f>IFERROR(_xlfn.XLOOKUP($A53,Input_Raw!$A:$A,Input_Raw!T:T),"")</f>
        <v>43.82</v>
      </c>
      <c r="M53" s="298">
        <f>IFERROR(_xlfn.XLOOKUP($A53,Input_Raw!$A:$A,Input_Raw!W:W),"")</f>
        <v>1.7</v>
      </c>
      <c r="N53" s="298">
        <f>IFERROR(_xlfn.XLOOKUP($A53,Input_Raw!$A:$A,Input_Raw!X:X),"")</f>
        <v>11.93</v>
      </c>
      <c r="O53" s="299">
        <f>IFERROR(1-(SUMIF(Plant_BD!$B:$B,$A53,Plant_BD!$AL:$AL)/($AA53+SUMIF(Plant_BD!$B:$B,$A53,Plant_BD!$AL:$AL))),"")</f>
        <v>0.99806132601341657</v>
      </c>
      <c r="P53" s="299"/>
      <c r="Q53" s="300"/>
      <c r="R53" s="299">
        <f>IFERROR(1-(SUMIF(Grid_BD!$B:$B,$A53,Grid_BD!$V:$V)/($AA53+SUMIF(Grid_BD!$B:$B,$A53,Grid_BD!$V:$V))),"")</f>
        <v>1</v>
      </c>
      <c r="S53" s="295"/>
      <c r="T53" s="300"/>
      <c r="U53" s="301">
        <f t="shared" si="6"/>
        <v>0.83524932052790057</v>
      </c>
      <c r="V53" s="301" t="str">
        <f>IFERROR(_xlfn.XLOOKUP($A53,Input_Raw!$A:$A,Input_Raw!$AX:$AX),"")</f>
        <v/>
      </c>
      <c r="W53" s="302">
        <f t="shared" si="7"/>
        <v>0.15774817745252998</v>
      </c>
      <c r="X53" s="294">
        <f>IFERROR(_xlfn.XLOOKUP($A53,Input_Raw!$A:$A,Input_Raw!$AA:$AA),"")</f>
        <v>176960.2</v>
      </c>
      <c r="Y53" s="294">
        <f>IFERROR(_xlfn.XLOOKUP($A53,Input_Raw!$A:$A,Input_Raw!$AS:$AS),"")</f>
        <v>175000</v>
      </c>
      <c r="Z53" s="294"/>
      <c r="AA53" s="294">
        <f>IFERROR(_xlfn.XLOOKUP($A53,Input_Raw!$A:$A,Input_Raw!$AT:$AT),"")</f>
        <v>173903.16830544357</v>
      </c>
      <c r="AB53" s="294">
        <f>IFERROR(_xlfn.XLOOKUP($A53,Input_Raw!$A:$A,Input_Raw!$AU:$AU),"")</f>
        <v>39.21</v>
      </c>
      <c r="AC53" s="303">
        <f>IFERROR(_xlfn.XLOOKUP($D53,'Modelling New'!$D:$D,'Modelling New'!P:P),"")</f>
        <v>6.832313648387097</v>
      </c>
      <c r="AD53" s="294">
        <f>IFERROR(_xlfn.XLOOKUP($D53,'Modelling New'!$D:$D,'Modelling New'!T:T)*1000,"")</f>
        <v>200698.57823974433</v>
      </c>
      <c r="AE53" s="304">
        <f>IFERROR(_xlfn.XLOOKUP($D53,'Modelling New'!$D:$D,'Modelling New'!$O:$O),"")</f>
        <v>0.63950596310378405</v>
      </c>
      <c r="AF53" s="304">
        <f>IFERROR(_xlfn.XLOOKUP($D53,'Modelling New'!$D:$D,'Modelling New'!$W:$W),"")</f>
        <v>0.1820543883307883</v>
      </c>
      <c r="AG53" s="304">
        <f>IFERROR(_xlfn.XLOOKUP($D53,'Modelling New'!$D:$D,'Modelling New'!$AE:$AE),"")</f>
        <v>0.995</v>
      </c>
      <c r="AH53" s="304">
        <f>IFERROR(_xlfn.XLOOKUP($D53,'Modelling New'!$D:$D,'Modelling New'!$AF:$AF),"")</f>
        <v>0.995</v>
      </c>
      <c r="AI53" s="295"/>
      <c r="AJ53" s="295"/>
      <c r="AK53" s="295"/>
      <c r="AL53" s="295"/>
      <c r="AM53" s="295"/>
      <c r="AN53" s="305"/>
      <c r="AO53" s="302"/>
      <c r="AP53" s="302"/>
      <c r="AQ53" s="302"/>
      <c r="AR53" s="294">
        <f>_xlfn.XLOOKUP($D53,'Modelling New'!$D:$D,'Modelling New'!$N:$N)</f>
        <v>45.933750000000003</v>
      </c>
      <c r="AS53" s="294">
        <f t="shared" si="8"/>
        <v>171320.46159480501</v>
      </c>
    </row>
    <row r="54" spans="1:45">
      <c r="A54" s="293">
        <f t="shared" si="9"/>
        <v>45797</v>
      </c>
      <c r="B54" s="294">
        <f>YEAR(Daily_KPI[[#This Row],[Date]])+IF(MONTH(Daily_KPI[[#This Row],[Date]])&gt;=4,1,0)</f>
        <v>2026</v>
      </c>
      <c r="C54" s="295">
        <f>YEAR(Daily_KPI[[#This Row],[Date]])</f>
        <v>2025</v>
      </c>
      <c r="D54" s="296">
        <f>Daily_KPI[[#This Row],[Date]]-DAY(Daily_KPI[[#This Row],[Date]])+1</f>
        <v>45778</v>
      </c>
      <c r="E54" s="295">
        <f t="shared" si="5"/>
        <v>31</v>
      </c>
      <c r="F54" s="297">
        <f>IFERROR(_xlfn.XLOOKUP($A54,Input_Raw!$A:$A,Input_Raw!$AR:$AR),"")</f>
        <v>12</v>
      </c>
      <c r="G54" s="298">
        <f>IFERROR(_xlfn.XLOOKUP($A54,Input_Raw!$A:$A,Input_Raw!$R:$R),"")</f>
        <v>5.15</v>
      </c>
      <c r="H54" s="298"/>
      <c r="I54" s="298">
        <f>IFERROR(_xlfn.XLOOKUP($A54,Input_Raw!$A:$A,Input_Raw!$Q:$Q),"")</f>
        <v>4.91</v>
      </c>
      <c r="J54" s="298"/>
      <c r="K54" s="298">
        <f>IFERROR(_xlfn.XLOOKUP($A54,Input_Raw!$A:$A,Input_Raw!S:S),"")</f>
        <v>34.880000000000003</v>
      </c>
      <c r="L54" s="298">
        <f>IFERROR(_xlfn.XLOOKUP($A54,Input_Raw!$A:$A,Input_Raw!T:T),"")</f>
        <v>43.35</v>
      </c>
      <c r="M54" s="298">
        <f>IFERROR(_xlfn.XLOOKUP($A54,Input_Raw!$A:$A,Input_Raw!W:W),"")</f>
        <v>2.46</v>
      </c>
      <c r="N54" s="298">
        <f>IFERROR(_xlfn.XLOOKUP($A54,Input_Raw!$A:$A,Input_Raw!X:X),"")</f>
        <v>14.53</v>
      </c>
      <c r="O54" s="299">
        <f>IFERROR(1-(SUMIF(Plant_BD!$B:$B,$A54,Plant_BD!$AL:$AL)/($AA54+SUMIF(Plant_BD!$B:$B,$A54,Plant_BD!$AL:$AL))),"")</f>
        <v>1</v>
      </c>
      <c r="P54" s="299"/>
      <c r="Q54" s="300"/>
      <c r="R54" s="299">
        <f>IFERROR(1-(SUMIF(Grid_BD!$B:$B,$A54,Grid_BD!$V:$V)/($AA54+SUMIF(Grid_BD!$B:$B,$A54,Grid_BD!$V:$V))),"")</f>
        <v>1</v>
      </c>
      <c r="S54" s="295"/>
      <c r="T54" s="300"/>
      <c r="U54" s="301">
        <f t="shared" si="6"/>
        <v>0.83927895841405331</v>
      </c>
      <c r="V54" s="301" t="str">
        <f>IFERROR(_xlfn.XLOOKUP($A54,Input_Raw!$A:$A,Input_Raw!$AX:$AX),"")</f>
        <v/>
      </c>
      <c r="W54" s="302">
        <f t="shared" si="7"/>
        <v>0.1465687977075025</v>
      </c>
      <c r="X54" s="294">
        <f>IFERROR(_xlfn.XLOOKUP($A54,Input_Raw!$A:$A,Input_Raw!$AA:$AA),"")</f>
        <v>164452.69999999998</v>
      </c>
      <c r="Y54" s="294">
        <f>IFERROR(_xlfn.XLOOKUP($A54,Input_Raw!$A:$A,Input_Raw!$AS:$AS),"")</f>
        <v>162000</v>
      </c>
      <c r="Z54" s="294"/>
      <c r="AA54" s="294">
        <f>IFERROR(_xlfn.XLOOKUP($A54,Input_Raw!$A:$A,Input_Raw!$AT:$AT),"")</f>
        <v>161578.90828072783</v>
      </c>
      <c r="AB54" s="294">
        <f>IFERROR(_xlfn.XLOOKUP($A54,Input_Raw!$A:$A,Input_Raw!$AU:$AU),"")</f>
        <v>39.21</v>
      </c>
      <c r="AC54" s="303">
        <f>IFERROR(_xlfn.XLOOKUP($D54,'Modelling New'!$D:$D,'Modelling New'!P:P),"")</f>
        <v>6.832313648387097</v>
      </c>
      <c r="AD54" s="294">
        <f>IFERROR(_xlfn.XLOOKUP($D54,'Modelling New'!$D:$D,'Modelling New'!T:T)*1000,"")</f>
        <v>200698.57823974433</v>
      </c>
      <c r="AE54" s="304">
        <f>IFERROR(_xlfn.XLOOKUP($D54,'Modelling New'!$D:$D,'Modelling New'!$O:$O),"")</f>
        <v>0.63950596310378405</v>
      </c>
      <c r="AF54" s="304">
        <f>IFERROR(_xlfn.XLOOKUP($D54,'Modelling New'!$D:$D,'Modelling New'!$W:$W),"")</f>
        <v>0.1820543883307883</v>
      </c>
      <c r="AG54" s="304">
        <f>IFERROR(_xlfn.XLOOKUP($D54,'Modelling New'!$D:$D,'Modelling New'!$AE:$AE),"")</f>
        <v>0.995</v>
      </c>
      <c r="AH54" s="304">
        <f>IFERROR(_xlfn.XLOOKUP($D54,'Modelling New'!$D:$D,'Modelling New'!$AF:$AF),"")</f>
        <v>0.995</v>
      </c>
      <c r="AI54" s="295"/>
      <c r="AJ54" s="295"/>
      <c r="AK54" s="295"/>
      <c r="AL54" s="295"/>
      <c r="AM54" s="295"/>
      <c r="AN54" s="305"/>
      <c r="AO54" s="302"/>
      <c r="AP54" s="302"/>
      <c r="AQ54" s="302"/>
      <c r="AR54" s="294">
        <f>_xlfn.XLOOKUP($D54,'Modelling New'!$D:$D,'Modelling New'!$N:$N)</f>
        <v>45.933750000000003</v>
      </c>
      <c r="AS54" s="294">
        <f t="shared" si="8"/>
        <v>171320.46159480501</v>
      </c>
    </row>
    <row r="55" spans="1:45">
      <c r="A55" s="293">
        <f t="shared" si="9"/>
        <v>45798</v>
      </c>
      <c r="B55" s="294">
        <f>YEAR(Daily_KPI[[#This Row],[Date]])+IF(MONTH(Daily_KPI[[#This Row],[Date]])&gt;=4,1,0)</f>
        <v>2026</v>
      </c>
      <c r="C55" s="295">
        <f>YEAR(Daily_KPI[[#This Row],[Date]])</f>
        <v>2025</v>
      </c>
      <c r="D55" s="296">
        <f>Daily_KPI[[#This Row],[Date]]-DAY(Daily_KPI[[#This Row],[Date]])+1</f>
        <v>45778</v>
      </c>
      <c r="E55" s="295">
        <f t="shared" si="5"/>
        <v>31</v>
      </c>
      <c r="F55" s="297">
        <f>IFERROR(_xlfn.XLOOKUP($A55,Input_Raw!$A:$A,Input_Raw!$AR:$AR),"")</f>
        <v>12.266666666666666</v>
      </c>
      <c r="G55" s="298">
        <f>IFERROR(_xlfn.XLOOKUP($A55,Input_Raw!$A:$A,Input_Raw!$R:$R),"")</f>
        <v>4.5</v>
      </c>
      <c r="H55" s="298"/>
      <c r="I55" s="298">
        <f>IFERROR(_xlfn.XLOOKUP($A55,Input_Raw!$A:$A,Input_Raw!$Q:$Q),"")</f>
        <v>4.3600000000000003</v>
      </c>
      <c r="J55" s="298"/>
      <c r="K55" s="298">
        <f>IFERROR(_xlfn.XLOOKUP($A55,Input_Raw!$A:$A,Input_Raw!S:S),"")</f>
        <v>30.53</v>
      </c>
      <c r="L55" s="298">
        <f>IFERROR(_xlfn.XLOOKUP($A55,Input_Raw!$A:$A,Input_Raw!T:T),"")</f>
        <v>39.47</v>
      </c>
      <c r="M55" s="298">
        <f>IFERROR(_xlfn.XLOOKUP($A55,Input_Raw!$A:$A,Input_Raw!W:W),"")</f>
        <v>2.39</v>
      </c>
      <c r="N55" s="298">
        <f>IFERROR(_xlfn.XLOOKUP($A55,Input_Raw!$A:$A,Input_Raw!X:X),"")</f>
        <v>14.28</v>
      </c>
      <c r="O55" s="299">
        <f>IFERROR(1-(SUMIF(Plant_BD!$B:$B,$A55,Plant_BD!$AL:$AL)/($AA55+SUMIF(Plant_BD!$B:$B,$A55,Plant_BD!$AL:$AL))),"")</f>
        <v>1</v>
      </c>
      <c r="P55" s="299"/>
      <c r="Q55" s="300"/>
      <c r="R55" s="299">
        <f>IFERROR(1-(SUMIF(Grid_BD!$B:$B,$A55,Grid_BD!$V:$V)/($AA55+SUMIF(Grid_BD!$B:$B,$A55,Grid_BD!$V:$V))),"")</f>
        <v>1</v>
      </c>
      <c r="S55" s="295"/>
      <c r="T55" s="300"/>
      <c r="U55" s="301">
        <f t="shared" si="6"/>
        <v>0.88055632304540188</v>
      </c>
      <c r="V55" s="301" t="str">
        <f>IFERROR(_xlfn.XLOOKUP($A55,Input_Raw!$A:$A,Input_Raw!$AX:$AX),"")</f>
        <v/>
      </c>
      <c r="W55" s="302">
        <f t="shared" si="7"/>
        <v>0.13655176798107829</v>
      </c>
      <c r="X55" s="294">
        <f>IFERROR(_xlfn.XLOOKUP($A55,Input_Raw!$A:$A,Input_Raw!$AA:$AA),"")</f>
        <v>152923.9</v>
      </c>
      <c r="Y55" s="294">
        <f>IFERROR(_xlfn.XLOOKUP($A55,Input_Raw!$A:$A,Input_Raw!$AS:$AS),"")</f>
        <v>152000</v>
      </c>
      <c r="Z55" s="294"/>
      <c r="AA55" s="294">
        <f>IFERROR(_xlfn.XLOOKUP($A55,Input_Raw!$A:$A,Input_Raw!$AT:$AT),"")</f>
        <v>150536.03454002051</v>
      </c>
      <c r="AB55" s="294">
        <f>IFERROR(_xlfn.XLOOKUP($A55,Input_Raw!$A:$A,Input_Raw!$AU:$AU),"")</f>
        <v>39.21</v>
      </c>
      <c r="AC55" s="303">
        <f>IFERROR(_xlfn.XLOOKUP($D55,'Modelling New'!$D:$D,'Modelling New'!P:P),"")</f>
        <v>6.832313648387097</v>
      </c>
      <c r="AD55" s="294">
        <f>IFERROR(_xlfn.XLOOKUP($D55,'Modelling New'!$D:$D,'Modelling New'!T:T)*1000,"")</f>
        <v>200698.57823974433</v>
      </c>
      <c r="AE55" s="304">
        <f>IFERROR(_xlfn.XLOOKUP($D55,'Modelling New'!$D:$D,'Modelling New'!$O:$O),"")</f>
        <v>0.63950596310378405</v>
      </c>
      <c r="AF55" s="304">
        <f>IFERROR(_xlfn.XLOOKUP($D55,'Modelling New'!$D:$D,'Modelling New'!$W:$W),"")</f>
        <v>0.1820543883307883</v>
      </c>
      <c r="AG55" s="304">
        <f>IFERROR(_xlfn.XLOOKUP($D55,'Modelling New'!$D:$D,'Modelling New'!$AE:$AE),"")</f>
        <v>0.995</v>
      </c>
      <c r="AH55" s="304">
        <f>IFERROR(_xlfn.XLOOKUP($D55,'Modelling New'!$D:$D,'Modelling New'!$AF:$AF),"")</f>
        <v>0.995</v>
      </c>
      <c r="AI55" s="295"/>
      <c r="AJ55" s="295"/>
      <c r="AK55" s="295"/>
      <c r="AL55" s="295"/>
      <c r="AM55" s="295"/>
      <c r="AN55" s="305"/>
      <c r="AO55" s="302"/>
      <c r="AP55" s="302"/>
      <c r="AQ55" s="302"/>
      <c r="AR55" s="294">
        <f>_xlfn.XLOOKUP($D55,'Modelling New'!$D:$D,'Modelling New'!$N:$N)</f>
        <v>45.933750000000003</v>
      </c>
      <c r="AS55" s="294">
        <f t="shared" si="8"/>
        <v>171320.46159480501</v>
      </c>
    </row>
    <row r="56" spans="1:45">
      <c r="A56" s="293">
        <f t="shared" si="9"/>
        <v>45799</v>
      </c>
      <c r="B56" s="294">
        <f>YEAR(Daily_KPI[[#This Row],[Date]])+IF(MONTH(Daily_KPI[[#This Row],[Date]])&gt;=4,1,0)</f>
        <v>2026</v>
      </c>
      <c r="C56" s="295">
        <f>YEAR(Daily_KPI[[#This Row],[Date]])</f>
        <v>2025</v>
      </c>
      <c r="D56" s="296">
        <f>Daily_KPI[[#This Row],[Date]]-DAY(Daily_KPI[[#This Row],[Date]])+1</f>
        <v>45778</v>
      </c>
      <c r="E56" s="295">
        <f t="shared" si="5"/>
        <v>31</v>
      </c>
      <c r="F56" s="297">
        <f>IFERROR(_xlfn.XLOOKUP($A56,Input_Raw!$A:$A,Input_Raw!$AR:$AR),"")</f>
        <v>12.299999999999999</v>
      </c>
      <c r="G56" s="298">
        <f>IFERROR(_xlfn.XLOOKUP($A56,Input_Raw!$A:$A,Input_Raw!$R:$R),"")</f>
        <v>3.4</v>
      </c>
      <c r="H56" s="298"/>
      <c r="I56" s="298">
        <f>IFERROR(_xlfn.XLOOKUP($A56,Input_Raw!$A:$A,Input_Raw!$Q:$Q),"")</f>
        <v>3.32</v>
      </c>
      <c r="J56" s="298"/>
      <c r="K56" s="298">
        <f>IFERROR(_xlfn.XLOOKUP($A56,Input_Raw!$A:$A,Input_Raw!S:S),"")</f>
        <v>28.46</v>
      </c>
      <c r="L56" s="298">
        <f>IFERROR(_xlfn.XLOOKUP($A56,Input_Raw!$A:$A,Input_Raw!T:T),"")</f>
        <v>34.880000000000003</v>
      </c>
      <c r="M56" s="298">
        <f>IFERROR(_xlfn.XLOOKUP($A56,Input_Raw!$A:$A,Input_Raw!W:W),"")</f>
        <v>1.94</v>
      </c>
      <c r="N56" s="298">
        <f>IFERROR(_xlfn.XLOOKUP($A56,Input_Raw!$A:$A,Input_Raw!X:X),"")</f>
        <v>5.2</v>
      </c>
      <c r="O56" s="299">
        <f>IFERROR(1-(SUMIF(Plant_BD!$B:$B,$A56,Plant_BD!$AL:$AL)/($AA56+SUMIF(Plant_BD!$B:$B,$A56,Plant_BD!$AL:$AL))),"")</f>
        <v>0.98717164378069189</v>
      </c>
      <c r="P56" s="299"/>
      <c r="Q56" s="300"/>
      <c r="R56" s="299">
        <f>IFERROR(1-(SUMIF(Grid_BD!$B:$B,$A56,Grid_BD!$V:$V)/($AA56+SUMIF(Grid_BD!$B:$B,$A56,Grid_BD!$V:$V))),"")</f>
        <v>1</v>
      </c>
      <c r="S56" s="295"/>
      <c r="T56" s="300"/>
      <c r="U56" s="301">
        <f t="shared" si="6"/>
        <v>0.87252411696420917</v>
      </c>
      <c r="V56" s="301" t="str">
        <f>IFERROR(_xlfn.XLOOKUP($A56,Input_Raw!$A:$A,Input_Raw!$AX:$AX),"")</f>
        <v/>
      </c>
      <c r="W56" s="302">
        <f t="shared" si="7"/>
        <v>0.10303131001975059</v>
      </c>
      <c r="X56" s="294">
        <f>IFERROR(_xlfn.XLOOKUP($A56,Input_Raw!$A:$A,Input_Raw!$AA:$AA),"")</f>
        <v>115421.30000000002</v>
      </c>
      <c r="Y56" s="294">
        <f>IFERROR(_xlfn.XLOOKUP($A56,Input_Raw!$A:$A,Input_Raw!$AS:$AS),"")</f>
        <v>115000</v>
      </c>
      <c r="Z56" s="294"/>
      <c r="AA56" s="294">
        <f>IFERROR(_xlfn.XLOOKUP($A56,Input_Raw!$A:$A,Input_Raw!$AT:$AT),"")</f>
        <v>113582.74647887325</v>
      </c>
      <c r="AB56" s="294">
        <f>IFERROR(_xlfn.XLOOKUP($A56,Input_Raw!$A:$A,Input_Raw!$AU:$AU),"")</f>
        <v>39.21</v>
      </c>
      <c r="AC56" s="303">
        <f>IFERROR(_xlfn.XLOOKUP($D56,'Modelling New'!$D:$D,'Modelling New'!P:P),"")</f>
        <v>6.832313648387097</v>
      </c>
      <c r="AD56" s="294">
        <f>IFERROR(_xlfn.XLOOKUP($D56,'Modelling New'!$D:$D,'Modelling New'!T:T)*1000,"")</f>
        <v>200698.57823974433</v>
      </c>
      <c r="AE56" s="304">
        <f>IFERROR(_xlfn.XLOOKUP($D56,'Modelling New'!$D:$D,'Modelling New'!$O:$O),"")</f>
        <v>0.63950596310378405</v>
      </c>
      <c r="AF56" s="304">
        <f>IFERROR(_xlfn.XLOOKUP($D56,'Modelling New'!$D:$D,'Modelling New'!$W:$W),"")</f>
        <v>0.1820543883307883</v>
      </c>
      <c r="AG56" s="304">
        <f>IFERROR(_xlfn.XLOOKUP($D56,'Modelling New'!$D:$D,'Modelling New'!$AE:$AE),"")</f>
        <v>0.995</v>
      </c>
      <c r="AH56" s="304">
        <f>IFERROR(_xlfn.XLOOKUP($D56,'Modelling New'!$D:$D,'Modelling New'!$AF:$AF),"")</f>
        <v>0.995</v>
      </c>
      <c r="AI56" s="295"/>
      <c r="AJ56" s="295"/>
      <c r="AK56" s="295"/>
      <c r="AL56" s="295"/>
      <c r="AM56" s="295"/>
      <c r="AN56" s="305"/>
      <c r="AO56" s="302"/>
      <c r="AP56" s="302"/>
      <c r="AQ56" s="302"/>
      <c r="AR56" s="294">
        <f>_xlfn.XLOOKUP($D56,'Modelling New'!$D:$D,'Modelling New'!$N:$N)</f>
        <v>45.933750000000003</v>
      </c>
      <c r="AS56" s="294">
        <f t="shared" si="8"/>
        <v>171320.46159480501</v>
      </c>
    </row>
    <row r="57" spans="1:45">
      <c r="A57" s="293">
        <f t="shared" si="9"/>
        <v>45800</v>
      </c>
      <c r="B57" s="294">
        <f>YEAR(Daily_KPI[[#This Row],[Date]])+IF(MONTH(Daily_KPI[[#This Row],[Date]])&gt;=4,1,0)</f>
        <v>2026</v>
      </c>
      <c r="C57" s="295">
        <f>YEAR(Daily_KPI[[#This Row],[Date]])</f>
        <v>2025</v>
      </c>
      <c r="D57" s="296">
        <f>Daily_KPI[[#This Row],[Date]]-DAY(Daily_KPI[[#This Row],[Date]])+1</f>
        <v>45778</v>
      </c>
      <c r="E57" s="295">
        <f t="shared" si="5"/>
        <v>31</v>
      </c>
      <c r="F57" s="297">
        <f>IFERROR(_xlfn.XLOOKUP($A57,Input_Raw!$A:$A,Input_Raw!$AR:$AR),"")</f>
        <v>11.083333333333334</v>
      </c>
      <c r="G57" s="298">
        <f>IFERROR(_xlfn.XLOOKUP($A57,Input_Raw!$A:$A,Input_Raw!$R:$R),"")</f>
        <v>3.8</v>
      </c>
      <c r="H57" s="298"/>
      <c r="I57" s="298">
        <f>IFERROR(_xlfn.XLOOKUP($A57,Input_Raw!$A:$A,Input_Raw!$Q:$Q),"")</f>
        <v>3.67</v>
      </c>
      <c r="J57" s="298"/>
      <c r="K57" s="298">
        <f>IFERROR(_xlfn.XLOOKUP($A57,Input_Raw!$A:$A,Input_Raw!S:S),"")</f>
        <v>30.01</v>
      </c>
      <c r="L57" s="298">
        <f>IFERROR(_xlfn.XLOOKUP($A57,Input_Raw!$A:$A,Input_Raw!T:T),"")</f>
        <v>38.159999999999997</v>
      </c>
      <c r="M57" s="298">
        <f>IFERROR(_xlfn.XLOOKUP($A57,Input_Raw!$A:$A,Input_Raw!W:W),"")</f>
        <v>1.98</v>
      </c>
      <c r="N57" s="298">
        <f>IFERROR(_xlfn.XLOOKUP($A57,Input_Raw!$A:$A,Input_Raw!X:X),"")</f>
        <v>5.6</v>
      </c>
      <c r="O57" s="299">
        <f>IFERROR(1-(SUMIF(Plant_BD!$B:$B,$A57,Plant_BD!$AL:$AL)/($AA57+SUMIF(Plant_BD!$B:$B,$A57,Plant_BD!$AL:$AL))),"")</f>
        <v>0.99970852036510216</v>
      </c>
      <c r="P57" s="299"/>
      <c r="Q57" s="300"/>
      <c r="R57" s="299">
        <f>IFERROR(1-(SUMIF(Grid_BD!$B:$B,$A57,Grid_BD!$V:$V)/($AA57+SUMIF(Grid_BD!$B:$B,$A57,Grid_BD!$V:$V))),"")</f>
        <v>1</v>
      </c>
      <c r="S57" s="295"/>
      <c r="T57" s="300"/>
      <c r="U57" s="301">
        <f t="shared" si="6"/>
        <v>0.87723982293404834</v>
      </c>
      <c r="V57" s="301" t="str">
        <f>IFERROR(_xlfn.XLOOKUP($A57,Input_Raw!$A:$A,Input_Raw!$AX:$AX),"")</f>
        <v/>
      </c>
      <c r="W57" s="302">
        <f t="shared" si="7"/>
        <v>0.11450859896779383</v>
      </c>
      <c r="X57" s="294">
        <f>IFERROR(_xlfn.XLOOKUP($A57,Input_Raw!$A:$A,Input_Raw!$AA:$AA),"")</f>
        <v>128400.8</v>
      </c>
      <c r="Y57" s="294">
        <f>IFERROR(_xlfn.XLOOKUP($A57,Input_Raw!$A:$A,Input_Raw!$AS:$AS),"")</f>
        <v>127000</v>
      </c>
      <c r="Z57" s="294"/>
      <c r="AA57" s="294">
        <f>IFERROR(_xlfn.XLOOKUP($A57,Input_Raw!$A:$A,Input_Raw!$AT:$AT),"")</f>
        <v>126235.4245880856</v>
      </c>
      <c r="AB57" s="294">
        <f>IFERROR(_xlfn.XLOOKUP($A57,Input_Raw!$A:$A,Input_Raw!$AU:$AU),"")</f>
        <v>39.21</v>
      </c>
      <c r="AC57" s="303">
        <f>IFERROR(_xlfn.XLOOKUP($D57,'Modelling New'!$D:$D,'Modelling New'!P:P),"")</f>
        <v>6.832313648387097</v>
      </c>
      <c r="AD57" s="294">
        <f>IFERROR(_xlfn.XLOOKUP($D57,'Modelling New'!$D:$D,'Modelling New'!T:T)*1000,"")</f>
        <v>200698.57823974433</v>
      </c>
      <c r="AE57" s="304">
        <f>IFERROR(_xlfn.XLOOKUP($D57,'Modelling New'!$D:$D,'Modelling New'!$O:$O),"")</f>
        <v>0.63950596310378405</v>
      </c>
      <c r="AF57" s="304">
        <f>IFERROR(_xlfn.XLOOKUP($D57,'Modelling New'!$D:$D,'Modelling New'!$W:$W),"")</f>
        <v>0.1820543883307883</v>
      </c>
      <c r="AG57" s="304">
        <f>IFERROR(_xlfn.XLOOKUP($D57,'Modelling New'!$D:$D,'Modelling New'!$AE:$AE),"")</f>
        <v>0.995</v>
      </c>
      <c r="AH57" s="304">
        <f>IFERROR(_xlfn.XLOOKUP($D57,'Modelling New'!$D:$D,'Modelling New'!$AF:$AF),"")</f>
        <v>0.995</v>
      </c>
      <c r="AI57" s="295"/>
      <c r="AJ57" s="295"/>
      <c r="AK57" s="295"/>
      <c r="AL57" s="295"/>
      <c r="AM57" s="295"/>
      <c r="AN57" s="305"/>
      <c r="AO57" s="302"/>
      <c r="AP57" s="302"/>
      <c r="AQ57" s="302"/>
      <c r="AR57" s="294">
        <f>_xlfn.XLOOKUP($D57,'Modelling New'!$D:$D,'Modelling New'!$N:$N)</f>
        <v>45.933750000000003</v>
      </c>
      <c r="AS57" s="294">
        <f t="shared" si="8"/>
        <v>171320.46159480501</v>
      </c>
    </row>
    <row r="58" spans="1:45">
      <c r="A58" s="293">
        <f t="shared" si="9"/>
        <v>45801</v>
      </c>
      <c r="B58" s="294">
        <f>YEAR(Daily_KPI[[#This Row],[Date]])+IF(MONTH(Daily_KPI[[#This Row],[Date]])&gt;=4,1,0)</f>
        <v>2026</v>
      </c>
      <c r="C58" s="295">
        <f>YEAR(Daily_KPI[[#This Row],[Date]])</f>
        <v>2025</v>
      </c>
      <c r="D58" s="296">
        <f>Daily_KPI[[#This Row],[Date]]-DAY(Daily_KPI[[#This Row],[Date]])+1</f>
        <v>45778</v>
      </c>
      <c r="E58" s="295">
        <f t="shared" si="5"/>
        <v>31</v>
      </c>
      <c r="F58" s="297">
        <f>IFERROR(_xlfn.XLOOKUP($A58,Input_Raw!$A:$A,Input_Raw!$AR:$AR),"")</f>
        <v>11.350000000000001</v>
      </c>
      <c r="G58" s="298">
        <f>IFERROR(_xlfn.XLOOKUP($A58,Input_Raw!$A:$A,Input_Raw!$R:$R),"")</f>
        <v>3.39</v>
      </c>
      <c r="H58" s="298"/>
      <c r="I58" s="298">
        <f>IFERROR(_xlfn.XLOOKUP($A58,Input_Raw!$A:$A,Input_Raw!$Q:$Q),"")</f>
        <v>3.33</v>
      </c>
      <c r="J58" s="298"/>
      <c r="K58" s="298">
        <f>IFERROR(_xlfn.XLOOKUP($A58,Input_Raw!$A:$A,Input_Raw!S:S),"")</f>
        <v>28.12</v>
      </c>
      <c r="L58" s="298">
        <f>IFERROR(_xlfn.XLOOKUP($A58,Input_Raw!$A:$A,Input_Raw!T:T),"")</f>
        <v>35.049999999999997</v>
      </c>
      <c r="M58" s="298">
        <f>IFERROR(_xlfn.XLOOKUP($A58,Input_Raw!$A:$A,Input_Raw!W:W),"")</f>
        <v>1.92</v>
      </c>
      <c r="N58" s="298">
        <f>IFERROR(_xlfn.XLOOKUP($A58,Input_Raw!$A:$A,Input_Raw!X:X),"")</f>
        <v>7.93</v>
      </c>
      <c r="O58" s="299">
        <f>IFERROR(1-(SUMIF(Plant_BD!$B:$B,$A58,Plant_BD!$AL:$AL)/($AA58+SUMIF(Plant_BD!$B:$B,$A58,Plant_BD!$AL:$AL))),"")</f>
        <v>0.89918795606588997</v>
      </c>
      <c r="P58" s="299"/>
      <c r="Q58" s="300"/>
      <c r="R58" s="299">
        <f>IFERROR(1-(SUMIF(Grid_BD!$B:$B,$A58,Grid_BD!$V:$V)/($AA58+SUMIF(Grid_BD!$B:$B,$A58,Grid_BD!$V:$V))),"")</f>
        <v>1</v>
      </c>
      <c r="S58" s="295"/>
      <c r="T58" s="300"/>
      <c r="U58" s="301">
        <f t="shared" si="6"/>
        <v>0.73873454991330401</v>
      </c>
      <c r="V58" s="301" t="str">
        <f>IFERROR(_xlfn.XLOOKUP($A58,Input_Raw!$A:$A,Input_Raw!$AX:$AX),"")</f>
        <v/>
      </c>
      <c r="W58" s="302">
        <f t="shared" si="7"/>
        <v>8.7495626008467969E-2</v>
      </c>
      <c r="X58" s="294">
        <f>IFERROR(_xlfn.XLOOKUP($A58,Input_Raw!$A:$A,Input_Raw!$AA:$AA),"")</f>
        <v>98383.4</v>
      </c>
      <c r="Y58" s="294">
        <f>IFERROR(_xlfn.XLOOKUP($A58,Input_Raw!$A:$A,Input_Raw!$AS:$AS),"")</f>
        <v>98000</v>
      </c>
      <c r="Z58" s="294"/>
      <c r="AA58" s="294">
        <f>IFERROR(_xlfn.XLOOKUP($A58,Input_Raw!$A:$A,Input_Raw!$AT:$AT),"")</f>
        <v>96456.053067995177</v>
      </c>
      <c r="AB58" s="294">
        <f>IFERROR(_xlfn.XLOOKUP($A58,Input_Raw!$A:$A,Input_Raw!$AU:$AU),"")</f>
        <v>39.21</v>
      </c>
      <c r="AC58" s="303">
        <f>IFERROR(_xlfn.XLOOKUP($D58,'Modelling New'!$D:$D,'Modelling New'!P:P),"")</f>
        <v>6.832313648387097</v>
      </c>
      <c r="AD58" s="294">
        <f>IFERROR(_xlfn.XLOOKUP($D58,'Modelling New'!$D:$D,'Modelling New'!T:T)*1000,"")</f>
        <v>200698.57823974433</v>
      </c>
      <c r="AE58" s="304">
        <f>IFERROR(_xlfn.XLOOKUP($D58,'Modelling New'!$D:$D,'Modelling New'!$O:$O),"")</f>
        <v>0.63950596310378405</v>
      </c>
      <c r="AF58" s="304">
        <f>IFERROR(_xlfn.XLOOKUP($D58,'Modelling New'!$D:$D,'Modelling New'!$W:$W),"")</f>
        <v>0.1820543883307883</v>
      </c>
      <c r="AG58" s="304">
        <f>IFERROR(_xlfn.XLOOKUP($D58,'Modelling New'!$D:$D,'Modelling New'!$AE:$AE),"")</f>
        <v>0.995</v>
      </c>
      <c r="AH58" s="304">
        <f>IFERROR(_xlfn.XLOOKUP($D58,'Modelling New'!$D:$D,'Modelling New'!$AF:$AF),"")</f>
        <v>0.995</v>
      </c>
      <c r="AI58" s="295"/>
      <c r="AJ58" s="295"/>
      <c r="AK58" s="295"/>
      <c r="AL58" s="295"/>
      <c r="AM58" s="295"/>
      <c r="AN58" s="305"/>
      <c r="AO58" s="302"/>
      <c r="AP58" s="302"/>
      <c r="AQ58" s="302"/>
      <c r="AR58" s="294">
        <f>_xlfn.XLOOKUP($D58,'Modelling New'!$D:$D,'Modelling New'!$N:$N)</f>
        <v>45.933750000000003</v>
      </c>
      <c r="AS58" s="294">
        <f t="shared" si="8"/>
        <v>171320.46159480501</v>
      </c>
    </row>
    <row r="59" spans="1:45">
      <c r="A59" s="293">
        <f t="shared" si="9"/>
        <v>45802</v>
      </c>
      <c r="B59" s="294">
        <f>YEAR(Daily_KPI[[#This Row],[Date]])+IF(MONTH(Daily_KPI[[#This Row],[Date]])&gt;=4,1,0)</f>
        <v>2026</v>
      </c>
      <c r="C59" s="295">
        <f>YEAR(Daily_KPI[[#This Row],[Date]])</f>
        <v>2025</v>
      </c>
      <c r="D59" s="296">
        <f>Daily_KPI[[#This Row],[Date]]-DAY(Daily_KPI[[#This Row],[Date]])+1</f>
        <v>45778</v>
      </c>
      <c r="E59" s="295">
        <f t="shared" si="5"/>
        <v>31</v>
      </c>
      <c r="F59" s="297">
        <f>IFERROR(_xlfn.XLOOKUP($A59,Input_Raw!$A:$A,Input_Raw!$AR:$AR),"")</f>
        <v>12.166666666666666</v>
      </c>
      <c r="G59" s="298">
        <f>IFERROR(_xlfn.XLOOKUP($A59,Input_Raw!$A:$A,Input_Raw!$R:$R),"")</f>
        <v>5.29</v>
      </c>
      <c r="H59" s="298"/>
      <c r="I59" s="298">
        <f>IFERROR(_xlfn.XLOOKUP($A59,Input_Raw!$A:$A,Input_Raw!$Q:$Q),"")</f>
        <v>5.0599999999999996</v>
      </c>
      <c r="J59" s="298"/>
      <c r="K59" s="298">
        <f>IFERROR(_xlfn.XLOOKUP($A59,Input_Raw!$A:$A,Input_Raw!S:S),"")</f>
        <v>30.16</v>
      </c>
      <c r="L59" s="298">
        <f>IFERROR(_xlfn.XLOOKUP($A59,Input_Raw!$A:$A,Input_Raw!T:T),"")</f>
        <v>39.49</v>
      </c>
      <c r="M59" s="298">
        <f>IFERROR(_xlfn.XLOOKUP($A59,Input_Raw!$A:$A,Input_Raw!W:W),"")</f>
        <v>1.97</v>
      </c>
      <c r="N59" s="298">
        <f>IFERROR(_xlfn.XLOOKUP($A59,Input_Raw!$A:$A,Input_Raw!X:X),"")</f>
        <v>7.16</v>
      </c>
      <c r="O59" s="299">
        <f>IFERROR(1-(SUMIF(Plant_BD!$B:$B,$A59,Plant_BD!$AL:$AL)/($AA59+SUMIF(Plant_BD!$B:$B,$A59,Plant_BD!$AL:$AL))),"")</f>
        <v>0.98263506820149427</v>
      </c>
      <c r="P59" s="299"/>
      <c r="Q59" s="300"/>
      <c r="R59" s="299">
        <f>IFERROR(1-(SUMIF(Grid_BD!$B:$B,$A59,Grid_BD!$V:$V)/($AA59+SUMIF(Grid_BD!$B:$B,$A59,Grid_BD!$V:$V))),"")</f>
        <v>1</v>
      </c>
      <c r="S59" s="295"/>
      <c r="T59" s="300"/>
      <c r="U59" s="301">
        <f t="shared" si="6"/>
        <v>0.79108393273259925</v>
      </c>
      <c r="V59" s="301" t="str">
        <f>IFERROR(_xlfn.XLOOKUP($A59,Input_Raw!$A:$A,Input_Raw!$AX:$AX),"")</f>
        <v/>
      </c>
      <c r="W59" s="302">
        <f t="shared" si="7"/>
        <v>0.14237271892705325</v>
      </c>
      <c r="X59" s="294">
        <f>IFERROR(_xlfn.XLOOKUP($A59,Input_Raw!$A:$A,Input_Raw!$AA:$AA),"")</f>
        <v>159255.70000000001</v>
      </c>
      <c r="Y59" s="294">
        <f>IFERROR(_xlfn.XLOOKUP($A59,Input_Raw!$A:$A,Input_Raw!$AS:$AS),"")</f>
        <v>158000</v>
      </c>
      <c r="Z59" s="294"/>
      <c r="AA59" s="294">
        <f>IFERROR(_xlfn.XLOOKUP($A59,Input_Raw!$A:$A,Input_Raw!$AT:$AT),"")</f>
        <v>156953.10907237278</v>
      </c>
      <c r="AB59" s="294">
        <f>IFERROR(_xlfn.XLOOKUP($A59,Input_Raw!$A:$A,Input_Raw!$AU:$AU),"")</f>
        <v>39.21</v>
      </c>
      <c r="AC59" s="303">
        <f>IFERROR(_xlfn.XLOOKUP($D59,'Modelling New'!$D:$D,'Modelling New'!P:P),"")</f>
        <v>6.832313648387097</v>
      </c>
      <c r="AD59" s="294">
        <f>IFERROR(_xlfn.XLOOKUP($D59,'Modelling New'!$D:$D,'Modelling New'!T:T)*1000,"")</f>
        <v>200698.57823974433</v>
      </c>
      <c r="AE59" s="304">
        <f>IFERROR(_xlfn.XLOOKUP($D59,'Modelling New'!$D:$D,'Modelling New'!$O:$O),"")</f>
        <v>0.63950596310378405</v>
      </c>
      <c r="AF59" s="304">
        <f>IFERROR(_xlfn.XLOOKUP($D59,'Modelling New'!$D:$D,'Modelling New'!$W:$W),"")</f>
        <v>0.1820543883307883</v>
      </c>
      <c r="AG59" s="304">
        <f>IFERROR(_xlfn.XLOOKUP($D59,'Modelling New'!$D:$D,'Modelling New'!$AE:$AE),"")</f>
        <v>0.995</v>
      </c>
      <c r="AH59" s="304">
        <f>IFERROR(_xlfn.XLOOKUP($D59,'Modelling New'!$D:$D,'Modelling New'!$AF:$AF),"")</f>
        <v>0.995</v>
      </c>
      <c r="AI59" s="295"/>
      <c r="AJ59" s="295"/>
      <c r="AK59" s="295"/>
      <c r="AL59" s="295"/>
      <c r="AM59" s="295"/>
      <c r="AN59" s="305"/>
      <c r="AO59" s="302"/>
      <c r="AP59" s="302"/>
      <c r="AQ59" s="302"/>
      <c r="AR59" s="294">
        <f>_xlfn.XLOOKUP($D59,'Modelling New'!$D:$D,'Modelling New'!$N:$N)</f>
        <v>45.933750000000003</v>
      </c>
      <c r="AS59" s="294">
        <f t="shared" si="8"/>
        <v>171320.46159480501</v>
      </c>
    </row>
    <row r="60" spans="1:45">
      <c r="A60" s="293">
        <f t="shared" si="9"/>
        <v>45803</v>
      </c>
      <c r="B60" s="294">
        <f>YEAR(Daily_KPI[[#This Row],[Date]])+IF(MONTH(Daily_KPI[[#This Row],[Date]])&gt;=4,1,0)</f>
        <v>2026</v>
      </c>
      <c r="C60" s="295">
        <f>YEAR(Daily_KPI[[#This Row],[Date]])</f>
        <v>2025</v>
      </c>
      <c r="D60" s="296">
        <f>Daily_KPI[[#This Row],[Date]]-DAY(Daily_KPI[[#This Row],[Date]])+1</f>
        <v>45778</v>
      </c>
      <c r="E60" s="295">
        <f t="shared" si="5"/>
        <v>31</v>
      </c>
      <c r="F60" s="297">
        <f>IFERROR(_xlfn.XLOOKUP($A60,Input_Raw!$A:$A,Input_Raw!$AR:$AR),"")</f>
        <v>12.666666666666668</v>
      </c>
      <c r="G60" s="298">
        <f>IFERROR(_xlfn.XLOOKUP($A60,Input_Raw!$A:$A,Input_Raw!$R:$R),"")</f>
        <v>5.99</v>
      </c>
      <c r="H60" s="298"/>
      <c r="I60" s="298">
        <f>IFERROR(_xlfn.XLOOKUP($A60,Input_Raw!$A:$A,Input_Raw!$Q:$Q),"")</f>
        <v>5.58</v>
      </c>
      <c r="J60" s="298"/>
      <c r="K60" s="298">
        <f>IFERROR(_xlfn.XLOOKUP($A60,Input_Raw!$A:$A,Input_Raw!S:S),"")</f>
        <v>32.11</v>
      </c>
      <c r="L60" s="298">
        <f>IFERROR(_xlfn.XLOOKUP($A60,Input_Raw!$A:$A,Input_Raw!T:T),"")</f>
        <v>40.130000000000003</v>
      </c>
      <c r="M60" s="298">
        <f>IFERROR(_xlfn.XLOOKUP($A60,Input_Raw!$A:$A,Input_Raw!W:W),"")</f>
        <v>2.73</v>
      </c>
      <c r="N60" s="298">
        <f>IFERROR(_xlfn.XLOOKUP($A60,Input_Raw!$A:$A,Input_Raw!X:X),"")</f>
        <v>8.16</v>
      </c>
      <c r="O60" s="299">
        <f>IFERROR(1-(SUMIF(Plant_BD!$B:$B,$A60,Plant_BD!$AL:$AL)/($AA60+SUMIF(Plant_BD!$B:$B,$A60,Plant_BD!$AL:$AL))),"")</f>
        <v>1</v>
      </c>
      <c r="P60" s="299"/>
      <c r="Q60" s="300"/>
      <c r="R60" s="299">
        <f>IFERROR(1-(SUMIF(Grid_BD!$B:$B,$A60,Grid_BD!$V:$V)/($AA60+SUMIF(Grid_BD!$B:$B,$A60,Grid_BD!$V:$V))),"")</f>
        <v>1</v>
      </c>
      <c r="S60" s="295"/>
      <c r="T60" s="300"/>
      <c r="U60" s="301">
        <f t="shared" si="6"/>
        <v>0.83139984564450453</v>
      </c>
      <c r="V60" s="301" t="str">
        <f>IFERROR(_xlfn.XLOOKUP($A60,Input_Raw!$A:$A,Input_Raw!$AX:$AX),"")</f>
        <v/>
      </c>
      <c r="W60" s="302">
        <f t="shared" si="7"/>
        <v>0.16500527820709474</v>
      </c>
      <c r="X60" s="294">
        <f>IFERROR(_xlfn.XLOOKUP($A60,Input_Raw!$A:$A,Input_Raw!$AA:$AA),"")</f>
        <v>184885.9</v>
      </c>
      <c r="Y60" s="294">
        <f>IFERROR(_xlfn.XLOOKUP($A60,Input_Raw!$A:$A,Input_Raw!$AS:$AS),"")</f>
        <v>183000</v>
      </c>
      <c r="Z60" s="294"/>
      <c r="AA60" s="294">
        <f>IFERROR(_xlfn.XLOOKUP($A60,Input_Raw!$A:$A,Input_Raw!$AT:$AT),"")</f>
        <v>181903.46874828331</v>
      </c>
      <c r="AB60" s="294">
        <f>IFERROR(_xlfn.XLOOKUP($A60,Input_Raw!$A:$A,Input_Raw!$AU:$AU),"")</f>
        <v>39.21</v>
      </c>
      <c r="AC60" s="303">
        <f>IFERROR(_xlfn.XLOOKUP($D60,'Modelling New'!$D:$D,'Modelling New'!P:P),"")</f>
        <v>6.832313648387097</v>
      </c>
      <c r="AD60" s="294">
        <f>IFERROR(_xlfn.XLOOKUP($D60,'Modelling New'!$D:$D,'Modelling New'!T:T)*1000,"")</f>
        <v>200698.57823974433</v>
      </c>
      <c r="AE60" s="304">
        <f>IFERROR(_xlfn.XLOOKUP($D60,'Modelling New'!$D:$D,'Modelling New'!$O:$O),"")</f>
        <v>0.63950596310378405</v>
      </c>
      <c r="AF60" s="304">
        <f>IFERROR(_xlfn.XLOOKUP($D60,'Modelling New'!$D:$D,'Modelling New'!$W:$W),"")</f>
        <v>0.1820543883307883</v>
      </c>
      <c r="AG60" s="304">
        <f>IFERROR(_xlfn.XLOOKUP($D60,'Modelling New'!$D:$D,'Modelling New'!$AE:$AE),"")</f>
        <v>0.995</v>
      </c>
      <c r="AH60" s="304">
        <f>IFERROR(_xlfn.XLOOKUP($D60,'Modelling New'!$D:$D,'Modelling New'!$AF:$AF),"")</f>
        <v>0.995</v>
      </c>
      <c r="AI60" s="295"/>
      <c r="AJ60" s="295"/>
      <c r="AK60" s="295"/>
      <c r="AL60" s="295"/>
      <c r="AM60" s="295"/>
      <c r="AN60" s="305"/>
      <c r="AO60" s="302"/>
      <c r="AP60" s="302"/>
      <c r="AQ60" s="302"/>
      <c r="AR60" s="294">
        <f>_xlfn.XLOOKUP($D60,'Modelling New'!$D:$D,'Modelling New'!$N:$N)</f>
        <v>45.933750000000003</v>
      </c>
      <c r="AS60" s="294">
        <f t="shared" si="8"/>
        <v>171320.46159480501</v>
      </c>
    </row>
    <row r="61" spans="1:45">
      <c r="A61" s="293">
        <f t="shared" si="9"/>
        <v>45804</v>
      </c>
      <c r="B61" s="294">
        <f>YEAR(Daily_KPI[[#This Row],[Date]])+IF(MONTH(Daily_KPI[[#This Row],[Date]])&gt;=4,1,0)</f>
        <v>2026</v>
      </c>
      <c r="C61" s="295">
        <f>YEAR(Daily_KPI[[#This Row],[Date]])</f>
        <v>2025</v>
      </c>
      <c r="D61" s="296">
        <f>Daily_KPI[[#This Row],[Date]]-DAY(Daily_KPI[[#This Row],[Date]])+1</f>
        <v>45778</v>
      </c>
      <c r="E61" s="295">
        <f t="shared" si="5"/>
        <v>31</v>
      </c>
      <c r="F61" s="297">
        <f>IFERROR(_xlfn.XLOOKUP($A61,Input_Raw!$A:$A,Input_Raw!$AR:$AR),"")</f>
        <v>12.149999999999999</v>
      </c>
      <c r="G61" s="298">
        <f>IFERROR(_xlfn.XLOOKUP($A61,Input_Raw!$A:$A,Input_Raw!$R:$R),"")</f>
        <v>3.82</v>
      </c>
      <c r="H61" s="298"/>
      <c r="I61" s="298">
        <f>IFERROR(_xlfn.XLOOKUP($A61,Input_Raw!$A:$A,Input_Raw!$Q:$Q),"")</f>
        <v>3.71</v>
      </c>
      <c r="J61" s="298"/>
      <c r="K61" s="298">
        <f>IFERROR(_xlfn.XLOOKUP($A61,Input_Raw!$A:$A,Input_Raw!S:S),"")</f>
        <v>30.66</v>
      </c>
      <c r="L61" s="298">
        <f>IFERROR(_xlfn.XLOOKUP($A61,Input_Raw!$A:$A,Input_Raw!T:T),"")</f>
        <v>37.840000000000003</v>
      </c>
      <c r="M61" s="298">
        <f>IFERROR(_xlfn.XLOOKUP($A61,Input_Raw!$A:$A,Input_Raw!W:W),"")</f>
        <v>2.56</v>
      </c>
      <c r="N61" s="298">
        <f>IFERROR(_xlfn.XLOOKUP($A61,Input_Raw!$A:$A,Input_Raw!X:X),"")</f>
        <v>6.52</v>
      </c>
      <c r="O61" s="299">
        <f>IFERROR(1-(SUMIF(Plant_BD!$B:$B,$A61,Plant_BD!$AL:$AL)/($AA61+SUMIF(Plant_BD!$B:$B,$A61,Plant_BD!$AL:$AL))),"")</f>
        <v>1</v>
      </c>
      <c r="P61" s="299"/>
      <c r="Q61" s="300"/>
      <c r="R61" s="299">
        <f>IFERROR(1-(SUMIF(Grid_BD!$B:$B,$A61,Grid_BD!$V:$V)/($AA61+SUMIF(Grid_BD!$B:$B,$A61,Grid_BD!$V:$V))),"")</f>
        <v>1</v>
      </c>
      <c r="S61" s="295"/>
      <c r="T61" s="300"/>
      <c r="U61" s="301">
        <f t="shared" si="6"/>
        <v>0.87000242863104105</v>
      </c>
      <c r="V61" s="301" t="str">
        <f>IFERROR(_xlfn.XLOOKUP($A61,Input_Raw!$A:$A,Input_Raw!$AX:$AX),"")</f>
        <v/>
      </c>
      <c r="W61" s="302">
        <f t="shared" si="7"/>
        <v>0.11480163486431706</v>
      </c>
      <c r="X61" s="294">
        <f>IFERROR(_xlfn.XLOOKUP($A61,Input_Raw!$A:$A,Input_Raw!$AA:$AA),"")</f>
        <v>128758.7</v>
      </c>
      <c r="Y61" s="294">
        <f>IFERROR(_xlfn.XLOOKUP($A61,Input_Raw!$A:$A,Input_Raw!$AS:$AS),"")</f>
        <v>127000</v>
      </c>
      <c r="Z61" s="294"/>
      <c r="AA61" s="294">
        <f>IFERROR(_xlfn.XLOOKUP($A61,Input_Raw!$A:$A,Input_Raw!$AT:$AT),"")</f>
        <v>126558.47029077177</v>
      </c>
      <c r="AB61" s="294">
        <f>IFERROR(_xlfn.XLOOKUP($A61,Input_Raw!$A:$A,Input_Raw!$AU:$AU),"")</f>
        <v>39.21</v>
      </c>
      <c r="AC61" s="303">
        <f>IFERROR(_xlfn.XLOOKUP($D61,'Modelling New'!$D:$D,'Modelling New'!P:P),"")</f>
        <v>6.832313648387097</v>
      </c>
      <c r="AD61" s="294">
        <f>IFERROR(_xlfn.XLOOKUP($D61,'Modelling New'!$D:$D,'Modelling New'!T:T)*1000,"")</f>
        <v>200698.57823974433</v>
      </c>
      <c r="AE61" s="304">
        <f>IFERROR(_xlfn.XLOOKUP($D61,'Modelling New'!$D:$D,'Modelling New'!$O:$O),"")</f>
        <v>0.63950596310378405</v>
      </c>
      <c r="AF61" s="304">
        <f>IFERROR(_xlfn.XLOOKUP($D61,'Modelling New'!$D:$D,'Modelling New'!$W:$W),"")</f>
        <v>0.1820543883307883</v>
      </c>
      <c r="AG61" s="304">
        <f>IFERROR(_xlfn.XLOOKUP($D61,'Modelling New'!$D:$D,'Modelling New'!$AE:$AE),"")</f>
        <v>0.995</v>
      </c>
      <c r="AH61" s="304">
        <f>IFERROR(_xlfn.XLOOKUP($D61,'Modelling New'!$D:$D,'Modelling New'!$AF:$AF),"")</f>
        <v>0.995</v>
      </c>
      <c r="AI61" s="295"/>
      <c r="AJ61" s="295"/>
      <c r="AK61" s="295"/>
      <c r="AL61" s="295"/>
      <c r="AM61" s="295"/>
      <c r="AN61" s="305"/>
      <c r="AO61" s="302"/>
      <c r="AP61" s="302"/>
      <c r="AQ61" s="302"/>
      <c r="AR61" s="294">
        <f>_xlfn.XLOOKUP($D61,'Modelling New'!$D:$D,'Modelling New'!$N:$N)</f>
        <v>45.933750000000003</v>
      </c>
      <c r="AS61" s="294">
        <f t="shared" si="8"/>
        <v>171320.46159480501</v>
      </c>
    </row>
    <row r="62" spans="1:45">
      <c r="A62" s="293">
        <f t="shared" si="9"/>
        <v>45805</v>
      </c>
      <c r="B62" s="294">
        <f>YEAR(Daily_KPI[[#This Row],[Date]])+IF(MONTH(Daily_KPI[[#This Row],[Date]])&gt;=4,1,0)</f>
        <v>2026</v>
      </c>
      <c r="C62" s="295">
        <f>YEAR(Daily_KPI[[#This Row],[Date]])</f>
        <v>2025</v>
      </c>
      <c r="D62" s="296">
        <f>Daily_KPI[[#This Row],[Date]]-DAY(Daily_KPI[[#This Row],[Date]])+1</f>
        <v>45778</v>
      </c>
      <c r="E62" s="295">
        <f t="shared" si="5"/>
        <v>31</v>
      </c>
      <c r="F62" s="297">
        <f>IFERROR(_xlfn.XLOOKUP($A62,Input_Raw!$A:$A,Input_Raw!$AR:$AR),"")</f>
        <v>12.083333333333336</v>
      </c>
      <c r="G62" s="298">
        <f>IFERROR(_xlfn.XLOOKUP($A62,Input_Raw!$A:$A,Input_Raw!$R:$R),"")</f>
        <v>2.87</v>
      </c>
      <c r="H62" s="298"/>
      <c r="I62" s="298">
        <f>IFERROR(_xlfn.XLOOKUP($A62,Input_Raw!$A:$A,Input_Raw!$Q:$Q),"")</f>
        <v>2.79</v>
      </c>
      <c r="J62" s="298"/>
      <c r="K62" s="298">
        <f>IFERROR(_xlfn.XLOOKUP($A62,Input_Raw!$A:$A,Input_Raw!S:S),"")</f>
        <v>28.48</v>
      </c>
      <c r="L62" s="298">
        <f>IFERROR(_xlfn.XLOOKUP($A62,Input_Raw!$A:$A,Input_Raw!T:T),"")</f>
        <v>32.9711</v>
      </c>
      <c r="M62" s="298">
        <f>IFERROR(_xlfn.XLOOKUP($A62,Input_Raw!$A:$A,Input_Raw!W:W),"")</f>
        <v>2.444</v>
      </c>
      <c r="N62" s="298">
        <f>IFERROR(_xlfn.XLOOKUP($A62,Input_Raw!$A:$A,Input_Raw!X:X),"")</f>
        <v>6.14</v>
      </c>
      <c r="O62" s="299">
        <f>IFERROR(1-(SUMIF(Plant_BD!$B:$B,$A62,Plant_BD!$AL:$AL)/($AA62+SUMIF(Plant_BD!$B:$B,$A62,Plant_BD!$AL:$AL))),"")</f>
        <v>1</v>
      </c>
      <c r="P62" s="299"/>
      <c r="Q62" s="300"/>
      <c r="R62" s="299">
        <f>IFERROR(1-(SUMIF(Grid_BD!$B:$B,$A62,Grid_BD!$V:$V)/($AA62+SUMIF(Grid_BD!$B:$B,$A62,Grid_BD!$V:$V))),"")</f>
        <v>1</v>
      </c>
      <c r="S62" s="295"/>
      <c r="T62" s="300"/>
      <c r="U62" s="301">
        <f t="shared" si="6"/>
        <v>0.90225870956442056</v>
      </c>
      <c r="V62" s="301" t="str">
        <f>IFERROR(_xlfn.XLOOKUP($A62,Input_Raw!$A:$A,Input_Raw!$AX:$AX),"")</f>
        <v/>
      </c>
      <c r="W62" s="302">
        <f t="shared" si="7"/>
        <v>8.9534205572916067E-2</v>
      </c>
      <c r="X62" s="294">
        <f>IFERROR(_xlfn.XLOOKUP($A62,Input_Raw!$A:$A,Input_Raw!$AA:$AA),"")</f>
        <v>100304.19999999998</v>
      </c>
      <c r="Y62" s="294">
        <f>IFERROR(_xlfn.XLOOKUP($A62,Input_Raw!$A:$A,Input_Raw!$AS:$AS),"")</f>
        <v>100000</v>
      </c>
      <c r="Z62" s="294"/>
      <c r="AA62" s="294">
        <f>IFERROR(_xlfn.XLOOKUP($A62,Input_Raw!$A:$A,Input_Raw!$AT:$AT),"")</f>
        <v>98703.403565638408</v>
      </c>
      <c r="AB62" s="294">
        <f>IFERROR(_xlfn.XLOOKUP($A62,Input_Raw!$A:$A,Input_Raw!$AU:$AU),"")</f>
        <v>39.21</v>
      </c>
      <c r="AC62" s="303">
        <f>IFERROR(_xlfn.XLOOKUP($D62,'Modelling New'!$D:$D,'Modelling New'!P:P),"")</f>
        <v>6.832313648387097</v>
      </c>
      <c r="AD62" s="294">
        <f>IFERROR(_xlfn.XLOOKUP($D62,'Modelling New'!$D:$D,'Modelling New'!T:T)*1000,"")</f>
        <v>200698.57823974433</v>
      </c>
      <c r="AE62" s="304">
        <f>IFERROR(_xlfn.XLOOKUP($D62,'Modelling New'!$D:$D,'Modelling New'!$O:$O),"")</f>
        <v>0.63950596310378405</v>
      </c>
      <c r="AF62" s="304">
        <f>IFERROR(_xlfn.XLOOKUP($D62,'Modelling New'!$D:$D,'Modelling New'!$W:$W),"")</f>
        <v>0.1820543883307883</v>
      </c>
      <c r="AG62" s="304">
        <f>IFERROR(_xlfn.XLOOKUP($D62,'Modelling New'!$D:$D,'Modelling New'!$AE:$AE),"")</f>
        <v>0.995</v>
      </c>
      <c r="AH62" s="304">
        <f>IFERROR(_xlfn.XLOOKUP($D62,'Modelling New'!$D:$D,'Modelling New'!$AF:$AF),"")</f>
        <v>0.995</v>
      </c>
      <c r="AI62" s="295"/>
      <c r="AJ62" s="295"/>
      <c r="AK62" s="295"/>
      <c r="AL62" s="295"/>
      <c r="AM62" s="295"/>
      <c r="AN62" s="305"/>
      <c r="AO62" s="302"/>
      <c r="AP62" s="302"/>
      <c r="AQ62" s="302"/>
      <c r="AR62" s="294">
        <f>_xlfn.XLOOKUP($D62,'Modelling New'!$D:$D,'Modelling New'!$N:$N)</f>
        <v>45.933750000000003</v>
      </c>
      <c r="AS62" s="294">
        <f t="shared" si="8"/>
        <v>171320.46159480501</v>
      </c>
    </row>
    <row r="63" spans="1:45">
      <c r="A63" s="293">
        <f t="shared" si="9"/>
        <v>45806</v>
      </c>
      <c r="B63" s="294">
        <f>YEAR(Daily_KPI[[#This Row],[Date]])+IF(MONTH(Daily_KPI[[#This Row],[Date]])&gt;=4,1,0)</f>
        <v>2026</v>
      </c>
      <c r="C63" s="295">
        <f>YEAR(Daily_KPI[[#This Row],[Date]])</f>
        <v>2025</v>
      </c>
      <c r="D63" s="296">
        <f>Daily_KPI[[#This Row],[Date]]-DAY(Daily_KPI[[#This Row],[Date]])+1</f>
        <v>45778</v>
      </c>
      <c r="E63" s="295">
        <f t="shared" si="5"/>
        <v>31</v>
      </c>
      <c r="F63" s="297">
        <f>IFERROR(_xlfn.XLOOKUP($A63,Input_Raw!$A:$A,Input_Raw!$AR:$AR),"")</f>
        <v>12.250000000000002</v>
      </c>
      <c r="G63" s="298">
        <f>IFERROR(_xlfn.XLOOKUP($A63,Input_Raw!$A:$A,Input_Raw!$R:$R),"")</f>
        <v>5.59</v>
      </c>
      <c r="H63" s="298"/>
      <c r="I63" s="298">
        <f>IFERROR(_xlfn.XLOOKUP($A63,Input_Raw!$A:$A,Input_Raw!$Q:$Q),"")</f>
        <v>5.38</v>
      </c>
      <c r="J63" s="298"/>
      <c r="K63" s="298">
        <f>IFERROR(_xlfn.XLOOKUP($A63,Input_Raw!$A:$A,Input_Raw!S:S),"")</f>
        <v>32.35</v>
      </c>
      <c r="L63" s="298">
        <f>IFERROR(_xlfn.XLOOKUP($A63,Input_Raw!$A:$A,Input_Raw!T:T),"")</f>
        <v>39.619999999999997</v>
      </c>
      <c r="M63" s="298">
        <f>IFERROR(_xlfn.XLOOKUP($A63,Input_Raw!$A:$A,Input_Raw!W:W),"")</f>
        <v>3.94</v>
      </c>
      <c r="N63" s="298">
        <f>IFERROR(_xlfn.XLOOKUP($A63,Input_Raw!$A:$A,Input_Raw!X:X),"")</f>
        <v>10.17</v>
      </c>
      <c r="O63" s="299">
        <f>IFERROR(1-(SUMIF(Plant_BD!$B:$B,$A63,Plant_BD!$AL:$AL)/($AA63+SUMIF(Plant_BD!$B:$B,$A63,Plant_BD!$AL:$AL))),"")</f>
        <v>1</v>
      </c>
      <c r="P63" s="299"/>
      <c r="Q63" s="300"/>
      <c r="R63" s="299">
        <f>IFERROR(1-(SUMIF(Grid_BD!$B:$B,$A63,Grid_BD!$V:$V)/($AA63+SUMIF(Grid_BD!$B:$B,$A63,Grid_BD!$V:$V))),"")</f>
        <v>1</v>
      </c>
      <c r="S63" s="295"/>
      <c r="T63" s="300"/>
      <c r="U63" s="301">
        <f t="shared" si="6"/>
        <v>0.86688827192357965</v>
      </c>
      <c r="V63" s="301" t="str">
        <f>IFERROR(_xlfn.XLOOKUP($A63,Input_Raw!$A:$A,Input_Raw!$AX:$AX),"")</f>
        <v/>
      </c>
      <c r="W63" s="302">
        <f t="shared" si="7"/>
        <v>0.16588193828487108</v>
      </c>
      <c r="X63" s="294">
        <f>IFERROR(_xlfn.XLOOKUP($A63,Input_Raw!$A:$A,Input_Raw!$AA:$AA),"")</f>
        <v>184742.9</v>
      </c>
      <c r="Y63" s="294">
        <f>IFERROR(_xlfn.XLOOKUP($A63,Input_Raw!$A:$A,Input_Raw!$AS:$AS),"")</f>
        <v>183000</v>
      </c>
      <c r="Z63" s="294"/>
      <c r="AA63" s="294">
        <f>IFERROR(_xlfn.XLOOKUP($A63,Input_Raw!$A:$A,Input_Raw!$AT:$AT),"")</f>
        <v>182869.90758462471</v>
      </c>
      <c r="AB63" s="294">
        <f>IFERROR(_xlfn.XLOOKUP($A63,Input_Raw!$A:$A,Input_Raw!$AU:$AU),"")</f>
        <v>39.21</v>
      </c>
      <c r="AC63" s="303">
        <f>IFERROR(_xlfn.XLOOKUP($D63,'Modelling New'!$D:$D,'Modelling New'!P:P),"")</f>
        <v>6.832313648387097</v>
      </c>
      <c r="AD63" s="294">
        <f>IFERROR(_xlfn.XLOOKUP($D63,'Modelling New'!$D:$D,'Modelling New'!T:T)*1000,"")</f>
        <v>200698.57823974433</v>
      </c>
      <c r="AE63" s="304">
        <f>IFERROR(_xlfn.XLOOKUP($D63,'Modelling New'!$D:$D,'Modelling New'!$O:$O),"")</f>
        <v>0.63950596310378405</v>
      </c>
      <c r="AF63" s="304">
        <f>IFERROR(_xlfn.XLOOKUP($D63,'Modelling New'!$D:$D,'Modelling New'!$W:$W),"")</f>
        <v>0.1820543883307883</v>
      </c>
      <c r="AG63" s="304">
        <f>IFERROR(_xlfn.XLOOKUP($D63,'Modelling New'!$D:$D,'Modelling New'!$AE:$AE),"")</f>
        <v>0.995</v>
      </c>
      <c r="AH63" s="304">
        <f>IFERROR(_xlfn.XLOOKUP($D63,'Modelling New'!$D:$D,'Modelling New'!$AF:$AF),"")</f>
        <v>0.995</v>
      </c>
      <c r="AI63" s="295"/>
      <c r="AJ63" s="295"/>
      <c r="AK63" s="295"/>
      <c r="AL63" s="295"/>
      <c r="AM63" s="295"/>
      <c r="AN63" s="305"/>
      <c r="AO63" s="302"/>
      <c r="AP63" s="302"/>
      <c r="AQ63" s="302"/>
      <c r="AR63" s="294">
        <f>_xlfn.XLOOKUP($D63,'Modelling New'!$D:$D,'Modelling New'!$N:$N)</f>
        <v>45.933750000000003</v>
      </c>
      <c r="AS63" s="294">
        <f t="shared" si="8"/>
        <v>171320.46159480501</v>
      </c>
    </row>
    <row r="64" spans="1:45">
      <c r="A64" s="293">
        <f t="shared" si="9"/>
        <v>45807</v>
      </c>
      <c r="B64" s="294">
        <f>YEAR(Daily_KPI[[#This Row],[Date]])+IF(MONTH(Daily_KPI[[#This Row],[Date]])&gt;=4,1,0)</f>
        <v>2026</v>
      </c>
      <c r="C64" s="295">
        <f>YEAR(Daily_KPI[[#This Row],[Date]])</f>
        <v>2025</v>
      </c>
      <c r="D64" s="296">
        <f>Daily_KPI[[#This Row],[Date]]-DAY(Daily_KPI[[#This Row],[Date]])+1</f>
        <v>45778</v>
      </c>
      <c r="E64" s="295">
        <f t="shared" si="5"/>
        <v>31</v>
      </c>
      <c r="F64" s="297">
        <f>IFERROR(_xlfn.XLOOKUP($A64,Input_Raw!$A:$A,Input_Raw!$AR:$AR),"")</f>
        <v>12.400000000000002</v>
      </c>
      <c r="G64" s="298">
        <f>IFERROR(_xlfn.XLOOKUP($A64,Input_Raw!$A:$A,Input_Raw!$R:$R),"")</f>
        <v>3.504</v>
      </c>
      <c r="H64" s="298"/>
      <c r="I64" s="298">
        <f>IFERROR(_xlfn.XLOOKUP($A64,Input_Raw!$A:$A,Input_Raw!$Q:$Q),"")</f>
        <v>3.3679999999999999</v>
      </c>
      <c r="J64" s="298"/>
      <c r="K64" s="298">
        <f>IFERROR(_xlfn.XLOOKUP($A64,Input_Raw!$A:$A,Input_Raw!S:S),"")</f>
        <v>31.091999999999999</v>
      </c>
      <c r="L64" s="298">
        <f>IFERROR(_xlfn.XLOOKUP($A64,Input_Raw!$A:$A,Input_Raw!T:T),"")</f>
        <v>35.154000000000003</v>
      </c>
      <c r="M64" s="298">
        <f>IFERROR(_xlfn.XLOOKUP($A64,Input_Raw!$A:$A,Input_Raw!W:W),"")</f>
        <v>3.29</v>
      </c>
      <c r="N64" s="298">
        <f>IFERROR(_xlfn.XLOOKUP($A64,Input_Raw!$A:$A,Input_Raw!X:X),"")</f>
        <v>7.67</v>
      </c>
      <c r="O64" s="299">
        <f>IFERROR(1-(SUMIF(Plant_BD!$B:$B,$A64,Plant_BD!$AL:$AL)/($AA64+SUMIF(Plant_BD!$B:$B,$A64,Plant_BD!$AL:$AL))),"")</f>
        <v>0.99945854945147039</v>
      </c>
      <c r="P64" s="299"/>
      <c r="Q64" s="300"/>
      <c r="R64" s="299">
        <f>IFERROR(1-(SUMIF(Grid_BD!$B:$B,$A64,Grid_BD!$V:$V)/($AA64+SUMIF(Grid_BD!$B:$B,$A64,Grid_BD!$V:$V))),"")</f>
        <v>1</v>
      </c>
      <c r="S64" s="295"/>
      <c r="T64" s="300"/>
      <c r="U64" s="301">
        <f t="shared" si="6"/>
        <v>0.90968104804414207</v>
      </c>
      <c r="V64" s="301" t="str">
        <f>IFERROR(_xlfn.XLOOKUP($A64,Input_Raw!$A:$A,Input_Raw!$AX:$AX),"")</f>
        <v/>
      </c>
      <c r="W64" s="302">
        <f t="shared" si="7"/>
        <v>0.10897200155509727</v>
      </c>
      <c r="X64" s="294">
        <f>IFERROR(_xlfn.XLOOKUP($A64,Input_Raw!$A:$A,Input_Raw!$AA:$AA),"")</f>
        <v>123069.8</v>
      </c>
      <c r="Y64" s="294">
        <f>IFERROR(_xlfn.XLOOKUP($A64,Input_Raw!$A:$A,Input_Raw!$AS:$AS),"")</f>
        <v>122000</v>
      </c>
      <c r="Z64" s="294"/>
      <c r="AA64" s="294">
        <f>IFERROR(_xlfn.XLOOKUP($A64,Input_Raw!$A:$A,Input_Raw!$AT:$AT),"")</f>
        <v>120131.82423435479</v>
      </c>
      <c r="AB64" s="294">
        <f>IFERROR(_xlfn.XLOOKUP($A64,Input_Raw!$A:$A,Input_Raw!$AU:$AU),"")</f>
        <v>39.21</v>
      </c>
      <c r="AC64" s="303">
        <f>IFERROR(_xlfn.XLOOKUP($D64,'Modelling New'!$D:$D,'Modelling New'!P:P),"")</f>
        <v>6.832313648387097</v>
      </c>
      <c r="AD64" s="294">
        <f>IFERROR(_xlfn.XLOOKUP($D64,'Modelling New'!$D:$D,'Modelling New'!T:T)*1000,"")</f>
        <v>200698.57823974433</v>
      </c>
      <c r="AE64" s="304">
        <f>IFERROR(_xlfn.XLOOKUP($D64,'Modelling New'!$D:$D,'Modelling New'!$O:$O),"")</f>
        <v>0.63950596310378405</v>
      </c>
      <c r="AF64" s="304">
        <f>IFERROR(_xlfn.XLOOKUP($D64,'Modelling New'!$D:$D,'Modelling New'!$W:$W),"")</f>
        <v>0.1820543883307883</v>
      </c>
      <c r="AG64" s="304">
        <f>IFERROR(_xlfn.XLOOKUP($D64,'Modelling New'!$D:$D,'Modelling New'!$AE:$AE),"")</f>
        <v>0.995</v>
      </c>
      <c r="AH64" s="304">
        <f>IFERROR(_xlfn.XLOOKUP($D64,'Modelling New'!$D:$D,'Modelling New'!$AF:$AF),"")</f>
        <v>0.995</v>
      </c>
      <c r="AI64" s="295"/>
      <c r="AJ64" s="295"/>
      <c r="AK64" s="295"/>
      <c r="AL64" s="295"/>
      <c r="AM64" s="295"/>
      <c r="AN64" s="305"/>
      <c r="AO64" s="302"/>
      <c r="AP64" s="302"/>
      <c r="AQ64" s="302"/>
      <c r="AR64" s="294">
        <f>_xlfn.XLOOKUP($D64,'Modelling New'!$D:$D,'Modelling New'!$N:$N)</f>
        <v>45.933750000000003</v>
      </c>
      <c r="AS64" s="294">
        <f t="shared" si="8"/>
        <v>171320.46159480501</v>
      </c>
    </row>
    <row r="65" spans="1:45">
      <c r="A65" s="293">
        <f t="shared" si="9"/>
        <v>45808</v>
      </c>
      <c r="B65" s="294">
        <f>YEAR(Daily_KPI[[#This Row],[Date]])+IF(MONTH(Daily_KPI[[#This Row],[Date]])&gt;=4,1,0)</f>
        <v>2026</v>
      </c>
      <c r="C65" s="295">
        <f>YEAR(Daily_KPI[[#This Row],[Date]])</f>
        <v>2025</v>
      </c>
      <c r="D65" s="296">
        <f>Daily_KPI[[#This Row],[Date]]-DAY(Daily_KPI[[#This Row],[Date]])+1</f>
        <v>45778</v>
      </c>
      <c r="E65" s="295">
        <f t="shared" si="5"/>
        <v>31</v>
      </c>
      <c r="F65" s="297">
        <f>IFERROR(_xlfn.XLOOKUP($A65,Input_Raw!$A:$A,Input_Raw!$AR:$AR),"")</f>
        <v>12.483333333333334</v>
      </c>
      <c r="G65" s="298">
        <f>IFERROR(_xlfn.XLOOKUP($A65,Input_Raw!$A:$A,Input_Raw!$R:$R),"")</f>
        <v>7.06</v>
      </c>
      <c r="H65" s="298"/>
      <c r="I65" s="298">
        <f>IFERROR(_xlfn.XLOOKUP($A65,Input_Raw!$A:$A,Input_Raw!$Q:$Q),"")</f>
        <v>6.71</v>
      </c>
      <c r="J65" s="298"/>
      <c r="K65" s="298">
        <f>IFERROR(_xlfn.XLOOKUP($A65,Input_Raw!$A:$A,Input_Raw!S:S),"")</f>
        <v>33.61</v>
      </c>
      <c r="L65" s="298">
        <f>IFERROR(_xlfn.XLOOKUP($A65,Input_Raw!$A:$A,Input_Raw!T:T),"")</f>
        <v>42.51</v>
      </c>
      <c r="M65" s="298">
        <f>IFERROR(_xlfn.XLOOKUP($A65,Input_Raw!$A:$A,Input_Raw!W:W),"")</f>
        <v>4.68</v>
      </c>
      <c r="N65" s="298">
        <f>IFERROR(_xlfn.XLOOKUP($A65,Input_Raw!$A:$A,Input_Raw!X:X),"")</f>
        <v>8.7899999999999991</v>
      </c>
      <c r="O65" s="299">
        <f>IFERROR(1-(SUMIF(Plant_BD!$B:$B,$A65,Plant_BD!$AL:$AL)/($AA65+SUMIF(Plant_BD!$B:$B,$A65,Plant_BD!$AL:$AL))),"")</f>
        <v>1</v>
      </c>
      <c r="P65" s="299"/>
      <c r="Q65" s="300"/>
      <c r="R65" s="299">
        <f>IFERROR(1-(SUMIF(Grid_BD!$B:$B,$A65,Grid_BD!$V:$V)/($AA65+SUMIF(Grid_BD!$B:$B,$A65,Grid_BD!$V:$V))),"")</f>
        <v>1</v>
      </c>
      <c r="S65" s="295"/>
      <c r="T65" s="300"/>
      <c r="U65" s="301">
        <f t="shared" si="6"/>
        <v>0.81850341238008184</v>
      </c>
      <c r="V65" s="301" t="str">
        <f>IFERROR(_xlfn.XLOOKUP($A65,Input_Raw!$A:$A,Input_Raw!$AX:$AX),"")</f>
        <v/>
      </c>
      <c r="W65" s="302">
        <f t="shared" si="7"/>
        <v>0.19534248704577098</v>
      </c>
      <c r="X65" s="294">
        <f>IFERROR(_xlfn.XLOOKUP($A65,Input_Raw!$A:$A,Input_Raw!$AA:$AA),"")</f>
        <v>219098.90000000002</v>
      </c>
      <c r="Y65" s="294">
        <f>IFERROR(_xlfn.XLOOKUP($A65,Input_Raw!$A:$A,Input_Raw!$AS:$AS),"")</f>
        <v>217000</v>
      </c>
      <c r="Z65" s="294"/>
      <c r="AA65" s="294">
        <f>IFERROR(_xlfn.XLOOKUP($A65,Input_Raw!$A:$A,Input_Raw!$AT:$AT),"")</f>
        <v>215347.5111441284</v>
      </c>
      <c r="AB65" s="294">
        <f>IFERROR(_xlfn.XLOOKUP($A65,Input_Raw!$A:$A,Input_Raw!$AU:$AU),"")</f>
        <v>39.21</v>
      </c>
      <c r="AC65" s="303">
        <f>IFERROR(_xlfn.XLOOKUP($D65,'Modelling New'!$D:$D,'Modelling New'!P:P),"")</f>
        <v>6.832313648387097</v>
      </c>
      <c r="AD65" s="294">
        <f>IFERROR(_xlfn.XLOOKUP($D65,'Modelling New'!$D:$D,'Modelling New'!T:T)*1000,"")</f>
        <v>200698.57823974433</v>
      </c>
      <c r="AE65" s="304">
        <f>IFERROR(_xlfn.XLOOKUP($D65,'Modelling New'!$D:$D,'Modelling New'!$O:$O),"")</f>
        <v>0.63950596310378405</v>
      </c>
      <c r="AF65" s="304">
        <f>IFERROR(_xlfn.XLOOKUP($D65,'Modelling New'!$D:$D,'Modelling New'!$W:$W),"")</f>
        <v>0.1820543883307883</v>
      </c>
      <c r="AG65" s="304">
        <f>IFERROR(_xlfn.XLOOKUP($D65,'Modelling New'!$D:$D,'Modelling New'!$AE:$AE),"")</f>
        <v>0.995</v>
      </c>
      <c r="AH65" s="304">
        <f>IFERROR(_xlfn.XLOOKUP($D65,'Modelling New'!$D:$D,'Modelling New'!$AF:$AF),"")</f>
        <v>0.995</v>
      </c>
      <c r="AI65" s="295"/>
      <c r="AJ65" s="295"/>
      <c r="AK65" s="295"/>
      <c r="AL65" s="295"/>
      <c r="AM65" s="295"/>
      <c r="AN65" s="305"/>
      <c r="AO65" s="302"/>
      <c r="AP65" s="302"/>
      <c r="AQ65" s="302"/>
      <c r="AR65" s="294">
        <f>_xlfn.XLOOKUP($D65,'Modelling New'!$D:$D,'Modelling New'!$N:$N)</f>
        <v>45.933750000000003</v>
      </c>
      <c r="AS65" s="294">
        <f t="shared" si="8"/>
        <v>171320.46159480501</v>
      </c>
    </row>
    <row r="66" spans="1:45">
      <c r="A66" s="293">
        <f t="shared" si="9"/>
        <v>45809</v>
      </c>
      <c r="B66" s="294">
        <f>YEAR(Daily_KPI[[#This Row],[Date]])+IF(MONTH(Daily_KPI[[#This Row],[Date]])&gt;=4,1,0)</f>
        <v>2026</v>
      </c>
      <c r="C66" s="295">
        <f>YEAR(Daily_KPI[[#This Row],[Date]])</f>
        <v>2025</v>
      </c>
      <c r="D66" s="296">
        <f>Daily_KPI[[#This Row],[Date]]-DAY(Daily_KPI[[#This Row],[Date]])+1</f>
        <v>45809</v>
      </c>
      <c r="E66" s="295">
        <f t="shared" si="5"/>
        <v>30</v>
      </c>
      <c r="F66" s="297">
        <f>IFERROR(_xlfn.XLOOKUP($A66,Input_Raw!$A:$A,Input_Raw!$AR:$AR),"")</f>
        <v>12.583333333333334</v>
      </c>
      <c r="G66" s="298">
        <f>IFERROR(_xlfn.XLOOKUP($A66,Input_Raw!$A:$A,Input_Raw!$R:$R),"")</f>
        <v>6.96</v>
      </c>
      <c r="H66" s="298"/>
      <c r="I66" s="298">
        <f>IFERROR(_xlfn.XLOOKUP($A66,Input_Raw!$A:$A,Input_Raw!$Q:$Q),"")</f>
        <v>6.58</v>
      </c>
      <c r="J66" s="298"/>
      <c r="K66" s="298">
        <f>IFERROR(_xlfn.XLOOKUP($A66,Input_Raw!$A:$A,Input_Raw!S:S),"")</f>
        <v>33.58</v>
      </c>
      <c r="L66" s="298">
        <f>IFERROR(_xlfn.XLOOKUP($A66,Input_Raw!$A:$A,Input_Raw!T:T),"")</f>
        <v>45.55</v>
      </c>
      <c r="M66" s="298">
        <f>IFERROR(_xlfn.XLOOKUP($A66,Input_Raw!$A:$A,Input_Raw!W:W),"")</f>
        <v>4.62</v>
      </c>
      <c r="N66" s="298">
        <f>IFERROR(_xlfn.XLOOKUP($A66,Input_Raw!$A:$A,Input_Raw!X:X),"")</f>
        <v>9.42</v>
      </c>
      <c r="O66" s="299">
        <f>IFERROR(1-(SUMIF(Plant_BD!$B:$B,$A66,Plant_BD!$AL:$AL)/($AA66+SUMIF(Plant_BD!$B:$B,$A66,Plant_BD!$AL:$AL))),"")</f>
        <v>1</v>
      </c>
      <c r="P66" s="299"/>
      <c r="Q66" s="300"/>
      <c r="R66" s="299">
        <f>IFERROR(1-(SUMIF(Grid_BD!$B:$B,$A66,Grid_BD!$V:$V)/($AA66+SUMIF(Grid_BD!$B:$B,$A66,Grid_BD!$V:$V))),"")</f>
        <v>0.44574301455376264</v>
      </c>
      <c r="S66" s="295"/>
      <c r="T66" s="300"/>
      <c r="U66" s="301">
        <f t="shared" si="6"/>
        <v>0.36395053640605812</v>
      </c>
      <c r="V66" s="301" t="str">
        <f>IFERROR(_xlfn.XLOOKUP($A66,Input_Raw!$A:$A,Input_Raw!$AX:$AX),"")</f>
        <v/>
      </c>
      <c r="W66" s="302">
        <f t="shared" si="7"/>
        <v>8.5176924650292113E-2</v>
      </c>
      <c r="X66" s="294">
        <f>IFERROR(_xlfn.XLOOKUP($A66,Input_Raw!$A:$A,Input_Raw!$AA:$AA),"")</f>
        <v>95299.599999999991</v>
      </c>
      <c r="Y66" s="294">
        <f>IFERROR(_xlfn.XLOOKUP($A66,Input_Raw!$A:$A,Input_Raw!$AS:$AS),"")</f>
        <v>94000</v>
      </c>
      <c r="Z66" s="294"/>
      <c r="AA66" s="294">
        <f>IFERROR(_xlfn.XLOOKUP($A66,Input_Raw!$A:$A,Input_Raw!$AT:$AT),"")</f>
        <v>93899.893503728526</v>
      </c>
      <c r="AB66" s="294">
        <f>IFERROR(_xlfn.XLOOKUP($A66,Input_Raw!$A:$A,Input_Raw!$AU:$AU),"")</f>
        <v>39.21</v>
      </c>
      <c r="AC66" s="303">
        <f>IFERROR(_xlfn.XLOOKUP($D66,'Modelling New'!$D:$D,'Modelling New'!P:P),"")</f>
        <v>4.78</v>
      </c>
      <c r="AD66" s="294">
        <f>IFERROR(_xlfn.XLOOKUP($D66,'Modelling New'!$D:$D,'Modelling New'!T:T)*1000,"")</f>
        <v>168249.61104657603</v>
      </c>
      <c r="AE66" s="304">
        <f>IFERROR(_xlfn.XLOOKUP($D66,'Modelling New'!$D:$D,'Modelling New'!$O:$O),"")</f>
        <v>0.76629196176809589</v>
      </c>
      <c r="AF66" s="304">
        <f>IFERROR(_xlfn.XLOOKUP($D66,'Modelling New'!$D:$D,'Modelling New'!$W:$W),"")</f>
        <v>0.15261981571881245</v>
      </c>
      <c r="AG66" s="304">
        <f>IFERROR(_xlfn.XLOOKUP($D66,'Modelling New'!$D:$D,'Modelling New'!$AE:$AE),"")</f>
        <v>0.995</v>
      </c>
      <c r="AH66" s="304">
        <f>IFERROR(_xlfn.XLOOKUP($D66,'Modelling New'!$D:$D,'Modelling New'!$AF:$AF),"")</f>
        <v>0.995</v>
      </c>
      <c r="AI66" s="295"/>
      <c r="AJ66" s="295"/>
      <c r="AK66" s="295"/>
      <c r="AL66" s="295"/>
      <c r="AM66" s="295"/>
      <c r="AN66" s="305"/>
      <c r="AO66" s="302"/>
      <c r="AP66" s="302"/>
      <c r="AQ66" s="302"/>
      <c r="AR66" s="294">
        <f>_xlfn.XLOOKUP($D66,'Modelling New'!$D:$D,'Modelling New'!$N:$N)</f>
        <v>45.933750000000003</v>
      </c>
      <c r="AS66" s="294">
        <f t="shared" si="8"/>
        <v>143621.35138403124</v>
      </c>
    </row>
    <row r="67" spans="1:45">
      <c r="A67" s="293">
        <f t="shared" si="9"/>
        <v>45810</v>
      </c>
      <c r="B67" s="294">
        <f>YEAR(Daily_KPI[[#This Row],[Date]])+IF(MONTH(Daily_KPI[[#This Row],[Date]])&gt;=4,1,0)</f>
        <v>2026</v>
      </c>
      <c r="C67" s="295">
        <f>YEAR(Daily_KPI[[#This Row],[Date]])</f>
        <v>2025</v>
      </c>
      <c r="D67" s="296">
        <f>Daily_KPI[[#This Row],[Date]]-DAY(Daily_KPI[[#This Row],[Date]])+1</f>
        <v>45809</v>
      </c>
      <c r="E67" s="295">
        <f t="shared" si="5"/>
        <v>30</v>
      </c>
      <c r="F67" s="297">
        <f>IFERROR(_xlfn.XLOOKUP($A67,Input_Raw!$A:$A,Input_Raw!$AR:$AR),"")</f>
        <v>12.483333333333334</v>
      </c>
      <c r="G67" s="298">
        <f>IFERROR(_xlfn.XLOOKUP($A67,Input_Raw!$A:$A,Input_Raw!$R:$R),"")</f>
        <v>6.49</v>
      </c>
      <c r="H67" s="298"/>
      <c r="I67" s="298">
        <f>IFERROR(_xlfn.XLOOKUP($A67,Input_Raw!$A:$A,Input_Raw!$Q:$Q),"")</f>
        <v>6.1</v>
      </c>
      <c r="J67" s="298"/>
      <c r="K67" s="298">
        <f>IFERROR(_xlfn.XLOOKUP($A67,Input_Raw!$A:$A,Input_Raw!S:S),"")</f>
        <v>32.75</v>
      </c>
      <c r="L67" s="298">
        <f>IFERROR(_xlfn.XLOOKUP($A67,Input_Raw!$A:$A,Input_Raw!T:T),"")</f>
        <v>43.67</v>
      </c>
      <c r="M67" s="298">
        <f>IFERROR(_xlfn.XLOOKUP($A67,Input_Raw!$A:$A,Input_Raw!W:W),"")</f>
        <v>3.97</v>
      </c>
      <c r="N67" s="298">
        <f>IFERROR(_xlfn.XLOOKUP($A67,Input_Raw!$A:$A,Input_Raw!X:X),"")</f>
        <v>8.5500000000000007</v>
      </c>
      <c r="O67" s="299">
        <f>IFERROR(1-(SUMIF(Plant_BD!$B:$B,$A67,Plant_BD!$AL:$AL)/($AA67+SUMIF(Plant_BD!$B:$B,$A67,Plant_BD!$AL:$AL))),"")</f>
        <v>1</v>
      </c>
      <c r="P67" s="299"/>
      <c r="Q67" s="300"/>
      <c r="R67" s="299">
        <f>IFERROR(1-(SUMIF(Grid_BD!$B:$B,$A67,Grid_BD!$V:$V)/($AA67+SUMIF(Grid_BD!$B:$B,$A67,Grid_BD!$V:$V))),"")</f>
        <v>1</v>
      </c>
      <c r="S67" s="295"/>
      <c r="T67" s="300"/>
      <c r="U67" s="301">
        <f t="shared" si="6"/>
        <v>0.82069834590659296</v>
      </c>
      <c r="V67" s="301" t="str">
        <f>IFERROR(_xlfn.XLOOKUP($A67,Input_Raw!$A:$A,Input_Raw!$AX:$AX),"")</f>
        <v/>
      </c>
      <c r="W67" s="302">
        <f t="shared" si="7"/>
        <v>0.17806029614416125</v>
      </c>
      <c r="X67" s="294">
        <f>IFERROR(_xlfn.XLOOKUP($A67,Input_Raw!$A:$A,Input_Raw!$AA:$AA),"")</f>
        <v>199668.5</v>
      </c>
      <c r="Y67" s="294">
        <f>IFERROR(_xlfn.XLOOKUP($A67,Input_Raw!$A:$A,Input_Raw!$AS:$AS),"")</f>
        <v>198000</v>
      </c>
      <c r="Z67" s="294"/>
      <c r="AA67" s="294">
        <f>IFERROR(_xlfn.XLOOKUP($A67,Input_Raw!$A:$A,Input_Raw!$AT:$AT),"")</f>
        <v>196295.45107228481</v>
      </c>
      <c r="AB67" s="294">
        <f>IFERROR(_xlfn.XLOOKUP($A67,Input_Raw!$A:$A,Input_Raw!$AU:$AU),"")</f>
        <v>39.21</v>
      </c>
      <c r="AC67" s="303">
        <f>IFERROR(_xlfn.XLOOKUP($D67,'Modelling New'!$D:$D,'Modelling New'!P:P),"")</f>
        <v>4.78</v>
      </c>
      <c r="AD67" s="294">
        <f>IFERROR(_xlfn.XLOOKUP($D67,'Modelling New'!$D:$D,'Modelling New'!T:T)*1000,"")</f>
        <v>168249.61104657603</v>
      </c>
      <c r="AE67" s="304">
        <f>IFERROR(_xlfn.XLOOKUP($D67,'Modelling New'!$D:$D,'Modelling New'!$O:$O),"")</f>
        <v>0.76629196176809589</v>
      </c>
      <c r="AF67" s="304">
        <f>IFERROR(_xlfn.XLOOKUP($D67,'Modelling New'!$D:$D,'Modelling New'!$W:$W),"")</f>
        <v>0.15261981571881245</v>
      </c>
      <c r="AG67" s="304">
        <f>IFERROR(_xlfn.XLOOKUP($D67,'Modelling New'!$D:$D,'Modelling New'!$AE:$AE),"")</f>
        <v>0.995</v>
      </c>
      <c r="AH67" s="304">
        <f>IFERROR(_xlfn.XLOOKUP($D67,'Modelling New'!$D:$D,'Modelling New'!$AF:$AF),"")</f>
        <v>0.995</v>
      </c>
      <c r="AI67" s="295"/>
      <c r="AJ67" s="295"/>
      <c r="AK67" s="295"/>
      <c r="AL67" s="295"/>
      <c r="AM67" s="295"/>
      <c r="AN67" s="305"/>
      <c r="AO67" s="302"/>
      <c r="AP67" s="302"/>
      <c r="AQ67" s="302"/>
      <c r="AR67" s="294">
        <f>_xlfn.XLOOKUP($D67,'Modelling New'!$D:$D,'Modelling New'!$N:$N)</f>
        <v>45.933750000000003</v>
      </c>
      <c r="AS67" s="294">
        <f t="shared" si="8"/>
        <v>143621.35138403124</v>
      </c>
    </row>
    <row r="68" spans="1:45">
      <c r="A68" s="293">
        <f t="shared" si="9"/>
        <v>45811</v>
      </c>
      <c r="B68" s="294">
        <f>YEAR(Daily_KPI[[#This Row],[Date]])+IF(MONTH(Daily_KPI[[#This Row],[Date]])&gt;=4,1,0)</f>
        <v>2026</v>
      </c>
      <c r="C68" s="295">
        <f>YEAR(Daily_KPI[[#This Row],[Date]])</f>
        <v>2025</v>
      </c>
      <c r="D68" s="296">
        <f>Daily_KPI[[#This Row],[Date]]-DAY(Daily_KPI[[#This Row],[Date]])+1</f>
        <v>45809</v>
      </c>
      <c r="E68" s="295">
        <f t="shared" si="5"/>
        <v>30</v>
      </c>
      <c r="F68" s="297">
        <f>IFERROR(_xlfn.XLOOKUP($A68,Input_Raw!$A:$A,Input_Raw!$AR:$AR),"")</f>
        <v>12.566666666666666</v>
      </c>
      <c r="G68" s="298">
        <f>IFERROR(_xlfn.XLOOKUP($A68,Input_Raw!$A:$A,Input_Raw!$R:$R),"")</f>
        <v>6.54</v>
      </c>
      <c r="H68" s="298"/>
      <c r="I68" s="298">
        <f>IFERROR(_xlfn.XLOOKUP($A68,Input_Raw!$A:$A,Input_Raw!$Q:$Q),"")</f>
        <v>6.08</v>
      </c>
      <c r="J68" s="298"/>
      <c r="K68" s="298">
        <f>IFERROR(_xlfn.XLOOKUP($A68,Input_Raw!$A:$A,Input_Raw!S:S),"")</f>
        <v>33.880000000000003</v>
      </c>
      <c r="L68" s="298">
        <f>IFERROR(_xlfn.XLOOKUP($A68,Input_Raw!$A:$A,Input_Raw!T:T),"")</f>
        <v>42.48</v>
      </c>
      <c r="M68" s="298">
        <f>IFERROR(_xlfn.XLOOKUP($A68,Input_Raw!$A:$A,Input_Raw!W:W),"")</f>
        <v>4.46</v>
      </c>
      <c r="N68" s="298">
        <f>IFERROR(_xlfn.XLOOKUP($A68,Input_Raw!$A:$A,Input_Raw!X:X),"")</f>
        <v>9.18</v>
      </c>
      <c r="O68" s="299">
        <f>IFERROR(1-(SUMIF(Plant_BD!$B:$B,$A68,Plant_BD!$AL:$AL)/($AA68+SUMIF(Plant_BD!$B:$B,$A68,Plant_BD!$AL:$AL))),"")</f>
        <v>0.99925039799080206</v>
      </c>
      <c r="P68" s="299"/>
      <c r="Q68" s="300"/>
      <c r="R68" s="299">
        <f>IFERROR(1-(SUMIF(Grid_BD!$B:$B,$A68,Grid_BD!$V:$V)/($AA68+SUMIF(Grid_BD!$B:$B,$A68,Grid_BD!$V:$V))),"")</f>
        <v>1</v>
      </c>
      <c r="S68" s="295"/>
      <c r="T68" s="300"/>
      <c r="U68" s="301">
        <f t="shared" si="6"/>
        <v>0.82268780799474106</v>
      </c>
      <c r="V68" s="301" t="str">
        <f>IFERROR(_xlfn.XLOOKUP($A68,Input_Raw!$A:$A,Input_Raw!$AX:$AX),"")</f>
        <v/>
      </c>
      <c r="W68" s="302">
        <f t="shared" si="7"/>
        <v>0.17790671422153345</v>
      </c>
      <c r="X68" s="294">
        <f>IFERROR(_xlfn.XLOOKUP($A68,Input_Raw!$A:$A,Input_Raw!$AA:$AA),"")</f>
        <v>199550.69999999998</v>
      </c>
      <c r="Y68" s="294">
        <f>IFERROR(_xlfn.XLOOKUP($A68,Input_Raw!$A:$A,Input_Raw!$AS:$AS),"")</f>
        <v>197000</v>
      </c>
      <c r="Z68" s="294"/>
      <c r="AA68" s="294">
        <f>IFERROR(_xlfn.XLOOKUP($A68,Input_Raw!$A:$A,Input_Raw!$AT:$AT),"")</f>
        <v>196126.14082496069</v>
      </c>
      <c r="AB68" s="294">
        <f>IFERROR(_xlfn.XLOOKUP($A68,Input_Raw!$A:$A,Input_Raw!$AU:$AU),"")</f>
        <v>39.21</v>
      </c>
      <c r="AC68" s="303">
        <f>IFERROR(_xlfn.XLOOKUP($D68,'Modelling New'!$D:$D,'Modelling New'!P:P),"")</f>
        <v>4.78</v>
      </c>
      <c r="AD68" s="294">
        <f>IFERROR(_xlfn.XLOOKUP($D68,'Modelling New'!$D:$D,'Modelling New'!T:T)*1000,"")</f>
        <v>168249.61104657603</v>
      </c>
      <c r="AE68" s="304">
        <f>IFERROR(_xlfn.XLOOKUP($D68,'Modelling New'!$D:$D,'Modelling New'!$O:$O),"")</f>
        <v>0.76629196176809589</v>
      </c>
      <c r="AF68" s="304">
        <f>IFERROR(_xlfn.XLOOKUP($D68,'Modelling New'!$D:$D,'Modelling New'!$W:$W),"")</f>
        <v>0.15261981571881245</v>
      </c>
      <c r="AG68" s="304">
        <f>IFERROR(_xlfn.XLOOKUP($D68,'Modelling New'!$D:$D,'Modelling New'!$AE:$AE),"")</f>
        <v>0.995</v>
      </c>
      <c r="AH68" s="304">
        <f>IFERROR(_xlfn.XLOOKUP($D68,'Modelling New'!$D:$D,'Modelling New'!$AF:$AF),"")</f>
        <v>0.995</v>
      </c>
      <c r="AI68" s="295"/>
      <c r="AJ68" s="295"/>
      <c r="AK68" s="295"/>
      <c r="AL68" s="295"/>
      <c r="AM68" s="295"/>
      <c r="AN68" s="305"/>
      <c r="AO68" s="302"/>
      <c r="AP68" s="302"/>
      <c r="AQ68" s="302"/>
      <c r="AR68" s="294">
        <f>_xlfn.XLOOKUP($D68,'Modelling New'!$D:$D,'Modelling New'!$N:$N)</f>
        <v>45.933750000000003</v>
      </c>
      <c r="AS68" s="294">
        <f t="shared" si="8"/>
        <v>143621.35138403124</v>
      </c>
    </row>
    <row r="69" spans="1:45">
      <c r="A69" s="293">
        <f t="shared" si="9"/>
        <v>45812</v>
      </c>
      <c r="B69" s="294">
        <f>YEAR(Daily_KPI[[#This Row],[Date]])+IF(MONTH(Daily_KPI[[#This Row],[Date]])&gt;=4,1,0)</f>
        <v>2026</v>
      </c>
      <c r="C69" s="295">
        <f>YEAR(Daily_KPI[[#This Row],[Date]])</f>
        <v>2025</v>
      </c>
      <c r="D69" s="296">
        <f>Daily_KPI[[#This Row],[Date]]-DAY(Daily_KPI[[#This Row],[Date]])+1</f>
        <v>45809</v>
      </c>
      <c r="E69" s="295">
        <f t="shared" si="5"/>
        <v>30</v>
      </c>
      <c r="F69" s="297">
        <f>IFERROR(_xlfn.XLOOKUP($A69,Input_Raw!$A:$A,Input_Raw!$AR:$AR),"")</f>
        <v>12.55</v>
      </c>
      <c r="G69" s="298">
        <f>IFERROR(_xlfn.XLOOKUP($A69,Input_Raw!$A:$A,Input_Raw!$R:$R),"")</f>
        <v>6.81</v>
      </c>
      <c r="H69" s="298"/>
      <c r="I69" s="298">
        <f>IFERROR(_xlfn.XLOOKUP($A69,Input_Raw!$A:$A,Input_Raw!$Q:$Q),"")</f>
        <v>6.32</v>
      </c>
      <c r="J69" s="298"/>
      <c r="K69" s="298">
        <f>IFERROR(_xlfn.XLOOKUP($A69,Input_Raw!$A:$A,Input_Raw!S:S),"")</f>
        <v>33.85</v>
      </c>
      <c r="L69" s="298">
        <f>IFERROR(_xlfn.XLOOKUP($A69,Input_Raw!$A:$A,Input_Raw!T:T),"")</f>
        <v>45.19</v>
      </c>
      <c r="M69" s="298">
        <f>IFERROR(_xlfn.XLOOKUP($A69,Input_Raw!$A:$A,Input_Raw!W:W),"")</f>
        <v>3.2</v>
      </c>
      <c r="N69" s="298">
        <f>IFERROR(_xlfn.XLOOKUP($A69,Input_Raw!$A:$A,Input_Raw!X:X),"")</f>
        <v>8.39</v>
      </c>
      <c r="O69" s="299">
        <f>IFERROR(1-(SUMIF(Plant_BD!$B:$B,$A69,Plant_BD!$AL:$AL)/($AA69+SUMIF(Plant_BD!$B:$B,$A69,Plant_BD!$AL:$AL))),"")</f>
        <v>1</v>
      </c>
      <c r="P69" s="299"/>
      <c r="Q69" s="300"/>
      <c r="R69" s="299">
        <f>IFERROR(1-(SUMIF(Grid_BD!$B:$B,$A69,Grid_BD!$V:$V)/($AA69+SUMIF(Grid_BD!$B:$B,$A69,Grid_BD!$V:$V))),"")</f>
        <v>1</v>
      </c>
      <c r="S69" s="295"/>
      <c r="T69" s="300"/>
      <c r="U69" s="301">
        <f t="shared" si="6"/>
        <v>0.80716297121646596</v>
      </c>
      <c r="V69" s="301" t="str">
        <f>IFERROR(_xlfn.XLOOKUP($A69,Input_Raw!$A:$A,Input_Raw!$AX:$AX),"")</f>
        <v/>
      </c>
      <c r="W69" s="302">
        <f t="shared" si="7"/>
        <v>0.1814395695257055</v>
      </c>
      <c r="X69" s="294">
        <f>IFERROR(_xlfn.XLOOKUP($A69,Input_Raw!$A:$A,Input_Raw!$AA:$AA),"")</f>
        <v>203656.4</v>
      </c>
      <c r="Y69" s="294">
        <f>IFERROR(_xlfn.XLOOKUP($A69,Input_Raw!$A:$A,Input_Raw!$AS:$AS),"")</f>
        <v>202000</v>
      </c>
      <c r="Z69" s="294"/>
      <c r="AA69" s="294">
        <f>IFERROR(_xlfn.XLOOKUP($A69,Input_Raw!$A:$A,Input_Raw!$AT:$AT),"")</f>
        <v>200020.79584083302</v>
      </c>
      <c r="AB69" s="294">
        <f>IFERROR(_xlfn.XLOOKUP($A69,Input_Raw!$A:$A,Input_Raw!$AU:$AU),"")</f>
        <v>39.21</v>
      </c>
      <c r="AC69" s="303">
        <f>IFERROR(_xlfn.XLOOKUP($D69,'Modelling New'!$D:$D,'Modelling New'!P:P),"")</f>
        <v>4.78</v>
      </c>
      <c r="AD69" s="294">
        <f>IFERROR(_xlfn.XLOOKUP($D69,'Modelling New'!$D:$D,'Modelling New'!T:T)*1000,"")</f>
        <v>168249.61104657603</v>
      </c>
      <c r="AE69" s="304">
        <f>IFERROR(_xlfn.XLOOKUP($D69,'Modelling New'!$D:$D,'Modelling New'!$O:$O),"")</f>
        <v>0.76629196176809589</v>
      </c>
      <c r="AF69" s="304">
        <f>IFERROR(_xlfn.XLOOKUP($D69,'Modelling New'!$D:$D,'Modelling New'!$W:$W),"")</f>
        <v>0.15261981571881245</v>
      </c>
      <c r="AG69" s="304">
        <f>IFERROR(_xlfn.XLOOKUP($D69,'Modelling New'!$D:$D,'Modelling New'!$AE:$AE),"")</f>
        <v>0.995</v>
      </c>
      <c r="AH69" s="304">
        <f>IFERROR(_xlfn.XLOOKUP($D69,'Modelling New'!$D:$D,'Modelling New'!$AF:$AF),"")</f>
        <v>0.995</v>
      </c>
      <c r="AI69" s="295"/>
      <c r="AJ69" s="295"/>
      <c r="AK69" s="295"/>
      <c r="AL69" s="295"/>
      <c r="AM69" s="295"/>
      <c r="AN69" s="305"/>
      <c r="AO69" s="302"/>
      <c r="AP69" s="302"/>
      <c r="AQ69" s="302"/>
      <c r="AR69" s="294">
        <f>_xlfn.XLOOKUP($D69,'Modelling New'!$D:$D,'Modelling New'!$N:$N)</f>
        <v>45.933750000000003</v>
      </c>
      <c r="AS69" s="294">
        <f t="shared" si="8"/>
        <v>143621.35138403124</v>
      </c>
    </row>
    <row r="70" spans="1:45">
      <c r="A70" s="293">
        <f t="shared" si="9"/>
        <v>45813</v>
      </c>
      <c r="B70" s="294">
        <f>YEAR(Daily_KPI[[#This Row],[Date]])+IF(MONTH(Daily_KPI[[#This Row],[Date]])&gt;=4,1,0)</f>
        <v>2026</v>
      </c>
      <c r="C70" s="295">
        <f>YEAR(Daily_KPI[[#This Row],[Date]])</f>
        <v>2025</v>
      </c>
      <c r="D70" s="296">
        <f>Daily_KPI[[#This Row],[Date]]-DAY(Daily_KPI[[#This Row],[Date]])+1</f>
        <v>45809</v>
      </c>
      <c r="E70" s="295">
        <f t="shared" si="5"/>
        <v>30</v>
      </c>
      <c r="F70" s="297">
        <f>IFERROR(_xlfn.XLOOKUP($A70,Input_Raw!$A:$A,Input_Raw!$AR:$AR),"")</f>
        <v>12.250000000000002</v>
      </c>
      <c r="G70" s="298">
        <f>IFERROR(_xlfn.XLOOKUP($A70,Input_Raw!$A:$A,Input_Raw!$R:$R),"")</f>
        <v>5.42</v>
      </c>
      <c r="H70" s="298"/>
      <c r="I70" s="298">
        <f>IFERROR(_xlfn.XLOOKUP($A70,Input_Raw!$A:$A,Input_Raw!$Q:$Q),"")</f>
        <v>5.25</v>
      </c>
      <c r="J70" s="298"/>
      <c r="K70" s="298">
        <f>IFERROR(_xlfn.XLOOKUP($A70,Input_Raw!$A:$A,Input_Raw!S:S),"")</f>
        <v>32.74</v>
      </c>
      <c r="L70" s="298">
        <f>IFERROR(_xlfn.XLOOKUP($A70,Input_Raw!$A:$A,Input_Raw!T:T),"")</f>
        <v>43.09</v>
      </c>
      <c r="M70" s="298">
        <f>IFERROR(_xlfn.XLOOKUP($A70,Input_Raw!$A:$A,Input_Raw!W:W),"")</f>
        <v>1.96</v>
      </c>
      <c r="N70" s="298">
        <f>IFERROR(_xlfn.XLOOKUP($A70,Input_Raw!$A:$A,Input_Raw!X:X),"")</f>
        <v>6.64</v>
      </c>
      <c r="O70" s="299">
        <f>IFERROR(1-(SUMIF(Plant_BD!$B:$B,$A70,Plant_BD!$AL:$AL)/($AA70+SUMIF(Plant_BD!$B:$B,$A70,Plant_BD!$AL:$AL))),"")</f>
        <v>0.99927410760535063</v>
      </c>
      <c r="P70" s="299"/>
      <c r="Q70" s="300"/>
      <c r="R70" s="299">
        <f>IFERROR(1-(SUMIF(Grid_BD!$B:$B,$A70,Grid_BD!$V:$V)/($AA70+SUMIF(Grid_BD!$B:$B,$A70,Grid_BD!$V:$V))),"")</f>
        <v>1</v>
      </c>
      <c r="S70" s="295"/>
      <c r="T70" s="300"/>
      <c r="U70" s="301">
        <f t="shared" si="6"/>
        <v>0.80558597129172238</v>
      </c>
      <c r="V70" s="301" t="str">
        <f>IFERROR(_xlfn.XLOOKUP($A70,Input_Raw!$A:$A,Input_Raw!$AX:$AX),"")</f>
        <v/>
      </c>
      <c r="W70" s="302">
        <f t="shared" si="7"/>
        <v>0.15042668894089248</v>
      </c>
      <c r="X70" s="294">
        <f>IFERROR(_xlfn.XLOOKUP($A70,Input_Raw!$A:$A,Input_Raw!$AA:$AA),"")</f>
        <v>168885.5</v>
      </c>
      <c r="Y70" s="294">
        <f>IFERROR(_xlfn.XLOOKUP($A70,Input_Raw!$A:$A,Input_Raw!$AS:$AS),"")</f>
        <v>167000</v>
      </c>
      <c r="Z70" s="294"/>
      <c r="AA70" s="294">
        <f>IFERROR(_xlfn.XLOOKUP($A70,Input_Raw!$A:$A,Input_Raw!$AT:$AT),"")</f>
        <v>165831.88615532927</v>
      </c>
      <c r="AB70" s="294">
        <f>IFERROR(_xlfn.XLOOKUP($A70,Input_Raw!$A:$A,Input_Raw!$AU:$AU),"")</f>
        <v>39.21</v>
      </c>
      <c r="AC70" s="303">
        <f>IFERROR(_xlfn.XLOOKUP($D70,'Modelling New'!$D:$D,'Modelling New'!P:P),"")</f>
        <v>4.78</v>
      </c>
      <c r="AD70" s="294">
        <f>IFERROR(_xlfn.XLOOKUP($D70,'Modelling New'!$D:$D,'Modelling New'!T:T)*1000,"")</f>
        <v>168249.61104657603</v>
      </c>
      <c r="AE70" s="304">
        <f>IFERROR(_xlfn.XLOOKUP($D70,'Modelling New'!$D:$D,'Modelling New'!$O:$O),"")</f>
        <v>0.76629196176809589</v>
      </c>
      <c r="AF70" s="304">
        <f>IFERROR(_xlfn.XLOOKUP($D70,'Modelling New'!$D:$D,'Modelling New'!$W:$W),"")</f>
        <v>0.15261981571881245</v>
      </c>
      <c r="AG70" s="304">
        <f>IFERROR(_xlfn.XLOOKUP($D70,'Modelling New'!$D:$D,'Modelling New'!$AE:$AE),"")</f>
        <v>0.995</v>
      </c>
      <c r="AH70" s="304">
        <f>IFERROR(_xlfn.XLOOKUP($D70,'Modelling New'!$D:$D,'Modelling New'!$AF:$AF),"")</f>
        <v>0.995</v>
      </c>
      <c r="AI70" s="295"/>
      <c r="AJ70" s="295"/>
      <c r="AK70" s="295"/>
      <c r="AL70" s="295"/>
      <c r="AM70" s="295"/>
      <c r="AN70" s="305"/>
      <c r="AO70" s="302"/>
      <c r="AP70" s="302"/>
      <c r="AQ70" s="302"/>
      <c r="AR70" s="294">
        <f>_xlfn.XLOOKUP($D70,'Modelling New'!$D:$D,'Modelling New'!$N:$N)</f>
        <v>45.933750000000003</v>
      </c>
      <c r="AS70" s="294">
        <f t="shared" si="8"/>
        <v>143621.35138403124</v>
      </c>
    </row>
    <row r="71" spans="1:45">
      <c r="A71" s="293">
        <f t="shared" si="9"/>
        <v>45814</v>
      </c>
      <c r="B71" s="294">
        <f>YEAR(Daily_KPI[[#This Row],[Date]])+IF(MONTH(Daily_KPI[[#This Row],[Date]])&gt;=4,1,0)</f>
        <v>2026</v>
      </c>
      <c r="C71" s="295">
        <f>YEAR(Daily_KPI[[#This Row],[Date]])</f>
        <v>2025</v>
      </c>
      <c r="D71" s="296">
        <f>Daily_KPI[[#This Row],[Date]]-DAY(Daily_KPI[[#This Row],[Date]])+1</f>
        <v>45809</v>
      </c>
      <c r="E71" s="295">
        <f t="shared" si="5"/>
        <v>30</v>
      </c>
      <c r="F71" s="297">
        <f>IFERROR(_xlfn.XLOOKUP($A71,Input_Raw!$A:$A,Input_Raw!$AR:$AR),"")</f>
        <v>12.583333333333334</v>
      </c>
      <c r="G71" s="298">
        <f>IFERROR(_xlfn.XLOOKUP($A71,Input_Raw!$A:$A,Input_Raw!$R:$R),"")</f>
        <v>7.22</v>
      </c>
      <c r="H71" s="298"/>
      <c r="I71" s="298">
        <f>IFERROR(_xlfn.XLOOKUP($A71,Input_Raw!$A:$A,Input_Raw!$Q:$Q),"")</f>
        <v>6.77</v>
      </c>
      <c r="J71" s="298"/>
      <c r="K71" s="298">
        <f>IFERROR(_xlfn.XLOOKUP($A71,Input_Raw!$A:$A,Input_Raw!S:S),"")</f>
        <v>35.74</v>
      </c>
      <c r="L71" s="298">
        <f>IFERROR(_xlfn.XLOOKUP($A71,Input_Raw!$A:$A,Input_Raw!T:T),"")</f>
        <v>36.479999999999997</v>
      </c>
      <c r="M71" s="298">
        <f>IFERROR(_xlfn.XLOOKUP($A71,Input_Raw!$A:$A,Input_Raw!W:W),"")</f>
        <v>2.27</v>
      </c>
      <c r="N71" s="298">
        <f>IFERROR(_xlfn.XLOOKUP($A71,Input_Raw!$A:$A,Input_Raw!X:X),"")</f>
        <v>6.36</v>
      </c>
      <c r="O71" s="299">
        <f>IFERROR(1-(SUMIF(Plant_BD!$B:$B,$A71,Plant_BD!$AL:$AL)/($AA71+SUMIF(Plant_BD!$B:$B,$A71,Plant_BD!$AL:$AL))),"")</f>
        <v>1</v>
      </c>
      <c r="P71" s="299"/>
      <c r="Q71" s="300"/>
      <c r="R71" s="299">
        <f>IFERROR(1-(SUMIF(Grid_BD!$B:$B,$A71,Grid_BD!$V:$V)/($AA71+SUMIF(Grid_BD!$B:$B,$A71,Grid_BD!$V:$V))),"")</f>
        <v>1</v>
      </c>
      <c r="S71" s="295"/>
      <c r="T71" s="300"/>
      <c r="U71" s="301">
        <f t="shared" si="6"/>
        <v>0.80257826152625267</v>
      </c>
      <c r="V71" s="301" t="str">
        <f>IFERROR(_xlfn.XLOOKUP($A71,Input_Raw!$A:$A,Input_Raw!$AX:$AX),"")</f>
        <v/>
      </c>
      <c r="W71" s="302">
        <f t="shared" si="7"/>
        <v>0.19325456400539576</v>
      </c>
      <c r="X71" s="294">
        <f>IFERROR(_xlfn.XLOOKUP($A71,Input_Raw!$A:$A,Input_Raw!$AA:$AA),"")</f>
        <v>217073.00000000003</v>
      </c>
      <c r="Y71" s="294">
        <f>IFERROR(_xlfn.XLOOKUP($A71,Input_Raw!$A:$A,Input_Raw!$AS:$AS),"")</f>
        <v>214000</v>
      </c>
      <c r="Z71" s="294"/>
      <c r="AA71" s="294">
        <f>IFERROR(_xlfn.XLOOKUP($A71,Input_Raw!$A:$A,Input_Raw!$AT:$AT),"")</f>
        <v>213045.76390518833</v>
      </c>
      <c r="AB71" s="294">
        <f>IFERROR(_xlfn.XLOOKUP($A71,Input_Raw!$A:$A,Input_Raw!$AU:$AU),"")</f>
        <v>39.21</v>
      </c>
      <c r="AC71" s="303">
        <f>IFERROR(_xlfn.XLOOKUP($D71,'Modelling New'!$D:$D,'Modelling New'!P:P),"")</f>
        <v>4.78</v>
      </c>
      <c r="AD71" s="294">
        <f>IFERROR(_xlfn.XLOOKUP($D71,'Modelling New'!$D:$D,'Modelling New'!T:T)*1000,"")</f>
        <v>168249.61104657603</v>
      </c>
      <c r="AE71" s="304">
        <f>IFERROR(_xlfn.XLOOKUP($D71,'Modelling New'!$D:$D,'Modelling New'!$O:$O),"")</f>
        <v>0.76629196176809589</v>
      </c>
      <c r="AF71" s="304">
        <f>IFERROR(_xlfn.XLOOKUP($D71,'Modelling New'!$D:$D,'Modelling New'!$W:$W),"")</f>
        <v>0.15261981571881245</v>
      </c>
      <c r="AG71" s="304">
        <f>IFERROR(_xlfn.XLOOKUP($D71,'Modelling New'!$D:$D,'Modelling New'!$AE:$AE),"")</f>
        <v>0.995</v>
      </c>
      <c r="AH71" s="304">
        <f>IFERROR(_xlfn.XLOOKUP($D71,'Modelling New'!$D:$D,'Modelling New'!$AF:$AF),"")</f>
        <v>0.995</v>
      </c>
      <c r="AI71" s="295"/>
      <c r="AJ71" s="295"/>
      <c r="AK71" s="295"/>
      <c r="AL71" s="295"/>
      <c r="AM71" s="295"/>
      <c r="AN71" s="305"/>
      <c r="AO71" s="302"/>
      <c r="AP71" s="302"/>
      <c r="AQ71" s="302"/>
      <c r="AR71" s="294">
        <f>_xlfn.XLOOKUP($D71,'Modelling New'!$D:$D,'Modelling New'!$N:$N)</f>
        <v>45.933750000000003</v>
      </c>
      <c r="AS71" s="294">
        <f t="shared" si="8"/>
        <v>143621.35138403124</v>
      </c>
    </row>
    <row r="72" spans="1:45">
      <c r="A72" s="293">
        <f t="shared" si="9"/>
        <v>45815</v>
      </c>
      <c r="B72" s="294">
        <f>YEAR(Daily_KPI[[#This Row],[Date]])+IF(MONTH(Daily_KPI[[#This Row],[Date]])&gt;=4,1,0)</f>
        <v>2026</v>
      </c>
      <c r="C72" s="295">
        <f>YEAR(Daily_KPI[[#This Row],[Date]])</f>
        <v>2025</v>
      </c>
      <c r="D72" s="296">
        <f>Daily_KPI[[#This Row],[Date]]-DAY(Daily_KPI[[#This Row],[Date]])+1</f>
        <v>45809</v>
      </c>
      <c r="E72" s="295">
        <f t="shared" si="5"/>
        <v>30</v>
      </c>
      <c r="F72" s="297">
        <f>IFERROR(_xlfn.XLOOKUP($A72,Input_Raw!$A:$A,Input_Raw!$AR:$AR),"")</f>
        <v>12.316666666666666</v>
      </c>
      <c r="G72" s="298">
        <f>IFERROR(_xlfn.XLOOKUP($A72,Input_Raw!$A:$A,Input_Raw!$R:$R),"")</f>
        <v>5.54</v>
      </c>
      <c r="H72" s="298"/>
      <c r="I72" s="298">
        <f>IFERROR(_xlfn.XLOOKUP($A72,Input_Raw!$A:$A,Input_Raw!$Q:$Q),"")</f>
        <v>5.23</v>
      </c>
      <c r="J72" s="298"/>
      <c r="K72" s="298">
        <f>IFERROR(_xlfn.XLOOKUP($A72,Input_Raw!$A:$A,Input_Raw!S:S),"")</f>
        <v>34.450000000000003</v>
      </c>
      <c r="L72" s="298">
        <f>IFERROR(_xlfn.XLOOKUP($A72,Input_Raw!$A:$A,Input_Raw!T:T),"")</f>
        <v>40.98</v>
      </c>
      <c r="M72" s="298">
        <f>IFERROR(_xlfn.XLOOKUP($A72,Input_Raw!$A:$A,Input_Raw!W:W),"")</f>
        <v>3.45</v>
      </c>
      <c r="N72" s="298">
        <f>IFERROR(_xlfn.XLOOKUP($A72,Input_Raw!$A:$A,Input_Raw!X:X),"")</f>
        <v>10.47</v>
      </c>
      <c r="O72" s="299">
        <f>IFERROR(1-(SUMIF(Plant_BD!$B:$B,$A72,Plant_BD!$AL:$AL)/($AA72+SUMIF(Plant_BD!$B:$B,$A72,Plant_BD!$AL:$AL))),"")</f>
        <v>1</v>
      </c>
      <c r="P72" s="299"/>
      <c r="Q72" s="300"/>
      <c r="R72" s="299">
        <f>IFERROR(1-(SUMIF(Grid_BD!$B:$B,$A72,Grid_BD!$V:$V)/($AA72+SUMIF(Grid_BD!$B:$B,$A72,Grid_BD!$V:$V))),"")</f>
        <v>1</v>
      </c>
      <c r="S72" s="295"/>
      <c r="T72" s="300"/>
      <c r="U72" s="301">
        <f t="shared" si="6"/>
        <v>0.82579374304254816</v>
      </c>
      <c r="V72" s="301" t="str">
        <f>IFERROR(_xlfn.XLOOKUP($A72,Input_Raw!$A:$A,Input_Raw!$AX:$AX),"")</f>
        <v/>
      </c>
      <c r="W72" s="302">
        <f t="shared" si="7"/>
        <v>0.15361264777748043</v>
      </c>
      <c r="X72" s="294">
        <f>IFERROR(_xlfn.XLOOKUP($A72,Input_Raw!$A:$A,Input_Raw!$AA:$AA),"")</f>
        <v>172414.90000000002</v>
      </c>
      <c r="Y72" s="294">
        <f>IFERROR(_xlfn.XLOOKUP($A72,Input_Raw!$A:$A,Input_Raw!$AS:$AS),"")</f>
        <v>171000</v>
      </c>
      <c r="Z72" s="294"/>
      <c r="AA72" s="294">
        <f>IFERROR(_xlfn.XLOOKUP($A72,Input_Raw!$A:$A,Input_Raw!$AT:$AT),"")</f>
        <v>169344.1190363722</v>
      </c>
      <c r="AB72" s="294">
        <f>IFERROR(_xlfn.XLOOKUP($A72,Input_Raw!$A:$A,Input_Raw!$AU:$AU),"")</f>
        <v>39.21</v>
      </c>
      <c r="AC72" s="303">
        <f>IFERROR(_xlfn.XLOOKUP($D72,'Modelling New'!$D:$D,'Modelling New'!P:P),"")</f>
        <v>4.78</v>
      </c>
      <c r="AD72" s="294">
        <f>IFERROR(_xlfn.XLOOKUP($D72,'Modelling New'!$D:$D,'Modelling New'!T:T)*1000,"")</f>
        <v>168249.61104657603</v>
      </c>
      <c r="AE72" s="304">
        <f>IFERROR(_xlfn.XLOOKUP($D72,'Modelling New'!$D:$D,'Modelling New'!$O:$O),"")</f>
        <v>0.76629196176809589</v>
      </c>
      <c r="AF72" s="304">
        <f>IFERROR(_xlfn.XLOOKUP($D72,'Modelling New'!$D:$D,'Modelling New'!$W:$W),"")</f>
        <v>0.15261981571881245</v>
      </c>
      <c r="AG72" s="304">
        <f>IFERROR(_xlfn.XLOOKUP($D72,'Modelling New'!$D:$D,'Modelling New'!$AE:$AE),"")</f>
        <v>0.995</v>
      </c>
      <c r="AH72" s="304">
        <f>IFERROR(_xlfn.XLOOKUP($D72,'Modelling New'!$D:$D,'Modelling New'!$AF:$AF),"")</f>
        <v>0.995</v>
      </c>
      <c r="AI72" s="295"/>
      <c r="AJ72" s="295"/>
      <c r="AK72" s="295"/>
      <c r="AL72" s="295"/>
      <c r="AM72" s="295"/>
      <c r="AN72" s="305"/>
      <c r="AO72" s="302"/>
      <c r="AP72" s="302"/>
      <c r="AQ72" s="302"/>
      <c r="AR72" s="294">
        <f>_xlfn.XLOOKUP($D72,'Modelling New'!$D:$D,'Modelling New'!$N:$N)</f>
        <v>45.933750000000003</v>
      </c>
      <c r="AS72" s="294">
        <f t="shared" si="8"/>
        <v>143621.35138403124</v>
      </c>
    </row>
    <row r="73" spans="1:45">
      <c r="A73" s="293">
        <f t="shared" si="9"/>
        <v>45816</v>
      </c>
      <c r="B73" s="294">
        <f>YEAR(Daily_KPI[[#This Row],[Date]])+IF(MONTH(Daily_KPI[[#This Row],[Date]])&gt;=4,1,0)</f>
        <v>2026</v>
      </c>
      <c r="C73" s="295">
        <f>YEAR(Daily_KPI[[#This Row],[Date]])</f>
        <v>2025</v>
      </c>
      <c r="D73" s="296">
        <f>Daily_KPI[[#This Row],[Date]]-DAY(Daily_KPI[[#This Row],[Date]])+1</f>
        <v>45809</v>
      </c>
      <c r="E73" s="295">
        <f t="shared" si="5"/>
        <v>30</v>
      </c>
      <c r="F73" s="297">
        <f>IFERROR(_xlfn.XLOOKUP($A73,Input_Raw!$A:$A,Input_Raw!$AR:$AR),"")</f>
        <v>12.55</v>
      </c>
      <c r="G73" s="298">
        <f>IFERROR(_xlfn.XLOOKUP($A73,Input_Raw!$A:$A,Input_Raw!$R:$R),"")</f>
        <v>5.95</v>
      </c>
      <c r="H73" s="298"/>
      <c r="I73" s="298">
        <f>IFERROR(_xlfn.XLOOKUP($A73,Input_Raw!$A:$A,Input_Raw!$Q:$Q),"")</f>
        <v>5.65</v>
      </c>
      <c r="J73" s="298"/>
      <c r="K73" s="298">
        <f>IFERROR(_xlfn.XLOOKUP($A73,Input_Raw!$A:$A,Input_Raw!S:S),"")</f>
        <v>35.869999999999997</v>
      </c>
      <c r="L73" s="298">
        <f>IFERROR(_xlfn.XLOOKUP($A73,Input_Raw!$A:$A,Input_Raw!T:T),"")</f>
        <v>42.72</v>
      </c>
      <c r="M73" s="298">
        <f>IFERROR(_xlfn.XLOOKUP($A73,Input_Raw!$A:$A,Input_Raw!W:W),"")</f>
        <v>4.45</v>
      </c>
      <c r="N73" s="298">
        <f>IFERROR(_xlfn.XLOOKUP($A73,Input_Raw!$A:$A,Input_Raw!X:X),"")</f>
        <v>9.2100000000000009</v>
      </c>
      <c r="O73" s="299">
        <f>IFERROR(1-(SUMIF(Plant_BD!$B:$B,$A73,Plant_BD!$AL:$AL)/($AA73+SUMIF(Plant_BD!$B:$B,$A73,Plant_BD!$AL:$AL))),"")</f>
        <v>1</v>
      </c>
      <c r="P73" s="299"/>
      <c r="Q73" s="300"/>
      <c r="R73" s="299">
        <f>IFERROR(1-(SUMIF(Grid_BD!$B:$B,$A73,Grid_BD!$V:$V)/($AA73+SUMIF(Grid_BD!$B:$B,$A73,Grid_BD!$V:$V))),"")</f>
        <v>1</v>
      </c>
      <c r="S73" s="295"/>
      <c r="T73" s="300"/>
      <c r="U73" s="301">
        <f t="shared" si="6"/>
        <v>0.84471880651086451</v>
      </c>
      <c r="V73" s="301" t="str">
        <f>IFERROR(_xlfn.XLOOKUP($A73,Input_Raw!$A:$A,Input_Raw!$AX:$AX),"")</f>
        <v/>
      </c>
      <c r="W73" s="302">
        <f t="shared" si="7"/>
        <v>0.16975176919530316</v>
      </c>
      <c r="X73" s="294">
        <f>IFERROR(_xlfn.XLOOKUP($A73,Input_Raw!$A:$A,Input_Raw!$AA:$AA),"")</f>
        <v>190546.7</v>
      </c>
      <c r="Y73" s="294">
        <f>IFERROR(_xlfn.XLOOKUP($A73,Input_Raw!$A:$A,Input_Raw!$AS:$AS),"")</f>
        <v>188000</v>
      </c>
      <c r="Z73" s="294"/>
      <c r="AA73" s="294">
        <f>IFERROR(_xlfn.XLOOKUP($A73,Input_Raw!$A:$A,Input_Raw!$AT:$AT),"")</f>
        <v>187136.04787859417</v>
      </c>
      <c r="AB73" s="294">
        <f>IFERROR(_xlfn.XLOOKUP($A73,Input_Raw!$A:$A,Input_Raw!$AU:$AU),"")</f>
        <v>39.21</v>
      </c>
      <c r="AC73" s="303">
        <f>IFERROR(_xlfn.XLOOKUP($D73,'Modelling New'!$D:$D,'Modelling New'!P:P),"")</f>
        <v>4.78</v>
      </c>
      <c r="AD73" s="294">
        <f>IFERROR(_xlfn.XLOOKUP($D73,'Modelling New'!$D:$D,'Modelling New'!T:T)*1000,"")</f>
        <v>168249.61104657603</v>
      </c>
      <c r="AE73" s="304">
        <f>IFERROR(_xlfn.XLOOKUP($D73,'Modelling New'!$D:$D,'Modelling New'!$O:$O),"")</f>
        <v>0.76629196176809589</v>
      </c>
      <c r="AF73" s="304">
        <f>IFERROR(_xlfn.XLOOKUP($D73,'Modelling New'!$D:$D,'Modelling New'!$W:$W),"")</f>
        <v>0.15261981571881245</v>
      </c>
      <c r="AG73" s="304">
        <f>IFERROR(_xlfn.XLOOKUP($D73,'Modelling New'!$D:$D,'Modelling New'!$AE:$AE),"")</f>
        <v>0.995</v>
      </c>
      <c r="AH73" s="304">
        <f>IFERROR(_xlfn.XLOOKUP($D73,'Modelling New'!$D:$D,'Modelling New'!$AF:$AF),"")</f>
        <v>0.995</v>
      </c>
      <c r="AI73" s="295"/>
      <c r="AJ73" s="295"/>
      <c r="AK73" s="295"/>
      <c r="AL73" s="295"/>
      <c r="AM73" s="295"/>
      <c r="AN73" s="305"/>
      <c r="AO73" s="302"/>
      <c r="AP73" s="302"/>
      <c r="AQ73" s="302"/>
      <c r="AR73" s="294">
        <f>_xlfn.XLOOKUP($D73,'Modelling New'!$D:$D,'Modelling New'!$N:$N)</f>
        <v>45.933750000000003</v>
      </c>
      <c r="AS73" s="294">
        <f t="shared" si="8"/>
        <v>143621.35138403124</v>
      </c>
    </row>
    <row r="74" spans="1:45">
      <c r="A74" s="293">
        <f t="shared" si="9"/>
        <v>45817</v>
      </c>
      <c r="B74" s="294">
        <f>YEAR(Daily_KPI[[#This Row],[Date]])+IF(MONTH(Daily_KPI[[#This Row],[Date]])&gt;=4,1,0)</f>
        <v>2026</v>
      </c>
      <c r="C74" s="295">
        <f>YEAR(Daily_KPI[[#This Row],[Date]])</f>
        <v>2025</v>
      </c>
      <c r="D74" s="296">
        <f>Daily_KPI[[#This Row],[Date]]-DAY(Daily_KPI[[#This Row],[Date]])+1</f>
        <v>45809</v>
      </c>
      <c r="E74" s="295">
        <f t="shared" ref="E74:E137" si="10">DAY(EOMONTH(A74,0))</f>
        <v>30</v>
      </c>
      <c r="F74" s="297">
        <f>IFERROR(_xlfn.XLOOKUP($A74,Input_Raw!$A:$A,Input_Raw!$AR:$AR),"")</f>
        <v>12.149999999999999</v>
      </c>
      <c r="G74" s="298">
        <f>IFERROR(_xlfn.XLOOKUP($A74,Input_Raw!$A:$A,Input_Raw!$R:$R),"")</f>
        <v>6.56</v>
      </c>
      <c r="H74" s="298"/>
      <c r="I74" s="298">
        <f>IFERROR(_xlfn.XLOOKUP($A74,Input_Raw!$A:$A,Input_Raw!$Q:$Q),"")</f>
        <v>6.21</v>
      </c>
      <c r="J74" s="298"/>
      <c r="K74" s="298">
        <f>IFERROR(_xlfn.XLOOKUP($A74,Input_Raw!$A:$A,Input_Raw!S:S),"")</f>
        <v>36.049999999999997</v>
      </c>
      <c r="L74" s="298">
        <f>IFERROR(_xlfn.XLOOKUP($A74,Input_Raw!$A:$A,Input_Raw!T:T),"")</f>
        <v>44.68</v>
      </c>
      <c r="M74" s="298">
        <f>IFERROR(_xlfn.XLOOKUP($A74,Input_Raw!$A:$A,Input_Raw!W:W),"")</f>
        <v>4.6500000000000004</v>
      </c>
      <c r="N74" s="298">
        <f>IFERROR(_xlfn.XLOOKUP($A74,Input_Raw!$A:$A,Input_Raw!X:X),"")</f>
        <v>9.27</v>
      </c>
      <c r="O74" s="299">
        <f>IFERROR(1-(SUMIF(Plant_BD!$B:$B,$A74,Plant_BD!$AL:$AL)/($AA74+SUMIF(Plant_BD!$B:$B,$A74,Plant_BD!$AL:$AL))),"")</f>
        <v>0.99932821765075108</v>
      </c>
      <c r="P74" s="299"/>
      <c r="Q74" s="300"/>
      <c r="R74" s="299">
        <f>IFERROR(1-(SUMIF(Grid_BD!$B:$B,$A74,Grid_BD!$V:$V)/($AA74+SUMIF(Grid_BD!$B:$B,$A74,Grid_BD!$V:$V))),"")</f>
        <v>1</v>
      </c>
      <c r="S74" s="295"/>
      <c r="T74" s="300"/>
      <c r="U74" s="301">
        <f t="shared" ref="U74:U137" si="11">IFERROR(AA74/I74/AB74/1000,"")</f>
        <v>0.82883685748901725</v>
      </c>
      <c r="V74" s="301" t="str">
        <f>IFERROR(_xlfn.XLOOKUP($A74,Input_Raw!$A:$A,Input_Raw!$AX:$AX),"")</f>
        <v/>
      </c>
      <c r="W74" s="302">
        <f t="shared" ref="W74:W137" si="12">IFERROR(AA74/(24*AR74*1000),"")</f>
        <v>0.18306880803069323</v>
      </c>
      <c r="X74" s="294">
        <f>IFERROR(_xlfn.XLOOKUP($A74,Input_Raw!$A:$A,Input_Raw!$AA:$AA),"")</f>
        <v>205464</v>
      </c>
      <c r="Y74" s="294">
        <f>IFERROR(_xlfn.XLOOKUP($A74,Input_Raw!$A:$A,Input_Raw!$AS:$AS),"")</f>
        <v>204000</v>
      </c>
      <c r="Z74" s="294"/>
      <c r="AA74" s="294">
        <f>IFERROR(_xlfn.XLOOKUP($A74,Input_Raw!$A:$A,Input_Raw!$AT:$AT),"")</f>
        <v>201816.88466111652</v>
      </c>
      <c r="AB74" s="294">
        <f>IFERROR(_xlfn.XLOOKUP($A74,Input_Raw!$A:$A,Input_Raw!$AU:$AU),"")</f>
        <v>39.21</v>
      </c>
      <c r="AC74" s="303">
        <f>IFERROR(_xlfn.XLOOKUP($D74,'Modelling New'!$D:$D,'Modelling New'!P:P),"")</f>
        <v>4.78</v>
      </c>
      <c r="AD74" s="294">
        <f>IFERROR(_xlfn.XLOOKUP($D74,'Modelling New'!$D:$D,'Modelling New'!T:T)*1000,"")</f>
        <v>168249.61104657603</v>
      </c>
      <c r="AE74" s="304">
        <f>IFERROR(_xlfn.XLOOKUP($D74,'Modelling New'!$D:$D,'Modelling New'!$O:$O),"")</f>
        <v>0.76629196176809589</v>
      </c>
      <c r="AF74" s="304">
        <f>IFERROR(_xlfn.XLOOKUP($D74,'Modelling New'!$D:$D,'Modelling New'!$W:$W),"")</f>
        <v>0.15261981571881245</v>
      </c>
      <c r="AG74" s="304">
        <f>IFERROR(_xlfn.XLOOKUP($D74,'Modelling New'!$D:$D,'Modelling New'!$AE:$AE),"")</f>
        <v>0.995</v>
      </c>
      <c r="AH74" s="304">
        <f>IFERROR(_xlfn.XLOOKUP($D74,'Modelling New'!$D:$D,'Modelling New'!$AF:$AF),"")</f>
        <v>0.995</v>
      </c>
      <c r="AI74" s="295"/>
      <c r="AJ74" s="295"/>
      <c r="AK74" s="295"/>
      <c r="AL74" s="295"/>
      <c r="AM74" s="295"/>
      <c r="AN74" s="305"/>
      <c r="AO74" s="302"/>
      <c r="AP74" s="302"/>
      <c r="AQ74" s="302"/>
      <c r="AR74" s="294">
        <f>_xlfn.XLOOKUP($D74,'Modelling New'!$D:$D,'Modelling New'!$N:$N)</f>
        <v>45.933750000000003</v>
      </c>
      <c r="AS74" s="294">
        <f t="shared" ref="AS74:AS137" si="13">IFERROR((AD74/AR74)*AB74,"")</f>
        <v>143621.35138403124</v>
      </c>
    </row>
    <row r="75" spans="1:45">
      <c r="A75" s="293">
        <f t="shared" si="9"/>
        <v>45818</v>
      </c>
      <c r="B75" s="294">
        <f>YEAR(Daily_KPI[[#This Row],[Date]])+IF(MONTH(Daily_KPI[[#This Row],[Date]])&gt;=4,1,0)</f>
        <v>2026</v>
      </c>
      <c r="C75" s="295">
        <f>YEAR(Daily_KPI[[#This Row],[Date]])</f>
        <v>2025</v>
      </c>
      <c r="D75" s="296">
        <f>Daily_KPI[[#This Row],[Date]]-DAY(Daily_KPI[[#This Row],[Date]])+1</f>
        <v>45809</v>
      </c>
      <c r="E75" s="295">
        <f t="shared" si="10"/>
        <v>30</v>
      </c>
      <c r="F75" s="297">
        <f>IFERROR(_xlfn.XLOOKUP($A75,Input_Raw!$A:$A,Input_Raw!$AR:$AR),"")</f>
        <v>10.350000000000001</v>
      </c>
      <c r="G75" s="298">
        <f>IFERROR(_xlfn.XLOOKUP($A75,Input_Raw!$A:$A,Input_Raw!$R:$R),"")</f>
        <v>4.93</v>
      </c>
      <c r="H75" s="298"/>
      <c r="I75" s="298">
        <f>IFERROR(_xlfn.XLOOKUP($A75,Input_Raw!$A:$A,Input_Raw!$Q:$Q),"")</f>
        <v>4.76</v>
      </c>
      <c r="J75" s="298"/>
      <c r="K75" s="298">
        <f>IFERROR(_xlfn.XLOOKUP($A75,Input_Raw!$A:$A,Input_Raw!S:S),"")</f>
        <v>33.840000000000003</v>
      </c>
      <c r="L75" s="298">
        <f>IFERROR(_xlfn.XLOOKUP($A75,Input_Raw!$A:$A,Input_Raw!T:T),"")</f>
        <v>40.71</v>
      </c>
      <c r="M75" s="298">
        <f>IFERROR(_xlfn.XLOOKUP($A75,Input_Raw!$A:$A,Input_Raw!W:W),"")</f>
        <v>4.8600000000000003</v>
      </c>
      <c r="N75" s="298">
        <f>IFERROR(_xlfn.XLOOKUP($A75,Input_Raw!$A:$A,Input_Raw!X:X),"")</f>
        <v>22.74</v>
      </c>
      <c r="O75" s="299">
        <f>IFERROR(1-(SUMIF(Plant_BD!$B:$B,$A75,Plant_BD!$AL:$AL)/($AA75+SUMIF(Plant_BD!$B:$B,$A75,Plant_BD!$AL:$AL))),"")</f>
        <v>1</v>
      </c>
      <c r="P75" s="299"/>
      <c r="Q75" s="300"/>
      <c r="R75" s="299">
        <f>IFERROR(1-(SUMIF(Grid_BD!$B:$B,$A75,Grid_BD!$V:$V)/($AA75+SUMIF(Grid_BD!$B:$B,$A75,Grid_BD!$V:$V))),"")</f>
        <v>1</v>
      </c>
      <c r="S75" s="295"/>
      <c r="T75" s="300"/>
      <c r="U75" s="301">
        <f t="shared" si="11"/>
        <v>0.86718987202606257</v>
      </c>
      <c r="V75" s="301" t="str">
        <f>IFERROR(_xlfn.XLOOKUP($A75,Input_Raw!$A:$A,Input_Raw!$AX:$AX),"")</f>
        <v/>
      </c>
      <c r="W75" s="302">
        <f t="shared" si="12"/>
        <v>0.14681649371739688</v>
      </c>
      <c r="X75" s="294">
        <f>IFERROR(_xlfn.XLOOKUP($A75,Input_Raw!$A:$A,Input_Raw!$AA:$AA),"")</f>
        <v>164762</v>
      </c>
      <c r="Y75" s="294">
        <f>IFERROR(_xlfn.XLOOKUP($A75,Input_Raw!$A:$A,Input_Raw!$AS:$AS),"")</f>
        <v>163000</v>
      </c>
      <c r="Z75" s="294"/>
      <c r="AA75" s="294">
        <f>IFERROR(_xlfn.XLOOKUP($A75,Input_Raw!$A:$A,Input_Raw!$AT:$AT),"")</f>
        <v>161851.9708389955</v>
      </c>
      <c r="AB75" s="294">
        <f>IFERROR(_xlfn.XLOOKUP($A75,Input_Raw!$A:$A,Input_Raw!$AU:$AU),"")</f>
        <v>39.21</v>
      </c>
      <c r="AC75" s="303">
        <f>IFERROR(_xlfn.XLOOKUP($D75,'Modelling New'!$D:$D,'Modelling New'!P:P),"")</f>
        <v>4.78</v>
      </c>
      <c r="AD75" s="294">
        <f>IFERROR(_xlfn.XLOOKUP($D75,'Modelling New'!$D:$D,'Modelling New'!T:T)*1000,"")</f>
        <v>168249.61104657603</v>
      </c>
      <c r="AE75" s="304">
        <f>IFERROR(_xlfn.XLOOKUP($D75,'Modelling New'!$D:$D,'Modelling New'!$O:$O),"")</f>
        <v>0.76629196176809589</v>
      </c>
      <c r="AF75" s="304">
        <f>IFERROR(_xlfn.XLOOKUP($D75,'Modelling New'!$D:$D,'Modelling New'!$W:$W),"")</f>
        <v>0.15261981571881245</v>
      </c>
      <c r="AG75" s="304">
        <f>IFERROR(_xlfn.XLOOKUP($D75,'Modelling New'!$D:$D,'Modelling New'!$AE:$AE),"")</f>
        <v>0.995</v>
      </c>
      <c r="AH75" s="304">
        <f>IFERROR(_xlfn.XLOOKUP($D75,'Modelling New'!$D:$D,'Modelling New'!$AF:$AF),"")</f>
        <v>0.995</v>
      </c>
      <c r="AI75" s="295"/>
      <c r="AJ75" s="295"/>
      <c r="AK75" s="295"/>
      <c r="AL75" s="295"/>
      <c r="AM75" s="295"/>
      <c r="AN75" s="305"/>
      <c r="AO75" s="302"/>
      <c r="AP75" s="302"/>
      <c r="AQ75" s="302"/>
      <c r="AR75" s="294">
        <f>_xlfn.XLOOKUP($D75,'Modelling New'!$D:$D,'Modelling New'!$N:$N)</f>
        <v>45.933750000000003</v>
      </c>
      <c r="AS75" s="294">
        <f t="shared" si="13"/>
        <v>143621.35138403124</v>
      </c>
    </row>
    <row r="76" spans="1:45">
      <c r="A76" s="293">
        <f t="shared" ref="A76:A139" si="14">A75+1</f>
        <v>45819</v>
      </c>
      <c r="B76" s="294">
        <f>YEAR(Daily_KPI[[#This Row],[Date]])+IF(MONTH(Daily_KPI[[#This Row],[Date]])&gt;=4,1,0)</f>
        <v>2026</v>
      </c>
      <c r="C76" s="295">
        <f>YEAR(Daily_KPI[[#This Row],[Date]])</f>
        <v>2025</v>
      </c>
      <c r="D76" s="296">
        <f>Daily_KPI[[#This Row],[Date]]-DAY(Daily_KPI[[#This Row],[Date]])+1</f>
        <v>45809</v>
      </c>
      <c r="E76" s="295">
        <f t="shared" si="10"/>
        <v>30</v>
      </c>
      <c r="F76" s="297">
        <f>IFERROR(_xlfn.XLOOKUP($A76,Input_Raw!$A:$A,Input_Raw!$AR:$AR),"")</f>
        <v>10.600000000000001</v>
      </c>
      <c r="G76" s="298">
        <f>IFERROR(_xlfn.XLOOKUP($A76,Input_Raw!$A:$A,Input_Raw!$R:$R),"")</f>
        <v>4.6500000000000004</v>
      </c>
      <c r="H76" s="298"/>
      <c r="I76" s="298">
        <f>IFERROR(_xlfn.XLOOKUP($A76,Input_Raw!$A:$A,Input_Raw!$Q:$Q),"")</f>
        <v>4.53</v>
      </c>
      <c r="J76" s="298"/>
      <c r="K76" s="298">
        <f>IFERROR(_xlfn.XLOOKUP($A76,Input_Raw!$A:$A,Input_Raw!S:S),"")</f>
        <v>31.42</v>
      </c>
      <c r="L76" s="298">
        <f>IFERROR(_xlfn.XLOOKUP($A76,Input_Raw!$A:$A,Input_Raw!T:T),"")</f>
        <v>41.11</v>
      </c>
      <c r="M76" s="298">
        <f>IFERROR(_xlfn.XLOOKUP($A76,Input_Raw!$A:$A,Input_Raw!W:W),"")</f>
        <v>2.13</v>
      </c>
      <c r="N76" s="298">
        <f>IFERROR(_xlfn.XLOOKUP($A76,Input_Raw!$A:$A,Input_Raw!X:X),"")</f>
        <v>9.66</v>
      </c>
      <c r="O76" s="299">
        <f>IFERROR(1-(SUMIF(Plant_BD!$B:$B,$A76,Plant_BD!$AL:$AL)/($AA76+SUMIF(Plant_BD!$B:$B,$A76,Plant_BD!$AL:$AL))),"")</f>
        <v>1</v>
      </c>
      <c r="P76" s="299"/>
      <c r="Q76" s="300"/>
      <c r="R76" s="299">
        <f>IFERROR(1-(SUMIF(Grid_BD!$B:$B,$A76,Grid_BD!$V:$V)/($AA76+SUMIF(Grid_BD!$B:$B,$A76,Grid_BD!$V:$V))),"")</f>
        <v>1</v>
      </c>
      <c r="S76" s="295"/>
      <c r="T76" s="300"/>
      <c r="U76" s="301">
        <f t="shared" si="11"/>
        <v>0.85088391157903587</v>
      </c>
      <c r="V76" s="301" t="str">
        <f>IFERROR(_xlfn.XLOOKUP($A76,Input_Raw!$A:$A,Input_Raw!$AX:$AX),"")</f>
        <v/>
      </c>
      <c r="W76" s="302">
        <f t="shared" si="12"/>
        <v>0.13709518829088399</v>
      </c>
      <c r="X76" s="294">
        <f>IFERROR(_xlfn.XLOOKUP($A76,Input_Raw!$A:$A,Input_Raw!$AA:$AA),"")</f>
        <v>154046</v>
      </c>
      <c r="Y76" s="294">
        <f>IFERROR(_xlfn.XLOOKUP($A76,Input_Raw!$A:$A,Input_Raw!$AS:$AS),"")</f>
        <v>152000</v>
      </c>
      <c r="Z76" s="294"/>
      <c r="AA76" s="294">
        <f>IFERROR(_xlfn.XLOOKUP($A76,Input_Raw!$A:$A,Input_Raw!$AT:$AT),"")</f>
        <v>151135.10652375341</v>
      </c>
      <c r="AB76" s="294">
        <f>IFERROR(_xlfn.XLOOKUP($A76,Input_Raw!$A:$A,Input_Raw!$AU:$AU),"")</f>
        <v>39.21</v>
      </c>
      <c r="AC76" s="303">
        <f>IFERROR(_xlfn.XLOOKUP($D76,'Modelling New'!$D:$D,'Modelling New'!P:P),"")</f>
        <v>4.78</v>
      </c>
      <c r="AD76" s="294">
        <f>IFERROR(_xlfn.XLOOKUP($D76,'Modelling New'!$D:$D,'Modelling New'!T:T)*1000,"")</f>
        <v>168249.61104657603</v>
      </c>
      <c r="AE76" s="304">
        <f>IFERROR(_xlfn.XLOOKUP($D76,'Modelling New'!$D:$D,'Modelling New'!$O:$O),"")</f>
        <v>0.76629196176809589</v>
      </c>
      <c r="AF76" s="304">
        <f>IFERROR(_xlfn.XLOOKUP($D76,'Modelling New'!$D:$D,'Modelling New'!$W:$W),"")</f>
        <v>0.15261981571881245</v>
      </c>
      <c r="AG76" s="304">
        <f>IFERROR(_xlfn.XLOOKUP($D76,'Modelling New'!$D:$D,'Modelling New'!$AE:$AE),"")</f>
        <v>0.995</v>
      </c>
      <c r="AH76" s="304">
        <f>IFERROR(_xlfn.XLOOKUP($D76,'Modelling New'!$D:$D,'Modelling New'!$AF:$AF),"")</f>
        <v>0.995</v>
      </c>
      <c r="AI76" s="295"/>
      <c r="AJ76" s="295"/>
      <c r="AK76" s="295"/>
      <c r="AL76" s="295"/>
      <c r="AM76" s="295"/>
      <c r="AN76" s="305"/>
      <c r="AO76" s="302"/>
      <c r="AP76" s="302"/>
      <c r="AQ76" s="302"/>
      <c r="AR76" s="294">
        <f>_xlfn.XLOOKUP($D76,'Modelling New'!$D:$D,'Modelling New'!$N:$N)</f>
        <v>45.933750000000003</v>
      </c>
      <c r="AS76" s="294">
        <f t="shared" si="13"/>
        <v>143621.35138403124</v>
      </c>
    </row>
    <row r="77" spans="1:45">
      <c r="A77" s="293">
        <f t="shared" si="14"/>
        <v>45820</v>
      </c>
      <c r="B77" s="294">
        <f>YEAR(Daily_KPI[[#This Row],[Date]])+IF(MONTH(Daily_KPI[[#This Row],[Date]])&gt;=4,1,0)</f>
        <v>2026</v>
      </c>
      <c r="C77" s="295">
        <f>YEAR(Daily_KPI[[#This Row],[Date]])</f>
        <v>2025</v>
      </c>
      <c r="D77" s="296">
        <f>Daily_KPI[[#This Row],[Date]]-DAY(Daily_KPI[[#This Row],[Date]])+1</f>
        <v>45809</v>
      </c>
      <c r="E77" s="295">
        <f t="shared" si="10"/>
        <v>30</v>
      </c>
      <c r="F77" s="297">
        <f>IFERROR(_xlfn.XLOOKUP($A77,Input_Raw!$A:$A,Input_Raw!$AR:$AR),"")</f>
        <v>12.350000000000001</v>
      </c>
      <c r="G77" s="298">
        <f>IFERROR(_xlfn.XLOOKUP($A77,Input_Raw!$A:$A,Input_Raw!$R:$R),"")</f>
        <v>3.62</v>
      </c>
      <c r="H77" s="298"/>
      <c r="I77" s="298">
        <f>IFERROR(_xlfn.XLOOKUP($A77,Input_Raw!$A:$A,Input_Raw!$Q:$Q),"")</f>
        <v>3.5</v>
      </c>
      <c r="J77" s="298"/>
      <c r="K77" s="298">
        <f>IFERROR(_xlfn.XLOOKUP($A77,Input_Raw!$A:$A,Input_Raw!S:S),"")</f>
        <v>31.05</v>
      </c>
      <c r="L77" s="298">
        <f>IFERROR(_xlfn.XLOOKUP($A77,Input_Raw!$A:$A,Input_Raw!T:T),"")</f>
        <v>36.9</v>
      </c>
      <c r="M77" s="298">
        <f>IFERROR(_xlfn.XLOOKUP($A77,Input_Raw!$A:$A,Input_Raw!W:W),"")</f>
        <v>2.04</v>
      </c>
      <c r="N77" s="298">
        <f>IFERROR(_xlfn.XLOOKUP($A77,Input_Raw!$A:$A,Input_Raw!X:X),"")</f>
        <v>7.18</v>
      </c>
      <c r="O77" s="299">
        <f>IFERROR(1-(SUMIF(Plant_BD!$B:$B,$A77,Plant_BD!$AL:$AL)/($AA77+SUMIF(Plant_BD!$B:$B,$A77,Plant_BD!$AL:$AL))),"")</f>
        <v>0.99929397967699229</v>
      </c>
      <c r="P77" s="299"/>
      <c r="Q77" s="300"/>
      <c r="R77" s="299">
        <f>IFERROR(1-(SUMIF(Grid_BD!$B:$B,$A77,Grid_BD!$V:$V)/($AA77+SUMIF(Grid_BD!$B:$B,$A77,Grid_BD!$V:$V))),"")</f>
        <v>1</v>
      </c>
      <c r="S77" s="295"/>
      <c r="T77" s="300"/>
      <c r="U77" s="301">
        <f t="shared" si="11"/>
        <v>0.84689515002718174</v>
      </c>
      <c r="V77" s="301" t="str">
        <f>IFERROR(_xlfn.XLOOKUP($A77,Input_Raw!$A:$A,Input_Raw!$AX:$AX),"")</f>
        <v/>
      </c>
      <c r="W77" s="302">
        <f t="shared" si="12"/>
        <v>0.10542688828474008</v>
      </c>
      <c r="X77" s="294">
        <f>IFERROR(_xlfn.XLOOKUP($A77,Input_Raw!$A:$A,Input_Raw!$AA:$AA),"")</f>
        <v>118675.99999999999</v>
      </c>
      <c r="Y77" s="294">
        <f>IFERROR(_xlfn.XLOOKUP($A77,Input_Raw!$A:$A,Input_Raw!$AS:$AS),"")</f>
        <v>118000</v>
      </c>
      <c r="Z77" s="294"/>
      <c r="AA77" s="294">
        <f>IFERROR(_xlfn.XLOOKUP($A77,Input_Raw!$A:$A,Input_Raw!$AT:$AT),"")</f>
        <v>116223.6559139803</v>
      </c>
      <c r="AB77" s="294">
        <f>IFERROR(_xlfn.XLOOKUP($A77,Input_Raw!$A:$A,Input_Raw!$AU:$AU),"")</f>
        <v>39.21</v>
      </c>
      <c r="AC77" s="303">
        <f>IFERROR(_xlfn.XLOOKUP($D77,'Modelling New'!$D:$D,'Modelling New'!P:P),"")</f>
        <v>4.78</v>
      </c>
      <c r="AD77" s="294">
        <f>IFERROR(_xlfn.XLOOKUP($D77,'Modelling New'!$D:$D,'Modelling New'!T:T)*1000,"")</f>
        <v>168249.61104657603</v>
      </c>
      <c r="AE77" s="304">
        <f>IFERROR(_xlfn.XLOOKUP($D77,'Modelling New'!$D:$D,'Modelling New'!$O:$O),"")</f>
        <v>0.76629196176809589</v>
      </c>
      <c r="AF77" s="304">
        <f>IFERROR(_xlfn.XLOOKUP($D77,'Modelling New'!$D:$D,'Modelling New'!$W:$W),"")</f>
        <v>0.15261981571881245</v>
      </c>
      <c r="AG77" s="304">
        <f>IFERROR(_xlfn.XLOOKUP($D77,'Modelling New'!$D:$D,'Modelling New'!$AE:$AE),"")</f>
        <v>0.995</v>
      </c>
      <c r="AH77" s="304">
        <f>IFERROR(_xlfn.XLOOKUP($D77,'Modelling New'!$D:$D,'Modelling New'!$AF:$AF),"")</f>
        <v>0.995</v>
      </c>
      <c r="AI77" s="295"/>
      <c r="AJ77" s="295"/>
      <c r="AK77" s="295"/>
      <c r="AL77" s="295"/>
      <c r="AM77" s="295"/>
      <c r="AN77" s="305"/>
      <c r="AO77" s="302"/>
      <c r="AP77" s="302"/>
      <c r="AQ77" s="302"/>
      <c r="AR77" s="294">
        <f>_xlfn.XLOOKUP($D77,'Modelling New'!$D:$D,'Modelling New'!$N:$N)</f>
        <v>45.933750000000003</v>
      </c>
      <c r="AS77" s="294">
        <f t="shared" si="13"/>
        <v>143621.35138403124</v>
      </c>
    </row>
    <row r="78" spans="1:45">
      <c r="A78" s="293">
        <f t="shared" si="14"/>
        <v>45821</v>
      </c>
      <c r="B78" s="294">
        <f>YEAR(Daily_KPI[[#This Row],[Date]])+IF(MONTH(Daily_KPI[[#This Row],[Date]])&gt;=4,1,0)</f>
        <v>2026</v>
      </c>
      <c r="C78" s="295">
        <f>YEAR(Daily_KPI[[#This Row],[Date]])</f>
        <v>2025</v>
      </c>
      <c r="D78" s="296">
        <f>Daily_KPI[[#This Row],[Date]]-DAY(Daily_KPI[[#This Row],[Date]])+1</f>
        <v>45809</v>
      </c>
      <c r="E78" s="295">
        <f t="shared" si="10"/>
        <v>30</v>
      </c>
      <c r="F78" s="297">
        <f>IFERROR(_xlfn.XLOOKUP($A78,Input_Raw!$A:$A,Input_Raw!$AR:$AR),"")</f>
        <v>12.316666666666668</v>
      </c>
      <c r="G78" s="298">
        <f>IFERROR(_xlfn.XLOOKUP($A78,Input_Raw!$A:$A,Input_Raw!$R:$R),"")</f>
        <v>5.05</v>
      </c>
      <c r="H78" s="298"/>
      <c r="I78" s="298">
        <f>IFERROR(_xlfn.XLOOKUP($A78,Input_Raw!$A:$A,Input_Raw!$Q:$Q),"")</f>
        <v>4.83</v>
      </c>
      <c r="J78" s="298"/>
      <c r="K78" s="298">
        <f>IFERROR(_xlfn.XLOOKUP($A78,Input_Raw!$A:$A,Input_Raw!S:S),"")</f>
        <v>32.369999999999997</v>
      </c>
      <c r="L78" s="298">
        <f>IFERROR(_xlfn.XLOOKUP($A78,Input_Raw!$A:$A,Input_Raw!T:T),"")</f>
        <v>41.61</v>
      </c>
      <c r="M78" s="298">
        <f>IFERROR(_xlfn.XLOOKUP($A78,Input_Raw!$A:$A,Input_Raw!W:W),"")</f>
        <v>1.86</v>
      </c>
      <c r="N78" s="298">
        <f>IFERROR(_xlfn.XLOOKUP($A78,Input_Raw!$A:$A,Input_Raw!X:X),"")</f>
        <v>3.14</v>
      </c>
      <c r="O78" s="299">
        <f>IFERROR(1-(SUMIF(Plant_BD!$B:$B,$A78,Plant_BD!$AL:$AL)/($AA78+SUMIF(Plant_BD!$B:$B,$A78,Plant_BD!$AL:$AL))),"")</f>
        <v>0.99876765497576947</v>
      </c>
      <c r="P78" s="299"/>
      <c r="Q78" s="300"/>
      <c r="R78" s="299">
        <f>IFERROR(1-(SUMIF(Grid_BD!$B:$B,$A78,Grid_BD!$V:$V)/($AA78+SUMIF(Grid_BD!$B:$B,$A78,Grid_BD!$V:$V))),"")</f>
        <v>1</v>
      </c>
      <c r="S78" s="295"/>
      <c r="T78" s="300"/>
      <c r="U78" s="301">
        <f t="shared" si="11"/>
        <v>0.8326954681806944</v>
      </c>
      <c r="V78" s="301" t="str">
        <f>IFERROR(_xlfn.XLOOKUP($A78,Input_Raw!$A:$A,Input_Raw!$AX:$AX),"")</f>
        <v/>
      </c>
      <c r="W78" s="302">
        <f t="shared" si="12"/>
        <v>0.14304972592281734</v>
      </c>
      <c r="X78" s="294">
        <f>IFERROR(_xlfn.XLOOKUP($A78,Input_Raw!$A:$A,Input_Raw!$AA:$AA),"")</f>
        <v>160770</v>
      </c>
      <c r="Y78" s="294">
        <f>IFERROR(_xlfn.XLOOKUP($A78,Input_Raw!$A:$A,Input_Raw!$AS:$AS),"")</f>
        <v>159000</v>
      </c>
      <c r="Z78" s="294"/>
      <c r="AA78" s="294">
        <f>IFERROR(_xlfn.XLOOKUP($A78,Input_Raw!$A:$A,Input_Raw!$AT:$AT),"")</f>
        <v>157699.44835457308</v>
      </c>
      <c r="AB78" s="294">
        <f>IFERROR(_xlfn.XLOOKUP($A78,Input_Raw!$A:$A,Input_Raw!$AU:$AU),"")</f>
        <v>39.21</v>
      </c>
      <c r="AC78" s="303">
        <f>IFERROR(_xlfn.XLOOKUP($D78,'Modelling New'!$D:$D,'Modelling New'!P:P),"")</f>
        <v>4.78</v>
      </c>
      <c r="AD78" s="294">
        <f>IFERROR(_xlfn.XLOOKUP($D78,'Modelling New'!$D:$D,'Modelling New'!T:T)*1000,"")</f>
        <v>168249.61104657603</v>
      </c>
      <c r="AE78" s="304">
        <f>IFERROR(_xlfn.XLOOKUP($D78,'Modelling New'!$D:$D,'Modelling New'!$O:$O),"")</f>
        <v>0.76629196176809589</v>
      </c>
      <c r="AF78" s="304">
        <f>IFERROR(_xlfn.XLOOKUP($D78,'Modelling New'!$D:$D,'Modelling New'!$W:$W),"")</f>
        <v>0.15261981571881245</v>
      </c>
      <c r="AG78" s="304">
        <f>IFERROR(_xlfn.XLOOKUP($D78,'Modelling New'!$D:$D,'Modelling New'!$AE:$AE),"")</f>
        <v>0.995</v>
      </c>
      <c r="AH78" s="304">
        <f>IFERROR(_xlfn.XLOOKUP($D78,'Modelling New'!$D:$D,'Modelling New'!$AF:$AF),"")</f>
        <v>0.995</v>
      </c>
      <c r="AI78" s="295"/>
      <c r="AJ78" s="295"/>
      <c r="AK78" s="295"/>
      <c r="AL78" s="295"/>
      <c r="AM78" s="295"/>
      <c r="AN78" s="305"/>
      <c r="AO78" s="302"/>
      <c r="AP78" s="302"/>
      <c r="AQ78" s="302"/>
      <c r="AR78" s="294">
        <f>_xlfn.XLOOKUP($D78,'Modelling New'!$D:$D,'Modelling New'!$N:$N)</f>
        <v>45.933750000000003</v>
      </c>
      <c r="AS78" s="294">
        <f t="shared" si="13"/>
        <v>143621.35138403124</v>
      </c>
    </row>
    <row r="79" spans="1:45">
      <c r="A79" s="293">
        <f t="shared" si="14"/>
        <v>45822</v>
      </c>
      <c r="B79" s="294">
        <f>YEAR(Daily_KPI[[#This Row],[Date]])+IF(MONTH(Daily_KPI[[#This Row],[Date]])&gt;=4,1,0)</f>
        <v>2026</v>
      </c>
      <c r="C79" s="295">
        <f>YEAR(Daily_KPI[[#This Row],[Date]])</f>
        <v>2025</v>
      </c>
      <c r="D79" s="296">
        <f>Daily_KPI[[#This Row],[Date]]-DAY(Daily_KPI[[#This Row],[Date]])+1</f>
        <v>45809</v>
      </c>
      <c r="E79" s="295">
        <f t="shared" si="10"/>
        <v>30</v>
      </c>
      <c r="F79" s="297">
        <f>IFERROR(_xlfn.XLOOKUP($A79,Input_Raw!$A:$A,Input_Raw!$AR:$AR),"")</f>
        <v>12.483333333333334</v>
      </c>
      <c r="G79" s="298">
        <f>IFERROR(_xlfn.XLOOKUP($A79,Input_Raw!$A:$A,Input_Raw!$R:$R),"")</f>
        <v>6.42</v>
      </c>
      <c r="H79" s="298"/>
      <c r="I79" s="298">
        <f>IFERROR(_xlfn.XLOOKUP($A79,Input_Raw!$A:$A,Input_Raw!$Q:$Q),"")</f>
        <v>6</v>
      </c>
      <c r="J79" s="298"/>
      <c r="K79" s="298">
        <f>IFERROR(_xlfn.XLOOKUP($A79,Input_Raw!$A:$A,Input_Raw!S:S),"")</f>
        <v>34.28</v>
      </c>
      <c r="L79" s="298">
        <f>IFERROR(_xlfn.XLOOKUP($A79,Input_Raw!$A:$A,Input_Raw!T:T),"")</f>
        <v>45.49</v>
      </c>
      <c r="M79" s="298">
        <f>IFERROR(_xlfn.XLOOKUP($A79,Input_Raw!$A:$A,Input_Raw!W:W),"")</f>
        <v>2.42</v>
      </c>
      <c r="N79" s="298">
        <f>IFERROR(_xlfn.XLOOKUP($A79,Input_Raw!$A:$A,Input_Raw!X:X),"")</f>
        <v>7.64</v>
      </c>
      <c r="O79" s="299">
        <f>IFERROR(1-(SUMIF(Plant_BD!$B:$B,$A79,Plant_BD!$AL:$AL)/($AA79+SUMIF(Plant_BD!$B:$B,$A79,Plant_BD!$AL:$AL))),"")</f>
        <v>1</v>
      </c>
      <c r="P79" s="299"/>
      <c r="Q79" s="300"/>
      <c r="R79" s="299">
        <f>IFERROR(1-(SUMIF(Grid_BD!$B:$B,$A79,Grid_BD!$V:$V)/($AA79+SUMIF(Grid_BD!$B:$B,$A79,Grid_BD!$V:$V))),"")</f>
        <v>1</v>
      </c>
      <c r="S79" s="295"/>
      <c r="T79" s="300"/>
      <c r="U79" s="301">
        <f t="shared" si="11"/>
        <v>0.81914264450869489</v>
      </c>
      <c r="V79" s="301" t="str">
        <f>IFERROR(_xlfn.XLOOKUP($A79,Input_Raw!$A:$A,Input_Raw!$AX:$AX),"")</f>
        <v/>
      </c>
      <c r="W79" s="302">
        <f t="shared" si="12"/>
        <v>0.17480928016537908</v>
      </c>
      <c r="X79" s="294">
        <f>IFERROR(_xlfn.XLOOKUP($A79,Input_Raw!$A:$A,Input_Raw!$AA:$AA),"")</f>
        <v>195698.6</v>
      </c>
      <c r="Y79" s="294">
        <f>IFERROR(_xlfn.XLOOKUP($A79,Input_Raw!$A:$A,Input_Raw!$AS:$AS),"")</f>
        <v>194000</v>
      </c>
      <c r="Z79" s="294"/>
      <c r="AA79" s="294">
        <f>IFERROR(_xlfn.XLOOKUP($A79,Input_Raw!$A:$A,Input_Raw!$AT:$AT),"")</f>
        <v>192711.49854711557</v>
      </c>
      <c r="AB79" s="294">
        <f>IFERROR(_xlfn.XLOOKUP($A79,Input_Raw!$A:$A,Input_Raw!$AU:$AU),"")</f>
        <v>39.21</v>
      </c>
      <c r="AC79" s="303">
        <f>IFERROR(_xlfn.XLOOKUP($D79,'Modelling New'!$D:$D,'Modelling New'!P:P),"")</f>
        <v>4.78</v>
      </c>
      <c r="AD79" s="294">
        <f>IFERROR(_xlfn.XLOOKUP($D79,'Modelling New'!$D:$D,'Modelling New'!T:T)*1000,"")</f>
        <v>168249.61104657603</v>
      </c>
      <c r="AE79" s="304">
        <f>IFERROR(_xlfn.XLOOKUP($D79,'Modelling New'!$D:$D,'Modelling New'!$O:$O),"")</f>
        <v>0.76629196176809589</v>
      </c>
      <c r="AF79" s="304">
        <f>IFERROR(_xlfn.XLOOKUP($D79,'Modelling New'!$D:$D,'Modelling New'!$W:$W),"")</f>
        <v>0.15261981571881245</v>
      </c>
      <c r="AG79" s="304">
        <f>IFERROR(_xlfn.XLOOKUP($D79,'Modelling New'!$D:$D,'Modelling New'!$AE:$AE),"")</f>
        <v>0.995</v>
      </c>
      <c r="AH79" s="304">
        <f>IFERROR(_xlfn.XLOOKUP($D79,'Modelling New'!$D:$D,'Modelling New'!$AF:$AF),"")</f>
        <v>0.995</v>
      </c>
      <c r="AI79" s="295"/>
      <c r="AJ79" s="295"/>
      <c r="AK79" s="295"/>
      <c r="AL79" s="295"/>
      <c r="AM79" s="295"/>
      <c r="AN79" s="305"/>
      <c r="AO79" s="302"/>
      <c r="AP79" s="302"/>
      <c r="AQ79" s="302"/>
      <c r="AR79" s="294">
        <f>_xlfn.XLOOKUP($D79,'Modelling New'!$D:$D,'Modelling New'!$N:$N)</f>
        <v>45.933750000000003</v>
      </c>
      <c r="AS79" s="294">
        <f t="shared" si="13"/>
        <v>143621.35138403124</v>
      </c>
    </row>
    <row r="80" spans="1:45">
      <c r="A80" s="293">
        <f t="shared" si="14"/>
        <v>45823</v>
      </c>
      <c r="B80" s="294">
        <f>YEAR(Daily_KPI[[#This Row],[Date]])+IF(MONTH(Daily_KPI[[#This Row],[Date]])&gt;=4,1,0)</f>
        <v>2026</v>
      </c>
      <c r="C80" s="295">
        <f>YEAR(Daily_KPI[[#This Row],[Date]])</f>
        <v>2025</v>
      </c>
      <c r="D80" s="296">
        <f>Daily_KPI[[#This Row],[Date]]-DAY(Daily_KPI[[#This Row],[Date]])+1</f>
        <v>45809</v>
      </c>
      <c r="E80" s="295">
        <f t="shared" si="10"/>
        <v>30</v>
      </c>
      <c r="F80" s="297">
        <f>IFERROR(_xlfn.XLOOKUP($A80,Input_Raw!$A:$A,Input_Raw!$AR:$AR),"")</f>
        <v>12.583333333333334</v>
      </c>
      <c r="G80" s="298">
        <f>IFERROR(_xlfn.XLOOKUP($A80,Input_Raw!$A:$A,Input_Raw!$R:$R),"")</f>
        <v>5.38</v>
      </c>
      <c r="H80" s="298"/>
      <c r="I80" s="298">
        <f>IFERROR(_xlfn.XLOOKUP($A80,Input_Raw!$A:$A,Input_Raw!$Q:$Q),"")</f>
        <v>5.21</v>
      </c>
      <c r="J80" s="298"/>
      <c r="K80" s="298">
        <f>IFERROR(_xlfn.XLOOKUP($A80,Input_Raw!$A:$A,Input_Raw!S:S),"")</f>
        <v>32.479999999999997</v>
      </c>
      <c r="L80" s="298">
        <f>IFERROR(_xlfn.XLOOKUP($A80,Input_Raw!$A:$A,Input_Raw!T:T),"")</f>
        <v>41.41</v>
      </c>
      <c r="M80" s="298">
        <f>IFERROR(_xlfn.XLOOKUP($A80,Input_Raw!$A:$A,Input_Raw!W:W),"")</f>
        <v>3.51</v>
      </c>
      <c r="N80" s="298">
        <f>IFERROR(_xlfn.XLOOKUP($A80,Input_Raw!$A:$A,Input_Raw!X:X),"")</f>
        <v>7.84</v>
      </c>
      <c r="O80" s="299">
        <f>IFERROR(1-(SUMIF(Plant_BD!$B:$B,$A80,Plant_BD!$AL:$AL)/($AA80+SUMIF(Plant_BD!$B:$B,$A80,Plant_BD!$AL:$AL))),"")</f>
        <v>1</v>
      </c>
      <c r="P80" s="299"/>
      <c r="Q80" s="300"/>
      <c r="R80" s="299">
        <f>IFERROR(1-(SUMIF(Grid_BD!$B:$B,$A80,Grid_BD!$V:$V)/($AA80+SUMIF(Grid_BD!$B:$B,$A80,Grid_BD!$V:$V))),"")</f>
        <v>1</v>
      </c>
      <c r="S80" s="295"/>
      <c r="T80" s="300"/>
      <c r="U80" s="301">
        <f t="shared" si="11"/>
        <v>0.79955969735322474</v>
      </c>
      <c r="V80" s="301" t="str">
        <f>IFERROR(_xlfn.XLOOKUP($A80,Input_Raw!$A:$A,Input_Raw!$AX:$AX),"")</f>
        <v/>
      </c>
      <c r="W80" s="302">
        <f t="shared" si="12"/>
        <v>0.14816387112787063</v>
      </c>
      <c r="X80" s="294">
        <f>IFERROR(_xlfn.XLOOKUP($A80,Input_Raw!$A:$A,Input_Raw!$AA:$AA),"")</f>
        <v>166318.39999999999</v>
      </c>
      <c r="Y80" s="294">
        <f>IFERROR(_xlfn.XLOOKUP($A80,Input_Raw!$A:$A,Input_Raw!$AS:$AS),"")</f>
        <v>164000</v>
      </c>
      <c r="Z80" s="294"/>
      <c r="AA80" s="294">
        <f>IFERROR(_xlfn.XLOOKUP($A80,Input_Raw!$A:$A,Input_Raw!$AT:$AT),"")</f>
        <v>163337.33317007587</v>
      </c>
      <c r="AB80" s="294">
        <f>IFERROR(_xlfn.XLOOKUP($A80,Input_Raw!$A:$A,Input_Raw!$AU:$AU),"")</f>
        <v>39.21</v>
      </c>
      <c r="AC80" s="303">
        <f>IFERROR(_xlfn.XLOOKUP($D80,'Modelling New'!$D:$D,'Modelling New'!P:P),"")</f>
        <v>4.78</v>
      </c>
      <c r="AD80" s="294">
        <f>IFERROR(_xlfn.XLOOKUP($D80,'Modelling New'!$D:$D,'Modelling New'!T:T)*1000,"")</f>
        <v>168249.61104657603</v>
      </c>
      <c r="AE80" s="304">
        <f>IFERROR(_xlfn.XLOOKUP($D80,'Modelling New'!$D:$D,'Modelling New'!$O:$O),"")</f>
        <v>0.76629196176809589</v>
      </c>
      <c r="AF80" s="304">
        <f>IFERROR(_xlfn.XLOOKUP($D80,'Modelling New'!$D:$D,'Modelling New'!$W:$W),"")</f>
        <v>0.15261981571881245</v>
      </c>
      <c r="AG80" s="304">
        <f>IFERROR(_xlfn.XLOOKUP($D80,'Modelling New'!$D:$D,'Modelling New'!$AE:$AE),"")</f>
        <v>0.995</v>
      </c>
      <c r="AH80" s="304">
        <f>IFERROR(_xlfn.XLOOKUP($D80,'Modelling New'!$D:$D,'Modelling New'!$AF:$AF),"")</f>
        <v>0.995</v>
      </c>
      <c r="AI80" s="295"/>
      <c r="AJ80" s="295"/>
      <c r="AK80" s="295"/>
      <c r="AL80" s="295"/>
      <c r="AM80" s="295"/>
      <c r="AN80" s="305"/>
      <c r="AO80" s="302"/>
      <c r="AP80" s="302"/>
      <c r="AQ80" s="302"/>
      <c r="AR80" s="294">
        <f>_xlfn.XLOOKUP($D80,'Modelling New'!$D:$D,'Modelling New'!$N:$N)</f>
        <v>45.933750000000003</v>
      </c>
      <c r="AS80" s="294">
        <f t="shared" si="13"/>
        <v>143621.35138403124</v>
      </c>
    </row>
    <row r="81" spans="1:45">
      <c r="A81" s="293">
        <f t="shared" si="14"/>
        <v>45824</v>
      </c>
      <c r="B81" s="294">
        <f>YEAR(Daily_KPI[[#This Row],[Date]])+IF(MONTH(Daily_KPI[[#This Row],[Date]])&gt;=4,1,0)</f>
        <v>2026</v>
      </c>
      <c r="C81" s="295">
        <f>YEAR(Daily_KPI[[#This Row],[Date]])</f>
        <v>2025</v>
      </c>
      <c r="D81" s="296">
        <f>Daily_KPI[[#This Row],[Date]]-DAY(Daily_KPI[[#This Row],[Date]])+1</f>
        <v>45809</v>
      </c>
      <c r="E81" s="295">
        <f t="shared" si="10"/>
        <v>30</v>
      </c>
      <c r="F81" s="297">
        <f>IFERROR(_xlfn.XLOOKUP($A81,Input_Raw!$A:$A,Input_Raw!$AR:$AR),"")</f>
        <v>12.033333333333333</v>
      </c>
      <c r="G81" s="298">
        <f>IFERROR(_xlfn.XLOOKUP($A81,Input_Raw!$A:$A,Input_Raw!$R:$R),"")</f>
        <v>3.72</v>
      </c>
      <c r="H81" s="298"/>
      <c r="I81" s="298">
        <f>IFERROR(_xlfn.XLOOKUP($A81,Input_Raw!$A:$A,Input_Raw!$Q:$Q),"")</f>
        <v>3.63</v>
      </c>
      <c r="J81" s="298"/>
      <c r="K81" s="298">
        <f>IFERROR(_xlfn.XLOOKUP($A81,Input_Raw!$A:$A,Input_Raw!S:S),"")</f>
        <v>29.49</v>
      </c>
      <c r="L81" s="298">
        <f>IFERROR(_xlfn.XLOOKUP($A81,Input_Raw!$A:$A,Input_Raw!T:T),"")</f>
        <v>36.21</v>
      </c>
      <c r="M81" s="298">
        <f>IFERROR(_xlfn.XLOOKUP($A81,Input_Raw!$A:$A,Input_Raw!W:W),"")</f>
        <v>3.05</v>
      </c>
      <c r="N81" s="298">
        <f>IFERROR(_xlfn.XLOOKUP($A81,Input_Raw!$A:$A,Input_Raw!X:X),"")</f>
        <v>7.5</v>
      </c>
      <c r="O81" s="299">
        <f>IFERROR(1-(SUMIF(Plant_BD!$B:$B,$A81,Plant_BD!$AL:$AL)/($AA81+SUMIF(Plant_BD!$B:$B,$A81,Plant_BD!$AL:$AL))),"")</f>
        <v>1</v>
      </c>
      <c r="P81" s="299"/>
      <c r="Q81" s="300"/>
      <c r="R81" s="299">
        <f>IFERROR(1-(SUMIF(Grid_BD!$B:$B,$A81,Grid_BD!$V:$V)/($AA81+SUMIF(Grid_BD!$B:$B,$A81,Grid_BD!$V:$V))),"")</f>
        <v>1</v>
      </c>
      <c r="S81" s="295"/>
      <c r="T81" s="300"/>
      <c r="U81" s="301">
        <f t="shared" si="11"/>
        <v>0.85458478852433761</v>
      </c>
      <c r="V81" s="301" t="str">
        <f>IFERROR(_xlfn.XLOOKUP($A81,Input_Raw!$A:$A,Input_Raw!$AX:$AX),"")</f>
        <v/>
      </c>
      <c r="W81" s="302">
        <f t="shared" si="12"/>
        <v>0.11033555437240461</v>
      </c>
      <c r="X81" s="294">
        <f>IFERROR(_xlfn.XLOOKUP($A81,Input_Raw!$A:$A,Input_Raw!$AA:$AA),"")</f>
        <v>123833.3</v>
      </c>
      <c r="Y81" s="294">
        <f>IFERROR(_xlfn.XLOOKUP($A81,Input_Raw!$A:$A,Input_Raw!$AS:$AS),"")</f>
        <v>123000</v>
      </c>
      <c r="Z81" s="294"/>
      <c r="AA81" s="294">
        <f>IFERROR(_xlfn.XLOOKUP($A81,Input_Raw!$A:$A,Input_Raw!$AT:$AT),"")</f>
        <v>121635.01849568257</v>
      </c>
      <c r="AB81" s="294">
        <f>IFERROR(_xlfn.XLOOKUP($A81,Input_Raw!$A:$A,Input_Raw!$AU:$AU),"")</f>
        <v>39.21</v>
      </c>
      <c r="AC81" s="303">
        <f>IFERROR(_xlfn.XLOOKUP($D81,'Modelling New'!$D:$D,'Modelling New'!P:P),"")</f>
        <v>4.78</v>
      </c>
      <c r="AD81" s="294">
        <f>IFERROR(_xlfn.XLOOKUP($D81,'Modelling New'!$D:$D,'Modelling New'!T:T)*1000,"")</f>
        <v>168249.61104657603</v>
      </c>
      <c r="AE81" s="304">
        <f>IFERROR(_xlfn.XLOOKUP($D81,'Modelling New'!$D:$D,'Modelling New'!$O:$O),"")</f>
        <v>0.76629196176809589</v>
      </c>
      <c r="AF81" s="304">
        <f>IFERROR(_xlfn.XLOOKUP($D81,'Modelling New'!$D:$D,'Modelling New'!$W:$W),"")</f>
        <v>0.15261981571881245</v>
      </c>
      <c r="AG81" s="304">
        <f>IFERROR(_xlfn.XLOOKUP($D81,'Modelling New'!$D:$D,'Modelling New'!$AE:$AE),"")</f>
        <v>0.995</v>
      </c>
      <c r="AH81" s="304">
        <f>IFERROR(_xlfn.XLOOKUP($D81,'Modelling New'!$D:$D,'Modelling New'!$AF:$AF),"")</f>
        <v>0.995</v>
      </c>
      <c r="AI81" s="295"/>
      <c r="AJ81" s="295"/>
      <c r="AK81" s="295"/>
      <c r="AL81" s="295"/>
      <c r="AM81" s="295"/>
      <c r="AN81" s="305"/>
      <c r="AO81" s="302"/>
      <c r="AP81" s="302"/>
      <c r="AQ81" s="302"/>
      <c r="AR81" s="294">
        <f>_xlfn.XLOOKUP($D81,'Modelling New'!$D:$D,'Modelling New'!$N:$N)</f>
        <v>45.933750000000003</v>
      </c>
      <c r="AS81" s="294">
        <f t="shared" si="13"/>
        <v>143621.35138403124</v>
      </c>
    </row>
    <row r="82" spans="1:45">
      <c r="A82" s="293">
        <f t="shared" si="14"/>
        <v>45825</v>
      </c>
      <c r="B82" s="294">
        <f>YEAR(Daily_KPI[[#This Row],[Date]])+IF(MONTH(Daily_KPI[[#This Row],[Date]])&gt;=4,1,0)</f>
        <v>2026</v>
      </c>
      <c r="C82" s="295">
        <f>YEAR(Daily_KPI[[#This Row],[Date]])</f>
        <v>2025</v>
      </c>
      <c r="D82" s="296">
        <f>Daily_KPI[[#This Row],[Date]]-DAY(Daily_KPI[[#This Row],[Date]])+1</f>
        <v>45809</v>
      </c>
      <c r="E82" s="295">
        <f t="shared" si="10"/>
        <v>30</v>
      </c>
      <c r="F82" s="297">
        <f>IFERROR(_xlfn.XLOOKUP($A82,Input_Raw!$A:$A,Input_Raw!$AR:$AR),"")</f>
        <v>12.666666666666668</v>
      </c>
      <c r="G82" s="298">
        <f>IFERROR(_xlfn.XLOOKUP($A82,Input_Raw!$A:$A,Input_Raw!$R:$R),"")</f>
        <v>6.82</v>
      </c>
      <c r="H82" s="298"/>
      <c r="I82" s="298">
        <f>IFERROR(_xlfn.XLOOKUP($A82,Input_Raw!$A:$A,Input_Raw!$Q:$Q),"")</f>
        <v>6.38</v>
      </c>
      <c r="J82" s="298"/>
      <c r="K82" s="298">
        <f>IFERROR(_xlfn.XLOOKUP($A82,Input_Raw!$A:$A,Input_Raw!S:S),"")</f>
        <v>32.42</v>
      </c>
      <c r="L82" s="298">
        <f>IFERROR(_xlfn.XLOOKUP($A82,Input_Raw!$A:$A,Input_Raw!T:T),"")</f>
        <v>42.24</v>
      </c>
      <c r="M82" s="298">
        <f>IFERROR(_xlfn.XLOOKUP($A82,Input_Raw!$A:$A,Input_Raw!W:W),"")</f>
        <v>5.16</v>
      </c>
      <c r="N82" s="298">
        <f>IFERROR(_xlfn.XLOOKUP($A82,Input_Raw!$A:$A,Input_Raw!X:X),"")</f>
        <v>10.17</v>
      </c>
      <c r="O82" s="299">
        <f>IFERROR(1-(SUMIF(Plant_BD!$B:$B,$A82,Plant_BD!$AL:$AL)/($AA82+SUMIF(Plant_BD!$B:$B,$A82,Plant_BD!$AL:$AL))),"")</f>
        <v>1</v>
      </c>
      <c r="P82" s="299"/>
      <c r="Q82" s="300"/>
      <c r="R82" s="299">
        <f>IFERROR(1-(SUMIF(Grid_BD!$B:$B,$A82,Grid_BD!$V:$V)/($AA82+SUMIF(Grid_BD!$B:$B,$A82,Grid_BD!$V:$V))),"")</f>
        <v>1</v>
      </c>
      <c r="S82" s="295"/>
      <c r="T82" s="300"/>
      <c r="U82" s="301">
        <f t="shared" si="11"/>
        <v>0.83114709953419941</v>
      </c>
      <c r="V82" s="301" t="str">
        <f>IFERROR(_xlfn.XLOOKUP($A82,Input_Raw!$A:$A,Input_Raw!$AX:$AX),"")</f>
        <v/>
      </c>
      <c r="W82" s="302">
        <f t="shared" si="12"/>
        <v>0.18860459555887138</v>
      </c>
      <c r="X82" s="294">
        <f>IFERROR(_xlfn.XLOOKUP($A82,Input_Raw!$A:$A,Input_Raw!$AA:$AA),"")</f>
        <v>211561.30000000002</v>
      </c>
      <c r="Y82" s="294">
        <f>IFERROR(_xlfn.XLOOKUP($A82,Input_Raw!$A:$A,Input_Raw!$AS:$AS),"")</f>
        <v>210000</v>
      </c>
      <c r="Z82" s="294"/>
      <c r="AA82" s="294">
        <f>IFERROR(_xlfn.XLOOKUP($A82,Input_Raw!$A:$A,Input_Raw!$AT:$AT),"")</f>
        <v>207919.59219005541</v>
      </c>
      <c r="AB82" s="294">
        <f>IFERROR(_xlfn.XLOOKUP($A82,Input_Raw!$A:$A,Input_Raw!$AU:$AU),"")</f>
        <v>39.21</v>
      </c>
      <c r="AC82" s="303">
        <f>IFERROR(_xlfn.XLOOKUP($D82,'Modelling New'!$D:$D,'Modelling New'!P:P),"")</f>
        <v>4.78</v>
      </c>
      <c r="AD82" s="294">
        <f>IFERROR(_xlfn.XLOOKUP($D82,'Modelling New'!$D:$D,'Modelling New'!T:T)*1000,"")</f>
        <v>168249.61104657603</v>
      </c>
      <c r="AE82" s="304">
        <f>IFERROR(_xlfn.XLOOKUP($D82,'Modelling New'!$D:$D,'Modelling New'!$O:$O),"")</f>
        <v>0.76629196176809589</v>
      </c>
      <c r="AF82" s="304">
        <f>IFERROR(_xlfn.XLOOKUP($D82,'Modelling New'!$D:$D,'Modelling New'!$W:$W),"")</f>
        <v>0.15261981571881245</v>
      </c>
      <c r="AG82" s="304">
        <f>IFERROR(_xlfn.XLOOKUP($D82,'Modelling New'!$D:$D,'Modelling New'!$AE:$AE),"")</f>
        <v>0.995</v>
      </c>
      <c r="AH82" s="304">
        <f>IFERROR(_xlfn.XLOOKUP($D82,'Modelling New'!$D:$D,'Modelling New'!$AF:$AF),"")</f>
        <v>0.995</v>
      </c>
      <c r="AI82" s="295"/>
      <c r="AJ82" s="295"/>
      <c r="AK82" s="295"/>
      <c r="AL82" s="295"/>
      <c r="AM82" s="295"/>
      <c r="AN82" s="305"/>
      <c r="AO82" s="302"/>
      <c r="AP82" s="302"/>
      <c r="AQ82" s="302"/>
      <c r="AR82" s="294">
        <f>_xlfn.XLOOKUP($D82,'Modelling New'!$D:$D,'Modelling New'!$N:$N)</f>
        <v>45.933750000000003</v>
      </c>
      <c r="AS82" s="294">
        <f t="shared" si="13"/>
        <v>143621.35138403124</v>
      </c>
    </row>
    <row r="83" spans="1:45">
      <c r="A83" s="293">
        <f t="shared" si="14"/>
        <v>45826</v>
      </c>
      <c r="B83" s="294">
        <f>YEAR(Daily_KPI[[#This Row],[Date]])+IF(MONTH(Daily_KPI[[#This Row],[Date]])&gt;=4,1,0)</f>
        <v>2026</v>
      </c>
      <c r="C83" s="295">
        <f>YEAR(Daily_KPI[[#This Row],[Date]])</f>
        <v>2025</v>
      </c>
      <c r="D83" s="296">
        <f>Daily_KPI[[#This Row],[Date]]-DAY(Daily_KPI[[#This Row],[Date]])+1</f>
        <v>45809</v>
      </c>
      <c r="E83" s="295">
        <f t="shared" si="10"/>
        <v>30</v>
      </c>
      <c r="F83" s="297">
        <f>IFERROR(_xlfn.XLOOKUP($A83,Input_Raw!$A:$A,Input_Raw!$AR:$AR),"")</f>
        <v>12.833333333333332</v>
      </c>
      <c r="G83" s="298">
        <f>IFERROR(_xlfn.XLOOKUP($A83,Input_Raw!$A:$A,Input_Raw!$R:$R),"")</f>
        <v>4.51</v>
      </c>
      <c r="H83" s="298"/>
      <c r="I83" s="298">
        <f>IFERROR(_xlfn.XLOOKUP($A83,Input_Raw!$A:$A,Input_Raw!$Q:$Q),"")</f>
        <v>4.21</v>
      </c>
      <c r="J83" s="298"/>
      <c r="K83" s="298">
        <f>IFERROR(_xlfn.XLOOKUP($A83,Input_Raw!$A:$A,Input_Raw!S:S),"")</f>
        <v>30.68</v>
      </c>
      <c r="L83" s="298">
        <f>IFERROR(_xlfn.XLOOKUP($A83,Input_Raw!$A:$A,Input_Raw!T:T),"")</f>
        <v>36.659999999999997</v>
      </c>
      <c r="M83" s="298">
        <f>IFERROR(_xlfn.XLOOKUP($A83,Input_Raw!$A:$A,Input_Raw!W:W),"")</f>
        <v>5.0999999999999996</v>
      </c>
      <c r="N83" s="298">
        <f>IFERROR(_xlfn.XLOOKUP($A83,Input_Raw!$A:$A,Input_Raw!X:X),"")</f>
        <v>13.52</v>
      </c>
      <c r="O83" s="299">
        <f>IFERROR(1-(SUMIF(Plant_BD!$B:$B,$A83,Plant_BD!$AL:$AL)/($AA83+SUMIF(Plant_BD!$B:$B,$A83,Plant_BD!$AL:$AL))),"")</f>
        <v>1</v>
      </c>
      <c r="P83" s="299"/>
      <c r="Q83" s="300"/>
      <c r="R83" s="299">
        <f>IFERROR(1-(SUMIF(Grid_BD!$B:$B,$A83,Grid_BD!$V:$V)/($AA83+SUMIF(Grid_BD!$B:$B,$A83,Grid_BD!$V:$V))),"")</f>
        <v>1</v>
      </c>
      <c r="S83" s="295"/>
      <c r="T83" s="300"/>
      <c r="U83" s="301">
        <f t="shared" si="11"/>
        <v>0.85839181921174323</v>
      </c>
      <c r="V83" s="301" t="str">
        <f>IFERROR(_xlfn.XLOOKUP($A83,Input_Raw!$A:$A,Input_Raw!$AX:$AX),"")</f>
        <v/>
      </c>
      <c r="W83" s="302">
        <f t="shared" si="12"/>
        <v>0.12853498880066511</v>
      </c>
      <c r="X83" s="294">
        <f>IFERROR(_xlfn.XLOOKUP($A83,Input_Raw!$A:$A,Input_Raw!$AA:$AA),"")</f>
        <v>144313.79999999999</v>
      </c>
      <c r="Y83" s="294">
        <f>IFERROR(_xlfn.XLOOKUP($A83,Input_Raw!$A:$A,Input_Raw!$AS:$AS),"")</f>
        <v>143000</v>
      </c>
      <c r="Z83" s="294"/>
      <c r="AA83" s="294">
        <f>IFERROR(_xlfn.XLOOKUP($A83,Input_Raw!$A:$A,Input_Raw!$AT:$AT),"")</f>
        <v>141698.25700374122</v>
      </c>
      <c r="AB83" s="294">
        <f>IFERROR(_xlfn.XLOOKUP($A83,Input_Raw!$A:$A,Input_Raw!$AU:$AU),"")</f>
        <v>39.21</v>
      </c>
      <c r="AC83" s="303">
        <f>IFERROR(_xlfn.XLOOKUP($D83,'Modelling New'!$D:$D,'Modelling New'!P:P),"")</f>
        <v>4.78</v>
      </c>
      <c r="AD83" s="294">
        <f>IFERROR(_xlfn.XLOOKUP($D83,'Modelling New'!$D:$D,'Modelling New'!T:T)*1000,"")</f>
        <v>168249.61104657603</v>
      </c>
      <c r="AE83" s="304">
        <f>IFERROR(_xlfn.XLOOKUP($D83,'Modelling New'!$D:$D,'Modelling New'!$O:$O),"")</f>
        <v>0.76629196176809589</v>
      </c>
      <c r="AF83" s="304">
        <f>IFERROR(_xlfn.XLOOKUP($D83,'Modelling New'!$D:$D,'Modelling New'!$W:$W),"")</f>
        <v>0.15261981571881245</v>
      </c>
      <c r="AG83" s="304">
        <f>IFERROR(_xlfn.XLOOKUP($D83,'Modelling New'!$D:$D,'Modelling New'!$AE:$AE),"")</f>
        <v>0.995</v>
      </c>
      <c r="AH83" s="304">
        <f>IFERROR(_xlfn.XLOOKUP($D83,'Modelling New'!$D:$D,'Modelling New'!$AF:$AF),"")</f>
        <v>0.995</v>
      </c>
      <c r="AI83" s="295"/>
      <c r="AJ83" s="295"/>
      <c r="AK83" s="295"/>
      <c r="AL83" s="295"/>
      <c r="AM83" s="295"/>
      <c r="AN83" s="305"/>
      <c r="AO83" s="302"/>
      <c r="AP83" s="302"/>
      <c r="AQ83" s="302"/>
      <c r="AR83" s="294">
        <f>_xlfn.XLOOKUP($D83,'Modelling New'!$D:$D,'Modelling New'!$N:$N)</f>
        <v>45.933750000000003</v>
      </c>
      <c r="AS83" s="294">
        <f t="shared" si="13"/>
        <v>143621.35138403124</v>
      </c>
    </row>
    <row r="84" spans="1:45">
      <c r="A84" s="293">
        <f t="shared" si="14"/>
        <v>45827</v>
      </c>
      <c r="B84" s="294">
        <f>YEAR(Daily_KPI[[#This Row],[Date]])+IF(MONTH(Daily_KPI[[#This Row],[Date]])&gt;=4,1,0)</f>
        <v>2026</v>
      </c>
      <c r="C84" s="295">
        <f>YEAR(Daily_KPI[[#This Row],[Date]])</f>
        <v>2025</v>
      </c>
      <c r="D84" s="296">
        <f>Daily_KPI[[#This Row],[Date]]-DAY(Daily_KPI[[#This Row],[Date]])+1</f>
        <v>45809</v>
      </c>
      <c r="E84" s="295">
        <f t="shared" si="10"/>
        <v>30</v>
      </c>
      <c r="F84" s="297">
        <f>IFERROR(_xlfn.XLOOKUP($A84,Input_Raw!$A:$A,Input_Raw!$AR:$AR),"")</f>
        <v>11</v>
      </c>
      <c r="G84" s="298">
        <f>IFERROR(_xlfn.XLOOKUP($A84,Input_Raw!$A:$A,Input_Raw!$R:$R),"")</f>
        <v>4.03</v>
      </c>
      <c r="H84" s="298"/>
      <c r="I84" s="298">
        <f>IFERROR(_xlfn.XLOOKUP($A84,Input_Raw!$A:$A,Input_Raw!$Q:$Q),"")</f>
        <v>3.91</v>
      </c>
      <c r="J84" s="298"/>
      <c r="K84" s="298">
        <f>IFERROR(_xlfn.XLOOKUP($A84,Input_Raw!$A:$A,Input_Raw!S:S),"")</f>
        <v>29.64</v>
      </c>
      <c r="L84" s="298">
        <f>IFERROR(_xlfn.XLOOKUP($A84,Input_Raw!$A:$A,Input_Raw!T:T),"")</f>
        <v>36.14</v>
      </c>
      <c r="M84" s="298">
        <f>IFERROR(_xlfn.XLOOKUP($A84,Input_Raw!$A:$A,Input_Raw!W:W),"")</f>
        <v>5.14</v>
      </c>
      <c r="N84" s="298">
        <f>IFERROR(_xlfn.XLOOKUP($A84,Input_Raw!$A:$A,Input_Raw!X:X),"")</f>
        <v>14.85</v>
      </c>
      <c r="O84" s="299">
        <f>IFERROR(1-(SUMIF(Plant_BD!$B:$B,$A84,Plant_BD!$AL:$AL)/($AA84+SUMIF(Plant_BD!$B:$B,$A84,Plant_BD!$AL:$AL))),"")</f>
        <v>1</v>
      </c>
      <c r="P84" s="299"/>
      <c r="Q84" s="300"/>
      <c r="R84" s="299">
        <f>IFERROR(1-(SUMIF(Grid_BD!$B:$B,$A84,Grid_BD!$V:$V)/($AA84+SUMIF(Grid_BD!$B:$B,$A84,Grid_BD!$V:$V))),"")</f>
        <v>1</v>
      </c>
      <c r="S84" s="295"/>
      <c r="T84" s="300"/>
      <c r="U84" s="301">
        <f t="shared" si="11"/>
        <v>0.83346620840877605</v>
      </c>
      <c r="V84" s="301" t="str">
        <f>IFERROR(_xlfn.XLOOKUP($A84,Input_Raw!$A:$A,Input_Raw!$AX:$AX),"")</f>
        <v/>
      </c>
      <c r="W84" s="302">
        <f t="shared" si="12"/>
        <v>0.11590934518371453</v>
      </c>
      <c r="X84" s="294">
        <f>IFERROR(_xlfn.XLOOKUP($A84,Input_Raw!$A:$A,Input_Raw!$AA:$AA),"")</f>
        <v>130305.8</v>
      </c>
      <c r="Y84" s="294">
        <f>IFERROR(_xlfn.XLOOKUP($A84,Input_Raw!$A:$A,Input_Raw!$AS:$AS),"")</f>
        <v>128000</v>
      </c>
      <c r="Z84" s="294"/>
      <c r="AA84" s="294">
        <f>IFERROR(_xlfn.XLOOKUP($A84,Input_Raw!$A:$A,Input_Raw!$AT:$AT),"")</f>
        <v>127779.62122397873</v>
      </c>
      <c r="AB84" s="294">
        <f>IFERROR(_xlfn.XLOOKUP($A84,Input_Raw!$A:$A,Input_Raw!$AU:$AU),"")</f>
        <v>39.21</v>
      </c>
      <c r="AC84" s="303">
        <f>IFERROR(_xlfn.XLOOKUP($D84,'Modelling New'!$D:$D,'Modelling New'!P:P),"")</f>
        <v>4.78</v>
      </c>
      <c r="AD84" s="294">
        <f>IFERROR(_xlfn.XLOOKUP($D84,'Modelling New'!$D:$D,'Modelling New'!T:T)*1000,"")</f>
        <v>168249.61104657603</v>
      </c>
      <c r="AE84" s="304">
        <f>IFERROR(_xlfn.XLOOKUP($D84,'Modelling New'!$D:$D,'Modelling New'!$O:$O),"")</f>
        <v>0.76629196176809589</v>
      </c>
      <c r="AF84" s="304">
        <f>IFERROR(_xlfn.XLOOKUP($D84,'Modelling New'!$D:$D,'Modelling New'!$W:$W),"")</f>
        <v>0.15261981571881245</v>
      </c>
      <c r="AG84" s="304">
        <f>IFERROR(_xlfn.XLOOKUP($D84,'Modelling New'!$D:$D,'Modelling New'!$AE:$AE),"")</f>
        <v>0.995</v>
      </c>
      <c r="AH84" s="304">
        <f>IFERROR(_xlfn.XLOOKUP($D84,'Modelling New'!$D:$D,'Modelling New'!$AF:$AF),"")</f>
        <v>0.995</v>
      </c>
      <c r="AI84" s="295"/>
      <c r="AJ84" s="295"/>
      <c r="AK84" s="295"/>
      <c r="AL84" s="295"/>
      <c r="AM84" s="295"/>
      <c r="AN84" s="305"/>
      <c r="AO84" s="302"/>
      <c r="AP84" s="302"/>
      <c r="AQ84" s="302"/>
      <c r="AR84" s="294">
        <f>_xlfn.XLOOKUP($D84,'Modelling New'!$D:$D,'Modelling New'!$N:$N)</f>
        <v>45.933750000000003</v>
      </c>
      <c r="AS84" s="294">
        <f t="shared" si="13"/>
        <v>143621.35138403124</v>
      </c>
    </row>
    <row r="85" spans="1:45">
      <c r="A85" s="293">
        <f t="shared" si="14"/>
        <v>45828</v>
      </c>
      <c r="B85" s="294">
        <f>YEAR(Daily_KPI[[#This Row],[Date]])+IF(MONTH(Daily_KPI[[#This Row],[Date]])&gt;=4,1,0)</f>
        <v>2026</v>
      </c>
      <c r="C85" s="295">
        <f>YEAR(Daily_KPI[[#This Row],[Date]])</f>
        <v>2025</v>
      </c>
      <c r="D85" s="296">
        <f>Daily_KPI[[#This Row],[Date]]-DAY(Daily_KPI[[#This Row],[Date]])+1</f>
        <v>45809</v>
      </c>
      <c r="E85" s="295">
        <f t="shared" si="10"/>
        <v>30</v>
      </c>
      <c r="F85" s="297">
        <f>IFERROR(_xlfn.XLOOKUP($A85,Input_Raw!$A:$A,Input_Raw!$AR:$AR),"")</f>
        <v>12.583333333333334</v>
      </c>
      <c r="G85" s="298">
        <f>IFERROR(_xlfn.XLOOKUP($A85,Input_Raw!$A:$A,Input_Raw!$R:$R),"")</f>
        <v>6.46</v>
      </c>
      <c r="H85" s="298"/>
      <c r="I85" s="298">
        <f>IFERROR(_xlfn.XLOOKUP($A85,Input_Raw!$A:$A,Input_Raw!$Q:$Q),"")</f>
        <v>6.13</v>
      </c>
      <c r="J85" s="298"/>
      <c r="K85" s="298">
        <f>IFERROR(_xlfn.XLOOKUP($A85,Input_Raw!$A:$A,Input_Raw!S:S),"")</f>
        <v>31.83</v>
      </c>
      <c r="L85" s="298">
        <f>IFERROR(_xlfn.XLOOKUP($A85,Input_Raw!$A:$A,Input_Raw!T:T),"")</f>
        <v>39.69</v>
      </c>
      <c r="M85" s="298">
        <f>IFERROR(_xlfn.XLOOKUP($A85,Input_Raw!$A:$A,Input_Raw!W:W),"")</f>
        <v>5.37</v>
      </c>
      <c r="N85" s="298">
        <f>IFERROR(_xlfn.XLOOKUP($A85,Input_Raw!$A:$A,Input_Raw!X:X),"")</f>
        <v>11.97</v>
      </c>
      <c r="O85" s="299">
        <f>IFERROR(1-(SUMIF(Plant_BD!$B:$B,$A85,Plant_BD!$AL:$AL)/($AA85+SUMIF(Plant_BD!$B:$B,$A85,Plant_BD!$AL:$AL))),"")</f>
        <v>1</v>
      </c>
      <c r="P85" s="299"/>
      <c r="Q85" s="300"/>
      <c r="R85" s="299">
        <f>IFERROR(1-(SUMIF(Grid_BD!$B:$B,$A85,Grid_BD!$V:$V)/($AA85+SUMIF(Grid_BD!$B:$B,$A85,Grid_BD!$V:$V))),"")</f>
        <v>1</v>
      </c>
      <c r="S85" s="295"/>
      <c r="T85" s="300"/>
      <c r="U85" s="301">
        <f t="shared" si="11"/>
        <v>0.82835948772746126</v>
      </c>
      <c r="V85" s="301" t="str">
        <f>IFERROR(_xlfn.XLOOKUP($A85,Input_Raw!$A:$A,Input_Raw!$AX:$AX),"")</f>
        <v/>
      </c>
      <c r="W85" s="302">
        <f t="shared" si="12"/>
        <v>0.18060635326199481</v>
      </c>
      <c r="X85" s="294">
        <f>IFERROR(_xlfn.XLOOKUP($A85,Input_Raw!$A:$A,Input_Raw!$AA:$AA),"")</f>
        <v>202592.2</v>
      </c>
      <c r="Y85" s="294">
        <f>IFERROR(_xlfn.XLOOKUP($A85,Input_Raw!$A:$A,Input_Raw!$AS:$AS),"")</f>
        <v>201000</v>
      </c>
      <c r="Z85" s="294"/>
      <c r="AA85" s="294">
        <f>IFERROR(_xlfn.XLOOKUP($A85,Input_Raw!$A:$A,Input_Raw!$AT:$AT),"")</f>
        <v>199102.2498995557</v>
      </c>
      <c r="AB85" s="294">
        <f>IFERROR(_xlfn.XLOOKUP($A85,Input_Raw!$A:$A,Input_Raw!$AU:$AU),"")</f>
        <v>39.21</v>
      </c>
      <c r="AC85" s="303">
        <f>IFERROR(_xlfn.XLOOKUP($D85,'Modelling New'!$D:$D,'Modelling New'!P:P),"")</f>
        <v>4.78</v>
      </c>
      <c r="AD85" s="294">
        <f>IFERROR(_xlfn.XLOOKUP($D85,'Modelling New'!$D:$D,'Modelling New'!T:T)*1000,"")</f>
        <v>168249.61104657603</v>
      </c>
      <c r="AE85" s="304">
        <f>IFERROR(_xlfn.XLOOKUP($D85,'Modelling New'!$D:$D,'Modelling New'!$O:$O),"")</f>
        <v>0.76629196176809589</v>
      </c>
      <c r="AF85" s="304">
        <f>IFERROR(_xlfn.XLOOKUP($D85,'Modelling New'!$D:$D,'Modelling New'!$W:$W),"")</f>
        <v>0.15261981571881245</v>
      </c>
      <c r="AG85" s="304">
        <f>IFERROR(_xlfn.XLOOKUP($D85,'Modelling New'!$D:$D,'Modelling New'!$AE:$AE),"")</f>
        <v>0.995</v>
      </c>
      <c r="AH85" s="304">
        <f>IFERROR(_xlfn.XLOOKUP($D85,'Modelling New'!$D:$D,'Modelling New'!$AF:$AF),"")</f>
        <v>0.995</v>
      </c>
      <c r="AI85" s="295"/>
      <c r="AJ85" s="295"/>
      <c r="AK85" s="295"/>
      <c r="AL85" s="295"/>
      <c r="AM85" s="295"/>
      <c r="AN85" s="305"/>
      <c r="AO85" s="302"/>
      <c r="AP85" s="302"/>
      <c r="AQ85" s="302"/>
      <c r="AR85" s="294">
        <f>_xlfn.XLOOKUP($D85,'Modelling New'!$D:$D,'Modelling New'!$N:$N)</f>
        <v>45.933750000000003</v>
      </c>
      <c r="AS85" s="294">
        <f t="shared" si="13"/>
        <v>143621.35138403124</v>
      </c>
    </row>
    <row r="86" spans="1:45">
      <c r="A86" s="293">
        <f t="shared" si="14"/>
        <v>45829</v>
      </c>
      <c r="B86" s="294">
        <f>YEAR(Daily_KPI[[#This Row],[Date]])+IF(MONTH(Daily_KPI[[#This Row],[Date]])&gt;=4,1,0)</f>
        <v>2026</v>
      </c>
      <c r="C86" s="295">
        <f>YEAR(Daily_KPI[[#This Row],[Date]])</f>
        <v>2025</v>
      </c>
      <c r="D86" s="296">
        <f>Daily_KPI[[#This Row],[Date]]-DAY(Daily_KPI[[#This Row],[Date]])+1</f>
        <v>45809</v>
      </c>
      <c r="E86" s="295">
        <f t="shared" si="10"/>
        <v>30</v>
      </c>
      <c r="F86" s="297">
        <f>IFERROR(_xlfn.XLOOKUP($A86,Input_Raw!$A:$A,Input_Raw!$AR:$AR),"")</f>
        <v>12.483333333333334</v>
      </c>
      <c r="G86" s="298">
        <f>IFERROR(_xlfn.XLOOKUP($A86,Input_Raw!$A:$A,Input_Raw!$R:$R),"")</f>
        <v>5.1100000000000003</v>
      </c>
      <c r="H86" s="298"/>
      <c r="I86" s="298">
        <f>IFERROR(_xlfn.XLOOKUP($A86,Input_Raw!$A:$A,Input_Raw!$Q:$Q),"")</f>
        <v>4.8499999999999996</v>
      </c>
      <c r="J86" s="298"/>
      <c r="K86" s="298">
        <f>IFERROR(_xlfn.XLOOKUP($A86,Input_Raw!$A:$A,Input_Raw!S:S),"")</f>
        <v>30.4</v>
      </c>
      <c r="L86" s="298">
        <f>IFERROR(_xlfn.XLOOKUP($A86,Input_Raw!$A:$A,Input_Raw!T:T),"")</f>
        <v>37.590000000000003</v>
      </c>
      <c r="M86" s="298">
        <f>IFERROR(_xlfn.XLOOKUP($A86,Input_Raw!$A:$A,Input_Raw!W:W),"")</f>
        <v>4.09</v>
      </c>
      <c r="N86" s="298">
        <f>IFERROR(_xlfn.XLOOKUP($A86,Input_Raw!$A:$A,Input_Raw!X:X),"")</f>
        <v>13.91</v>
      </c>
      <c r="O86" s="299">
        <f>IFERROR(1-(SUMIF(Plant_BD!$B:$B,$A86,Plant_BD!$AL:$AL)/($AA86+SUMIF(Plant_BD!$B:$B,$A86,Plant_BD!$AL:$AL))),"")</f>
        <v>1</v>
      </c>
      <c r="P86" s="299"/>
      <c r="Q86" s="300"/>
      <c r="R86" s="299">
        <f>IFERROR(1-(SUMIF(Grid_BD!$B:$B,$A86,Grid_BD!$V:$V)/($AA86+SUMIF(Grid_BD!$B:$B,$A86,Grid_BD!$V:$V))),"")</f>
        <v>1</v>
      </c>
      <c r="S86" s="295"/>
      <c r="T86" s="300"/>
      <c r="U86" s="301">
        <f t="shared" si="11"/>
        <v>0.83672248900843071</v>
      </c>
      <c r="V86" s="301" t="str">
        <f>IFERROR(_xlfn.XLOOKUP($A86,Input_Raw!$A:$A,Input_Raw!$AX:$AX),"")</f>
        <v/>
      </c>
      <c r="W86" s="302">
        <f t="shared" si="12"/>
        <v>0.14433673556208645</v>
      </c>
      <c r="X86" s="294">
        <f>IFERROR(_xlfn.XLOOKUP($A86,Input_Raw!$A:$A,Input_Raw!$AA:$AA),"")</f>
        <v>161985</v>
      </c>
      <c r="Y86" s="294">
        <f>IFERROR(_xlfn.XLOOKUP($A86,Input_Raw!$A:$A,Input_Raw!$AS:$AS),"")</f>
        <v>161000</v>
      </c>
      <c r="Z86" s="294"/>
      <c r="AA86" s="294">
        <f>IFERROR(_xlfn.XLOOKUP($A86,Input_Raw!$A:$A,Input_Raw!$AT:$AT),"")</f>
        <v>159118.26065099973</v>
      </c>
      <c r="AB86" s="294">
        <f>IFERROR(_xlfn.XLOOKUP($A86,Input_Raw!$A:$A,Input_Raw!$AU:$AU),"")</f>
        <v>39.21</v>
      </c>
      <c r="AC86" s="303">
        <f>IFERROR(_xlfn.XLOOKUP($D86,'Modelling New'!$D:$D,'Modelling New'!P:P),"")</f>
        <v>4.78</v>
      </c>
      <c r="AD86" s="294">
        <f>IFERROR(_xlfn.XLOOKUP($D86,'Modelling New'!$D:$D,'Modelling New'!T:T)*1000,"")</f>
        <v>168249.61104657603</v>
      </c>
      <c r="AE86" s="304">
        <f>IFERROR(_xlfn.XLOOKUP($D86,'Modelling New'!$D:$D,'Modelling New'!$O:$O),"")</f>
        <v>0.76629196176809589</v>
      </c>
      <c r="AF86" s="304">
        <f>IFERROR(_xlfn.XLOOKUP($D86,'Modelling New'!$D:$D,'Modelling New'!$W:$W),"")</f>
        <v>0.15261981571881245</v>
      </c>
      <c r="AG86" s="304">
        <f>IFERROR(_xlfn.XLOOKUP($D86,'Modelling New'!$D:$D,'Modelling New'!$AE:$AE),"")</f>
        <v>0.995</v>
      </c>
      <c r="AH86" s="304">
        <f>IFERROR(_xlfn.XLOOKUP($D86,'Modelling New'!$D:$D,'Modelling New'!$AF:$AF),"")</f>
        <v>0.995</v>
      </c>
      <c r="AI86" s="295"/>
      <c r="AJ86" s="295"/>
      <c r="AK86" s="295"/>
      <c r="AL86" s="295"/>
      <c r="AM86" s="295"/>
      <c r="AN86" s="305"/>
      <c r="AO86" s="302"/>
      <c r="AP86" s="302"/>
      <c r="AQ86" s="302"/>
      <c r="AR86" s="294">
        <f>_xlfn.XLOOKUP($D86,'Modelling New'!$D:$D,'Modelling New'!$N:$N)</f>
        <v>45.933750000000003</v>
      </c>
      <c r="AS86" s="294">
        <f t="shared" si="13"/>
        <v>143621.35138403124</v>
      </c>
    </row>
    <row r="87" spans="1:45">
      <c r="A87" s="293">
        <f t="shared" si="14"/>
        <v>45830</v>
      </c>
      <c r="B87" s="294">
        <f>YEAR(Daily_KPI[[#This Row],[Date]])+IF(MONTH(Daily_KPI[[#This Row],[Date]])&gt;=4,1,0)</f>
        <v>2026</v>
      </c>
      <c r="C87" s="295">
        <f>YEAR(Daily_KPI[[#This Row],[Date]])</f>
        <v>2025</v>
      </c>
      <c r="D87" s="296">
        <f>Daily_KPI[[#This Row],[Date]]-DAY(Daily_KPI[[#This Row],[Date]])+1</f>
        <v>45809</v>
      </c>
      <c r="E87" s="295">
        <f t="shared" si="10"/>
        <v>30</v>
      </c>
      <c r="F87" s="297">
        <f>IFERROR(_xlfn.XLOOKUP($A87,Input_Raw!$A:$A,Input_Raw!$AR:$AR),"")</f>
        <v>12.166666666666666</v>
      </c>
      <c r="G87" s="298">
        <f>IFERROR(_xlfn.XLOOKUP($A87,Input_Raw!$A:$A,Input_Raw!$R:$R),"")</f>
        <v>4.5</v>
      </c>
      <c r="H87" s="298"/>
      <c r="I87" s="298">
        <f>IFERROR(_xlfn.XLOOKUP($A87,Input_Raw!$A:$A,Input_Raw!$Q:$Q),"")</f>
        <v>4.4000000000000004</v>
      </c>
      <c r="J87" s="298"/>
      <c r="K87" s="298">
        <f>IFERROR(_xlfn.XLOOKUP($A87,Input_Raw!$A:$A,Input_Raw!S:S),"")</f>
        <v>30.53</v>
      </c>
      <c r="L87" s="298">
        <f>IFERROR(_xlfn.XLOOKUP($A87,Input_Raw!$A:$A,Input_Raw!T:T),"")</f>
        <v>36.64</v>
      </c>
      <c r="M87" s="298">
        <f>IFERROR(_xlfn.XLOOKUP($A87,Input_Raw!$A:$A,Input_Raw!W:W),"")</f>
        <v>4.75</v>
      </c>
      <c r="N87" s="298">
        <f>IFERROR(_xlfn.XLOOKUP($A87,Input_Raw!$A:$A,Input_Raw!X:X),"")</f>
        <v>10.61</v>
      </c>
      <c r="O87" s="299">
        <f>IFERROR(1-(SUMIF(Plant_BD!$B:$B,$A87,Plant_BD!$AL:$AL)/($AA87+SUMIF(Plant_BD!$B:$B,$A87,Plant_BD!$AL:$AL))),"")</f>
        <v>1</v>
      </c>
      <c r="P87" s="299"/>
      <c r="Q87" s="300"/>
      <c r="R87" s="299">
        <f>IFERROR(1-(SUMIF(Grid_BD!$B:$B,$A87,Grid_BD!$V:$V)/($AA87+SUMIF(Grid_BD!$B:$B,$A87,Grid_BD!$V:$V))),"")</f>
        <v>1</v>
      </c>
      <c r="S87" s="295"/>
      <c r="T87" s="300"/>
      <c r="U87" s="301">
        <f t="shared" si="11"/>
        <v>0.85371645394363038</v>
      </c>
      <c r="V87" s="301" t="str">
        <f>IFERROR(_xlfn.XLOOKUP($A87,Input_Raw!$A:$A,Input_Raw!$AX:$AX),"")</f>
        <v/>
      </c>
      <c r="W87" s="302">
        <f t="shared" si="12"/>
        <v>0.13360417403703786</v>
      </c>
      <c r="X87" s="294">
        <f>IFERROR(_xlfn.XLOOKUP($A87,Input_Raw!$A:$A,Input_Raw!$AA:$AA),"")</f>
        <v>149880</v>
      </c>
      <c r="Y87" s="294">
        <f>IFERROR(_xlfn.XLOOKUP($A87,Input_Raw!$A:$A,Input_Raw!$AS:$AS),"")</f>
        <v>148000</v>
      </c>
      <c r="Z87" s="294"/>
      <c r="AA87" s="294">
        <f>IFERROR(_xlfn.XLOOKUP($A87,Input_Raw!$A:$A,Input_Raw!$AT:$AT),"")</f>
        <v>147286.57750017091</v>
      </c>
      <c r="AB87" s="294">
        <f>IFERROR(_xlfn.XLOOKUP($A87,Input_Raw!$A:$A,Input_Raw!$AU:$AU),"")</f>
        <v>39.21</v>
      </c>
      <c r="AC87" s="303">
        <f>IFERROR(_xlfn.XLOOKUP($D87,'Modelling New'!$D:$D,'Modelling New'!P:P),"")</f>
        <v>4.78</v>
      </c>
      <c r="AD87" s="294">
        <f>IFERROR(_xlfn.XLOOKUP($D87,'Modelling New'!$D:$D,'Modelling New'!T:T)*1000,"")</f>
        <v>168249.61104657603</v>
      </c>
      <c r="AE87" s="304">
        <f>IFERROR(_xlfn.XLOOKUP($D87,'Modelling New'!$D:$D,'Modelling New'!$O:$O),"")</f>
        <v>0.76629196176809589</v>
      </c>
      <c r="AF87" s="304">
        <f>IFERROR(_xlfn.XLOOKUP($D87,'Modelling New'!$D:$D,'Modelling New'!$W:$W),"")</f>
        <v>0.15261981571881245</v>
      </c>
      <c r="AG87" s="304">
        <f>IFERROR(_xlfn.XLOOKUP($D87,'Modelling New'!$D:$D,'Modelling New'!$AE:$AE),"")</f>
        <v>0.995</v>
      </c>
      <c r="AH87" s="304">
        <f>IFERROR(_xlfn.XLOOKUP($D87,'Modelling New'!$D:$D,'Modelling New'!$AF:$AF),"")</f>
        <v>0.995</v>
      </c>
      <c r="AI87" s="295"/>
      <c r="AJ87" s="295"/>
      <c r="AK87" s="295"/>
      <c r="AL87" s="295"/>
      <c r="AM87" s="295"/>
      <c r="AN87" s="305"/>
      <c r="AO87" s="302"/>
      <c r="AP87" s="302"/>
      <c r="AQ87" s="302"/>
      <c r="AR87" s="294">
        <f>_xlfn.XLOOKUP($D87,'Modelling New'!$D:$D,'Modelling New'!$N:$N)</f>
        <v>45.933750000000003</v>
      </c>
      <c r="AS87" s="294">
        <f t="shared" si="13"/>
        <v>143621.35138403124</v>
      </c>
    </row>
    <row r="88" spans="1:45">
      <c r="A88" s="293">
        <f t="shared" si="14"/>
        <v>45831</v>
      </c>
      <c r="B88" s="294">
        <f>YEAR(Daily_KPI[[#This Row],[Date]])+IF(MONTH(Daily_KPI[[#This Row],[Date]])&gt;=4,1,0)</f>
        <v>2026</v>
      </c>
      <c r="C88" s="295">
        <f>YEAR(Daily_KPI[[#This Row],[Date]])</f>
        <v>2025</v>
      </c>
      <c r="D88" s="296">
        <f>Daily_KPI[[#This Row],[Date]]-DAY(Daily_KPI[[#This Row],[Date]])+1</f>
        <v>45809</v>
      </c>
      <c r="E88" s="295">
        <f t="shared" si="10"/>
        <v>30</v>
      </c>
      <c r="F88" s="297">
        <f>IFERROR(_xlfn.XLOOKUP($A88,Input_Raw!$A:$A,Input_Raw!$AR:$AR),"")</f>
        <v>12.383333333333333</v>
      </c>
      <c r="G88" s="298">
        <f>IFERROR(_xlfn.XLOOKUP($A88,Input_Raw!$A:$A,Input_Raw!$R:$R),"")</f>
        <v>3</v>
      </c>
      <c r="H88" s="298"/>
      <c r="I88" s="298">
        <f>IFERROR(_xlfn.XLOOKUP($A88,Input_Raw!$A:$A,Input_Raw!$Q:$Q),"")</f>
        <v>2.87</v>
      </c>
      <c r="J88" s="298"/>
      <c r="K88" s="298">
        <f>IFERROR(_xlfn.XLOOKUP($A88,Input_Raw!$A:$A,Input_Raw!S:S),"")</f>
        <v>29.43</v>
      </c>
      <c r="L88" s="298">
        <f>IFERROR(_xlfn.XLOOKUP($A88,Input_Raw!$A:$A,Input_Raw!T:T),"")</f>
        <v>32.99</v>
      </c>
      <c r="M88" s="298">
        <f>IFERROR(_xlfn.XLOOKUP($A88,Input_Raw!$A:$A,Input_Raw!W:W),"")</f>
        <v>4.05</v>
      </c>
      <c r="N88" s="298">
        <f>IFERROR(_xlfn.XLOOKUP($A88,Input_Raw!$A:$A,Input_Raw!X:X),"")</f>
        <v>8.89</v>
      </c>
      <c r="O88" s="299">
        <f>IFERROR(1-(SUMIF(Plant_BD!$B:$B,$A88,Plant_BD!$AL:$AL)/($AA88+SUMIF(Plant_BD!$B:$B,$A88,Plant_BD!$AL:$AL))),"")</f>
        <v>1</v>
      </c>
      <c r="P88" s="299"/>
      <c r="Q88" s="300"/>
      <c r="R88" s="299">
        <f>IFERROR(1-(SUMIF(Grid_BD!$B:$B,$A88,Grid_BD!$V:$V)/($AA88+SUMIF(Grid_BD!$B:$B,$A88,Grid_BD!$V:$V))),"")</f>
        <v>1</v>
      </c>
      <c r="S88" s="295"/>
      <c r="T88" s="300"/>
      <c r="U88" s="301">
        <f t="shared" si="11"/>
        <v>0.90803455001626299</v>
      </c>
      <c r="V88" s="301" t="str">
        <f>IFERROR(_xlfn.XLOOKUP($A88,Input_Raw!$A:$A,Input_Raw!$AX:$AX),"")</f>
        <v/>
      </c>
      <c r="W88" s="302">
        <f t="shared" si="12"/>
        <v>9.2691085536792228E-2</v>
      </c>
      <c r="X88" s="294">
        <f>IFERROR(_xlfn.XLOOKUP($A88,Input_Raw!$A:$A,Input_Raw!$AA:$AA),"")</f>
        <v>103942</v>
      </c>
      <c r="Y88" s="294">
        <f>IFERROR(_xlfn.XLOOKUP($A88,Input_Raw!$A:$A,Input_Raw!$AS:$AS),"")</f>
        <v>103000</v>
      </c>
      <c r="Z88" s="294"/>
      <c r="AA88" s="294">
        <f>IFERROR(_xlfn.XLOOKUP($A88,Input_Raw!$A:$A,Input_Raw!$AT:$AT),"")</f>
        <v>102183.57960661512</v>
      </c>
      <c r="AB88" s="294">
        <f>IFERROR(_xlfn.XLOOKUP($A88,Input_Raw!$A:$A,Input_Raw!$AU:$AU),"")</f>
        <v>39.21</v>
      </c>
      <c r="AC88" s="303">
        <f>IFERROR(_xlfn.XLOOKUP($D88,'Modelling New'!$D:$D,'Modelling New'!P:P),"")</f>
        <v>4.78</v>
      </c>
      <c r="AD88" s="294">
        <f>IFERROR(_xlfn.XLOOKUP($D88,'Modelling New'!$D:$D,'Modelling New'!T:T)*1000,"")</f>
        <v>168249.61104657603</v>
      </c>
      <c r="AE88" s="304">
        <f>IFERROR(_xlfn.XLOOKUP($D88,'Modelling New'!$D:$D,'Modelling New'!$O:$O),"")</f>
        <v>0.76629196176809589</v>
      </c>
      <c r="AF88" s="304">
        <f>IFERROR(_xlfn.XLOOKUP($D88,'Modelling New'!$D:$D,'Modelling New'!$W:$W),"")</f>
        <v>0.15261981571881245</v>
      </c>
      <c r="AG88" s="304">
        <f>IFERROR(_xlfn.XLOOKUP($D88,'Modelling New'!$D:$D,'Modelling New'!$AE:$AE),"")</f>
        <v>0.995</v>
      </c>
      <c r="AH88" s="304">
        <f>IFERROR(_xlfn.XLOOKUP($D88,'Modelling New'!$D:$D,'Modelling New'!$AF:$AF),"")</f>
        <v>0.995</v>
      </c>
      <c r="AI88" s="295"/>
      <c r="AJ88" s="295"/>
      <c r="AK88" s="295"/>
      <c r="AL88" s="295"/>
      <c r="AM88" s="295"/>
      <c r="AN88" s="305"/>
      <c r="AO88" s="302"/>
      <c r="AP88" s="302"/>
      <c r="AQ88" s="302"/>
      <c r="AR88" s="294">
        <f>_xlfn.XLOOKUP($D88,'Modelling New'!$D:$D,'Modelling New'!$N:$N)</f>
        <v>45.933750000000003</v>
      </c>
      <c r="AS88" s="294">
        <f t="shared" si="13"/>
        <v>143621.35138403124</v>
      </c>
    </row>
    <row r="89" spans="1:45">
      <c r="A89" s="293">
        <f t="shared" si="14"/>
        <v>45832</v>
      </c>
      <c r="B89" s="294">
        <f>YEAR(Daily_KPI[[#This Row],[Date]])+IF(MONTH(Daily_KPI[[#This Row],[Date]])&gt;=4,1,0)</f>
        <v>2026</v>
      </c>
      <c r="C89" s="295">
        <f>YEAR(Daily_KPI[[#This Row],[Date]])</f>
        <v>2025</v>
      </c>
      <c r="D89" s="296">
        <f>Daily_KPI[[#This Row],[Date]]-DAY(Daily_KPI[[#This Row],[Date]])+1</f>
        <v>45809</v>
      </c>
      <c r="E89" s="295">
        <f t="shared" si="10"/>
        <v>30</v>
      </c>
      <c r="F89" s="297">
        <f>IFERROR(_xlfn.XLOOKUP($A89,Input_Raw!$A:$A,Input_Raw!$AR:$AR),"")</f>
        <v>12.216666666666665</v>
      </c>
      <c r="G89" s="298">
        <f>IFERROR(_xlfn.XLOOKUP($A89,Input_Raw!$A:$A,Input_Raw!$R:$R),"")</f>
        <v>4.2220000000000004</v>
      </c>
      <c r="H89" s="298"/>
      <c r="I89" s="298">
        <f>IFERROR(_xlfn.XLOOKUP($A89,Input_Raw!$A:$A,Input_Raw!$Q:$Q),"")</f>
        <v>4.1120000000000001</v>
      </c>
      <c r="J89" s="298"/>
      <c r="K89" s="298">
        <f>IFERROR(_xlfn.XLOOKUP($A89,Input_Raw!$A:$A,Input_Raw!S:S),"")</f>
        <v>28.765999999999998</v>
      </c>
      <c r="L89" s="298">
        <f>IFERROR(_xlfn.XLOOKUP($A89,Input_Raw!$A:$A,Input_Raw!T:T),"")</f>
        <v>34.624000000000002</v>
      </c>
      <c r="M89" s="298">
        <f>IFERROR(_xlfn.XLOOKUP($A89,Input_Raw!$A:$A,Input_Raw!W:W),"")</f>
        <v>4.5960000000000001</v>
      </c>
      <c r="N89" s="298">
        <f>IFERROR(_xlfn.XLOOKUP($A89,Input_Raw!$A:$A,Input_Raw!X:X),"")</f>
        <v>11.02</v>
      </c>
      <c r="O89" s="299">
        <f>IFERROR(1-(SUMIF(Plant_BD!$B:$B,$A89,Plant_BD!$AL:$AL)/($AA89+SUMIF(Plant_BD!$B:$B,$A89,Plant_BD!$AL:$AL))),"")</f>
        <v>1</v>
      </c>
      <c r="P89" s="299"/>
      <c r="Q89" s="300"/>
      <c r="R89" s="299">
        <f>IFERROR(1-(SUMIF(Grid_BD!$B:$B,$A89,Grid_BD!$V:$V)/($AA89+SUMIF(Grid_BD!$B:$B,$A89,Grid_BD!$V:$V))),"")</f>
        <v>1</v>
      </c>
      <c r="S89" s="295"/>
      <c r="T89" s="300"/>
      <c r="U89" s="301">
        <f t="shared" si="11"/>
        <v>0.85490165268933194</v>
      </c>
      <c r="V89" s="301" t="str">
        <f>IFERROR(_xlfn.XLOOKUP($A89,Input_Raw!$A:$A,Input_Raw!$AX:$AX),"")</f>
        <v/>
      </c>
      <c r="W89" s="302">
        <f t="shared" si="12"/>
        <v>0.12503251323338238</v>
      </c>
      <c r="X89" s="294">
        <f>IFERROR(_xlfn.XLOOKUP($A89,Input_Raw!$A:$A,Input_Raw!$AA:$AA),"")</f>
        <v>140669.20000000001</v>
      </c>
      <c r="Y89" s="294">
        <f>IFERROR(_xlfn.XLOOKUP($A89,Input_Raw!$A:$A,Input_Raw!$AS:$AS),"")</f>
        <v>140000</v>
      </c>
      <c r="Z89" s="294"/>
      <c r="AA89" s="294">
        <f>IFERROR(_xlfn.XLOOKUP($A89,Input_Raw!$A:$A,Input_Raw!$AT:$AT),"")</f>
        <v>137837.09291361307</v>
      </c>
      <c r="AB89" s="294">
        <f>IFERROR(_xlfn.XLOOKUP($A89,Input_Raw!$A:$A,Input_Raw!$AU:$AU),"")</f>
        <v>39.21</v>
      </c>
      <c r="AC89" s="303">
        <f>IFERROR(_xlfn.XLOOKUP($D89,'Modelling New'!$D:$D,'Modelling New'!P:P),"")</f>
        <v>4.78</v>
      </c>
      <c r="AD89" s="294">
        <f>IFERROR(_xlfn.XLOOKUP($D89,'Modelling New'!$D:$D,'Modelling New'!T:T)*1000,"")</f>
        <v>168249.61104657603</v>
      </c>
      <c r="AE89" s="304">
        <f>IFERROR(_xlfn.XLOOKUP($D89,'Modelling New'!$D:$D,'Modelling New'!$O:$O),"")</f>
        <v>0.76629196176809589</v>
      </c>
      <c r="AF89" s="304">
        <f>IFERROR(_xlfn.XLOOKUP($D89,'Modelling New'!$D:$D,'Modelling New'!$W:$W),"")</f>
        <v>0.15261981571881245</v>
      </c>
      <c r="AG89" s="304">
        <f>IFERROR(_xlfn.XLOOKUP($D89,'Modelling New'!$D:$D,'Modelling New'!$AE:$AE),"")</f>
        <v>0.995</v>
      </c>
      <c r="AH89" s="304">
        <f>IFERROR(_xlfn.XLOOKUP($D89,'Modelling New'!$D:$D,'Modelling New'!$AF:$AF),"")</f>
        <v>0.995</v>
      </c>
      <c r="AI89" s="295"/>
      <c r="AJ89" s="295"/>
      <c r="AK89" s="295"/>
      <c r="AL89" s="295"/>
      <c r="AM89" s="295"/>
      <c r="AN89" s="305"/>
      <c r="AO89" s="302"/>
      <c r="AP89" s="302"/>
      <c r="AQ89" s="302"/>
      <c r="AR89" s="294">
        <f>_xlfn.XLOOKUP($D89,'Modelling New'!$D:$D,'Modelling New'!$N:$N)</f>
        <v>45.933750000000003</v>
      </c>
      <c r="AS89" s="294">
        <f t="shared" si="13"/>
        <v>143621.35138403124</v>
      </c>
    </row>
    <row r="90" spans="1:45">
      <c r="A90" s="293">
        <f t="shared" si="14"/>
        <v>45833</v>
      </c>
      <c r="B90" s="294">
        <f>YEAR(Daily_KPI[[#This Row],[Date]])+IF(MONTH(Daily_KPI[[#This Row],[Date]])&gt;=4,1,0)</f>
        <v>2026</v>
      </c>
      <c r="C90" s="295">
        <f>YEAR(Daily_KPI[[#This Row],[Date]])</f>
        <v>2025</v>
      </c>
      <c r="D90" s="296">
        <f>Daily_KPI[[#This Row],[Date]]-DAY(Daily_KPI[[#This Row],[Date]])+1</f>
        <v>45809</v>
      </c>
      <c r="E90" s="295">
        <f t="shared" si="10"/>
        <v>30</v>
      </c>
      <c r="F90" s="297">
        <f>IFERROR(_xlfn.XLOOKUP($A90,Input_Raw!$A:$A,Input_Raw!$AR:$AR),"")</f>
        <v>11.716666666666667</v>
      </c>
      <c r="G90" s="298">
        <f>IFERROR(_xlfn.XLOOKUP($A90,Input_Raw!$A:$A,Input_Raw!$R:$R),"")</f>
        <v>2.84</v>
      </c>
      <c r="H90" s="298"/>
      <c r="I90" s="298">
        <f>IFERROR(_xlfn.XLOOKUP($A90,Input_Raw!$A:$A,Input_Raw!$Q:$Q),"")</f>
        <v>2.79</v>
      </c>
      <c r="J90" s="298"/>
      <c r="K90" s="298">
        <f>IFERROR(_xlfn.XLOOKUP($A90,Input_Raw!$A:$A,Input_Raw!S:S),"")</f>
        <v>28.997</v>
      </c>
      <c r="L90" s="298">
        <f>IFERROR(_xlfn.XLOOKUP($A90,Input_Raw!$A:$A,Input_Raw!T:T),"")</f>
        <v>33.979999999999997</v>
      </c>
      <c r="M90" s="298">
        <f>IFERROR(_xlfn.XLOOKUP($A90,Input_Raw!$A:$A,Input_Raw!W:W),"")</f>
        <v>2.891</v>
      </c>
      <c r="N90" s="298">
        <f>IFERROR(_xlfn.XLOOKUP($A90,Input_Raw!$A:$A,Input_Raw!X:X),"")</f>
        <v>10.85</v>
      </c>
      <c r="O90" s="299">
        <f>IFERROR(1-(SUMIF(Plant_BD!$B:$B,$A90,Plant_BD!$AL:$AL)/($AA90+SUMIF(Plant_BD!$B:$B,$A90,Plant_BD!$AL:$AL))),"")</f>
        <v>1</v>
      </c>
      <c r="P90" s="299"/>
      <c r="Q90" s="300"/>
      <c r="R90" s="299">
        <f>IFERROR(1-(SUMIF(Grid_BD!$B:$B,$A90,Grid_BD!$V:$V)/($AA90+SUMIF(Grid_BD!$B:$B,$A90,Grid_BD!$V:$V))),"")</f>
        <v>1</v>
      </c>
      <c r="S90" s="295"/>
      <c r="T90" s="300"/>
      <c r="U90" s="301">
        <f t="shared" si="11"/>
        <v>0.96482666606310763</v>
      </c>
      <c r="V90" s="301" t="str">
        <f>IFERROR(_xlfn.XLOOKUP($A90,Input_Raw!$A:$A,Input_Raw!$AX:$AX),"")</f>
        <v/>
      </c>
      <c r="W90" s="302">
        <f t="shared" si="12"/>
        <v>9.5743037053340516E-2</v>
      </c>
      <c r="X90" s="294">
        <f>IFERROR(_xlfn.XLOOKUP($A90,Input_Raw!$A:$A,Input_Raw!$AA:$AA),"")</f>
        <v>106920.5</v>
      </c>
      <c r="Y90" s="294">
        <f>IFERROR(_xlfn.XLOOKUP($A90,Input_Raw!$A:$A,Input_Raw!$AS:$AS),"")</f>
        <v>106000</v>
      </c>
      <c r="Z90" s="294"/>
      <c r="AA90" s="294">
        <f>IFERROR(_xlfn.XLOOKUP($A90,Input_Raw!$A:$A,Input_Raw!$AT:$AT),"")</f>
        <v>105548.08147797312</v>
      </c>
      <c r="AB90" s="294">
        <f>IFERROR(_xlfn.XLOOKUP($A90,Input_Raw!$A:$A,Input_Raw!$AU:$AU),"")</f>
        <v>39.21</v>
      </c>
      <c r="AC90" s="303">
        <f>IFERROR(_xlfn.XLOOKUP($D90,'Modelling New'!$D:$D,'Modelling New'!P:P),"")</f>
        <v>4.78</v>
      </c>
      <c r="AD90" s="294">
        <f>IFERROR(_xlfn.XLOOKUP($D90,'Modelling New'!$D:$D,'Modelling New'!T:T)*1000,"")</f>
        <v>168249.61104657603</v>
      </c>
      <c r="AE90" s="304">
        <f>IFERROR(_xlfn.XLOOKUP($D90,'Modelling New'!$D:$D,'Modelling New'!$O:$O),"")</f>
        <v>0.76629196176809589</v>
      </c>
      <c r="AF90" s="304">
        <f>IFERROR(_xlfn.XLOOKUP($D90,'Modelling New'!$D:$D,'Modelling New'!$W:$W),"")</f>
        <v>0.15261981571881245</v>
      </c>
      <c r="AG90" s="304">
        <f>IFERROR(_xlfn.XLOOKUP($D90,'Modelling New'!$D:$D,'Modelling New'!$AE:$AE),"")</f>
        <v>0.995</v>
      </c>
      <c r="AH90" s="304">
        <f>IFERROR(_xlfn.XLOOKUP($D90,'Modelling New'!$D:$D,'Modelling New'!$AF:$AF),"")</f>
        <v>0.995</v>
      </c>
      <c r="AI90" s="295"/>
      <c r="AJ90" s="295"/>
      <c r="AK90" s="295"/>
      <c r="AL90" s="295"/>
      <c r="AM90" s="295"/>
      <c r="AN90" s="305"/>
      <c r="AO90" s="302"/>
      <c r="AP90" s="302"/>
      <c r="AQ90" s="302"/>
      <c r="AR90" s="294">
        <f>_xlfn.XLOOKUP($D90,'Modelling New'!$D:$D,'Modelling New'!$N:$N)</f>
        <v>45.933750000000003</v>
      </c>
      <c r="AS90" s="294">
        <f t="shared" si="13"/>
        <v>143621.35138403124</v>
      </c>
    </row>
    <row r="91" spans="1:45">
      <c r="A91" s="293">
        <f t="shared" si="14"/>
        <v>45834</v>
      </c>
      <c r="B91" s="294">
        <f>YEAR(Daily_KPI[[#This Row],[Date]])+IF(MONTH(Daily_KPI[[#This Row],[Date]])&gt;=4,1,0)</f>
        <v>2026</v>
      </c>
      <c r="C91" s="295">
        <f>YEAR(Daily_KPI[[#This Row],[Date]])</f>
        <v>2025</v>
      </c>
      <c r="D91" s="296">
        <f>Daily_KPI[[#This Row],[Date]]-DAY(Daily_KPI[[#This Row],[Date]])+1</f>
        <v>45809</v>
      </c>
      <c r="E91" s="295">
        <f t="shared" si="10"/>
        <v>30</v>
      </c>
      <c r="F91" s="297">
        <f>IFERROR(_xlfn.XLOOKUP($A91,Input_Raw!$A:$A,Input_Raw!$AR:$AR),"")</f>
        <v>9.9833333333333325</v>
      </c>
      <c r="G91" s="298">
        <f>IFERROR(_xlfn.XLOOKUP($A91,Input_Raw!$A:$A,Input_Raw!$R:$R),"")</f>
        <v>0.94666352666666631</v>
      </c>
      <c r="H91" s="298"/>
      <c r="I91" s="298">
        <f>IFERROR(_xlfn.XLOOKUP($A91,Input_Raw!$A:$A,Input_Raw!$Q:$Q),"")</f>
        <v>0.94869823666666675</v>
      </c>
      <c r="J91" s="298"/>
      <c r="K91" s="298">
        <f>IFERROR(_xlfn.XLOOKUP($A91,Input_Raw!$A:$A,Input_Raw!S:S),"")</f>
        <v>25.18</v>
      </c>
      <c r="L91" s="298">
        <f>IFERROR(_xlfn.XLOOKUP($A91,Input_Raw!$A:$A,Input_Raw!T:T),"")</f>
        <v>25.71</v>
      </c>
      <c r="M91" s="298">
        <f>IFERROR(_xlfn.XLOOKUP($A91,Input_Raw!$A:$A,Input_Raw!W:W),"")</f>
        <v>2.33</v>
      </c>
      <c r="N91" s="298">
        <f>IFERROR(_xlfn.XLOOKUP($A91,Input_Raw!$A:$A,Input_Raw!X:X),"")</f>
        <v>5.3</v>
      </c>
      <c r="O91" s="299">
        <f>IFERROR(1-(SUMIF(Plant_BD!$B:$B,$A91,Plant_BD!$AL:$AL)/($AA91+SUMIF(Plant_BD!$B:$B,$A91,Plant_BD!$AL:$AL))),"")</f>
        <v>0.81678403994250803</v>
      </c>
      <c r="P91" s="299"/>
      <c r="Q91" s="300"/>
      <c r="R91" s="299">
        <f>IFERROR(1-(SUMIF(Grid_BD!$B:$B,$A91,Grid_BD!$V:$V)/($AA91+SUMIF(Grid_BD!$B:$B,$A91,Grid_BD!$V:$V))),"")</f>
        <v>1</v>
      </c>
      <c r="S91" s="295"/>
      <c r="T91" s="300"/>
      <c r="U91" s="301">
        <f t="shared" si="11"/>
        <v>0.69413204620668301</v>
      </c>
      <c r="V91" s="301" t="str">
        <f>IFERROR(_xlfn.XLOOKUP($A91,Input_Raw!$A:$A,Input_Raw!$AX:$AX),"")</f>
        <v/>
      </c>
      <c r="W91" s="302">
        <f t="shared" si="12"/>
        <v>2.3421995146893294E-2</v>
      </c>
      <c r="X91" s="294">
        <f>IFERROR(_xlfn.XLOOKUP($A91,Input_Raw!$A:$A,Input_Raw!$AA:$AA),"")</f>
        <v>27160</v>
      </c>
      <c r="Y91" s="294">
        <f>IFERROR(_xlfn.XLOOKUP($A91,Input_Raw!$A:$A,Input_Raw!$AS:$AS),"")</f>
        <v>27000</v>
      </c>
      <c r="Z91" s="294"/>
      <c r="AA91" s="294">
        <f>IFERROR(_xlfn.XLOOKUP($A91,Input_Raw!$A:$A,Input_Raw!$AT:$AT),"")</f>
        <v>25820.641669886634</v>
      </c>
      <c r="AB91" s="294">
        <f>IFERROR(_xlfn.XLOOKUP($A91,Input_Raw!$A:$A,Input_Raw!$AU:$AU),"")</f>
        <v>39.21</v>
      </c>
      <c r="AC91" s="303">
        <f>IFERROR(_xlfn.XLOOKUP($D91,'Modelling New'!$D:$D,'Modelling New'!P:P),"")</f>
        <v>4.78</v>
      </c>
      <c r="AD91" s="294">
        <f>IFERROR(_xlfn.XLOOKUP($D91,'Modelling New'!$D:$D,'Modelling New'!T:T)*1000,"")</f>
        <v>168249.61104657603</v>
      </c>
      <c r="AE91" s="304">
        <f>IFERROR(_xlfn.XLOOKUP($D91,'Modelling New'!$D:$D,'Modelling New'!$O:$O),"")</f>
        <v>0.76629196176809589</v>
      </c>
      <c r="AF91" s="304">
        <f>IFERROR(_xlfn.XLOOKUP($D91,'Modelling New'!$D:$D,'Modelling New'!$W:$W),"")</f>
        <v>0.15261981571881245</v>
      </c>
      <c r="AG91" s="304">
        <f>IFERROR(_xlfn.XLOOKUP($D91,'Modelling New'!$D:$D,'Modelling New'!$AE:$AE),"")</f>
        <v>0.995</v>
      </c>
      <c r="AH91" s="304">
        <f>IFERROR(_xlfn.XLOOKUP($D91,'Modelling New'!$D:$D,'Modelling New'!$AF:$AF),"")</f>
        <v>0.995</v>
      </c>
      <c r="AI91" s="295"/>
      <c r="AJ91" s="295"/>
      <c r="AK91" s="295"/>
      <c r="AL91" s="295"/>
      <c r="AM91" s="295"/>
      <c r="AN91" s="305"/>
      <c r="AO91" s="302"/>
      <c r="AP91" s="302"/>
      <c r="AQ91" s="302"/>
      <c r="AR91" s="294">
        <f>_xlfn.XLOOKUP($D91,'Modelling New'!$D:$D,'Modelling New'!$N:$N)</f>
        <v>45.933750000000003</v>
      </c>
      <c r="AS91" s="294">
        <f t="shared" si="13"/>
        <v>143621.35138403124</v>
      </c>
    </row>
    <row r="92" spans="1:45">
      <c r="A92" s="293">
        <f t="shared" si="14"/>
        <v>45835</v>
      </c>
      <c r="B92" s="294">
        <f>YEAR(Daily_KPI[[#This Row],[Date]])+IF(MONTH(Daily_KPI[[#This Row],[Date]])&gt;=4,1,0)</f>
        <v>2026</v>
      </c>
      <c r="C92" s="295">
        <f>YEAR(Daily_KPI[[#This Row],[Date]])</f>
        <v>2025</v>
      </c>
      <c r="D92" s="296">
        <f>Daily_KPI[[#This Row],[Date]]-DAY(Daily_KPI[[#This Row],[Date]])+1</f>
        <v>45809</v>
      </c>
      <c r="E92" s="295">
        <f t="shared" si="10"/>
        <v>30</v>
      </c>
      <c r="F92" s="297">
        <f>IFERROR(_xlfn.XLOOKUP($A92,Input_Raw!$A:$A,Input_Raw!$AR:$AR),"")</f>
        <v>12.633333333333333</v>
      </c>
      <c r="G92" s="298">
        <f>IFERROR(_xlfn.XLOOKUP($A92,Input_Raw!$A:$A,Input_Raw!$R:$R),"")</f>
        <v>4.32</v>
      </c>
      <c r="H92" s="298"/>
      <c r="I92" s="298">
        <f>IFERROR(_xlfn.XLOOKUP($A92,Input_Raw!$A:$A,Input_Raw!$Q:$Q),"")</f>
        <v>4.18</v>
      </c>
      <c r="J92" s="298"/>
      <c r="K92" s="298">
        <f>IFERROR(_xlfn.XLOOKUP($A92,Input_Raw!$A:$A,Input_Raw!S:S),"")</f>
        <v>29.35</v>
      </c>
      <c r="L92" s="298">
        <f>IFERROR(_xlfn.XLOOKUP($A92,Input_Raw!$A:$A,Input_Raw!T:T),"")</f>
        <v>36.57</v>
      </c>
      <c r="M92" s="298">
        <f>IFERROR(_xlfn.XLOOKUP($A92,Input_Raw!$A:$A,Input_Raw!W:W),"")</f>
        <v>3.1970000000000001</v>
      </c>
      <c r="N92" s="298">
        <f>IFERROR(_xlfn.XLOOKUP($A92,Input_Raw!$A:$A,Input_Raw!X:X),"")</f>
        <v>8.59</v>
      </c>
      <c r="O92" s="299">
        <f>IFERROR(1-(SUMIF(Plant_BD!$B:$B,$A92,Plant_BD!$AL:$AL)/($AA92+SUMIF(Plant_BD!$B:$B,$A92,Plant_BD!$AL:$AL))),"")</f>
        <v>1</v>
      </c>
      <c r="P92" s="299"/>
      <c r="Q92" s="300"/>
      <c r="R92" s="299">
        <f>IFERROR(1-(SUMIF(Grid_BD!$B:$B,$A92,Grid_BD!$V:$V)/($AA92+SUMIF(Grid_BD!$B:$B,$A92,Grid_BD!$V:$V))),"")</f>
        <v>1</v>
      </c>
      <c r="S92" s="295"/>
      <c r="T92" s="300"/>
      <c r="U92" s="301">
        <f t="shared" si="11"/>
        <v>0.87954265059325709</v>
      </c>
      <c r="V92" s="301" t="str">
        <f>IFERROR(_xlfn.XLOOKUP($A92,Input_Raw!$A:$A,Input_Raw!$AX:$AX),"")</f>
        <v/>
      </c>
      <c r="W92" s="302">
        <f t="shared" si="12"/>
        <v>0.13076360468283446</v>
      </c>
      <c r="X92" s="294">
        <f>IFERROR(_xlfn.XLOOKUP($A92,Input_Raw!$A:$A,Input_Raw!$AA:$AA),"")</f>
        <v>146718.20000000001</v>
      </c>
      <c r="Y92" s="294">
        <f>IFERROR(_xlfn.XLOOKUP($A92,Input_Raw!$A:$A,Input_Raw!$AS:$AS),"")</f>
        <v>145000</v>
      </c>
      <c r="Z92" s="294"/>
      <c r="AA92" s="294">
        <f>IFERROR(_xlfn.XLOOKUP($A92,Input_Raw!$A:$A,Input_Raw!$AT:$AT),"")</f>
        <v>144155.10543840352</v>
      </c>
      <c r="AB92" s="294">
        <f>IFERROR(_xlfn.XLOOKUP($A92,Input_Raw!$A:$A,Input_Raw!$AU:$AU),"")</f>
        <v>39.21</v>
      </c>
      <c r="AC92" s="303">
        <f>IFERROR(_xlfn.XLOOKUP($D92,'Modelling New'!$D:$D,'Modelling New'!P:P),"")</f>
        <v>4.78</v>
      </c>
      <c r="AD92" s="294">
        <f>IFERROR(_xlfn.XLOOKUP($D92,'Modelling New'!$D:$D,'Modelling New'!T:T)*1000,"")</f>
        <v>168249.61104657603</v>
      </c>
      <c r="AE92" s="304">
        <f>IFERROR(_xlfn.XLOOKUP($D92,'Modelling New'!$D:$D,'Modelling New'!$O:$O),"")</f>
        <v>0.76629196176809589</v>
      </c>
      <c r="AF92" s="304">
        <f>IFERROR(_xlfn.XLOOKUP($D92,'Modelling New'!$D:$D,'Modelling New'!$W:$W),"")</f>
        <v>0.15261981571881245</v>
      </c>
      <c r="AG92" s="304">
        <f>IFERROR(_xlfn.XLOOKUP($D92,'Modelling New'!$D:$D,'Modelling New'!$AE:$AE),"")</f>
        <v>0.995</v>
      </c>
      <c r="AH92" s="304">
        <f>IFERROR(_xlfn.XLOOKUP($D92,'Modelling New'!$D:$D,'Modelling New'!$AF:$AF),"")</f>
        <v>0.995</v>
      </c>
      <c r="AI92" s="295"/>
      <c r="AJ92" s="295"/>
      <c r="AK92" s="295"/>
      <c r="AL92" s="295"/>
      <c r="AM92" s="295"/>
      <c r="AN92" s="305"/>
      <c r="AO92" s="302"/>
      <c r="AP92" s="302"/>
      <c r="AQ92" s="302"/>
      <c r="AR92" s="294">
        <f>_xlfn.XLOOKUP($D92,'Modelling New'!$D:$D,'Modelling New'!$N:$N)</f>
        <v>45.933750000000003</v>
      </c>
      <c r="AS92" s="294">
        <f t="shared" si="13"/>
        <v>143621.35138403124</v>
      </c>
    </row>
    <row r="93" spans="1:45">
      <c r="A93" s="293">
        <f t="shared" si="14"/>
        <v>45836</v>
      </c>
      <c r="B93" s="294">
        <f>YEAR(Daily_KPI[[#This Row],[Date]])+IF(MONTH(Daily_KPI[[#This Row],[Date]])&gt;=4,1,0)</f>
        <v>2026</v>
      </c>
      <c r="C93" s="295">
        <f>YEAR(Daily_KPI[[#This Row],[Date]])</f>
        <v>2025</v>
      </c>
      <c r="D93" s="296">
        <f>Daily_KPI[[#This Row],[Date]]-DAY(Daily_KPI[[#This Row],[Date]])+1</f>
        <v>45809</v>
      </c>
      <c r="E93" s="295">
        <f t="shared" si="10"/>
        <v>30</v>
      </c>
      <c r="F93" s="297">
        <f>IFERROR(_xlfn.XLOOKUP($A93,Input_Raw!$A:$A,Input_Raw!$AR:$AR),"")</f>
        <v>11.983333333333333</v>
      </c>
      <c r="G93" s="298">
        <f>IFERROR(_xlfn.XLOOKUP($A93,Input_Raw!$A:$A,Input_Raw!$R:$R),"")</f>
        <v>4.9455</v>
      </c>
      <c r="H93" s="298"/>
      <c r="I93" s="298">
        <f>IFERROR(_xlfn.XLOOKUP($A93,Input_Raw!$A:$A,Input_Raw!$Q:$Q),"")</f>
        <v>4.7489999999999997</v>
      </c>
      <c r="J93" s="298"/>
      <c r="K93" s="298">
        <f>IFERROR(_xlfn.XLOOKUP($A93,Input_Raw!$A:$A,Input_Raw!S:S),"")</f>
        <v>30.309000000000001</v>
      </c>
      <c r="L93" s="298">
        <f>IFERROR(_xlfn.XLOOKUP($A93,Input_Raw!$A:$A,Input_Raw!T:T),"")</f>
        <v>37.622</v>
      </c>
      <c r="M93" s="298">
        <f>IFERROR(_xlfn.XLOOKUP($A93,Input_Raw!$A:$A,Input_Raw!W:W),"")</f>
        <v>4.7416</v>
      </c>
      <c r="N93" s="298">
        <f>IFERROR(_xlfn.XLOOKUP($A93,Input_Raw!$A:$A,Input_Raw!X:X),"")</f>
        <v>10.52</v>
      </c>
      <c r="O93" s="299">
        <f>IFERROR(1-(SUMIF(Plant_BD!$B:$B,$A93,Plant_BD!$AL:$AL)/($AA93+SUMIF(Plant_BD!$B:$B,$A93,Plant_BD!$AL:$AL))),"")</f>
        <v>0.999356024210731</v>
      </c>
      <c r="P93" s="299"/>
      <c r="Q93" s="300"/>
      <c r="R93" s="299">
        <f>IFERROR(1-(SUMIF(Grid_BD!$B:$B,$A93,Grid_BD!$V:$V)/($AA93+SUMIF(Grid_BD!$B:$B,$A93,Grid_BD!$V:$V))),"")</f>
        <v>1</v>
      </c>
      <c r="S93" s="295"/>
      <c r="T93" s="300"/>
      <c r="U93" s="301">
        <f t="shared" si="11"/>
        <v>0.86520475349331305</v>
      </c>
      <c r="V93" s="301" t="str">
        <f>IFERROR(_xlfn.XLOOKUP($A93,Input_Raw!$A:$A,Input_Raw!$AX:$AX),"")</f>
        <v/>
      </c>
      <c r="W93" s="302">
        <f t="shared" si="12"/>
        <v>0.14614190514224412</v>
      </c>
      <c r="X93" s="294">
        <f>IFERROR(_xlfn.XLOOKUP($A93,Input_Raw!$A:$A,Input_Raw!$AA:$AA),"")</f>
        <v>163808.70000000001</v>
      </c>
      <c r="Y93" s="294">
        <f>IFERROR(_xlfn.XLOOKUP($A93,Input_Raw!$A:$A,Input_Raw!$AS:$AS),"")</f>
        <v>163000</v>
      </c>
      <c r="Z93" s="294"/>
      <c r="AA93" s="294">
        <f>IFERROR(_xlfn.XLOOKUP($A93,Input_Raw!$A:$A,Input_Raw!$AT:$AT),"")</f>
        <v>161108.29764786136</v>
      </c>
      <c r="AB93" s="294">
        <f>IFERROR(_xlfn.XLOOKUP($A93,Input_Raw!$A:$A,Input_Raw!$AU:$AU),"")</f>
        <v>39.21</v>
      </c>
      <c r="AC93" s="303">
        <f>IFERROR(_xlfn.XLOOKUP($D93,'Modelling New'!$D:$D,'Modelling New'!P:P),"")</f>
        <v>4.78</v>
      </c>
      <c r="AD93" s="294">
        <f>IFERROR(_xlfn.XLOOKUP($D93,'Modelling New'!$D:$D,'Modelling New'!T:T)*1000,"")</f>
        <v>168249.61104657603</v>
      </c>
      <c r="AE93" s="304">
        <f>IFERROR(_xlfn.XLOOKUP($D93,'Modelling New'!$D:$D,'Modelling New'!$O:$O),"")</f>
        <v>0.76629196176809589</v>
      </c>
      <c r="AF93" s="304">
        <f>IFERROR(_xlfn.XLOOKUP($D93,'Modelling New'!$D:$D,'Modelling New'!$W:$W),"")</f>
        <v>0.15261981571881245</v>
      </c>
      <c r="AG93" s="304">
        <f>IFERROR(_xlfn.XLOOKUP($D93,'Modelling New'!$D:$D,'Modelling New'!$AE:$AE),"")</f>
        <v>0.995</v>
      </c>
      <c r="AH93" s="304">
        <f>IFERROR(_xlfn.XLOOKUP($D93,'Modelling New'!$D:$D,'Modelling New'!$AF:$AF),"")</f>
        <v>0.995</v>
      </c>
      <c r="AI93" s="295"/>
      <c r="AJ93" s="295"/>
      <c r="AK93" s="295"/>
      <c r="AL93" s="295"/>
      <c r="AM93" s="295"/>
      <c r="AN93" s="305"/>
      <c r="AO93" s="302"/>
      <c r="AP93" s="302"/>
      <c r="AQ93" s="302"/>
      <c r="AR93" s="294">
        <f>_xlfn.XLOOKUP($D93,'Modelling New'!$D:$D,'Modelling New'!$N:$N)</f>
        <v>45.933750000000003</v>
      </c>
      <c r="AS93" s="294">
        <f t="shared" si="13"/>
        <v>143621.35138403124</v>
      </c>
    </row>
    <row r="94" spans="1:45">
      <c r="A94" s="293">
        <f t="shared" si="14"/>
        <v>45837</v>
      </c>
      <c r="B94" s="294">
        <f>YEAR(Daily_KPI[[#This Row],[Date]])+IF(MONTH(Daily_KPI[[#This Row],[Date]])&gt;=4,1,0)</f>
        <v>2026</v>
      </c>
      <c r="C94" s="295">
        <f>YEAR(Daily_KPI[[#This Row],[Date]])</f>
        <v>2025</v>
      </c>
      <c r="D94" s="296">
        <f>Daily_KPI[[#This Row],[Date]]-DAY(Daily_KPI[[#This Row],[Date]])+1</f>
        <v>45809</v>
      </c>
      <c r="E94" s="295">
        <f t="shared" si="10"/>
        <v>30</v>
      </c>
      <c r="F94" s="297">
        <f>IFERROR(_xlfn.XLOOKUP($A94,Input_Raw!$A:$A,Input_Raw!$AR:$AR),"")</f>
        <v>11.416666666666666</v>
      </c>
      <c r="G94" s="298">
        <f>IFERROR(_xlfn.XLOOKUP($A94,Input_Raw!$A:$A,Input_Raw!$R:$R),"")</f>
        <v>1.4059999999999999</v>
      </c>
      <c r="H94" s="298"/>
      <c r="I94" s="298">
        <f>IFERROR(_xlfn.XLOOKUP($A94,Input_Raw!$A:$A,Input_Raw!$Q:$Q),"")</f>
        <v>1.4</v>
      </c>
      <c r="J94" s="298"/>
      <c r="K94" s="298">
        <f>IFERROR(_xlfn.XLOOKUP($A94,Input_Raw!$A:$A,Input_Raw!S:S),"")</f>
        <v>25.088799999999999</v>
      </c>
      <c r="L94" s="298">
        <f>IFERROR(_xlfn.XLOOKUP($A94,Input_Raw!$A:$A,Input_Raw!T:T),"")</f>
        <v>26.024000000000001</v>
      </c>
      <c r="M94" s="298">
        <f>IFERROR(_xlfn.XLOOKUP($A94,Input_Raw!$A:$A,Input_Raw!W:W),"")</f>
        <v>2.8610000000000002</v>
      </c>
      <c r="N94" s="298">
        <f>IFERROR(_xlfn.XLOOKUP($A94,Input_Raw!$A:$A,Input_Raw!X:X),"")</f>
        <v>8.32</v>
      </c>
      <c r="O94" s="299">
        <f>IFERROR(1-(SUMIF(Plant_BD!$B:$B,$A94,Plant_BD!$AL:$AL)/($AA94+SUMIF(Plant_BD!$B:$B,$A94,Plant_BD!$AL:$AL))),"")</f>
        <v>0.5697841044197467</v>
      </c>
      <c r="P94" s="299"/>
      <c r="Q94" s="300"/>
      <c r="R94" s="299">
        <f>IFERROR(1-(SUMIF(Grid_BD!$B:$B,$A94,Grid_BD!$V:$V)/($AA94+SUMIF(Grid_BD!$B:$B,$A94,Grid_BD!$V:$V))),"")</f>
        <v>1</v>
      </c>
      <c r="S94" s="295"/>
      <c r="T94" s="300"/>
      <c r="U94" s="301">
        <f t="shared" si="11"/>
        <v>0.49313423509140586</v>
      </c>
      <c r="V94" s="301" t="str">
        <f>IFERROR(_xlfn.XLOOKUP($A94,Input_Raw!$A:$A,Input_Raw!$AX:$AX),"")</f>
        <v/>
      </c>
      <c r="W94" s="302">
        <f t="shared" si="12"/>
        <v>2.4555392912897774E-2</v>
      </c>
      <c r="X94" s="294">
        <f>IFERROR(_xlfn.XLOOKUP($A94,Input_Raw!$A:$A,Input_Raw!$AA:$AA),"")</f>
        <v>28102.400000000001</v>
      </c>
      <c r="Y94" s="294">
        <f>IFERROR(_xlfn.XLOOKUP($A94,Input_Raw!$A:$A,Input_Raw!$AS:$AS),"")</f>
        <v>28000</v>
      </c>
      <c r="Z94" s="294"/>
      <c r="AA94" s="294">
        <f>IFERROR(_xlfn.XLOOKUP($A94,Input_Raw!$A:$A,Input_Raw!$AT:$AT),"")</f>
        <v>27070.110701107635</v>
      </c>
      <c r="AB94" s="294">
        <f>IFERROR(_xlfn.XLOOKUP($A94,Input_Raw!$A:$A,Input_Raw!$AU:$AU),"")</f>
        <v>39.21</v>
      </c>
      <c r="AC94" s="303">
        <f>IFERROR(_xlfn.XLOOKUP($D94,'Modelling New'!$D:$D,'Modelling New'!P:P),"")</f>
        <v>4.78</v>
      </c>
      <c r="AD94" s="294">
        <f>IFERROR(_xlfn.XLOOKUP($D94,'Modelling New'!$D:$D,'Modelling New'!T:T)*1000,"")</f>
        <v>168249.61104657603</v>
      </c>
      <c r="AE94" s="304">
        <f>IFERROR(_xlfn.XLOOKUP($D94,'Modelling New'!$D:$D,'Modelling New'!$O:$O),"")</f>
        <v>0.76629196176809589</v>
      </c>
      <c r="AF94" s="304">
        <f>IFERROR(_xlfn.XLOOKUP($D94,'Modelling New'!$D:$D,'Modelling New'!$W:$W),"")</f>
        <v>0.15261981571881245</v>
      </c>
      <c r="AG94" s="304">
        <f>IFERROR(_xlfn.XLOOKUP($D94,'Modelling New'!$D:$D,'Modelling New'!$AE:$AE),"")</f>
        <v>0.995</v>
      </c>
      <c r="AH94" s="304">
        <f>IFERROR(_xlfn.XLOOKUP($D94,'Modelling New'!$D:$D,'Modelling New'!$AF:$AF),"")</f>
        <v>0.995</v>
      </c>
      <c r="AI94" s="295"/>
      <c r="AJ94" s="295"/>
      <c r="AK94" s="295"/>
      <c r="AL94" s="295"/>
      <c r="AM94" s="295"/>
      <c r="AN94" s="305"/>
      <c r="AO94" s="302"/>
      <c r="AP94" s="302"/>
      <c r="AQ94" s="302"/>
      <c r="AR94" s="294">
        <f>_xlfn.XLOOKUP($D94,'Modelling New'!$D:$D,'Modelling New'!$N:$N)</f>
        <v>45.933750000000003</v>
      </c>
      <c r="AS94" s="294">
        <f t="shared" si="13"/>
        <v>143621.35138403124</v>
      </c>
    </row>
    <row r="95" spans="1:45">
      <c r="A95" s="293">
        <f t="shared" si="14"/>
        <v>45838</v>
      </c>
      <c r="B95" s="294">
        <f>YEAR(Daily_KPI[[#This Row],[Date]])+IF(MONTH(Daily_KPI[[#This Row],[Date]])&gt;=4,1,0)</f>
        <v>2026</v>
      </c>
      <c r="C95" s="295">
        <f>YEAR(Daily_KPI[[#This Row],[Date]])</f>
        <v>2025</v>
      </c>
      <c r="D95" s="296">
        <f>Daily_KPI[[#This Row],[Date]]-DAY(Daily_KPI[[#This Row],[Date]])+1</f>
        <v>45809</v>
      </c>
      <c r="E95" s="295">
        <f t="shared" si="10"/>
        <v>30</v>
      </c>
      <c r="F95" s="297">
        <f>IFERROR(_xlfn.XLOOKUP($A95,Input_Raw!$A:$A,Input_Raw!$AR:$AR),"")</f>
        <v>11.383333333333335</v>
      </c>
      <c r="G95" s="298">
        <f>IFERROR(_xlfn.XLOOKUP($A95,Input_Raw!$A:$A,Input_Raw!$R:$R),"")</f>
        <v>1.73</v>
      </c>
      <c r="H95" s="298"/>
      <c r="I95" s="298">
        <f>IFERROR(_xlfn.XLOOKUP($A95,Input_Raw!$A:$A,Input_Raw!$Q:$Q),"")</f>
        <v>1.72</v>
      </c>
      <c r="J95" s="298"/>
      <c r="K95" s="298">
        <f>IFERROR(_xlfn.XLOOKUP($A95,Input_Raw!$A:$A,Input_Raw!S:S),"")</f>
        <v>25.98</v>
      </c>
      <c r="L95" s="298">
        <f>IFERROR(_xlfn.XLOOKUP($A95,Input_Raw!$A:$A,Input_Raw!T:T),"")</f>
        <v>28.19</v>
      </c>
      <c r="M95" s="298">
        <f>IFERROR(_xlfn.XLOOKUP($A95,Input_Raw!$A:$A,Input_Raw!W:W),"")</f>
        <v>2.83</v>
      </c>
      <c r="N95" s="298">
        <f>IFERROR(_xlfn.XLOOKUP($A95,Input_Raw!$A:$A,Input_Raw!X:X),"")</f>
        <v>7.2</v>
      </c>
      <c r="O95" s="299">
        <f>IFERROR(1-(SUMIF(Plant_BD!$B:$B,$A95,Plant_BD!$AL:$AL)/($AA95+SUMIF(Plant_BD!$B:$B,$A95,Plant_BD!$AL:$AL))),"")</f>
        <v>1</v>
      </c>
      <c r="P95" s="299"/>
      <c r="Q95" s="300"/>
      <c r="R95" s="299">
        <f>IFERROR(1-(SUMIF(Grid_BD!$B:$B,$A95,Grid_BD!$V:$V)/($AA95+SUMIF(Grid_BD!$B:$B,$A95,Grid_BD!$V:$V))),"")</f>
        <v>1</v>
      </c>
      <c r="S95" s="295"/>
      <c r="T95" s="300"/>
      <c r="U95" s="301">
        <f t="shared" si="11"/>
        <v>0.93589690655886992</v>
      </c>
      <c r="V95" s="301" t="str">
        <f>IFERROR(_xlfn.XLOOKUP($A95,Input_Raw!$A:$A,Input_Raw!$AX:$AX),"")</f>
        <v/>
      </c>
      <c r="W95" s="302">
        <f t="shared" si="12"/>
        <v>5.7254569946406562E-2</v>
      </c>
      <c r="X95" s="294">
        <f>IFERROR(_xlfn.XLOOKUP($A95,Input_Raw!$A:$A,Input_Raw!$AA:$AA),"")</f>
        <v>64726.1</v>
      </c>
      <c r="Y95" s="294">
        <f>IFERROR(_xlfn.XLOOKUP($A95,Input_Raw!$A:$A,Input_Raw!$AS:$AS),"")</f>
        <v>64000</v>
      </c>
      <c r="Z95" s="294"/>
      <c r="AA95" s="294">
        <f>IFERROR(_xlfn.XLOOKUP($A95,Input_Raw!$A:$A,Input_Raw!$AT:$AT),"")</f>
        <v>63118.010454618059</v>
      </c>
      <c r="AB95" s="294">
        <f>IFERROR(_xlfn.XLOOKUP($A95,Input_Raw!$A:$A,Input_Raw!$AU:$AU),"")</f>
        <v>39.21</v>
      </c>
      <c r="AC95" s="303">
        <f>IFERROR(_xlfn.XLOOKUP($D95,'Modelling New'!$D:$D,'Modelling New'!P:P),"")</f>
        <v>4.78</v>
      </c>
      <c r="AD95" s="294">
        <f>IFERROR(_xlfn.XLOOKUP($D95,'Modelling New'!$D:$D,'Modelling New'!T:T)*1000,"")</f>
        <v>168249.61104657603</v>
      </c>
      <c r="AE95" s="304">
        <f>IFERROR(_xlfn.XLOOKUP($D95,'Modelling New'!$D:$D,'Modelling New'!$O:$O),"")</f>
        <v>0.76629196176809589</v>
      </c>
      <c r="AF95" s="304">
        <f>IFERROR(_xlfn.XLOOKUP($D95,'Modelling New'!$D:$D,'Modelling New'!$W:$W),"")</f>
        <v>0.15261981571881245</v>
      </c>
      <c r="AG95" s="304">
        <f>IFERROR(_xlfn.XLOOKUP($D95,'Modelling New'!$D:$D,'Modelling New'!$AE:$AE),"")</f>
        <v>0.995</v>
      </c>
      <c r="AH95" s="304">
        <f>IFERROR(_xlfn.XLOOKUP($D95,'Modelling New'!$D:$D,'Modelling New'!$AF:$AF),"")</f>
        <v>0.995</v>
      </c>
      <c r="AI95" s="295"/>
      <c r="AJ95" s="295"/>
      <c r="AK95" s="295"/>
      <c r="AL95" s="295"/>
      <c r="AM95" s="295"/>
      <c r="AN95" s="305"/>
      <c r="AO95" s="302"/>
      <c r="AP95" s="302"/>
      <c r="AQ95" s="302"/>
      <c r="AR95" s="294">
        <f>_xlfn.XLOOKUP($D95,'Modelling New'!$D:$D,'Modelling New'!$N:$N)</f>
        <v>45.933750000000003</v>
      </c>
      <c r="AS95" s="294">
        <f t="shared" si="13"/>
        <v>143621.35138403124</v>
      </c>
    </row>
    <row r="96" spans="1:45">
      <c r="A96" s="293">
        <f t="shared" si="14"/>
        <v>45839</v>
      </c>
      <c r="B96" s="294">
        <f>YEAR(Daily_KPI[[#This Row],[Date]])+IF(MONTH(Daily_KPI[[#This Row],[Date]])&gt;=4,1,0)</f>
        <v>2026</v>
      </c>
      <c r="C96" s="295">
        <f>YEAR(Daily_KPI[[#This Row],[Date]])</f>
        <v>2025</v>
      </c>
      <c r="D96" s="296">
        <f>Daily_KPI[[#This Row],[Date]]-DAY(Daily_KPI[[#This Row],[Date]])+1</f>
        <v>45839</v>
      </c>
      <c r="E96" s="295">
        <f t="shared" si="10"/>
        <v>31</v>
      </c>
      <c r="F96" s="297">
        <f>IFERROR(_xlfn.XLOOKUP($A96,Input_Raw!$A:$A,Input_Raw!$AR:$AR),"")</f>
        <v>11.799999999999999</v>
      </c>
      <c r="G96" s="298">
        <f>IFERROR(_xlfn.XLOOKUP($A96,Input_Raw!$A:$A,Input_Raw!$R:$R),"")</f>
        <v>1.7490000000000001</v>
      </c>
      <c r="H96" s="298"/>
      <c r="I96" s="298">
        <f>IFERROR(_xlfn.XLOOKUP($A96,Input_Raw!$A:$A,Input_Raw!$Q:$Q),"")</f>
        <v>1.7470000000000001</v>
      </c>
      <c r="J96" s="298"/>
      <c r="K96" s="298">
        <f>IFERROR(_xlfn.XLOOKUP($A96,Input_Raw!$A:$A,Input_Raw!S:S),"")</f>
        <v>26.297000000000001</v>
      </c>
      <c r="L96" s="298">
        <f>IFERROR(_xlfn.XLOOKUP($A96,Input_Raw!$A:$A,Input_Raw!T:T),"")</f>
        <v>28.05</v>
      </c>
      <c r="M96" s="298">
        <f>IFERROR(_xlfn.XLOOKUP($A96,Input_Raw!$A:$A,Input_Raw!W:W),"")</f>
        <v>3.21</v>
      </c>
      <c r="N96" s="298">
        <f>IFERROR(_xlfn.XLOOKUP($A96,Input_Raw!$A:$A,Input_Raw!X:X),"")</f>
        <v>7.29</v>
      </c>
      <c r="O96" s="299">
        <f>IFERROR(1-(SUMIF(Plant_BD!$B:$B,$A96,Plant_BD!$AL:$AL)/($AA96+SUMIF(Plant_BD!$B:$B,$A96,Plant_BD!$AL:$AL))),"")</f>
        <v>0.8335598060236683</v>
      </c>
      <c r="P96" s="299"/>
      <c r="Q96" s="300"/>
      <c r="R96" s="299">
        <f>IFERROR(1-(SUMIF(Grid_BD!$B:$B,$A96,Grid_BD!$V:$V)/($AA96+SUMIF(Grid_BD!$B:$B,$A96,Grid_BD!$V:$V))),"")</f>
        <v>1</v>
      </c>
      <c r="S96" s="295"/>
      <c r="T96" s="300"/>
      <c r="U96" s="301">
        <f t="shared" si="11"/>
        <v>0.76486465990361396</v>
      </c>
      <c r="V96" s="301" t="str">
        <f>IFERROR(_xlfn.XLOOKUP($A96,Input_Raw!$A:$A,Input_Raw!$AX:$AX),"")</f>
        <v/>
      </c>
      <c r="W96" s="302">
        <f t="shared" si="12"/>
        <v>4.0150761179691907E-2</v>
      </c>
      <c r="X96" s="294">
        <f>IFERROR(_xlfn.XLOOKUP($A96,Input_Raw!$A:$A,Input_Raw!$AA:$AA),"")</f>
        <v>53579.8</v>
      </c>
      <c r="Y96" s="294">
        <f>IFERROR(_xlfn.XLOOKUP($A96,Input_Raw!$A:$A,Input_Raw!$AS:$AS),"")</f>
        <v>53000</v>
      </c>
      <c r="Z96" s="294"/>
      <c r="AA96" s="294">
        <f>IFERROR(_xlfn.XLOOKUP($A96,Input_Raw!$A:$A,Input_Raw!$AT:$AT),"")</f>
        <v>52393.129770991771</v>
      </c>
      <c r="AB96" s="294">
        <f>IFERROR(_xlfn.XLOOKUP($A96,Input_Raw!$A:$A,Input_Raw!$AU:$AU),"")</f>
        <v>39.21</v>
      </c>
      <c r="AC96" s="303">
        <f>IFERROR(_xlfn.XLOOKUP($D96,'Modelling New'!$D:$D,'Modelling New'!P:P),"")</f>
        <v>3.8096774193548386</v>
      </c>
      <c r="AD96" s="294">
        <f>IFERROR(_xlfn.XLOOKUP($D96,'Modelling New'!$D:$D,'Modelling New'!T:T)*1000,"")</f>
        <v>171306.96170170087</v>
      </c>
      <c r="AE96" s="304">
        <f>IFERROR(_xlfn.XLOOKUP($D96,'Modelling New'!$D:$D,'Modelling New'!$O:$O),"")</f>
        <v>0.82702281611841366</v>
      </c>
      <c r="AF96" s="304">
        <f>IFERROR(_xlfn.XLOOKUP($D96,'Modelling New'!$D:$D,'Modelling New'!$W:$W),"")</f>
        <v>0.13127875616073204</v>
      </c>
      <c r="AG96" s="304">
        <f>IFERROR(_xlfn.XLOOKUP($D96,'Modelling New'!$D:$D,'Modelling New'!$AE:$AE),"")</f>
        <v>0.995</v>
      </c>
      <c r="AH96" s="304">
        <f>IFERROR(_xlfn.XLOOKUP($D96,'Modelling New'!$D:$D,'Modelling New'!$AF:$AF),"")</f>
        <v>0.995</v>
      </c>
      <c r="AI96" s="295"/>
      <c r="AJ96" s="295"/>
      <c r="AK96" s="295"/>
      <c r="AL96" s="295"/>
      <c r="AM96" s="295"/>
      <c r="AN96" s="305"/>
      <c r="AO96" s="302"/>
      <c r="AP96" s="302"/>
      <c r="AQ96" s="302"/>
      <c r="AR96" s="294">
        <f>_xlfn.XLOOKUP($D96,'Modelling New'!$D:$D,'Modelling New'!$N:$N)</f>
        <v>54.371250000000003</v>
      </c>
      <c r="AS96" s="294">
        <f t="shared" si="13"/>
        <v>123538.5606974953</v>
      </c>
    </row>
    <row r="97" spans="1:45">
      <c r="A97" s="293">
        <f t="shared" si="14"/>
        <v>45840</v>
      </c>
      <c r="B97" s="294">
        <f>YEAR(Daily_KPI[[#This Row],[Date]])+IF(MONTH(Daily_KPI[[#This Row],[Date]])&gt;=4,1,0)</f>
        <v>2026</v>
      </c>
      <c r="C97" s="295">
        <f>YEAR(Daily_KPI[[#This Row],[Date]])</f>
        <v>2025</v>
      </c>
      <c r="D97" s="296">
        <f>Daily_KPI[[#This Row],[Date]]-DAY(Daily_KPI[[#This Row],[Date]])+1</f>
        <v>45839</v>
      </c>
      <c r="E97" s="295">
        <f t="shared" si="10"/>
        <v>31</v>
      </c>
      <c r="F97" s="297">
        <f>IFERROR(_xlfn.XLOOKUP($A97,Input_Raw!$A:$A,Input_Raw!$AR:$AR),"")</f>
        <v>11.45</v>
      </c>
      <c r="G97" s="298">
        <f>IFERROR(_xlfn.XLOOKUP($A97,Input_Raw!$A:$A,Input_Raw!$R:$R),"")</f>
        <v>2.9550000000000001</v>
      </c>
      <c r="H97" s="298"/>
      <c r="I97" s="298">
        <f>IFERROR(_xlfn.XLOOKUP($A97,Input_Raw!$A:$A,Input_Raw!$Q:$Q),"")</f>
        <v>2.9289999999999998</v>
      </c>
      <c r="J97" s="298"/>
      <c r="K97" s="298">
        <f>IFERROR(_xlfn.XLOOKUP($A97,Input_Raw!$A:$A,Input_Raw!S:S),"")</f>
        <v>28.277999999999999</v>
      </c>
      <c r="L97" s="298">
        <f>IFERROR(_xlfn.XLOOKUP($A97,Input_Raw!$A:$A,Input_Raw!T:T),"")</f>
        <v>33.409999999999997</v>
      </c>
      <c r="M97" s="298">
        <f>IFERROR(_xlfn.XLOOKUP($A97,Input_Raw!$A:$A,Input_Raw!W:W),"")</f>
        <v>4.26</v>
      </c>
      <c r="N97" s="298">
        <f>IFERROR(_xlfn.XLOOKUP($A97,Input_Raw!$A:$A,Input_Raw!X:X),"")</f>
        <v>12.1</v>
      </c>
      <c r="O97" s="299">
        <f>IFERROR(1-(SUMIF(Plant_BD!$B:$B,$A97,Plant_BD!$AL:$AL)/($AA97+SUMIF(Plant_BD!$B:$B,$A97,Plant_BD!$AL:$AL))),"")</f>
        <v>0.94814107114071844</v>
      </c>
      <c r="P97" s="299"/>
      <c r="Q97" s="300"/>
      <c r="R97" s="299">
        <f>IFERROR(1-(SUMIF(Grid_BD!$B:$B,$A97,Grid_BD!$V:$V)/($AA97+SUMIF(Grid_BD!$B:$B,$A97,Grid_BD!$V:$V))),"")</f>
        <v>1</v>
      </c>
      <c r="S97" s="295"/>
      <c r="T97" s="300"/>
      <c r="U97" s="301">
        <f t="shared" si="11"/>
        <v>0.85567214524638513</v>
      </c>
      <c r="V97" s="301" t="str">
        <f>IFERROR(_xlfn.XLOOKUP($A97,Input_Raw!$A:$A,Input_Raw!$AX:$AX),"")</f>
        <v/>
      </c>
      <c r="W97" s="302">
        <f t="shared" si="12"/>
        <v>7.5308335596676712E-2</v>
      </c>
      <c r="X97" s="294">
        <f>IFERROR(_xlfn.XLOOKUP($A97,Input_Raw!$A:$A,Input_Raw!$AA:$AA),"")</f>
        <v>100110.09999999999</v>
      </c>
      <c r="Y97" s="294">
        <f>IFERROR(_xlfn.XLOOKUP($A97,Input_Raw!$A:$A,Input_Raw!$AS:$AS),"")</f>
        <v>100000</v>
      </c>
      <c r="Z97" s="294"/>
      <c r="AA97" s="294">
        <f>IFERROR(_xlfn.XLOOKUP($A97,Input_Raw!$A:$A,Input_Raw!$AT:$AT),"")</f>
        <v>98270.600203459413</v>
      </c>
      <c r="AB97" s="294">
        <f>IFERROR(_xlfn.XLOOKUP($A97,Input_Raw!$A:$A,Input_Raw!$AU:$AU),"")</f>
        <v>39.21</v>
      </c>
      <c r="AC97" s="303">
        <f>IFERROR(_xlfn.XLOOKUP($D97,'Modelling New'!$D:$D,'Modelling New'!P:P),"")</f>
        <v>3.8096774193548386</v>
      </c>
      <c r="AD97" s="294">
        <f>IFERROR(_xlfn.XLOOKUP($D97,'Modelling New'!$D:$D,'Modelling New'!T:T)*1000,"")</f>
        <v>171306.96170170087</v>
      </c>
      <c r="AE97" s="304">
        <f>IFERROR(_xlfn.XLOOKUP($D97,'Modelling New'!$D:$D,'Modelling New'!$O:$O),"")</f>
        <v>0.82702281611841366</v>
      </c>
      <c r="AF97" s="304">
        <f>IFERROR(_xlfn.XLOOKUP($D97,'Modelling New'!$D:$D,'Modelling New'!$W:$W),"")</f>
        <v>0.13127875616073204</v>
      </c>
      <c r="AG97" s="304">
        <f>IFERROR(_xlfn.XLOOKUP($D97,'Modelling New'!$D:$D,'Modelling New'!$AE:$AE),"")</f>
        <v>0.995</v>
      </c>
      <c r="AH97" s="304">
        <f>IFERROR(_xlfn.XLOOKUP($D97,'Modelling New'!$D:$D,'Modelling New'!$AF:$AF),"")</f>
        <v>0.995</v>
      </c>
      <c r="AI97" s="295"/>
      <c r="AJ97" s="295"/>
      <c r="AK97" s="295"/>
      <c r="AL97" s="295"/>
      <c r="AM97" s="295"/>
      <c r="AN97" s="305"/>
      <c r="AO97" s="302"/>
      <c r="AP97" s="302"/>
      <c r="AQ97" s="302"/>
      <c r="AR97" s="294">
        <f>_xlfn.XLOOKUP($D97,'Modelling New'!$D:$D,'Modelling New'!$N:$N)</f>
        <v>54.371250000000003</v>
      </c>
      <c r="AS97" s="294">
        <f t="shared" si="13"/>
        <v>123538.5606974953</v>
      </c>
    </row>
    <row r="98" spans="1:45">
      <c r="A98" s="293">
        <f t="shared" si="14"/>
        <v>45841</v>
      </c>
      <c r="B98" s="294">
        <f>YEAR(Daily_KPI[[#This Row],[Date]])+IF(MONTH(Daily_KPI[[#This Row],[Date]])&gt;=4,1,0)</f>
        <v>2026</v>
      </c>
      <c r="C98" s="295">
        <f>YEAR(Daily_KPI[[#This Row],[Date]])</f>
        <v>2025</v>
      </c>
      <c r="D98" s="296">
        <f>Daily_KPI[[#This Row],[Date]]-DAY(Daily_KPI[[#This Row],[Date]])+1</f>
        <v>45839</v>
      </c>
      <c r="E98" s="295">
        <f t="shared" si="10"/>
        <v>31</v>
      </c>
      <c r="F98" s="297">
        <f>IFERROR(_xlfn.XLOOKUP($A98,Input_Raw!$A:$A,Input_Raw!$AR:$AR),"")</f>
        <v>12.333333333333336</v>
      </c>
      <c r="G98" s="298">
        <f>IFERROR(_xlfn.XLOOKUP($A98,Input_Raw!$A:$A,Input_Raw!$R:$R),"")</f>
        <v>3.99</v>
      </c>
      <c r="H98" s="298"/>
      <c r="I98" s="298">
        <f>IFERROR(_xlfn.XLOOKUP($A98,Input_Raw!$A:$A,Input_Raw!$Q:$Q),"")</f>
        <v>3.92</v>
      </c>
      <c r="J98" s="298"/>
      <c r="K98" s="298">
        <f>IFERROR(_xlfn.XLOOKUP($A98,Input_Raw!$A:$A,Input_Raw!S:S),"")</f>
        <v>29.07</v>
      </c>
      <c r="L98" s="298">
        <f>IFERROR(_xlfn.XLOOKUP($A98,Input_Raw!$A:$A,Input_Raw!T:T),"")</f>
        <v>35.270000000000003</v>
      </c>
      <c r="M98" s="298">
        <f>IFERROR(_xlfn.XLOOKUP($A98,Input_Raw!$A:$A,Input_Raw!W:W),"")</f>
        <v>3.9</v>
      </c>
      <c r="N98" s="298">
        <f>IFERROR(_xlfn.XLOOKUP($A98,Input_Raw!$A:$A,Input_Raw!X:X),"")</f>
        <v>8.73</v>
      </c>
      <c r="O98" s="299">
        <f>IFERROR(1-(SUMIF(Plant_BD!$B:$B,$A98,Plant_BD!$AL:$AL)/($AA98+SUMIF(Plant_BD!$B:$B,$A98,Plant_BD!$AL:$AL))),"")</f>
        <v>0.99932007485954077</v>
      </c>
      <c r="P98" s="299"/>
      <c r="Q98" s="300"/>
      <c r="R98" s="299">
        <f>IFERROR(1-(SUMIF(Grid_BD!$B:$B,$A98,Grid_BD!$V:$V)/($AA98+SUMIF(Grid_BD!$B:$B,$A98,Grid_BD!$V:$V))),"")</f>
        <v>1</v>
      </c>
      <c r="S98" s="295"/>
      <c r="T98" s="300"/>
      <c r="U98" s="301">
        <f t="shared" si="11"/>
        <v>0.91941305056242739</v>
      </c>
      <c r="V98" s="301" t="str">
        <f>IFERROR(_xlfn.XLOOKUP($A98,Input_Raw!$A:$A,Input_Raw!$AX:$AX),"")</f>
        <v/>
      </c>
      <c r="W98" s="302">
        <f t="shared" si="12"/>
        <v>0.10829614915450637</v>
      </c>
      <c r="X98" s="294">
        <f>IFERROR(_xlfn.XLOOKUP($A98,Input_Raw!$A:$A,Input_Raw!$AA:$AA),"")</f>
        <v>143810.70000000001</v>
      </c>
      <c r="Y98" s="294">
        <f>IFERROR(_xlfn.XLOOKUP($A98,Input_Raw!$A:$A,Input_Raw!$AS:$AS),"")</f>
        <v>142000</v>
      </c>
      <c r="Z98" s="294"/>
      <c r="AA98" s="294">
        <f>IFERROR(_xlfn.XLOOKUP($A98,Input_Raw!$A:$A,Input_Raw!$AT:$AT),"")</f>
        <v>141316.72799320691</v>
      </c>
      <c r="AB98" s="294">
        <f>IFERROR(_xlfn.XLOOKUP($A98,Input_Raw!$A:$A,Input_Raw!$AU:$AU),"")</f>
        <v>39.21</v>
      </c>
      <c r="AC98" s="303">
        <f>IFERROR(_xlfn.XLOOKUP($D98,'Modelling New'!$D:$D,'Modelling New'!P:P),"")</f>
        <v>3.8096774193548386</v>
      </c>
      <c r="AD98" s="294">
        <f>IFERROR(_xlfn.XLOOKUP($D98,'Modelling New'!$D:$D,'Modelling New'!T:T)*1000,"")</f>
        <v>171306.96170170087</v>
      </c>
      <c r="AE98" s="304">
        <f>IFERROR(_xlfn.XLOOKUP($D98,'Modelling New'!$D:$D,'Modelling New'!$O:$O),"")</f>
        <v>0.82702281611841366</v>
      </c>
      <c r="AF98" s="304">
        <f>IFERROR(_xlfn.XLOOKUP($D98,'Modelling New'!$D:$D,'Modelling New'!$W:$W),"")</f>
        <v>0.13127875616073204</v>
      </c>
      <c r="AG98" s="304">
        <f>IFERROR(_xlfn.XLOOKUP($D98,'Modelling New'!$D:$D,'Modelling New'!$AE:$AE),"")</f>
        <v>0.995</v>
      </c>
      <c r="AH98" s="304">
        <f>IFERROR(_xlfn.XLOOKUP($D98,'Modelling New'!$D:$D,'Modelling New'!$AF:$AF),"")</f>
        <v>0.995</v>
      </c>
      <c r="AI98" s="295"/>
      <c r="AJ98" s="295"/>
      <c r="AK98" s="295"/>
      <c r="AL98" s="295"/>
      <c r="AM98" s="295"/>
      <c r="AN98" s="305"/>
      <c r="AO98" s="302"/>
      <c r="AP98" s="302"/>
      <c r="AQ98" s="302"/>
      <c r="AR98" s="294">
        <f>_xlfn.XLOOKUP($D98,'Modelling New'!$D:$D,'Modelling New'!$N:$N)</f>
        <v>54.371250000000003</v>
      </c>
      <c r="AS98" s="294">
        <f t="shared" si="13"/>
        <v>123538.5606974953</v>
      </c>
    </row>
    <row r="99" spans="1:45">
      <c r="A99" s="293">
        <f t="shared" si="14"/>
        <v>45842</v>
      </c>
      <c r="B99" s="294">
        <f>YEAR(Daily_KPI[[#This Row],[Date]])+IF(MONTH(Daily_KPI[[#This Row],[Date]])&gt;=4,1,0)</f>
        <v>2026</v>
      </c>
      <c r="C99" s="295">
        <f>YEAR(Daily_KPI[[#This Row],[Date]])</f>
        <v>2025</v>
      </c>
      <c r="D99" s="296">
        <f>Daily_KPI[[#This Row],[Date]]-DAY(Daily_KPI[[#This Row],[Date]])+1</f>
        <v>45839</v>
      </c>
      <c r="E99" s="295">
        <f t="shared" si="10"/>
        <v>31</v>
      </c>
      <c r="F99" s="297">
        <f>IFERROR(_xlfn.XLOOKUP($A99,Input_Raw!$A:$A,Input_Raw!$AR:$AR),"")</f>
        <v>11.616666666666667</v>
      </c>
      <c r="G99" s="298">
        <f>IFERROR(_xlfn.XLOOKUP($A99,Input_Raw!$A:$A,Input_Raw!$R:$R),"")</f>
        <v>2.74</v>
      </c>
      <c r="H99" s="298"/>
      <c r="I99" s="298">
        <f>IFERROR(_xlfn.XLOOKUP($A99,Input_Raw!$A:$A,Input_Raw!$Q:$Q),"")</f>
        <v>2.71</v>
      </c>
      <c r="J99" s="298"/>
      <c r="K99" s="298">
        <f>IFERROR(_xlfn.XLOOKUP($A99,Input_Raw!$A:$A,Input_Raw!S:S),"")</f>
        <v>28.22</v>
      </c>
      <c r="L99" s="298">
        <f>IFERROR(_xlfn.XLOOKUP($A99,Input_Raw!$A:$A,Input_Raw!T:T),"")</f>
        <v>32.409999999999997</v>
      </c>
      <c r="M99" s="298">
        <f>IFERROR(_xlfn.XLOOKUP($A99,Input_Raw!$A:$A,Input_Raw!W:W),"")</f>
        <v>3.62</v>
      </c>
      <c r="N99" s="298">
        <f>IFERROR(_xlfn.XLOOKUP($A99,Input_Raw!$A:$A,Input_Raw!X:X),"")</f>
        <v>11.91</v>
      </c>
      <c r="O99" s="299">
        <f>IFERROR(1-(SUMIF(Plant_BD!$B:$B,$A99,Plant_BD!$AL:$AL)/($AA99+SUMIF(Plant_BD!$B:$B,$A99,Plant_BD!$AL:$AL))),"")</f>
        <v>1</v>
      </c>
      <c r="P99" s="299"/>
      <c r="Q99" s="300"/>
      <c r="R99" s="299">
        <f>IFERROR(1-(SUMIF(Grid_BD!$B:$B,$A99,Grid_BD!$V:$V)/($AA99+SUMIF(Grid_BD!$B:$B,$A99,Grid_BD!$V:$V))),"")</f>
        <v>1</v>
      </c>
      <c r="S99" s="295"/>
      <c r="T99" s="300"/>
      <c r="U99" s="301">
        <f t="shared" si="11"/>
        <v>0.9244308286905949</v>
      </c>
      <c r="V99" s="301" t="str">
        <f>IFERROR(_xlfn.XLOOKUP($A99,Input_Raw!$A:$A,Input_Raw!$AX:$AX),"")</f>
        <v/>
      </c>
      <c r="W99" s="302">
        <f t="shared" si="12"/>
        <v>7.5276599818314513E-2</v>
      </c>
      <c r="X99" s="294">
        <f>IFERROR(_xlfn.XLOOKUP($A99,Input_Raw!$A:$A,Input_Raw!$AA:$AA),"")</f>
        <v>100157.1</v>
      </c>
      <c r="Y99" s="294">
        <f>IFERROR(_xlfn.XLOOKUP($A99,Input_Raw!$A:$A,Input_Raw!$AS:$AS),"")</f>
        <v>100000</v>
      </c>
      <c r="Z99" s="294"/>
      <c r="AA99" s="294">
        <f>IFERROR(_xlfn.XLOOKUP($A99,Input_Raw!$A:$A,Input_Raw!$AT:$AT),"")</f>
        <v>98229.187868916793</v>
      </c>
      <c r="AB99" s="294">
        <f>IFERROR(_xlfn.XLOOKUP($A99,Input_Raw!$A:$A,Input_Raw!$AU:$AU),"")</f>
        <v>39.21</v>
      </c>
      <c r="AC99" s="303">
        <f>IFERROR(_xlfn.XLOOKUP($D99,'Modelling New'!$D:$D,'Modelling New'!P:P),"")</f>
        <v>3.8096774193548386</v>
      </c>
      <c r="AD99" s="294">
        <f>IFERROR(_xlfn.XLOOKUP($D99,'Modelling New'!$D:$D,'Modelling New'!T:T)*1000,"")</f>
        <v>171306.96170170087</v>
      </c>
      <c r="AE99" s="304">
        <f>IFERROR(_xlfn.XLOOKUP($D99,'Modelling New'!$D:$D,'Modelling New'!$O:$O),"")</f>
        <v>0.82702281611841366</v>
      </c>
      <c r="AF99" s="304">
        <f>IFERROR(_xlfn.XLOOKUP($D99,'Modelling New'!$D:$D,'Modelling New'!$W:$W),"")</f>
        <v>0.13127875616073204</v>
      </c>
      <c r="AG99" s="304">
        <f>IFERROR(_xlfn.XLOOKUP($D99,'Modelling New'!$D:$D,'Modelling New'!$AE:$AE),"")</f>
        <v>0.995</v>
      </c>
      <c r="AH99" s="304">
        <f>IFERROR(_xlfn.XLOOKUP($D99,'Modelling New'!$D:$D,'Modelling New'!$AF:$AF),"")</f>
        <v>0.995</v>
      </c>
      <c r="AI99" s="295"/>
      <c r="AJ99" s="295"/>
      <c r="AK99" s="295"/>
      <c r="AL99" s="295"/>
      <c r="AM99" s="295"/>
      <c r="AN99" s="305"/>
      <c r="AO99" s="302"/>
      <c r="AP99" s="302"/>
      <c r="AQ99" s="302"/>
      <c r="AR99" s="294">
        <f>_xlfn.XLOOKUP($D99,'Modelling New'!$D:$D,'Modelling New'!$N:$N)</f>
        <v>54.371250000000003</v>
      </c>
      <c r="AS99" s="294">
        <f t="shared" si="13"/>
        <v>123538.5606974953</v>
      </c>
    </row>
    <row r="100" spans="1:45">
      <c r="A100" s="293">
        <f t="shared" si="14"/>
        <v>45843</v>
      </c>
      <c r="B100" s="294">
        <f>YEAR(Daily_KPI[[#This Row],[Date]])+IF(MONTH(Daily_KPI[[#This Row],[Date]])&gt;=4,1,0)</f>
        <v>2026</v>
      </c>
      <c r="C100" s="295">
        <f>YEAR(Daily_KPI[[#This Row],[Date]])</f>
        <v>2025</v>
      </c>
      <c r="D100" s="296">
        <f>Daily_KPI[[#This Row],[Date]]-DAY(Daily_KPI[[#This Row],[Date]])+1</f>
        <v>45839</v>
      </c>
      <c r="E100" s="295">
        <f t="shared" si="10"/>
        <v>31</v>
      </c>
      <c r="F100" s="297">
        <f>IFERROR(_xlfn.XLOOKUP($A100,Input_Raw!$A:$A,Input_Raw!$AR:$AR),"")</f>
        <v>11.533333333333333</v>
      </c>
      <c r="G100" s="298">
        <f>IFERROR(_xlfn.XLOOKUP($A100,Input_Raw!$A:$A,Input_Raw!$R:$R),"")</f>
        <v>3</v>
      </c>
      <c r="H100" s="298"/>
      <c r="I100" s="298">
        <f>IFERROR(_xlfn.XLOOKUP($A100,Input_Raw!$A:$A,Input_Raw!$Q:$Q),"")</f>
        <v>2.95</v>
      </c>
      <c r="J100" s="298"/>
      <c r="K100" s="298">
        <f>IFERROR(_xlfn.XLOOKUP($A100,Input_Raw!$A:$A,Input_Raw!S:S),"")</f>
        <v>28.56</v>
      </c>
      <c r="L100" s="298">
        <f>IFERROR(_xlfn.XLOOKUP($A100,Input_Raw!$A:$A,Input_Raw!T:T),"")</f>
        <v>33.659999999999997</v>
      </c>
      <c r="M100" s="298">
        <f>IFERROR(_xlfn.XLOOKUP($A100,Input_Raw!$A:$A,Input_Raw!W:W),"")</f>
        <v>3.87</v>
      </c>
      <c r="N100" s="298">
        <f>IFERROR(_xlfn.XLOOKUP($A100,Input_Raw!$A:$A,Input_Raw!X:X),"")</f>
        <v>9.07</v>
      </c>
      <c r="O100" s="299">
        <f>IFERROR(1-(SUMIF(Plant_BD!$B:$B,$A100,Plant_BD!$AL:$AL)/($AA100+SUMIF(Plant_BD!$B:$B,$A100,Plant_BD!$AL:$AL))),"")</f>
        <v>1</v>
      </c>
      <c r="P100" s="299"/>
      <c r="Q100" s="300"/>
      <c r="R100" s="299">
        <f>IFERROR(1-(SUMIF(Grid_BD!$B:$B,$A100,Grid_BD!$V:$V)/($AA100+SUMIF(Grid_BD!$B:$B,$A100,Grid_BD!$V:$V))),"")</f>
        <v>1</v>
      </c>
      <c r="S100" s="295"/>
      <c r="T100" s="300"/>
      <c r="U100" s="301">
        <f t="shared" si="11"/>
        <v>0.91746629993674467</v>
      </c>
      <c r="V100" s="301" t="str">
        <f>IFERROR(_xlfn.XLOOKUP($A100,Input_Raw!$A:$A,Input_Raw!$AX:$AX),"")</f>
        <v/>
      </c>
      <c r="W100" s="302">
        <f t="shared" si="12"/>
        <v>8.1325814179164319E-2</v>
      </c>
      <c r="X100" s="294">
        <f>IFERROR(_xlfn.XLOOKUP($A100,Input_Raw!$A:$A,Input_Raw!$AA:$AA),"")</f>
        <v>107921.5</v>
      </c>
      <c r="Y100" s="294">
        <f>IFERROR(_xlfn.XLOOKUP($A100,Input_Raw!$A:$A,Input_Raw!$AS:$AS),"")</f>
        <v>107000</v>
      </c>
      <c r="Z100" s="294"/>
      <c r="AA100" s="294">
        <f>IFERROR(_xlfn.XLOOKUP($A100,Input_Raw!$A:$A,Input_Raw!$AT:$AT),"")</f>
        <v>106122.8681805333</v>
      </c>
      <c r="AB100" s="294">
        <f>IFERROR(_xlfn.XLOOKUP($A100,Input_Raw!$A:$A,Input_Raw!$AU:$AU),"")</f>
        <v>39.21</v>
      </c>
      <c r="AC100" s="303">
        <f>IFERROR(_xlfn.XLOOKUP($D100,'Modelling New'!$D:$D,'Modelling New'!P:P),"")</f>
        <v>3.8096774193548386</v>
      </c>
      <c r="AD100" s="294">
        <f>IFERROR(_xlfn.XLOOKUP($D100,'Modelling New'!$D:$D,'Modelling New'!T:T)*1000,"")</f>
        <v>171306.96170170087</v>
      </c>
      <c r="AE100" s="304">
        <f>IFERROR(_xlfn.XLOOKUP($D100,'Modelling New'!$D:$D,'Modelling New'!$O:$O),"")</f>
        <v>0.82702281611841366</v>
      </c>
      <c r="AF100" s="304">
        <f>IFERROR(_xlfn.XLOOKUP($D100,'Modelling New'!$D:$D,'Modelling New'!$W:$W),"")</f>
        <v>0.13127875616073204</v>
      </c>
      <c r="AG100" s="304">
        <f>IFERROR(_xlfn.XLOOKUP($D100,'Modelling New'!$D:$D,'Modelling New'!$AE:$AE),"")</f>
        <v>0.995</v>
      </c>
      <c r="AH100" s="304">
        <f>IFERROR(_xlfn.XLOOKUP($D100,'Modelling New'!$D:$D,'Modelling New'!$AF:$AF),"")</f>
        <v>0.995</v>
      </c>
      <c r="AI100" s="295"/>
      <c r="AJ100" s="295"/>
      <c r="AK100" s="295"/>
      <c r="AL100" s="295"/>
      <c r="AM100" s="295"/>
      <c r="AN100" s="305"/>
      <c r="AO100" s="302"/>
      <c r="AP100" s="302"/>
      <c r="AQ100" s="302"/>
      <c r="AR100" s="294">
        <f>_xlfn.XLOOKUP($D100,'Modelling New'!$D:$D,'Modelling New'!$N:$N)</f>
        <v>54.371250000000003</v>
      </c>
      <c r="AS100" s="294">
        <f t="shared" si="13"/>
        <v>123538.5606974953</v>
      </c>
    </row>
    <row r="101" spans="1:45">
      <c r="A101" s="293">
        <f t="shared" si="14"/>
        <v>45844</v>
      </c>
      <c r="B101" s="294">
        <f>YEAR(Daily_KPI[[#This Row],[Date]])+IF(MONTH(Daily_KPI[[#This Row],[Date]])&gt;=4,1,0)</f>
        <v>2026</v>
      </c>
      <c r="C101" s="295">
        <f>YEAR(Daily_KPI[[#This Row],[Date]])</f>
        <v>2025</v>
      </c>
      <c r="D101" s="296">
        <f>Daily_KPI[[#This Row],[Date]]-DAY(Daily_KPI[[#This Row],[Date]])+1</f>
        <v>45839</v>
      </c>
      <c r="E101" s="295">
        <f t="shared" si="10"/>
        <v>31</v>
      </c>
      <c r="F101" s="297">
        <f>IFERROR(_xlfn.XLOOKUP($A101,Input_Raw!$A:$A,Input_Raw!$AR:$AR),"")</f>
        <v>11.416666666666668</v>
      </c>
      <c r="G101" s="298">
        <f>IFERROR(_xlfn.XLOOKUP($A101,Input_Raw!$A:$A,Input_Raw!$R:$R),"")</f>
        <v>2.09</v>
      </c>
      <c r="H101" s="298"/>
      <c r="I101" s="298">
        <f>IFERROR(_xlfn.XLOOKUP($A101,Input_Raw!$A:$A,Input_Raw!$Q:$Q),"")</f>
        <v>2.06</v>
      </c>
      <c r="J101" s="298"/>
      <c r="K101" s="298">
        <f>IFERROR(_xlfn.XLOOKUP($A101,Input_Raw!$A:$A,Input_Raw!S:S),"")</f>
        <v>26.86</v>
      </c>
      <c r="L101" s="298">
        <f>IFERROR(_xlfn.XLOOKUP($A101,Input_Raw!$A:$A,Input_Raw!T:T),"")</f>
        <v>30</v>
      </c>
      <c r="M101" s="298">
        <f>IFERROR(_xlfn.XLOOKUP($A101,Input_Raw!$A:$A,Input_Raw!W:W),"")</f>
        <v>3.47</v>
      </c>
      <c r="N101" s="298">
        <f>IFERROR(_xlfn.XLOOKUP($A101,Input_Raw!$A:$A,Input_Raw!X:X),"")</f>
        <v>7.6</v>
      </c>
      <c r="O101" s="299">
        <f>IFERROR(1-(SUMIF(Plant_BD!$B:$B,$A101,Plant_BD!$AL:$AL)/($AA101+SUMIF(Plant_BD!$B:$B,$A101,Plant_BD!$AL:$AL))),"")</f>
        <v>0.8915460114134901</v>
      </c>
      <c r="P101" s="299"/>
      <c r="Q101" s="300"/>
      <c r="R101" s="299">
        <f>IFERROR(1-(SUMIF(Grid_BD!$B:$B,$A101,Grid_BD!$V:$V)/($AA101+SUMIF(Grid_BD!$B:$B,$A101,Grid_BD!$V:$V))),"")</f>
        <v>1</v>
      </c>
      <c r="S101" s="295"/>
      <c r="T101" s="300"/>
      <c r="U101" s="301">
        <f t="shared" si="11"/>
        <v>0.92154749520478441</v>
      </c>
      <c r="V101" s="301" t="str">
        <f>IFERROR(_xlfn.XLOOKUP($A101,Input_Raw!$A:$A,Input_Raw!$AX:$AX),"")</f>
        <v/>
      </c>
      <c r="W101" s="302">
        <f t="shared" si="12"/>
        <v>5.7042851392952752E-2</v>
      </c>
      <c r="X101" s="294">
        <f>IFERROR(_xlfn.XLOOKUP($A101,Input_Raw!$A:$A,Input_Raw!$AA:$AA),"")</f>
        <v>76070.5</v>
      </c>
      <c r="Y101" s="294">
        <f>IFERROR(_xlfn.XLOOKUP($A101,Input_Raw!$A:$A,Input_Raw!$AS:$AS),"")</f>
        <v>75000</v>
      </c>
      <c r="Z101" s="294"/>
      <c r="AA101" s="294">
        <f>IFERROR(_xlfn.XLOOKUP($A101,Input_Raw!$A:$A,Input_Raw!$AT:$AT),"")</f>
        <v>74435.787211177972</v>
      </c>
      <c r="AB101" s="294">
        <f>IFERROR(_xlfn.XLOOKUP($A101,Input_Raw!$A:$A,Input_Raw!$AU:$AU),"")</f>
        <v>39.21</v>
      </c>
      <c r="AC101" s="303">
        <f>IFERROR(_xlfn.XLOOKUP($D101,'Modelling New'!$D:$D,'Modelling New'!P:P),"")</f>
        <v>3.8096774193548386</v>
      </c>
      <c r="AD101" s="294">
        <f>IFERROR(_xlfn.XLOOKUP($D101,'Modelling New'!$D:$D,'Modelling New'!T:T)*1000,"")</f>
        <v>171306.96170170087</v>
      </c>
      <c r="AE101" s="304">
        <f>IFERROR(_xlfn.XLOOKUP($D101,'Modelling New'!$D:$D,'Modelling New'!$O:$O),"")</f>
        <v>0.82702281611841366</v>
      </c>
      <c r="AF101" s="304">
        <f>IFERROR(_xlfn.XLOOKUP($D101,'Modelling New'!$D:$D,'Modelling New'!$W:$W),"")</f>
        <v>0.13127875616073204</v>
      </c>
      <c r="AG101" s="304">
        <f>IFERROR(_xlfn.XLOOKUP($D101,'Modelling New'!$D:$D,'Modelling New'!$AE:$AE),"")</f>
        <v>0.995</v>
      </c>
      <c r="AH101" s="304">
        <f>IFERROR(_xlfn.XLOOKUP($D101,'Modelling New'!$D:$D,'Modelling New'!$AF:$AF),"")</f>
        <v>0.995</v>
      </c>
      <c r="AI101" s="295"/>
      <c r="AJ101" s="295"/>
      <c r="AK101" s="295"/>
      <c r="AL101" s="295"/>
      <c r="AM101" s="295"/>
      <c r="AN101" s="305"/>
      <c r="AO101" s="302"/>
      <c r="AP101" s="302"/>
      <c r="AQ101" s="302"/>
      <c r="AR101" s="294">
        <f>_xlfn.XLOOKUP($D101,'Modelling New'!$D:$D,'Modelling New'!$N:$N)</f>
        <v>54.371250000000003</v>
      </c>
      <c r="AS101" s="294">
        <f t="shared" si="13"/>
        <v>123538.5606974953</v>
      </c>
    </row>
    <row r="102" spans="1:45">
      <c r="A102" s="293">
        <f t="shared" si="14"/>
        <v>45845</v>
      </c>
      <c r="B102" s="294">
        <f>YEAR(Daily_KPI[[#This Row],[Date]])+IF(MONTH(Daily_KPI[[#This Row],[Date]])&gt;=4,1,0)</f>
        <v>2026</v>
      </c>
      <c r="C102" s="295">
        <f>YEAR(Daily_KPI[[#This Row],[Date]])</f>
        <v>2025</v>
      </c>
      <c r="D102" s="296">
        <f>Daily_KPI[[#This Row],[Date]]-DAY(Daily_KPI[[#This Row],[Date]])+1</f>
        <v>45839</v>
      </c>
      <c r="E102" s="295">
        <f t="shared" si="10"/>
        <v>31</v>
      </c>
      <c r="F102" s="297">
        <f>IFERROR(_xlfn.XLOOKUP($A102,Input_Raw!$A:$A,Input_Raw!$AR:$AR),"")</f>
        <v>11.950000000000001</v>
      </c>
      <c r="G102" s="298">
        <f>IFERROR(_xlfn.XLOOKUP($A102,Input_Raw!$A:$A,Input_Raw!$R:$R),"")</f>
        <v>1.39</v>
      </c>
      <c r="H102" s="298"/>
      <c r="I102" s="298">
        <f>IFERROR(_xlfn.XLOOKUP($A102,Input_Raw!$A:$A,Input_Raw!$Q:$Q),"")</f>
        <v>1.39</v>
      </c>
      <c r="J102" s="298"/>
      <c r="K102" s="298">
        <f>IFERROR(_xlfn.XLOOKUP($A102,Input_Raw!$A:$A,Input_Raw!S:S),"")</f>
        <v>25.01</v>
      </c>
      <c r="L102" s="298">
        <f>IFERROR(_xlfn.XLOOKUP($A102,Input_Raw!$A:$A,Input_Raw!T:T),"")</f>
        <v>25.15</v>
      </c>
      <c r="M102" s="298">
        <f>IFERROR(_xlfn.XLOOKUP($A102,Input_Raw!$A:$A,Input_Raw!W:W),"")</f>
        <v>3.9</v>
      </c>
      <c r="N102" s="298">
        <f>IFERROR(_xlfn.XLOOKUP($A102,Input_Raw!$A:$A,Input_Raw!X:X),"")</f>
        <v>8.42</v>
      </c>
      <c r="O102" s="299">
        <f>IFERROR(1-(SUMIF(Plant_BD!$B:$B,$A102,Plant_BD!$AL:$AL)/($AA102+SUMIF(Plant_BD!$B:$B,$A102,Plant_BD!$AL:$AL))),"")</f>
        <v>1</v>
      </c>
      <c r="P102" s="299"/>
      <c r="Q102" s="300"/>
      <c r="R102" s="299">
        <f>IFERROR(1-(SUMIF(Grid_BD!$B:$B,$A102,Grid_BD!$V:$V)/($AA102+SUMIF(Grid_BD!$B:$B,$A102,Grid_BD!$V:$V))),"")</f>
        <v>1</v>
      </c>
      <c r="S102" s="295"/>
      <c r="T102" s="300"/>
      <c r="U102" s="301">
        <f t="shared" si="11"/>
        <v>1.0121229211884484</v>
      </c>
      <c r="V102" s="301" t="str">
        <f>IFERROR(_xlfn.XLOOKUP($A102,Input_Raw!$A:$A,Input_Raw!$AX:$AX),"")</f>
        <v/>
      </c>
      <c r="W102" s="302">
        <f t="shared" si="12"/>
        <v>4.2273123999602036E-2</v>
      </c>
      <c r="X102" s="294">
        <f>IFERROR(_xlfn.XLOOKUP($A102,Input_Raw!$A:$A,Input_Raw!$AA:$AA),"")</f>
        <v>56879.6</v>
      </c>
      <c r="Y102" s="294">
        <f>IFERROR(_xlfn.XLOOKUP($A102,Input_Raw!$A:$A,Input_Raw!$AS:$AS),"")</f>
        <v>57000</v>
      </c>
      <c r="Z102" s="294"/>
      <c r="AA102" s="294">
        <f>IFERROR(_xlfn.XLOOKUP($A102,Input_Raw!$A:$A,Input_Raw!$AT:$AT),"")</f>
        <v>55162.622238320691</v>
      </c>
      <c r="AB102" s="294">
        <f>IFERROR(_xlfn.XLOOKUP($A102,Input_Raw!$A:$A,Input_Raw!$AU:$AU),"")</f>
        <v>39.21</v>
      </c>
      <c r="AC102" s="303">
        <f>IFERROR(_xlfn.XLOOKUP($D102,'Modelling New'!$D:$D,'Modelling New'!P:P),"")</f>
        <v>3.8096774193548386</v>
      </c>
      <c r="AD102" s="294">
        <f>IFERROR(_xlfn.XLOOKUP($D102,'Modelling New'!$D:$D,'Modelling New'!T:T)*1000,"")</f>
        <v>171306.96170170087</v>
      </c>
      <c r="AE102" s="304">
        <f>IFERROR(_xlfn.XLOOKUP($D102,'Modelling New'!$D:$D,'Modelling New'!$O:$O),"")</f>
        <v>0.82702281611841366</v>
      </c>
      <c r="AF102" s="304">
        <f>IFERROR(_xlfn.XLOOKUP($D102,'Modelling New'!$D:$D,'Modelling New'!$W:$W),"")</f>
        <v>0.13127875616073204</v>
      </c>
      <c r="AG102" s="304">
        <f>IFERROR(_xlfn.XLOOKUP($D102,'Modelling New'!$D:$D,'Modelling New'!$AE:$AE),"")</f>
        <v>0.995</v>
      </c>
      <c r="AH102" s="304">
        <f>IFERROR(_xlfn.XLOOKUP($D102,'Modelling New'!$D:$D,'Modelling New'!$AF:$AF),"")</f>
        <v>0.995</v>
      </c>
      <c r="AI102" s="295"/>
      <c r="AJ102" s="295"/>
      <c r="AK102" s="295"/>
      <c r="AL102" s="295"/>
      <c r="AM102" s="295"/>
      <c r="AN102" s="305"/>
      <c r="AO102" s="302"/>
      <c r="AP102" s="302"/>
      <c r="AQ102" s="302"/>
      <c r="AR102" s="294">
        <f>_xlfn.XLOOKUP($D102,'Modelling New'!$D:$D,'Modelling New'!$N:$N)</f>
        <v>54.371250000000003</v>
      </c>
      <c r="AS102" s="294">
        <f t="shared" si="13"/>
        <v>123538.5606974953</v>
      </c>
    </row>
    <row r="103" spans="1:45">
      <c r="A103" s="293">
        <f t="shared" si="14"/>
        <v>45846</v>
      </c>
      <c r="B103" s="294">
        <f>YEAR(Daily_KPI[[#This Row],[Date]])+IF(MONTH(Daily_KPI[[#This Row],[Date]])&gt;=4,1,0)</f>
        <v>2026</v>
      </c>
      <c r="C103" s="295">
        <f>YEAR(Daily_KPI[[#This Row],[Date]])</f>
        <v>2025</v>
      </c>
      <c r="D103" s="296">
        <f>Daily_KPI[[#This Row],[Date]]-DAY(Daily_KPI[[#This Row],[Date]])+1</f>
        <v>45839</v>
      </c>
      <c r="E103" s="295">
        <f t="shared" si="10"/>
        <v>31</v>
      </c>
      <c r="F103" s="297">
        <f>IFERROR(_xlfn.XLOOKUP($A103,Input_Raw!$A:$A,Input_Raw!$AR:$AR),"")</f>
        <v>11.65</v>
      </c>
      <c r="G103" s="298">
        <f>IFERROR(_xlfn.XLOOKUP($A103,Input_Raw!$A:$A,Input_Raw!$R:$R),"")</f>
        <v>1.7</v>
      </c>
      <c r="H103" s="298"/>
      <c r="I103" s="298">
        <f>IFERROR(_xlfn.XLOOKUP($A103,Input_Raw!$A:$A,Input_Raw!$Q:$Q),"")</f>
        <v>1.72</v>
      </c>
      <c r="J103" s="298"/>
      <c r="K103" s="298">
        <f>IFERROR(_xlfn.XLOOKUP($A103,Input_Raw!$A:$A,Input_Raw!S:S),"")</f>
        <v>25.64</v>
      </c>
      <c r="L103" s="298">
        <f>IFERROR(_xlfn.XLOOKUP($A103,Input_Raw!$A:$A,Input_Raw!T:T),"")</f>
        <v>26.103999999999999</v>
      </c>
      <c r="M103" s="298">
        <f>IFERROR(_xlfn.XLOOKUP($A103,Input_Raw!$A:$A,Input_Raw!W:W),"")</f>
        <v>3.26</v>
      </c>
      <c r="N103" s="298">
        <f>IFERROR(_xlfn.XLOOKUP($A103,Input_Raw!$A:$A,Input_Raw!X:X),"")</f>
        <v>6.65</v>
      </c>
      <c r="O103" s="299">
        <f>IFERROR(1-(SUMIF(Plant_BD!$B:$B,$A103,Plant_BD!$AL:$AL)/($AA103+SUMIF(Plant_BD!$B:$B,$A103,Plant_BD!$AL:$AL))),"")</f>
        <v>0.99934371361772412</v>
      </c>
      <c r="P103" s="299"/>
      <c r="Q103" s="300"/>
      <c r="R103" s="299">
        <f>IFERROR(1-(SUMIF(Grid_BD!$B:$B,$A103,Grid_BD!$V:$V)/($AA103+SUMIF(Grid_BD!$B:$B,$A103,Grid_BD!$V:$V))),"")</f>
        <v>1</v>
      </c>
      <c r="S103" s="295"/>
      <c r="T103" s="300"/>
      <c r="U103" s="301">
        <f t="shared" si="11"/>
        <v>0.95306903499619033</v>
      </c>
      <c r="V103" s="301" t="str">
        <f>IFERROR(_xlfn.XLOOKUP($A103,Input_Raw!$A:$A,Input_Raw!$AX:$AX),"")</f>
        <v/>
      </c>
      <c r="W103" s="302">
        <f t="shared" si="12"/>
        <v>4.9257128386620587E-2</v>
      </c>
      <c r="X103" s="294">
        <f>IFERROR(_xlfn.XLOOKUP($A103,Input_Raw!$A:$A,Input_Raw!$AA:$AA),"")</f>
        <v>66352.100000000006</v>
      </c>
      <c r="Y103" s="294">
        <f>IFERROR(_xlfn.XLOOKUP($A103,Input_Raw!$A:$A,Input_Raw!$AS:$AS),"")</f>
        <v>66000</v>
      </c>
      <c r="Z103" s="294"/>
      <c r="AA103" s="294">
        <f>IFERROR(_xlfn.XLOOKUP($A103,Input_Raw!$A:$A,Input_Raw!$AT:$AT),"")</f>
        <v>64276.119402985074</v>
      </c>
      <c r="AB103" s="294">
        <f>IFERROR(_xlfn.XLOOKUP($A103,Input_Raw!$A:$A,Input_Raw!$AU:$AU),"")</f>
        <v>39.21</v>
      </c>
      <c r="AC103" s="303">
        <f>IFERROR(_xlfn.XLOOKUP($D103,'Modelling New'!$D:$D,'Modelling New'!P:P),"")</f>
        <v>3.8096774193548386</v>
      </c>
      <c r="AD103" s="294">
        <f>IFERROR(_xlfn.XLOOKUP($D103,'Modelling New'!$D:$D,'Modelling New'!T:T)*1000,"")</f>
        <v>171306.96170170087</v>
      </c>
      <c r="AE103" s="304">
        <f>IFERROR(_xlfn.XLOOKUP($D103,'Modelling New'!$D:$D,'Modelling New'!$O:$O),"")</f>
        <v>0.82702281611841366</v>
      </c>
      <c r="AF103" s="304">
        <f>IFERROR(_xlfn.XLOOKUP($D103,'Modelling New'!$D:$D,'Modelling New'!$W:$W),"")</f>
        <v>0.13127875616073204</v>
      </c>
      <c r="AG103" s="304">
        <f>IFERROR(_xlfn.XLOOKUP($D103,'Modelling New'!$D:$D,'Modelling New'!$AE:$AE),"")</f>
        <v>0.995</v>
      </c>
      <c r="AH103" s="304">
        <f>IFERROR(_xlfn.XLOOKUP($D103,'Modelling New'!$D:$D,'Modelling New'!$AF:$AF),"")</f>
        <v>0.995</v>
      </c>
      <c r="AI103" s="295"/>
      <c r="AJ103" s="295"/>
      <c r="AK103" s="295"/>
      <c r="AL103" s="295"/>
      <c r="AM103" s="295"/>
      <c r="AN103" s="305"/>
      <c r="AO103" s="302"/>
      <c r="AP103" s="302"/>
      <c r="AQ103" s="302"/>
      <c r="AR103" s="294">
        <f>_xlfn.XLOOKUP($D103,'Modelling New'!$D:$D,'Modelling New'!$N:$N)</f>
        <v>54.371250000000003</v>
      </c>
      <c r="AS103" s="294">
        <f t="shared" si="13"/>
        <v>123538.5606974953</v>
      </c>
    </row>
    <row r="104" spans="1:45">
      <c r="A104" s="293">
        <f t="shared" si="14"/>
        <v>45847</v>
      </c>
      <c r="B104" s="294">
        <f>YEAR(Daily_KPI[[#This Row],[Date]])+IF(MONTH(Daily_KPI[[#This Row],[Date]])&gt;=4,1,0)</f>
        <v>2026</v>
      </c>
      <c r="C104" s="295">
        <f>YEAR(Daily_KPI[[#This Row],[Date]])</f>
        <v>2025</v>
      </c>
      <c r="D104" s="296">
        <f>Daily_KPI[[#This Row],[Date]]-DAY(Daily_KPI[[#This Row],[Date]])+1</f>
        <v>45839</v>
      </c>
      <c r="E104" s="295">
        <f t="shared" si="10"/>
        <v>31</v>
      </c>
      <c r="F104" s="297">
        <f>IFERROR(_xlfn.XLOOKUP($A104,Input_Raw!$A:$A,Input_Raw!$AR:$AR),"")</f>
        <v>11.983333333333334</v>
      </c>
      <c r="G104" s="298">
        <f>IFERROR(_xlfn.XLOOKUP($A104,Input_Raw!$A:$A,Input_Raw!$R:$R),"")</f>
        <v>1.4450000000000001</v>
      </c>
      <c r="H104" s="298"/>
      <c r="I104" s="298">
        <f>IFERROR(_xlfn.XLOOKUP($A104,Input_Raw!$A:$A,Input_Raw!$Q:$Q),"")</f>
        <v>1.45</v>
      </c>
      <c r="J104" s="298"/>
      <c r="K104" s="298">
        <f>IFERROR(_xlfn.XLOOKUP($A104,Input_Raw!$A:$A,Input_Raw!S:S),"")</f>
        <v>25.149000000000001</v>
      </c>
      <c r="L104" s="298">
        <f>IFERROR(_xlfn.XLOOKUP($A104,Input_Raw!$A:$A,Input_Raw!T:T),"")</f>
        <v>26.08</v>
      </c>
      <c r="M104" s="298">
        <f>IFERROR(_xlfn.XLOOKUP($A104,Input_Raw!$A:$A,Input_Raw!W:W),"")</f>
        <v>2.99</v>
      </c>
      <c r="N104" s="298">
        <f>IFERROR(_xlfn.XLOOKUP($A104,Input_Raw!$A:$A,Input_Raw!X:X),"")</f>
        <v>5.35</v>
      </c>
      <c r="O104" s="299">
        <f>IFERROR(1-(SUMIF(Plant_BD!$B:$B,$A104,Plant_BD!$AL:$AL)/($AA104+SUMIF(Plant_BD!$B:$B,$A104,Plant_BD!$AL:$AL))),"")</f>
        <v>1</v>
      </c>
      <c r="P104" s="299"/>
      <c r="Q104" s="300"/>
      <c r="R104" s="299">
        <f>IFERROR(1-(SUMIF(Grid_BD!$B:$B,$A104,Grid_BD!$V:$V)/($AA104+SUMIF(Grid_BD!$B:$B,$A104,Grid_BD!$V:$V))),"")</f>
        <v>1</v>
      </c>
      <c r="S104" s="295"/>
      <c r="T104" s="300"/>
      <c r="U104" s="301">
        <f t="shared" si="11"/>
        <v>0.96082973293031515</v>
      </c>
      <c r="V104" s="301" t="str">
        <f>IFERROR(_xlfn.XLOOKUP($A104,Input_Raw!$A:$A,Input_Raw!$AX:$AX),"")</f>
        <v/>
      </c>
      <c r="W104" s="302">
        <f t="shared" si="12"/>
        <v>4.1863035803914914E-2</v>
      </c>
      <c r="X104" s="294">
        <f>IFERROR(_xlfn.XLOOKUP($A104,Input_Raw!$A:$A,Input_Raw!$AA:$AA),"")</f>
        <v>56192</v>
      </c>
      <c r="Y104" s="294">
        <f>IFERROR(_xlfn.XLOOKUP($A104,Input_Raw!$A:$A,Input_Raw!$AS:$AS),"")</f>
        <v>55000</v>
      </c>
      <c r="Z104" s="294"/>
      <c r="AA104" s="294">
        <f>IFERROR(_xlfn.XLOOKUP($A104,Input_Raw!$A:$A,Input_Raw!$AT:$AT),"")</f>
        <v>54627.494050886606</v>
      </c>
      <c r="AB104" s="294">
        <f>IFERROR(_xlfn.XLOOKUP($A104,Input_Raw!$A:$A,Input_Raw!$AU:$AU),"")</f>
        <v>39.21</v>
      </c>
      <c r="AC104" s="303">
        <f>IFERROR(_xlfn.XLOOKUP($D104,'Modelling New'!$D:$D,'Modelling New'!P:P),"")</f>
        <v>3.8096774193548386</v>
      </c>
      <c r="AD104" s="294">
        <f>IFERROR(_xlfn.XLOOKUP($D104,'Modelling New'!$D:$D,'Modelling New'!T:T)*1000,"")</f>
        <v>171306.96170170087</v>
      </c>
      <c r="AE104" s="304">
        <f>IFERROR(_xlfn.XLOOKUP($D104,'Modelling New'!$D:$D,'Modelling New'!$O:$O),"")</f>
        <v>0.82702281611841366</v>
      </c>
      <c r="AF104" s="304">
        <f>IFERROR(_xlfn.XLOOKUP($D104,'Modelling New'!$D:$D,'Modelling New'!$W:$W),"")</f>
        <v>0.13127875616073204</v>
      </c>
      <c r="AG104" s="304">
        <f>IFERROR(_xlfn.XLOOKUP($D104,'Modelling New'!$D:$D,'Modelling New'!$AE:$AE),"")</f>
        <v>0.995</v>
      </c>
      <c r="AH104" s="304">
        <f>IFERROR(_xlfn.XLOOKUP($D104,'Modelling New'!$D:$D,'Modelling New'!$AF:$AF),"")</f>
        <v>0.995</v>
      </c>
      <c r="AI104" s="295"/>
      <c r="AJ104" s="295"/>
      <c r="AK104" s="295"/>
      <c r="AL104" s="295"/>
      <c r="AM104" s="295"/>
      <c r="AN104" s="305"/>
      <c r="AO104" s="302"/>
      <c r="AP104" s="302"/>
      <c r="AQ104" s="302"/>
      <c r="AR104" s="294">
        <f>_xlfn.XLOOKUP($D104,'Modelling New'!$D:$D,'Modelling New'!$N:$N)</f>
        <v>54.371250000000003</v>
      </c>
      <c r="AS104" s="294">
        <f t="shared" si="13"/>
        <v>123538.5606974953</v>
      </c>
    </row>
    <row r="105" spans="1:45">
      <c r="A105" s="293">
        <f t="shared" si="14"/>
        <v>45848</v>
      </c>
      <c r="B105" s="294">
        <f>YEAR(Daily_KPI[[#This Row],[Date]])+IF(MONTH(Daily_KPI[[#This Row],[Date]])&gt;=4,1,0)</f>
        <v>2026</v>
      </c>
      <c r="C105" s="295">
        <f>YEAR(Daily_KPI[[#This Row],[Date]])</f>
        <v>2025</v>
      </c>
      <c r="D105" s="296">
        <f>Daily_KPI[[#This Row],[Date]]-DAY(Daily_KPI[[#This Row],[Date]])+1</f>
        <v>45839</v>
      </c>
      <c r="E105" s="295">
        <f t="shared" si="10"/>
        <v>31</v>
      </c>
      <c r="F105" s="297">
        <f>IFERROR(_xlfn.XLOOKUP($A105,Input_Raw!$A:$A,Input_Raw!$AR:$AR),"")</f>
        <v>10.599999999999998</v>
      </c>
      <c r="G105" s="298">
        <f>IFERROR(_xlfn.XLOOKUP($A105,Input_Raw!$A:$A,Input_Raw!$R:$R),"")</f>
        <v>1.67</v>
      </c>
      <c r="H105" s="298"/>
      <c r="I105" s="298">
        <f>IFERROR(_xlfn.XLOOKUP($A105,Input_Raw!$A:$A,Input_Raw!$Q:$Q),"")</f>
        <v>1.66</v>
      </c>
      <c r="J105" s="298"/>
      <c r="K105" s="298">
        <f>IFERROR(_xlfn.XLOOKUP($A105,Input_Raw!$A:$A,Input_Raw!S:S),"")</f>
        <v>25.05</v>
      </c>
      <c r="L105" s="298">
        <f>IFERROR(_xlfn.XLOOKUP($A105,Input_Raw!$A:$A,Input_Raw!T:T),"")</f>
        <v>26.89</v>
      </c>
      <c r="M105" s="298">
        <f>IFERROR(_xlfn.XLOOKUP($A105,Input_Raw!$A:$A,Input_Raw!W:W),"")</f>
        <v>2.62</v>
      </c>
      <c r="N105" s="298">
        <f>IFERROR(_xlfn.XLOOKUP($A105,Input_Raw!$A:$A,Input_Raw!X:X),"")</f>
        <v>6.32</v>
      </c>
      <c r="O105" s="299">
        <f>IFERROR(1-(SUMIF(Plant_BD!$B:$B,$A105,Plant_BD!$AL:$AL)/($AA105+SUMIF(Plant_BD!$B:$B,$A105,Plant_BD!$AL:$AL))),"")</f>
        <v>0.91158272608228708</v>
      </c>
      <c r="P105" s="299"/>
      <c r="Q105" s="300"/>
      <c r="R105" s="299">
        <f>IFERROR(1-(SUMIF(Grid_BD!$B:$B,$A105,Grid_BD!$V:$V)/($AA105+SUMIF(Grid_BD!$B:$B,$A105,Grid_BD!$V:$V))),"")</f>
        <v>1</v>
      </c>
      <c r="S105" s="295"/>
      <c r="T105" s="300"/>
      <c r="U105" s="301">
        <f t="shared" si="11"/>
        <v>0.87711386841601136</v>
      </c>
      <c r="V105" s="301" t="str">
        <f>IFERROR(_xlfn.XLOOKUP($A105,Input_Raw!$A:$A,Input_Raw!$AX:$AX),"")</f>
        <v/>
      </c>
      <c r="W105" s="302">
        <f t="shared" si="12"/>
        <v>4.3750230847937707E-2</v>
      </c>
      <c r="X105" s="294">
        <f>IFERROR(_xlfn.XLOOKUP($A105,Input_Raw!$A:$A,Input_Raw!$AA:$AA),"")</f>
        <v>58523.399999999994</v>
      </c>
      <c r="Y105" s="294">
        <f>IFERROR(_xlfn.XLOOKUP($A105,Input_Raw!$A:$A,Input_Raw!$AS:$AS),"")</f>
        <v>59000</v>
      </c>
      <c r="Z105" s="294"/>
      <c r="AA105" s="294">
        <f>IFERROR(_xlfn.XLOOKUP($A105,Input_Raw!$A:$A,Input_Raw!$AT:$AT),"")</f>
        <v>57090.113735782397</v>
      </c>
      <c r="AB105" s="294">
        <f>IFERROR(_xlfn.XLOOKUP($A105,Input_Raw!$A:$A,Input_Raw!$AU:$AU),"")</f>
        <v>39.21</v>
      </c>
      <c r="AC105" s="303">
        <f>IFERROR(_xlfn.XLOOKUP($D105,'Modelling New'!$D:$D,'Modelling New'!P:P),"")</f>
        <v>3.8096774193548386</v>
      </c>
      <c r="AD105" s="294">
        <f>IFERROR(_xlfn.XLOOKUP($D105,'Modelling New'!$D:$D,'Modelling New'!T:T)*1000,"")</f>
        <v>171306.96170170087</v>
      </c>
      <c r="AE105" s="304">
        <f>IFERROR(_xlfn.XLOOKUP($D105,'Modelling New'!$D:$D,'Modelling New'!$O:$O),"")</f>
        <v>0.82702281611841366</v>
      </c>
      <c r="AF105" s="304">
        <f>IFERROR(_xlfn.XLOOKUP($D105,'Modelling New'!$D:$D,'Modelling New'!$W:$W),"")</f>
        <v>0.13127875616073204</v>
      </c>
      <c r="AG105" s="304">
        <f>IFERROR(_xlfn.XLOOKUP($D105,'Modelling New'!$D:$D,'Modelling New'!$AE:$AE),"")</f>
        <v>0.995</v>
      </c>
      <c r="AH105" s="304">
        <f>IFERROR(_xlfn.XLOOKUP($D105,'Modelling New'!$D:$D,'Modelling New'!$AF:$AF),"")</f>
        <v>0.995</v>
      </c>
      <c r="AI105" s="295"/>
      <c r="AJ105" s="295"/>
      <c r="AK105" s="295"/>
      <c r="AL105" s="295"/>
      <c r="AM105" s="295"/>
      <c r="AN105" s="305"/>
      <c r="AO105" s="302"/>
      <c r="AP105" s="302"/>
      <c r="AQ105" s="302"/>
      <c r="AR105" s="294">
        <f>_xlfn.XLOOKUP($D105,'Modelling New'!$D:$D,'Modelling New'!$N:$N)</f>
        <v>54.371250000000003</v>
      </c>
      <c r="AS105" s="294">
        <f t="shared" si="13"/>
        <v>123538.5606974953</v>
      </c>
    </row>
    <row r="106" spans="1:45">
      <c r="A106" s="293">
        <f t="shared" si="14"/>
        <v>45849</v>
      </c>
      <c r="B106" s="294">
        <f>YEAR(Daily_KPI[[#This Row],[Date]])+IF(MONTH(Daily_KPI[[#This Row],[Date]])&gt;=4,1,0)</f>
        <v>2026</v>
      </c>
      <c r="C106" s="295">
        <f>YEAR(Daily_KPI[[#This Row],[Date]])</f>
        <v>2025</v>
      </c>
      <c r="D106" s="296">
        <f>Daily_KPI[[#This Row],[Date]]-DAY(Daily_KPI[[#This Row],[Date]])+1</f>
        <v>45839</v>
      </c>
      <c r="E106" s="295">
        <f t="shared" si="10"/>
        <v>31</v>
      </c>
      <c r="F106" s="297">
        <f>IFERROR(_xlfn.XLOOKUP($A106,Input_Raw!$A:$A,Input_Raw!$AR:$AR),"")</f>
        <v>12.65</v>
      </c>
      <c r="G106" s="298">
        <f>IFERROR(_xlfn.XLOOKUP($A106,Input_Raw!$A:$A,Input_Raw!$R:$R),"")</f>
        <v>5.8419999999999996</v>
      </c>
      <c r="H106" s="298"/>
      <c r="I106" s="298">
        <f>IFERROR(_xlfn.XLOOKUP($A106,Input_Raw!$A:$A,Input_Raw!$Q:$Q),"")</f>
        <v>5.5789999999999997</v>
      </c>
      <c r="J106" s="298"/>
      <c r="K106" s="298">
        <f>IFERROR(_xlfn.XLOOKUP($A106,Input_Raw!$A:$A,Input_Raw!S:S),"")</f>
        <v>29.898</v>
      </c>
      <c r="L106" s="298">
        <f>IFERROR(_xlfn.XLOOKUP($A106,Input_Raw!$A:$A,Input_Raw!T:T),"")</f>
        <v>37.64</v>
      </c>
      <c r="M106" s="298">
        <f>IFERROR(_xlfn.XLOOKUP($A106,Input_Raw!$A:$A,Input_Raw!W:W),"")</f>
        <v>3.77</v>
      </c>
      <c r="N106" s="298">
        <f>IFERROR(_xlfn.XLOOKUP($A106,Input_Raw!$A:$A,Input_Raw!X:X),"")</f>
        <v>7.67</v>
      </c>
      <c r="O106" s="299">
        <f>IFERROR(1-(SUMIF(Plant_BD!$B:$B,$A106,Plant_BD!$AL:$AL)/($AA106+SUMIF(Plant_BD!$B:$B,$A106,Plant_BD!$AL:$AL))),"")</f>
        <v>1</v>
      </c>
      <c r="P106" s="299"/>
      <c r="Q106" s="300"/>
      <c r="R106" s="299">
        <f>IFERROR(1-(SUMIF(Grid_BD!$B:$B,$A106,Grid_BD!$V:$V)/($AA106+SUMIF(Grid_BD!$B:$B,$A106,Grid_BD!$V:$V))),"")</f>
        <v>1</v>
      </c>
      <c r="S106" s="295"/>
      <c r="T106" s="300"/>
      <c r="U106" s="301">
        <f t="shared" si="11"/>
        <v>0.87047304618815213</v>
      </c>
      <c r="V106" s="301" t="str">
        <f>IFERROR(_xlfn.XLOOKUP($A106,Input_Raw!$A:$A,Input_Raw!$AX:$AX),"")</f>
        <v/>
      </c>
      <c r="W106" s="302">
        <f t="shared" si="12"/>
        <v>0.14592441883259988</v>
      </c>
      <c r="X106" s="294">
        <f>IFERROR(_xlfn.XLOOKUP($A106,Input_Raw!$A:$A,Input_Raw!$AA:$AA),"")</f>
        <v>193454.2</v>
      </c>
      <c r="Y106" s="294">
        <f>IFERROR(_xlfn.XLOOKUP($A106,Input_Raw!$A:$A,Input_Raw!$AS:$AS),"")</f>
        <v>191000</v>
      </c>
      <c r="Z106" s="294"/>
      <c r="AA106" s="294">
        <f>IFERROR(_xlfn.XLOOKUP($A106,Input_Raw!$A:$A,Input_Raw!$AT:$AT),"")</f>
        <v>190418.23337884792</v>
      </c>
      <c r="AB106" s="294">
        <f>IFERROR(_xlfn.XLOOKUP($A106,Input_Raw!$A:$A,Input_Raw!$AU:$AU),"")</f>
        <v>39.21</v>
      </c>
      <c r="AC106" s="303">
        <f>IFERROR(_xlfn.XLOOKUP($D106,'Modelling New'!$D:$D,'Modelling New'!P:P),"")</f>
        <v>3.8096774193548386</v>
      </c>
      <c r="AD106" s="294">
        <f>IFERROR(_xlfn.XLOOKUP($D106,'Modelling New'!$D:$D,'Modelling New'!T:T)*1000,"")</f>
        <v>171306.96170170087</v>
      </c>
      <c r="AE106" s="304">
        <f>IFERROR(_xlfn.XLOOKUP($D106,'Modelling New'!$D:$D,'Modelling New'!$O:$O),"")</f>
        <v>0.82702281611841366</v>
      </c>
      <c r="AF106" s="304">
        <f>IFERROR(_xlfn.XLOOKUP($D106,'Modelling New'!$D:$D,'Modelling New'!$W:$W),"")</f>
        <v>0.13127875616073204</v>
      </c>
      <c r="AG106" s="304">
        <f>IFERROR(_xlfn.XLOOKUP($D106,'Modelling New'!$D:$D,'Modelling New'!$AE:$AE),"")</f>
        <v>0.995</v>
      </c>
      <c r="AH106" s="304">
        <f>IFERROR(_xlfn.XLOOKUP($D106,'Modelling New'!$D:$D,'Modelling New'!$AF:$AF),"")</f>
        <v>0.995</v>
      </c>
      <c r="AI106" s="295"/>
      <c r="AJ106" s="295"/>
      <c r="AK106" s="295"/>
      <c r="AL106" s="295"/>
      <c r="AM106" s="295"/>
      <c r="AN106" s="305"/>
      <c r="AO106" s="302"/>
      <c r="AP106" s="302"/>
      <c r="AQ106" s="302"/>
      <c r="AR106" s="294">
        <f>_xlfn.XLOOKUP($D106,'Modelling New'!$D:$D,'Modelling New'!$N:$N)</f>
        <v>54.371250000000003</v>
      </c>
      <c r="AS106" s="294">
        <f t="shared" si="13"/>
        <v>123538.5606974953</v>
      </c>
    </row>
    <row r="107" spans="1:45">
      <c r="A107" s="293">
        <f t="shared" si="14"/>
        <v>45850</v>
      </c>
      <c r="B107" s="294">
        <f>YEAR(Daily_KPI[[#This Row],[Date]])+IF(MONTH(Daily_KPI[[#This Row],[Date]])&gt;=4,1,0)</f>
        <v>2026</v>
      </c>
      <c r="C107" s="295">
        <f>YEAR(Daily_KPI[[#This Row],[Date]])</f>
        <v>2025</v>
      </c>
      <c r="D107" s="296">
        <f>Daily_KPI[[#This Row],[Date]]-DAY(Daily_KPI[[#This Row],[Date]])+1</f>
        <v>45839</v>
      </c>
      <c r="E107" s="295">
        <f t="shared" si="10"/>
        <v>31</v>
      </c>
      <c r="F107" s="297">
        <f>IFERROR(_xlfn.XLOOKUP($A107,Input_Raw!$A:$A,Input_Raw!$AR:$AR),"")</f>
        <v>12.616666666666667</v>
      </c>
      <c r="G107" s="298">
        <f>IFERROR(_xlfn.XLOOKUP($A107,Input_Raw!$A:$A,Input_Raw!$R:$R),"")</f>
        <v>6.17</v>
      </c>
      <c r="H107" s="298"/>
      <c r="I107" s="298">
        <f>IFERROR(_xlfn.XLOOKUP($A107,Input_Raw!$A:$A,Input_Raw!$Q:$Q),"")</f>
        <v>5.93</v>
      </c>
      <c r="J107" s="298"/>
      <c r="K107" s="298">
        <f>IFERROR(_xlfn.XLOOKUP($A107,Input_Raw!$A:$A,Input_Raw!S:S),"")</f>
        <v>30.19</v>
      </c>
      <c r="L107" s="298">
        <f>IFERROR(_xlfn.XLOOKUP($A107,Input_Raw!$A:$A,Input_Raw!T:T),"")</f>
        <v>37.99</v>
      </c>
      <c r="M107" s="298">
        <f>IFERROR(_xlfn.XLOOKUP($A107,Input_Raw!$A:$A,Input_Raw!W:W),"")</f>
        <v>4.29</v>
      </c>
      <c r="N107" s="298">
        <f>IFERROR(_xlfn.XLOOKUP($A107,Input_Raw!$A:$A,Input_Raw!X:X),"")</f>
        <v>9.1199999999999992</v>
      </c>
      <c r="O107" s="299">
        <f>IFERROR(1-(SUMIF(Plant_BD!$B:$B,$A107,Plant_BD!$AL:$AL)/($AA107+SUMIF(Plant_BD!$B:$B,$A107,Plant_BD!$AL:$AL))),"")</f>
        <v>0.97751459033549803</v>
      </c>
      <c r="P107" s="299"/>
      <c r="Q107" s="300"/>
      <c r="R107" s="299">
        <f>IFERROR(1-(SUMIF(Grid_BD!$B:$B,$A107,Grid_BD!$V:$V)/($AA107+SUMIF(Grid_BD!$B:$B,$A107,Grid_BD!$V:$V))),"")</f>
        <v>1</v>
      </c>
      <c r="S107" s="295"/>
      <c r="T107" s="300"/>
      <c r="U107" s="301">
        <f t="shared" si="11"/>
        <v>0.80098076747757252</v>
      </c>
      <c r="V107" s="301" t="str">
        <f>IFERROR(_xlfn.XLOOKUP($A107,Input_Raw!$A:$A,Input_Raw!$AX:$AX),"")</f>
        <v/>
      </c>
      <c r="W107" s="302">
        <f t="shared" si="12"/>
        <v>0.14272270382193256</v>
      </c>
      <c r="X107" s="294">
        <f>IFERROR(_xlfn.XLOOKUP($A107,Input_Raw!$A:$A,Input_Raw!$AA:$AA),"")</f>
        <v>190586.40000000002</v>
      </c>
      <c r="Y107" s="294">
        <f>IFERROR(_xlfn.XLOOKUP($A107,Input_Raw!$A:$A,Input_Raw!$AS:$AS),"")</f>
        <v>189000</v>
      </c>
      <c r="Z107" s="294"/>
      <c r="AA107" s="294">
        <f>IFERROR(_xlfn.XLOOKUP($A107,Input_Raw!$A:$A,Input_Raw!$AT:$AT),"")</f>
        <v>186240.28344427803</v>
      </c>
      <c r="AB107" s="294">
        <f>IFERROR(_xlfn.XLOOKUP($A107,Input_Raw!$A:$A,Input_Raw!$AU:$AU),"")</f>
        <v>39.21</v>
      </c>
      <c r="AC107" s="303">
        <f>IFERROR(_xlfn.XLOOKUP($D107,'Modelling New'!$D:$D,'Modelling New'!P:P),"")</f>
        <v>3.8096774193548386</v>
      </c>
      <c r="AD107" s="294">
        <f>IFERROR(_xlfn.XLOOKUP($D107,'Modelling New'!$D:$D,'Modelling New'!T:T)*1000,"")</f>
        <v>171306.96170170087</v>
      </c>
      <c r="AE107" s="304">
        <f>IFERROR(_xlfn.XLOOKUP($D107,'Modelling New'!$D:$D,'Modelling New'!$O:$O),"")</f>
        <v>0.82702281611841366</v>
      </c>
      <c r="AF107" s="304">
        <f>IFERROR(_xlfn.XLOOKUP($D107,'Modelling New'!$D:$D,'Modelling New'!$W:$W),"")</f>
        <v>0.13127875616073204</v>
      </c>
      <c r="AG107" s="304">
        <f>IFERROR(_xlfn.XLOOKUP($D107,'Modelling New'!$D:$D,'Modelling New'!$AE:$AE),"")</f>
        <v>0.995</v>
      </c>
      <c r="AH107" s="304">
        <f>IFERROR(_xlfn.XLOOKUP($D107,'Modelling New'!$D:$D,'Modelling New'!$AF:$AF),"")</f>
        <v>0.995</v>
      </c>
      <c r="AI107" s="295"/>
      <c r="AJ107" s="295"/>
      <c r="AK107" s="295"/>
      <c r="AL107" s="295"/>
      <c r="AM107" s="295"/>
      <c r="AN107" s="305"/>
      <c r="AO107" s="302"/>
      <c r="AP107" s="302"/>
      <c r="AQ107" s="302"/>
      <c r="AR107" s="294">
        <f>_xlfn.XLOOKUP($D107,'Modelling New'!$D:$D,'Modelling New'!$N:$N)</f>
        <v>54.371250000000003</v>
      </c>
      <c r="AS107" s="294">
        <f t="shared" si="13"/>
        <v>123538.5606974953</v>
      </c>
    </row>
    <row r="108" spans="1:45">
      <c r="A108" s="293">
        <f t="shared" si="14"/>
        <v>45851</v>
      </c>
      <c r="B108" s="294">
        <f>YEAR(Daily_KPI[[#This Row],[Date]])+IF(MONTH(Daily_KPI[[#This Row],[Date]])&gt;=4,1,0)</f>
        <v>2026</v>
      </c>
      <c r="C108" s="295">
        <f>YEAR(Daily_KPI[[#This Row],[Date]])</f>
        <v>2025</v>
      </c>
      <c r="D108" s="296">
        <f>Daily_KPI[[#This Row],[Date]]-DAY(Daily_KPI[[#This Row],[Date]])+1</f>
        <v>45839</v>
      </c>
      <c r="E108" s="295">
        <f t="shared" si="10"/>
        <v>31</v>
      </c>
      <c r="F108" s="297">
        <f>IFERROR(_xlfn.XLOOKUP($A108,Input_Raw!$A:$A,Input_Raw!$AR:$AR),"")</f>
        <v>12.5</v>
      </c>
      <c r="G108" s="298">
        <f>IFERROR(_xlfn.XLOOKUP($A108,Input_Raw!$A:$A,Input_Raw!$R:$R),"")</f>
        <v>4.3949999999999996</v>
      </c>
      <c r="H108" s="298"/>
      <c r="I108" s="298">
        <f>IFERROR(_xlfn.XLOOKUP($A108,Input_Raw!$A:$A,Input_Raw!$Q:$Q),"")</f>
        <v>4.2805</v>
      </c>
      <c r="J108" s="298"/>
      <c r="K108" s="298">
        <f>IFERROR(_xlfn.XLOOKUP($A108,Input_Raw!$A:$A,Input_Raw!S:S),"")</f>
        <v>29.503</v>
      </c>
      <c r="L108" s="298">
        <f>IFERROR(_xlfn.XLOOKUP($A108,Input_Raw!$A:$A,Input_Raw!T:T),"")</f>
        <v>35.71</v>
      </c>
      <c r="M108" s="298">
        <f>IFERROR(_xlfn.XLOOKUP($A108,Input_Raw!$A:$A,Input_Raw!W:W),"")</f>
        <v>4.0599999999999996</v>
      </c>
      <c r="N108" s="298">
        <f>IFERROR(_xlfn.XLOOKUP($A108,Input_Raw!$A:$A,Input_Raw!X:X),"")</f>
        <v>10.17</v>
      </c>
      <c r="O108" s="299">
        <f>IFERROR(1-(SUMIF(Plant_BD!$B:$B,$A108,Plant_BD!$AL:$AL)/($AA108+SUMIF(Plant_BD!$B:$B,$A108,Plant_BD!$AL:$AL))),"")</f>
        <v>1</v>
      </c>
      <c r="P108" s="299"/>
      <c r="Q108" s="300"/>
      <c r="R108" s="299">
        <f>IFERROR(1-(SUMIF(Grid_BD!$B:$B,$A108,Grid_BD!$V:$V)/($AA108+SUMIF(Grid_BD!$B:$B,$A108,Grid_BD!$V:$V))),"")</f>
        <v>1</v>
      </c>
      <c r="S108" s="295"/>
      <c r="T108" s="300"/>
      <c r="U108" s="301">
        <f t="shared" si="11"/>
        <v>0.89234431649744395</v>
      </c>
      <c r="V108" s="301" t="str">
        <f>IFERROR(_xlfn.XLOOKUP($A108,Input_Raw!$A:$A,Input_Raw!$AX:$AX),"")</f>
        <v/>
      </c>
      <c r="W108" s="302">
        <f t="shared" si="12"/>
        <v>0.11477392831057021</v>
      </c>
      <c r="X108" s="294">
        <f>IFERROR(_xlfn.XLOOKUP($A108,Input_Raw!$A:$A,Input_Raw!$AA:$AA),"")</f>
        <v>151397.70000000001</v>
      </c>
      <c r="Y108" s="294">
        <f>IFERROR(_xlfn.XLOOKUP($A108,Input_Raw!$A:$A,Input_Raw!$AS:$AS),"")</f>
        <v>150000</v>
      </c>
      <c r="Z108" s="294"/>
      <c r="AA108" s="294">
        <f>IFERROR(_xlfn.XLOOKUP($A108,Input_Raw!$A:$A,Input_Raw!$AT:$AT),"")</f>
        <v>149769.64679174617</v>
      </c>
      <c r="AB108" s="294">
        <f>IFERROR(_xlfn.XLOOKUP($A108,Input_Raw!$A:$A,Input_Raw!$AU:$AU),"")</f>
        <v>39.21</v>
      </c>
      <c r="AC108" s="303">
        <f>IFERROR(_xlfn.XLOOKUP($D108,'Modelling New'!$D:$D,'Modelling New'!P:P),"")</f>
        <v>3.8096774193548386</v>
      </c>
      <c r="AD108" s="294">
        <f>IFERROR(_xlfn.XLOOKUP($D108,'Modelling New'!$D:$D,'Modelling New'!T:T)*1000,"")</f>
        <v>171306.96170170087</v>
      </c>
      <c r="AE108" s="304">
        <f>IFERROR(_xlfn.XLOOKUP($D108,'Modelling New'!$D:$D,'Modelling New'!$O:$O),"")</f>
        <v>0.82702281611841366</v>
      </c>
      <c r="AF108" s="304">
        <f>IFERROR(_xlfn.XLOOKUP($D108,'Modelling New'!$D:$D,'Modelling New'!$W:$W),"")</f>
        <v>0.13127875616073204</v>
      </c>
      <c r="AG108" s="304">
        <f>IFERROR(_xlfn.XLOOKUP($D108,'Modelling New'!$D:$D,'Modelling New'!$AE:$AE),"")</f>
        <v>0.995</v>
      </c>
      <c r="AH108" s="304">
        <f>IFERROR(_xlfn.XLOOKUP($D108,'Modelling New'!$D:$D,'Modelling New'!$AF:$AF),"")</f>
        <v>0.995</v>
      </c>
      <c r="AI108" s="295"/>
      <c r="AJ108" s="295"/>
      <c r="AK108" s="295"/>
      <c r="AL108" s="295"/>
      <c r="AM108" s="295"/>
      <c r="AN108" s="305"/>
      <c r="AO108" s="302"/>
      <c r="AP108" s="302"/>
      <c r="AQ108" s="302"/>
      <c r="AR108" s="294">
        <f>_xlfn.XLOOKUP($D108,'Modelling New'!$D:$D,'Modelling New'!$N:$N)</f>
        <v>54.371250000000003</v>
      </c>
      <c r="AS108" s="294">
        <f t="shared" si="13"/>
        <v>123538.5606974953</v>
      </c>
    </row>
    <row r="109" spans="1:45">
      <c r="A109" s="293">
        <f t="shared" si="14"/>
        <v>45852</v>
      </c>
      <c r="B109" s="294">
        <f>YEAR(Daily_KPI[[#This Row],[Date]])+IF(MONTH(Daily_KPI[[#This Row],[Date]])&gt;=4,1,0)</f>
        <v>2026</v>
      </c>
      <c r="C109" s="295">
        <f>YEAR(Daily_KPI[[#This Row],[Date]])</f>
        <v>2025</v>
      </c>
      <c r="D109" s="296">
        <f>Daily_KPI[[#This Row],[Date]]-DAY(Daily_KPI[[#This Row],[Date]])+1</f>
        <v>45839</v>
      </c>
      <c r="E109" s="295">
        <f t="shared" si="10"/>
        <v>31</v>
      </c>
      <c r="F109" s="297">
        <f>IFERROR(_xlfn.XLOOKUP($A109,Input_Raw!$A:$A,Input_Raw!$AR:$AR),"")</f>
        <v>12.666666666666668</v>
      </c>
      <c r="G109" s="298">
        <f>IFERROR(_xlfn.XLOOKUP($A109,Input_Raw!$A:$A,Input_Raw!$R:$R),"")</f>
        <v>5.6662999999999997</v>
      </c>
      <c r="H109" s="298"/>
      <c r="I109" s="298">
        <f>IFERROR(_xlfn.XLOOKUP($A109,Input_Raw!$A:$A,Input_Raw!$Q:$Q),"")</f>
        <v>5.4051</v>
      </c>
      <c r="J109" s="298"/>
      <c r="K109" s="298">
        <f>IFERROR(_xlfn.XLOOKUP($A109,Input_Raw!$A:$A,Input_Raw!S:S),"")</f>
        <v>30.363099999999999</v>
      </c>
      <c r="L109" s="298">
        <f>IFERROR(_xlfn.XLOOKUP($A109,Input_Raw!$A:$A,Input_Raw!T:T),"")</f>
        <v>39.270499999999998</v>
      </c>
      <c r="M109" s="298">
        <f>IFERROR(_xlfn.XLOOKUP($A109,Input_Raw!$A:$A,Input_Raw!W:W),"")</f>
        <v>3.7974999999999999</v>
      </c>
      <c r="N109" s="298">
        <f>IFERROR(_xlfn.XLOOKUP($A109,Input_Raw!$A:$A,Input_Raw!X:X),"")</f>
        <v>8.27</v>
      </c>
      <c r="O109" s="299">
        <f>IFERROR(1-(SUMIF(Plant_BD!$B:$B,$A109,Plant_BD!$AL:$AL)/($AA109+SUMIF(Plant_BD!$B:$B,$A109,Plant_BD!$AL:$AL))),"")</f>
        <v>0.95200643547658881</v>
      </c>
      <c r="P109" s="299"/>
      <c r="Q109" s="300"/>
      <c r="R109" s="299">
        <f>IFERROR(1-(SUMIF(Grid_BD!$B:$B,$A109,Grid_BD!$V:$V)/($AA109+SUMIF(Grid_BD!$B:$B,$A109,Grid_BD!$V:$V))),"")</f>
        <v>1</v>
      </c>
      <c r="S109" s="295"/>
      <c r="T109" s="300"/>
      <c r="U109" s="301">
        <f t="shared" si="11"/>
        <v>0.79430075556184621</v>
      </c>
      <c r="V109" s="301" t="str">
        <f>IFERROR(_xlfn.XLOOKUP($A109,Input_Raw!$A:$A,Input_Raw!$AX:$AX),"")</f>
        <v/>
      </c>
      <c r="W109" s="302">
        <f t="shared" si="12"/>
        <v>0.12900453923605643</v>
      </c>
      <c r="X109" s="294">
        <f>IFERROR(_xlfn.XLOOKUP($A109,Input_Raw!$A:$A,Input_Raw!$AA:$AA),"")</f>
        <v>171254.60000000003</v>
      </c>
      <c r="Y109" s="294">
        <f>IFERROR(_xlfn.XLOOKUP($A109,Input_Raw!$A:$A,Input_Raw!$AS:$AS),"")</f>
        <v>168000</v>
      </c>
      <c r="Z109" s="294"/>
      <c r="AA109" s="294">
        <f>IFERROR(_xlfn.XLOOKUP($A109,Input_Raw!$A:$A,Input_Raw!$AT:$AT),"")</f>
        <v>168339.31329452241</v>
      </c>
      <c r="AB109" s="294">
        <f>IFERROR(_xlfn.XLOOKUP($A109,Input_Raw!$A:$A,Input_Raw!$AU:$AU),"")</f>
        <v>39.21</v>
      </c>
      <c r="AC109" s="303">
        <f>IFERROR(_xlfn.XLOOKUP($D109,'Modelling New'!$D:$D,'Modelling New'!P:P),"")</f>
        <v>3.8096774193548386</v>
      </c>
      <c r="AD109" s="294">
        <f>IFERROR(_xlfn.XLOOKUP($D109,'Modelling New'!$D:$D,'Modelling New'!T:T)*1000,"")</f>
        <v>171306.96170170087</v>
      </c>
      <c r="AE109" s="304">
        <f>IFERROR(_xlfn.XLOOKUP($D109,'Modelling New'!$D:$D,'Modelling New'!$O:$O),"")</f>
        <v>0.82702281611841366</v>
      </c>
      <c r="AF109" s="304">
        <f>IFERROR(_xlfn.XLOOKUP($D109,'Modelling New'!$D:$D,'Modelling New'!$W:$W),"")</f>
        <v>0.13127875616073204</v>
      </c>
      <c r="AG109" s="304">
        <f>IFERROR(_xlfn.XLOOKUP($D109,'Modelling New'!$D:$D,'Modelling New'!$AE:$AE),"")</f>
        <v>0.995</v>
      </c>
      <c r="AH109" s="304">
        <f>IFERROR(_xlfn.XLOOKUP($D109,'Modelling New'!$D:$D,'Modelling New'!$AF:$AF),"")</f>
        <v>0.995</v>
      </c>
      <c r="AI109" s="295"/>
      <c r="AJ109" s="295"/>
      <c r="AK109" s="295"/>
      <c r="AL109" s="295"/>
      <c r="AM109" s="295"/>
      <c r="AN109" s="305"/>
      <c r="AO109" s="302"/>
      <c r="AP109" s="302"/>
      <c r="AQ109" s="302"/>
      <c r="AR109" s="294">
        <f>_xlfn.XLOOKUP($D109,'Modelling New'!$D:$D,'Modelling New'!$N:$N)</f>
        <v>54.371250000000003</v>
      </c>
      <c r="AS109" s="294">
        <f t="shared" si="13"/>
        <v>123538.5606974953</v>
      </c>
    </row>
    <row r="110" spans="1:45">
      <c r="A110" s="293">
        <f t="shared" si="14"/>
        <v>45853</v>
      </c>
      <c r="B110" s="294">
        <f>YEAR(Daily_KPI[[#This Row],[Date]])+IF(MONTH(Daily_KPI[[#This Row],[Date]])&gt;=4,1,0)</f>
        <v>2026</v>
      </c>
      <c r="C110" s="295">
        <f>YEAR(Daily_KPI[[#This Row],[Date]])</f>
        <v>2025</v>
      </c>
      <c r="D110" s="296">
        <f>Daily_KPI[[#This Row],[Date]]-DAY(Daily_KPI[[#This Row],[Date]])+1</f>
        <v>45839</v>
      </c>
      <c r="E110" s="295">
        <f t="shared" si="10"/>
        <v>31</v>
      </c>
      <c r="F110" s="297">
        <f>IFERROR(_xlfn.XLOOKUP($A110,Input_Raw!$A:$A,Input_Raw!$AR:$AR),"")</f>
        <v>12.733333333333334</v>
      </c>
      <c r="G110" s="298">
        <f>IFERROR(_xlfn.XLOOKUP($A110,Input_Raw!$A:$A,Input_Raw!$R:$R),"")</f>
        <v>4.6680000000000001</v>
      </c>
      <c r="H110" s="298"/>
      <c r="I110" s="298">
        <f>IFERROR(_xlfn.XLOOKUP($A110,Input_Raw!$A:$A,Input_Raw!$Q:$Q),"")</f>
        <v>4.4325999999999999</v>
      </c>
      <c r="J110" s="298"/>
      <c r="K110" s="298">
        <f>IFERROR(_xlfn.XLOOKUP($A110,Input_Raw!$A:$A,Input_Raw!S:S),"")</f>
        <v>29.57</v>
      </c>
      <c r="L110" s="298">
        <f>IFERROR(_xlfn.XLOOKUP($A110,Input_Raw!$A:$A,Input_Raw!T:T),"")</f>
        <v>37.479999999999997</v>
      </c>
      <c r="M110" s="298">
        <f>IFERROR(_xlfn.XLOOKUP($A110,Input_Raw!$A:$A,Input_Raw!W:W),"")</f>
        <v>2.7519999999999998</v>
      </c>
      <c r="N110" s="298">
        <f>IFERROR(_xlfn.XLOOKUP($A110,Input_Raw!$A:$A,Input_Raw!X:X),"")</f>
        <v>8</v>
      </c>
      <c r="O110" s="299">
        <f>IFERROR(1-(SUMIF(Plant_BD!$B:$B,$A110,Plant_BD!$AL:$AL)/($AA110+SUMIF(Plant_BD!$B:$B,$A110,Plant_BD!$AL:$AL))),"")</f>
        <v>1</v>
      </c>
      <c r="P110" s="299"/>
      <c r="Q110" s="300"/>
      <c r="R110" s="299">
        <f>IFERROR(1-(SUMIF(Grid_BD!$B:$B,$A110,Grid_BD!$V:$V)/($AA110+SUMIF(Grid_BD!$B:$B,$A110,Grid_BD!$V:$V))),"")</f>
        <v>1</v>
      </c>
      <c r="S110" s="295"/>
      <c r="T110" s="300"/>
      <c r="U110" s="301">
        <f t="shared" si="11"/>
        <v>0.81551443995030581</v>
      </c>
      <c r="V110" s="301" t="str">
        <f>IFERROR(_xlfn.XLOOKUP($A110,Input_Raw!$A:$A,Input_Raw!$AX:$AX),"")</f>
        <v/>
      </c>
      <c r="W110" s="302">
        <f t="shared" si="12"/>
        <v>0.10861917014107891</v>
      </c>
      <c r="X110" s="294">
        <f>IFERROR(_xlfn.XLOOKUP($A110,Input_Raw!$A:$A,Input_Raw!$AA:$AA),"")</f>
        <v>144369.60000000001</v>
      </c>
      <c r="Y110" s="294">
        <f>IFERROR(_xlfn.XLOOKUP($A110,Input_Raw!$A:$A,Input_Raw!$AS:$AS),"")</f>
        <v>145000</v>
      </c>
      <c r="Z110" s="294"/>
      <c r="AA110" s="294">
        <f>IFERROR(_xlfn.XLOOKUP($A110,Input_Raw!$A:$A,Input_Raw!$AT:$AT),"")</f>
        <v>141738.24130879529</v>
      </c>
      <c r="AB110" s="294">
        <f>IFERROR(_xlfn.XLOOKUP($A110,Input_Raw!$A:$A,Input_Raw!$AU:$AU),"")</f>
        <v>39.21</v>
      </c>
      <c r="AC110" s="303">
        <f>IFERROR(_xlfn.XLOOKUP($D110,'Modelling New'!$D:$D,'Modelling New'!P:P),"")</f>
        <v>3.8096774193548386</v>
      </c>
      <c r="AD110" s="294">
        <f>IFERROR(_xlfn.XLOOKUP($D110,'Modelling New'!$D:$D,'Modelling New'!T:T)*1000,"")</f>
        <v>171306.96170170087</v>
      </c>
      <c r="AE110" s="304">
        <f>IFERROR(_xlfn.XLOOKUP($D110,'Modelling New'!$D:$D,'Modelling New'!$O:$O),"")</f>
        <v>0.82702281611841366</v>
      </c>
      <c r="AF110" s="304">
        <f>IFERROR(_xlfn.XLOOKUP($D110,'Modelling New'!$D:$D,'Modelling New'!$W:$W),"")</f>
        <v>0.13127875616073204</v>
      </c>
      <c r="AG110" s="304">
        <f>IFERROR(_xlfn.XLOOKUP($D110,'Modelling New'!$D:$D,'Modelling New'!$AE:$AE),"")</f>
        <v>0.995</v>
      </c>
      <c r="AH110" s="304">
        <f>IFERROR(_xlfn.XLOOKUP($D110,'Modelling New'!$D:$D,'Modelling New'!$AF:$AF),"")</f>
        <v>0.995</v>
      </c>
      <c r="AI110" s="295"/>
      <c r="AJ110" s="295"/>
      <c r="AK110" s="295"/>
      <c r="AL110" s="295"/>
      <c r="AM110" s="295"/>
      <c r="AN110" s="305"/>
      <c r="AO110" s="302"/>
      <c r="AP110" s="302"/>
      <c r="AQ110" s="302"/>
      <c r="AR110" s="294">
        <f>_xlfn.XLOOKUP($D110,'Modelling New'!$D:$D,'Modelling New'!$N:$N)</f>
        <v>54.371250000000003</v>
      </c>
      <c r="AS110" s="294">
        <f t="shared" si="13"/>
        <v>123538.5606974953</v>
      </c>
    </row>
    <row r="111" spans="1:45">
      <c r="A111" s="293">
        <f t="shared" si="14"/>
        <v>45854</v>
      </c>
      <c r="B111" s="294">
        <f>YEAR(Daily_KPI[[#This Row],[Date]])+IF(MONTH(Daily_KPI[[#This Row],[Date]])&gt;=4,1,0)</f>
        <v>2026</v>
      </c>
      <c r="C111" s="295">
        <f>YEAR(Daily_KPI[[#This Row],[Date]])</f>
        <v>2025</v>
      </c>
      <c r="D111" s="296">
        <f>Daily_KPI[[#This Row],[Date]]-DAY(Daily_KPI[[#This Row],[Date]])+1</f>
        <v>45839</v>
      </c>
      <c r="E111" s="295">
        <f t="shared" si="10"/>
        <v>31</v>
      </c>
      <c r="F111" s="297">
        <f>IFERROR(_xlfn.XLOOKUP($A111,Input_Raw!$A:$A,Input_Raw!$AR:$AR),"")</f>
        <v>10.750000000000002</v>
      </c>
      <c r="G111" s="298">
        <f>IFERROR(_xlfn.XLOOKUP($A111,Input_Raw!$A:$A,Input_Raw!$R:$R),"")</f>
        <v>4.1440000000000001</v>
      </c>
      <c r="H111" s="298"/>
      <c r="I111" s="298">
        <f>IFERROR(_xlfn.XLOOKUP($A111,Input_Raw!$A:$A,Input_Raw!$Q:$Q),"")</f>
        <v>3.9315000000000002</v>
      </c>
      <c r="J111" s="298"/>
      <c r="K111" s="298">
        <f>IFERROR(_xlfn.XLOOKUP($A111,Input_Raw!$A:$A,Input_Raw!S:S),"")</f>
        <v>29.5274</v>
      </c>
      <c r="L111" s="298">
        <f>IFERROR(_xlfn.XLOOKUP($A111,Input_Raw!$A:$A,Input_Raw!T:T),"")</f>
        <v>37.133600000000001</v>
      </c>
      <c r="M111" s="298">
        <f>IFERROR(_xlfn.XLOOKUP($A111,Input_Raw!$A:$A,Input_Raw!W:W),"")</f>
        <v>2.6076000000000001</v>
      </c>
      <c r="N111" s="298">
        <f>IFERROR(_xlfn.XLOOKUP($A111,Input_Raw!$A:$A,Input_Raw!X:X),"")</f>
        <v>8.64</v>
      </c>
      <c r="O111" s="299">
        <f>IFERROR(1-(SUMIF(Plant_BD!$B:$B,$A111,Plant_BD!$AL:$AL)/($AA111+SUMIF(Plant_BD!$B:$B,$A111,Plant_BD!$AL:$AL))),"")</f>
        <v>1</v>
      </c>
      <c r="P111" s="299"/>
      <c r="Q111" s="300"/>
      <c r="R111" s="299">
        <f>IFERROR(1-(SUMIF(Grid_BD!$B:$B,$A111,Grid_BD!$V:$V)/($AA111+SUMIF(Grid_BD!$B:$B,$A111,Grid_BD!$V:$V))),"")</f>
        <v>1</v>
      </c>
      <c r="S111" s="295"/>
      <c r="T111" s="300"/>
      <c r="U111" s="301">
        <f t="shared" si="11"/>
        <v>0.86564169812534741</v>
      </c>
      <c r="V111" s="301" t="str">
        <f>IFERROR(_xlfn.XLOOKUP($A111,Input_Raw!$A:$A,Input_Raw!$AX:$AX),"")</f>
        <v/>
      </c>
      <c r="W111" s="302">
        <f t="shared" si="12"/>
        <v>0.10226163481129739</v>
      </c>
      <c r="X111" s="294">
        <f>IFERROR(_xlfn.XLOOKUP($A111,Input_Raw!$A:$A,Input_Raw!$AA:$AA),"")</f>
        <v>136190.9</v>
      </c>
      <c r="Y111" s="294">
        <f>IFERROR(_xlfn.XLOOKUP($A111,Input_Raw!$A:$A,Input_Raw!$AS:$AS),"")</f>
        <v>135000</v>
      </c>
      <c r="Z111" s="294"/>
      <c r="AA111" s="294">
        <f>IFERROR(_xlfn.XLOOKUP($A111,Input_Raw!$A:$A,Input_Raw!$AT:$AT),"")</f>
        <v>133442.22988161008</v>
      </c>
      <c r="AB111" s="294">
        <f>IFERROR(_xlfn.XLOOKUP($A111,Input_Raw!$A:$A,Input_Raw!$AU:$AU),"")</f>
        <v>39.21</v>
      </c>
      <c r="AC111" s="303">
        <f>IFERROR(_xlfn.XLOOKUP($D111,'Modelling New'!$D:$D,'Modelling New'!P:P),"")</f>
        <v>3.8096774193548386</v>
      </c>
      <c r="AD111" s="294">
        <f>IFERROR(_xlfn.XLOOKUP($D111,'Modelling New'!$D:$D,'Modelling New'!T:T)*1000,"")</f>
        <v>171306.96170170087</v>
      </c>
      <c r="AE111" s="304">
        <f>IFERROR(_xlfn.XLOOKUP($D111,'Modelling New'!$D:$D,'Modelling New'!$O:$O),"")</f>
        <v>0.82702281611841366</v>
      </c>
      <c r="AF111" s="304">
        <f>IFERROR(_xlfn.XLOOKUP($D111,'Modelling New'!$D:$D,'Modelling New'!$W:$W),"")</f>
        <v>0.13127875616073204</v>
      </c>
      <c r="AG111" s="304">
        <f>IFERROR(_xlfn.XLOOKUP($D111,'Modelling New'!$D:$D,'Modelling New'!$AE:$AE),"")</f>
        <v>0.995</v>
      </c>
      <c r="AH111" s="304">
        <f>IFERROR(_xlfn.XLOOKUP($D111,'Modelling New'!$D:$D,'Modelling New'!$AF:$AF),"")</f>
        <v>0.995</v>
      </c>
      <c r="AI111" s="295"/>
      <c r="AJ111" s="295"/>
      <c r="AK111" s="295"/>
      <c r="AL111" s="295"/>
      <c r="AM111" s="295"/>
      <c r="AN111" s="305"/>
      <c r="AO111" s="302"/>
      <c r="AP111" s="302"/>
      <c r="AQ111" s="302"/>
      <c r="AR111" s="294">
        <f>_xlfn.XLOOKUP($D111,'Modelling New'!$D:$D,'Modelling New'!$N:$N)</f>
        <v>54.371250000000003</v>
      </c>
      <c r="AS111" s="294">
        <f t="shared" si="13"/>
        <v>123538.5606974953</v>
      </c>
    </row>
    <row r="112" spans="1:45">
      <c r="A112" s="293">
        <f t="shared" si="14"/>
        <v>45855</v>
      </c>
      <c r="B112" s="294">
        <f>YEAR(Daily_KPI[[#This Row],[Date]])+IF(MONTH(Daily_KPI[[#This Row],[Date]])&gt;=4,1,0)</f>
        <v>2026</v>
      </c>
      <c r="C112" s="295">
        <f>YEAR(Daily_KPI[[#This Row],[Date]])</f>
        <v>2025</v>
      </c>
      <c r="D112" s="296">
        <f>Daily_KPI[[#This Row],[Date]]-DAY(Daily_KPI[[#This Row],[Date]])+1</f>
        <v>45839</v>
      </c>
      <c r="E112" s="295">
        <f t="shared" si="10"/>
        <v>31</v>
      </c>
      <c r="F112" s="297">
        <f>IFERROR(_xlfn.XLOOKUP($A112,Input_Raw!$A:$A,Input_Raw!$AR:$AR),"")</f>
        <v>12.3</v>
      </c>
      <c r="G112" s="298">
        <f>IFERROR(_xlfn.XLOOKUP($A112,Input_Raw!$A:$A,Input_Raw!$R:$R),"")</f>
        <v>3.4003000000000001</v>
      </c>
      <c r="H112" s="298"/>
      <c r="I112" s="298">
        <f>IFERROR(_xlfn.XLOOKUP($A112,Input_Raw!$A:$A,Input_Raw!$Q:$Q),"")</f>
        <v>3.3351999999999999</v>
      </c>
      <c r="J112" s="298"/>
      <c r="K112" s="298">
        <f>IFERROR(_xlfn.XLOOKUP($A112,Input_Raw!$A:$A,Input_Raw!S:S),"")</f>
        <v>28.7698</v>
      </c>
      <c r="L112" s="298">
        <f>IFERROR(_xlfn.XLOOKUP($A112,Input_Raw!$A:$A,Input_Raw!T:T),"")</f>
        <v>33.726300000000002</v>
      </c>
      <c r="M112" s="298">
        <f>IFERROR(_xlfn.XLOOKUP($A112,Input_Raw!$A:$A,Input_Raw!W:W),"")</f>
        <v>2.9517000000000002</v>
      </c>
      <c r="N112" s="298">
        <f>IFERROR(_xlfn.XLOOKUP($A112,Input_Raw!$A:$A,Input_Raw!X:X),"")</f>
        <v>6.99</v>
      </c>
      <c r="O112" s="299">
        <f>IFERROR(1-(SUMIF(Plant_BD!$B:$B,$A112,Plant_BD!$AL:$AL)/($AA112+SUMIF(Plant_BD!$B:$B,$A112,Plant_BD!$AL:$AL))),"")</f>
        <v>1</v>
      </c>
      <c r="P112" s="299"/>
      <c r="Q112" s="300"/>
      <c r="R112" s="299">
        <f>IFERROR(1-(SUMIF(Grid_BD!$B:$B,$A112,Grid_BD!$V:$V)/($AA112+SUMIF(Grid_BD!$B:$B,$A112,Grid_BD!$V:$V))),"")</f>
        <v>1</v>
      </c>
      <c r="S112" s="295"/>
      <c r="T112" s="300"/>
      <c r="U112" s="301">
        <f t="shared" si="11"/>
        <v>0.91153823561138647</v>
      </c>
      <c r="V112" s="301" t="str">
        <f>IFERROR(_xlfn.XLOOKUP($A112,Input_Raw!$A:$A,Input_Raw!$AX:$AX),"")</f>
        <v/>
      </c>
      <c r="W112" s="302">
        <f t="shared" si="12"/>
        <v>9.135094734575494E-2</v>
      </c>
      <c r="X112" s="294">
        <f>IFERROR(_xlfn.XLOOKUP($A112,Input_Raw!$A:$A,Input_Raw!$AA:$AA),"")</f>
        <v>121352.79999999999</v>
      </c>
      <c r="Y112" s="294">
        <f>IFERROR(_xlfn.XLOOKUP($A112,Input_Raw!$A:$A,Input_Raw!$AS:$AS),"")</f>
        <v>120000</v>
      </c>
      <c r="Z112" s="294"/>
      <c r="AA112" s="294">
        <f>IFERROR(_xlfn.XLOOKUP($A112,Input_Raw!$A:$A,Input_Raw!$AT:$AT),"")</f>
        <v>119204.76470094908</v>
      </c>
      <c r="AB112" s="294">
        <f>IFERROR(_xlfn.XLOOKUP($A112,Input_Raw!$A:$A,Input_Raw!$AU:$AU),"")</f>
        <v>39.21</v>
      </c>
      <c r="AC112" s="303">
        <f>IFERROR(_xlfn.XLOOKUP($D112,'Modelling New'!$D:$D,'Modelling New'!P:P),"")</f>
        <v>3.8096774193548386</v>
      </c>
      <c r="AD112" s="294">
        <f>IFERROR(_xlfn.XLOOKUP($D112,'Modelling New'!$D:$D,'Modelling New'!T:T)*1000,"")</f>
        <v>171306.96170170087</v>
      </c>
      <c r="AE112" s="304">
        <f>IFERROR(_xlfn.XLOOKUP($D112,'Modelling New'!$D:$D,'Modelling New'!$O:$O),"")</f>
        <v>0.82702281611841366</v>
      </c>
      <c r="AF112" s="304">
        <f>IFERROR(_xlfn.XLOOKUP($D112,'Modelling New'!$D:$D,'Modelling New'!$W:$W),"")</f>
        <v>0.13127875616073204</v>
      </c>
      <c r="AG112" s="304">
        <f>IFERROR(_xlfn.XLOOKUP($D112,'Modelling New'!$D:$D,'Modelling New'!$AE:$AE),"")</f>
        <v>0.995</v>
      </c>
      <c r="AH112" s="304">
        <f>IFERROR(_xlfn.XLOOKUP($D112,'Modelling New'!$D:$D,'Modelling New'!$AF:$AF),"")</f>
        <v>0.995</v>
      </c>
      <c r="AI112" s="295"/>
      <c r="AJ112" s="295"/>
      <c r="AK112" s="295"/>
      <c r="AL112" s="295"/>
      <c r="AM112" s="295"/>
      <c r="AN112" s="305"/>
      <c r="AO112" s="302"/>
      <c r="AP112" s="302"/>
      <c r="AQ112" s="302"/>
      <c r="AR112" s="294">
        <f>_xlfn.XLOOKUP($D112,'Modelling New'!$D:$D,'Modelling New'!$N:$N)</f>
        <v>54.371250000000003</v>
      </c>
      <c r="AS112" s="294">
        <f t="shared" si="13"/>
        <v>123538.5606974953</v>
      </c>
    </row>
    <row r="113" spans="1:45">
      <c r="A113" s="293">
        <f t="shared" si="14"/>
        <v>45856</v>
      </c>
      <c r="B113" s="294">
        <f>YEAR(Daily_KPI[[#This Row],[Date]])+IF(MONTH(Daily_KPI[[#This Row],[Date]])&gt;=4,1,0)</f>
        <v>2026</v>
      </c>
      <c r="C113" s="295">
        <f>YEAR(Daily_KPI[[#This Row],[Date]])</f>
        <v>2025</v>
      </c>
      <c r="D113" s="296">
        <f>Daily_KPI[[#This Row],[Date]]-DAY(Daily_KPI[[#This Row],[Date]])+1</f>
        <v>45839</v>
      </c>
      <c r="E113" s="295">
        <f t="shared" si="10"/>
        <v>31</v>
      </c>
      <c r="F113" s="297">
        <f>IFERROR(_xlfn.XLOOKUP($A113,Input_Raw!$A:$A,Input_Raw!$AR:$AR),"")</f>
        <v>12.233333333333333</v>
      </c>
      <c r="G113" s="298">
        <f>IFERROR(_xlfn.XLOOKUP($A113,Input_Raw!$A:$A,Input_Raw!$R:$R),"")</f>
        <v>4.2159000000000004</v>
      </c>
      <c r="H113" s="298"/>
      <c r="I113" s="298">
        <f>IFERROR(_xlfn.XLOOKUP($A113,Input_Raw!$A:$A,Input_Raw!$Q:$Q),"")</f>
        <v>4.1150000000000002</v>
      </c>
      <c r="J113" s="298"/>
      <c r="K113" s="298">
        <f>IFERROR(_xlfn.XLOOKUP($A113,Input_Raw!$A:$A,Input_Raw!S:S),"")</f>
        <v>29.761299999999999</v>
      </c>
      <c r="L113" s="298">
        <f>IFERROR(_xlfn.XLOOKUP($A113,Input_Raw!$A:$A,Input_Raw!T:T),"")</f>
        <v>36.2562</v>
      </c>
      <c r="M113" s="298">
        <f>IFERROR(_xlfn.XLOOKUP($A113,Input_Raw!$A:$A,Input_Raw!W:W),"")</f>
        <v>3.0301</v>
      </c>
      <c r="N113" s="298">
        <f>IFERROR(_xlfn.XLOOKUP($A113,Input_Raw!$A:$A,Input_Raw!X:X),"")</f>
        <v>8.6300000000000008</v>
      </c>
      <c r="O113" s="299">
        <f>IFERROR(1-(SUMIF(Plant_BD!$B:$B,$A113,Plant_BD!$AL:$AL)/($AA113+SUMIF(Plant_BD!$B:$B,$A113,Plant_BD!$AL:$AL))),"")</f>
        <v>0.98619568942920721</v>
      </c>
      <c r="P113" s="299"/>
      <c r="Q113" s="300"/>
      <c r="R113" s="299">
        <f>IFERROR(1-(SUMIF(Grid_BD!$B:$B,$A113,Grid_BD!$V:$V)/($AA113+SUMIF(Grid_BD!$B:$B,$A113,Grid_BD!$V:$V))),"")</f>
        <v>1</v>
      </c>
      <c r="S113" s="295"/>
      <c r="T113" s="300"/>
      <c r="U113" s="301">
        <f t="shared" si="11"/>
        <v>0.88465947475222184</v>
      </c>
      <c r="V113" s="301" t="str">
        <f>IFERROR(_xlfn.XLOOKUP($A113,Input_Raw!$A:$A,Input_Raw!$AX:$AX),"")</f>
        <v/>
      </c>
      <c r="W113" s="302">
        <f t="shared" si="12"/>
        <v>0.10938612953438741</v>
      </c>
      <c r="X113" s="294">
        <f>IFERROR(_xlfn.XLOOKUP($A113,Input_Raw!$A:$A,Input_Raw!$AA:$AA),"")</f>
        <v>145764.40000000002</v>
      </c>
      <c r="Y113" s="294">
        <f>IFERROR(_xlfn.XLOOKUP($A113,Input_Raw!$A:$A,Input_Raw!$AS:$AS),"")</f>
        <v>144000</v>
      </c>
      <c r="Z113" s="294"/>
      <c r="AA113" s="294">
        <f>IFERROR(_xlfn.XLOOKUP($A113,Input_Raw!$A:$A,Input_Raw!$AT:$AT),"")</f>
        <v>142739.05429071747</v>
      </c>
      <c r="AB113" s="294">
        <f>IFERROR(_xlfn.XLOOKUP($A113,Input_Raw!$A:$A,Input_Raw!$AU:$AU),"")</f>
        <v>39.21</v>
      </c>
      <c r="AC113" s="303">
        <f>IFERROR(_xlfn.XLOOKUP($D113,'Modelling New'!$D:$D,'Modelling New'!P:P),"")</f>
        <v>3.8096774193548386</v>
      </c>
      <c r="AD113" s="294">
        <f>IFERROR(_xlfn.XLOOKUP($D113,'Modelling New'!$D:$D,'Modelling New'!T:T)*1000,"")</f>
        <v>171306.96170170087</v>
      </c>
      <c r="AE113" s="304">
        <f>IFERROR(_xlfn.XLOOKUP($D113,'Modelling New'!$D:$D,'Modelling New'!$O:$O),"")</f>
        <v>0.82702281611841366</v>
      </c>
      <c r="AF113" s="304">
        <f>IFERROR(_xlfn.XLOOKUP($D113,'Modelling New'!$D:$D,'Modelling New'!$W:$W),"")</f>
        <v>0.13127875616073204</v>
      </c>
      <c r="AG113" s="304">
        <f>IFERROR(_xlfn.XLOOKUP($D113,'Modelling New'!$D:$D,'Modelling New'!$AE:$AE),"")</f>
        <v>0.995</v>
      </c>
      <c r="AH113" s="304">
        <f>IFERROR(_xlfn.XLOOKUP($D113,'Modelling New'!$D:$D,'Modelling New'!$AF:$AF),"")</f>
        <v>0.995</v>
      </c>
      <c r="AI113" s="295"/>
      <c r="AJ113" s="295"/>
      <c r="AK113" s="295"/>
      <c r="AL113" s="295"/>
      <c r="AM113" s="295"/>
      <c r="AN113" s="305"/>
      <c r="AO113" s="302"/>
      <c r="AP113" s="302"/>
      <c r="AQ113" s="302"/>
      <c r="AR113" s="294">
        <f>_xlfn.XLOOKUP($D113,'Modelling New'!$D:$D,'Modelling New'!$N:$N)</f>
        <v>54.371250000000003</v>
      </c>
      <c r="AS113" s="294">
        <f t="shared" si="13"/>
        <v>123538.5606974953</v>
      </c>
    </row>
    <row r="114" spans="1:45">
      <c r="A114" s="293">
        <f t="shared" si="14"/>
        <v>45857</v>
      </c>
      <c r="B114" s="294">
        <f>YEAR(Daily_KPI[[#This Row],[Date]])+IF(MONTH(Daily_KPI[[#This Row],[Date]])&gt;=4,1,0)</f>
        <v>2026</v>
      </c>
      <c r="C114" s="295">
        <f>YEAR(Daily_KPI[[#This Row],[Date]])</f>
        <v>2025</v>
      </c>
      <c r="D114" s="296">
        <f>Daily_KPI[[#This Row],[Date]]-DAY(Daily_KPI[[#This Row],[Date]])+1</f>
        <v>45839</v>
      </c>
      <c r="E114" s="295">
        <f t="shared" si="10"/>
        <v>31</v>
      </c>
      <c r="F114" s="297">
        <f>IFERROR(_xlfn.XLOOKUP($A114,Input_Raw!$A:$A,Input_Raw!$AR:$AR),"")</f>
        <v>12.416666666666668</v>
      </c>
      <c r="G114" s="298">
        <f>IFERROR(_xlfn.XLOOKUP($A114,Input_Raw!$A:$A,Input_Raw!$R:$R),"")</f>
        <v>6.3949999999999996</v>
      </c>
      <c r="H114" s="298"/>
      <c r="I114" s="298">
        <f>IFERROR(_xlfn.XLOOKUP($A114,Input_Raw!$A:$A,Input_Raw!$Q:$Q),"")</f>
        <v>6.1589999999999998</v>
      </c>
      <c r="J114" s="298"/>
      <c r="K114" s="298">
        <f>IFERROR(_xlfn.XLOOKUP($A114,Input_Raw!$A:$A,Input_Raw!S:S),"")</f>
        <v>30.890999999999998</v>
      </c>
      <c r="L114" s="298">
        <f>IFERROR(_xlfn.XLOOKUP($A114,Input_Raw!$A:$A,Input_Raw!T:T),"")</f>
        <v>41.683</v>
      </c>
      <c r="M114" s="298">
        <f>IFERROR(_xlfn.XLOOKUP($A114,Input_Raw!$A:$A,Input_Raw!W:W),"")</f>
        <v>2.9390000000000001</v>
      </c>
      <c r="N114" s="298">
        <f>IFERROR(_xlfn.XLOOKUP($A114,Input_Raw!$A:$A,Input_Raw!X:X),"")</f>
        <v>7.36</v>
      </c>
      <c r="O114" s="299">
        <f>IFERROR(1-(SUMIF(Plant_BD!$B:$B,$A114,Plant_BD!$AL:$AL)/($AA114+SUMIF(Plant_BD!$B:$B,$A114,Plant_BD!$AL:$AL))),"")</f>
        <v>1</v>
      </c>
      <c r="P114" s="299"/>
      <c r="Q114" s="300"/>
      <c r="R114" s="299">
        <f>IFERROR(1-(SUMIF(Grid_BD!$B:$B,$A114,Grid_BD!$V:$V)/($AA114+SUMIF(Grid_BD!$B:$B,$A114,Grid_BD!$V:$V))),"")</f>
        <v>1</v>
      </c>
      <c r="S114" s="295"/>
      <c r="T114" s="300"/>
      <c r="U114" s="301">
        <f t="shared" si="11"/>
        <v>0.82429029850746538</v>
      </c>
      <c r="V114" s="301" t="str">
        <f>IFERROR(_xlfn.XLOOKUP($A114,Input_Raw!$A:$A,Input_Raw!$AX:$AX),"")</f>
        <v/>
      </c>
      <c r="W114" s="302">
        <f t="shared" si="12"/>
        <v>0.15254805528425583</v>
      </c>
      <c r="X114" s="294">
        <f>IFERROR(_xlfn.XLOOKUP($A114,Input_Raw!$A:$A,Input_Raw!$AA:$AA),"")</f>
        <v>202865.5</v>
      </c>
      <c r="Y114" s="294">
        <f>IFERROR(_xlfn.XLOOKUP($A114,Input_Raw!$A:$A,Input_Raw!$AS:$AS),"")</f>
        <v>201000</v>
      </c>
      <c r="Z114" s="294"/>
      <c r="AA114" s="294">
        <f>IFERROR(_xlfn.XLOOKUP($A114,Input_Raw!$A:$A,Input_Raw!$AT:$AT),"")</f>
        <v>199061.48282097827</v>
      </c>
      <c r="AB114" s="294">
        <f>IFERROR(_xlfn.XLOOKUP($A114,Input_Raw!$A:$A,Input_Raw!$AU:$AU),"")</f>
        <v>39.21</v>
      </c>
      <c r="AC114" s="303">
        <f>IFERROR(_xlfn.XLOOKUP($D114,'Modelling New'!$D:$D,'Modelling New'!P:P),"")</f>
        <v>3.8096774193548386</v>
      </c>
      <c r="AD114" s="294">
        <f>IFERROR(_xlfn.XLOOKUP($D114,'Modelling New'!$D:$D,'Modelling New'!T:T)*1000,"")</f>
        <v>171306.96170170087</v>
      </c>
      <c r="AE114" s="304">
        <f>IFERROR(_xlfn.XLOOKUP($D114,'Modelling New'!$D:$D,'Modelling New'!$O:$O),"")</f>
        <v>0.82702281611841366</v>
      </c>
      <c r="AF114" s="304">
        <f>IFERROR(_xlfn.XLOOKUP($D114,'Modelling New'!$D:$D,'Modelling New'!$W:$W),"")</f>
        <v>0.13127875616073204</v>
      </c>
      <c r="AG114" s="304">
        <f>IFERROR(_xlfn.XLOOKUP($D114,'Modelling New'!$D:$D,'Modelling New'!$AE:$AE),"")</f>
        <v>0.995</v>
      </c>
      <c r="AH114" s="304">
        <f>IFERROR(_xlfn.XLOOKUP($D114,'Modelling New'!$D:$D,'Modelling New'!$AF:$AF),"")</f>
        <v>0.995</v>
      </c>
      <c r="AI114" s="295"/>
      <c r="AJ114" s="295"/>
      <c r="AK114" s="295"/>
      <c r="AL114" s="295"/>
      <c r="AM114" s="295"/>
      <c r="AN114" s="305"/>
      <c r="AO114" s="302"/>
      <c r="AP114" s="302"/>
      <c r="AQ114" s="302"/>
      <c r="AR114" s="294">
        <f>_xlfn.XLOOKUP($D114,'Modelling New'!$D:$D,'Modelling New'!$N:$N)</f>
        <v>54.371250000000003</v>
      </c>
      <c r="AS114" s="294">
        <f t="shared" si="13"/>
        <v>123538.5606974953</v>
      </c>
    </row>
    <row r="115" spans="1:45">
      <c r="A115" s="293">
        <f t="shared" si="14"/>
        <v>45858</v>
      </c>
      <c r="B115" s="294">
        <f>YEAR(Daily_KPI[[#This Row],[Date]])+IF(MONTH(Daily_KPI[[#This Row],[Date]])&gt;=4,1,0)</f>
        <v>2026</v>
      </c>
      <c r="C115" s="295">
        <f>YEAR(Daily_KPI[[#This Row],[Date]])</f>
        <v>2025</v>
      </c>
      <c r="D115" s="296">
        <f>Daily_KPI[[#This Row],[Date]]-DAY(Daily_KPI[[#This Row],[Date]])+1</f>
        <v>45839</v>
      </c>
      <c r="E115" s="295">
        <f t="shared" si="10"/>
        <v>31</v>
      </c>
      <c r="F115" s="297">
        <f>IFERROR(_xlfn.XLOOKUP($A115,Input_Raw!$A:$A,Input_Raw!$AR:$AR),"")</f>
        <v>12.350000000000001</v>
      </c>
      <c r="G115" s="298">
        <f>IFERROR(_xlfn.XLOOKUP($A115,Input_Raw!$A:$A,Input_Raw!$R:$R),"")</f>
        <v>5.0220000000000002</v>
      </c>
      <c r="H115" s="298"/>
      <c r="I115" s="298">
        <f>IFERROR(_xlfn.XLOOKUP($A115,Input_Raw!$A:$A,Input_Raw!$Q:$Q),"")</f>
        <v>4.8470000000000004</v>
      </c>
      <c r="J115" s="298"/>
      <c r="K115" s="298">
        <f>IFERROR(_xlfn.XLOOKUP($A115,Input_Raw!$A:$A,Input_Raw!S:S),"")</f>
        <v>31.003</v>
      </c>
      <c r="L115" s="298">
        <f>IFERROR(_xlfn.XLOOKUP($A115,Input_Raw!$A:$A,Input_Raw!T:T),"")</f>
        <v>39.19</v>
      </c>
      <c r="M115" s="298">
        <f>IFERROR(_xlfn.XLOOKUP($A115,Input_Raw!$A:$A,Input_Raw!W:W),"")</f>
        <v>2.0470000000000002</v>
      </c>
      <c r="N115" s="298">
        <f>IFERROR(_xlfn.XLOOKUP($A115,Input_Raw!$A:$A,Input_Raw!X:X),"")</f>
        <v>6</v>
      </c>
      <c r="O115" s="299">
        <f>IFERROR(1-(SUMIF(Plant_BD!$B:$B,$A115,Plant_BD!$AL:$AL)/($AA115+SUMIF(Plant_BD!$B:$B,$A115,Plant_BD!$AL:$AL))),"")</f>
        <v>1</v>
      </c>
      <c r="P115" s="299"/>
      <c r="Q115" s="300"/>
      <c r="R115" s="299">
        <f>IFERROR(1-(SUMIF(Grid_BD!$B:$B,$A115,Grid_BD!$V:$V)/($AA115+SUMIF(Grid_BD!$B:$B,$A115,Grid_BD!$V:$V))),"")</f>
        <v>1</v>
      </c>
      <c r="S115" s="295"/>
      <c r="T115" s="300"/>
      <c r="U115" s="301">
        <f t="shared" si="11"/>
        <v>0.89568922817952146</v>
      </c>
      <c r="V115" s="301" t="str">
        <f>IFERROR(_xlfn.XLOOKUP($A115,Input_Raw!$A:$A,Input_Raw!$AX:$AX),"")</f>
        <v/>
      </c>
      <c r="W115" s="302">
        <f t="shared" si="12"/>
        <v>0.1304507721338227</v>
      </c>
      <c r="X115" s="294">
        <f>IFERROR(_xlfn.XLOOKUP($A115,Input_Raw!$A:$A,Input_Raw!$AA:$AA),"")</f>
        <v>172951.4</v>
      </c>
      <c r="Y115" s="294">
        <f>IFERROR(_xlfn.XLOOKUP($A115,Input_Raw!$A:$A,Input_Raw!$AS:$AS),"")</f>
        <v>171000</v>
      </c>
      <c r="Z115" s="294"/>
      <c r="AA115" s="294">
        <f>IFERROR(_xlfn.XLOOKUP($A115,Input_Raw!$A:$A,Input_Raw!$AT:$AT),"")</f>
        <v>170226.51706514659</v>
      </c>
      <c r="AB115" s="294">
        <f>IFERROR(_xlfn.XLOOKUP($A115,Input_Raw!$A:$A,Input_Raw!$AU:$AU),"")</f>
        <v>39.21</v>
      </c>
      <c r="AC115" s="303">
        <f>IFERROR(_xlfn.XLOOKUP($D115,'Modelling New'!$D:$D,'Modelling New'!P:P),"")</f>
        <v>3.8096774193548386</v>
      </c>
      <c r="AD115" s="294">
        <f>IFERROR(_xlfn.XLOOKUP($D115,'Modelling New'!$D:$D,'Modelling New'!T:T)*1000,"")</f>
        <v>171306.96170170087</v>
      </c>
      <c r="AE115" s="304">
        <f>IFERROR(_xlfn.XLOOKUP($D115,'Modelling New'!$D:$D,'Modelling New'!$O:$O),"")</f>
        <v>0.82702281611841366</v>
      </c>
      <c r="AF115" s="304">
        <f>IFERROR(_xlfn.XLOOKUP($D115,'Modelling New'!$D:$D,'Modelling New'!$W:$W),"")</f>
        <v>0.13127875616073204</v>
      </c>
      <c r="AG115" s="304">
        <f>IFERROR(_xlfn.XLOOKUP($D115,'Modelling New'!$D:$D,'Modelling New'!$AE:$AE),"")</f>
        <v>0.995</v>
      </c>
      <c r="AH115" s="304">
        <f>IFERROR(_xlfn.XLOOKUP($D115,'Modelling New'!$D:$D,'Modelling New'!$AF:$AF),"")</f>
        <v>0.995</v>
      </c>
      <c r="AI115" s="295"/>
      <c r="AJ115" s="295"/>
      <c r="AK115" s="295"/>
      <c r="AL115" s="295"/>
      <c r="AM115" s="295"/>
      <c r="AN115" s="305"/>
      <c r="AO115" s="302"/>
      <c r="AP115" s="302"/>
      <c r="AQ115" s="302"/>
      <c r="AR115" s="294">
        <f>_xlfn.XLOOKUP($D115,'Modelling New'!$D:$D,'Modelling New'!$N:$N)</f>
        <v>54.371250000000003</v>
      </c>
      <c r="AS115" s="294">
        <f t="shared" si="13"/>
        <v>123538.5606974953</v>
      </c>
    </row>
    <row r="116" spans="1:45">
      <c r="A116" s="293">
        <f t="shared" si="14"/>
        <v>45859</v>
      </c>
      <c r="B116" s="294">
        <f>YEAR(Daily_KPI[[#This Row],[Date]])+IF(MONTH(Daily_KPI[[#This Row],[Date]])&gt;=4,1,0)</f>
        <v>2026</v>
      </c>
      <c r="C116" s="295">
        <f>YEAR(Daily_KPI[[#This Row],[Date]])</f>
        <v>2025</v>
      </c>
      <c r="D116" s="296">
        <f>Daily_KPI[[#This Row],[Date]]-DAY(Daily_KPI[[#This Row],[Date]])+1</f>
        <v>45839</v>
      </c>
      <c r="E116" s="295">
        <f t="shared" si="10"/>
        <v>31</v>
      </c>
      <c r="F116" s="297">
        <f>IFERROR(_xlfn.XLOOKUP($A116,Input_Raw!$A:$A,Input_Raw!$AR:$AR),"")</f>
        <v>11.75</v>
      </c>
      <c r="G116" s="298">
        <f>IFERROR(_xlfn.XLOOKUP($A116,Input_Raw!$A:$A,Input_Raw!$R:$R),"")</f>
        <v>4.9870000000000001</v>
      </c>
      <c r="H116" s="298"/>
      <c r="I116" s="298">
        <f>IFERROR(_xlfn.XLOOKUP($A116,Input_Raw!$A:$A,Input_Raw!$Q:$Q),"")</f>
        <v>4.8570000000000002</v>
      </c>
      <c r="J116" s="298"/>
      <c r="K116" s="298">
        <f>IFERROR(_xlfn.XLOOKUP($A116,Input_Raw!$A:$A,Input_Raw!S:S),"")</f>
        <v>31.5</v>
      </c>
      <c r="L116" s="298">
        <f>IFERROR(_xlfn.XLOOKUP($A116,Input_Raw!$A:$A,Input_Raw!T:T),"")</f>
        <v>39.26</v>
      </c>
      <c r="M116" s="298">
        <f>IFERROR(_xlfn.XLOOKUP($A116,Input_Raw!$A:$A,Input_Raw!W:W),"")</f>
        <v>2.68</v>
      </c>
      <c r="N116" s="298">
        <f>IFERROR(_xlfn.XLOOKUP($A116,Input_Raw!$A:$A,Input_Raw!X:X),"")</f>
        <v>9.06</v>
      </c>
      <c r="O116" s="299">
        <f>IFERROR(1-(SUMIF(Plant_BD!$B:$B,$A116,Plant_BD!$AL:$AL)/($AA116+SUMIF(Plant_BD!$B:$B,$A116,Plant_BD!$AL:$AL))),"")</f>
        <v>1</v>
      </c>
      <c r="P116" s="299"/>
      <c r="Q116" s="300"/>
      <c r="R116" s="299">
        <f>IFERROR(1-(SUMIF(Grid_BD!$B:$B,$A116,Grid_BD!$V:$V)/($AA116+SUMIF(Grid_BD!$B:$B,$A116,Grid_BD!$V:$V))),"")</f>
        <v>1</v>
      </c>
      <c r="S116" s="295"/>
      <c r="T116" s="300"/>
      <c r="U116" s="301">
        <f t="shared" si="11"/>
        <v>0.84264487622878315</v>
      </c>
      <c r="V116" s="301" t="str">
        <f>IFERROR(_xlfn.XLOOKUP($A116,Input_Raw!$A:$A,Input_Raw!$AX:$AX),"")</f>
        <v/>
      </c>
      <c r="W116" s="302">
        <f t="shared" si="12"/>
        <v>0.1229784375047259</v>
      </c>
      <c r="X116" s="294">
        <f>IFERROR(_xlfn.XLOOKUP($A116,Input_Raw!$A:$A,Input_Raw!$AA:$AA),"")</f>
        <v>163656.1</v>
      </c>
      <c r="Y116" s="294">
        <f>IFERROR(_xlfn.XLOOKUP($A116,Input_Raw!$A:$A,Input_Raw!$AS:$AS),"")</f>
        <v>162000</v>
      </c>
      <c r="Z116" s="294"/>
      <c r="AA116" s="294">
        <f>IFERROR(_xlfn.XLOOKUP($A116,Input_Raw!$A:$A,Input_Raw!$AT:$AT),"")</f>
        <v>160475.79288429188</v>
      </c>
      <c r="AB116" s="294">
        <f>IFERROR(_xlfn.XLOOKUP($A116,Input_Raw!$A:$A,Input_Raw!$AU:$AU),"")</f>
        <v>39.21</v>
      </c>
      <c r="AC116" s="303">
        <f>IFERROR(_xlfn.XLOOKUP($D116,'Modelling New'!$D:$D,'Modelling New'!P:P),"")</f>
        <v>3.8096774193548386</v>
      </c>
      <c r="AD116" s="294">
        <f>IFERROR(_xlfn.XLOOKUP($D116,'Modelling New'!$D:$D,'Modelling New'!T:T)*1000,"")</f>
        <v>171306.96170170087</v>
      </c>
      <c r="AE116" s="304">
        <f>IFERROR(_xlfn.XLOOKUP($D116,'Modelling New'!$D:$D,'Modelling New'!$O:$O),"")</f>
        <v>0.82702281611841366</v>
      </c>
      <c r="AF116" s="304">
        <f>IFERROR(_xlfn.XLOOKUP($D116,'Modelling New'!$D:$D,'Modelling New'!$W:$W),"")</f>
        <v>0.13127875616073204</v>
      </c>
      <c r="AG116" s="304">
        <f>IFERROR(_xlfn.XLOOKUP($D116,'Modelling New'!$D:$D,'Modelling New'!$AE:$AE),"")</f>
        <v>0.995</v>
      </c>
      <c r="AH116" s="304">
        <f>IFERROR(_xlfn.XLOOKUP($D116,'Modelling New'!$D:$D,'Modelling New'!$AF:$AF),"")</f>
        <v>0.995</v>
      </c>
      <c r="AI116" s="295"/>
      <c r="AJ116" s="295"/>
      <c r="AK116" s="295"/>
      <c r="AL116" s="295"/>
      <c r="AM116" s="295"/>
      <c r="AN116" s="305"/>
      <c r="AO116" s="302"/>
      <c r="AP116" s="302"/>
      <c r="AQ116" s="302"/>
      <c r="AR116" s="294">
        <f>_xlfn.XLOOKUP($D116,'Modelling New'!$D:$D,'Modelling New'!$N:$N)</f>
        <v>54.371250000000003</v>
      </c>
      <c r="AS116" s="294">
        <f t="shared" si="13"/>
        <v>123538.5606974953</v>
      </c>
    </row>
    <row r="117" spans="1:45">
      <c r="A117" s="293">
        <f t="shared" si="14"/>
        <v>45860</v>
      </c>
      <c r="B117" s="294">
        <f>YEAR(Daily_KPI[[#This Row],[Date]])+IF(MONTH(Daily_KPI[[#This Row],[Date]])&gt;=4,1,0)</f>
        <v>2026</v>
      </c>
      <c r="C117" s="295">
        <f>YEAR(Daily_KPI[[#This Row],[Date]])</f>
        <v>2025</v>
      </c>
      <c r="D117" s="296">
        <f>Daily_KPI[[#This Row],[Date]]-DAY(Daily_KPI[[#This Row],[Date]])+1</f>
        <v>45839</v>
      </c>
      <c r="E117" s="295">
        <f t="shared" si="10"/>
        <v>31</v>
      </c>
      <c r="F117" s="297">
        <f>IFERROR(_xlfn.XLOOKUP($A117,Input_Raw!$A:$A,Input_Raw!$AR:$AR),"")</f>
        <v>11.900000000000002</v>
      </c>
      <c r="G117" s="298">
        <f>IFERROR(_xlfn.XLOOKUP($A117,Input_Raw!$A:$A,Input_Raw!$R:$R),"")</f>
        <v>3.12</v>
      </c>
      <c r="H117" s="298"/>
      <c r="I117" s="298">
        <f>IFERROR(_xlfn.XLOOKUP($A117,Input_Raw!$A:$A,Input_Raw!$Q:$Q),"")</f>
        <v>3.08</v>
      </c>
      <c r="J117" s="298"/>
      <c r="K117" s="298">
        <f>IFERROR(_xlfn.XLOOKUP($A117,Input_Raw!$A:$A,Input_Raw!S:S),"")</f>
        <v>27.93</v>
      </c>
      <c r="L117" s="298">
        <f>IFERROR(_xlfn.XLOOKUP($A117,Input_Raw!$A:$A,Input_Raw!T:T),"")</f>
        <v>32.06</v>
      </c>
      <c r="M117" s="298">
        <f>IFERROR(_xlfn.XLOOKUP($A117,Input_Raw!$A:$A,Input_Raw!W:W),"")</f>
        <v>3.61</v>
      </c>
      <c r="N117" s="298">
        <f>IFERROR(_xlfn.XLOOKUP($A117,Input_Raw!$A:$A,Input_Raw!X:X),"")</f>
        <v>7.04</v>
      </c>
      <c r="O117" s="299">
        <f>IFERROR(1-(SUMIF(Plant_BD!$B:$B,$A117,Plant_BD!$AL:$AL)/($AA117+SUMIF(Plant_BD!$B:$B,$A117,Plant_BD!$AL:$AL))),"")</f>
        <v>1</v>
      </c>
      <c r="P117" s="299"/>
      <c r="Q117" s="300"/>
      <c r="R117" s="299">
        <f>IFERROR(1-(SUMIF(Grid_BD!$B:$B,$A117,Grid_BD!$V:$V)/($AA117+SUMIF(Grid_BD!$B:$B,$A117,Grid_BD!$V:$V))),"")</f>
        <v>1</v>
      </c>
      <c r="S117" s="295"/>
      <c r="T117" s="300"/>
      <c r="U117" s="301">
        <f t="shared" si="11"/>
        <v>0.90457485044319874</v>
      </c>
      <c r="V117" s="301" t="str">
        <f>IFERROR(_xlfn.XLOOKUP($A117,Input_Raw!$A:$A,Input_Raw!$AX:$AX),"")</f>
        <v/>
      </c>
      <c r="W117" s="302">
        <f t="shared" si="12"/>
        <v>8.3716585855349177E-2</v>
      </c>
      <c r="X117" s="294">
        <f>IFERROR(_xlfn.XLOOKUP($A117,Input_Raw!$A:$A,Input_Raw!$AA:$AA),"")</f>
        <v>111031.7</v>
      </c>
      <c r="Y117" s="294">
        <f>IFERROR(_xlfn.XLOOKUP($A117,Input_Raw!$A:$A,Input_Raw!$AS:$AS),"")</f>
        <v>111000</v>
      </c>
      <c r="Z117" s="294"/>
      <c r="AA117" s="294">
        <f>IFERROR(_xlfn.XLOOKUP($A117,Input_Raw!$A:$A,Input_Raw!$AT:$AT),"")</f>
        <v>109242.6100485037</v>
      </c>
      <c r="AB117" s="294">
        <f>IFERROR(_xlfn.XLOOKUP($A117,Input_Raw!$A:$A,Input_Raw!$AU:$AU),"")</f>
        <v>39.21</v>
      </c>
      <c r="AC117" s="303">
        <f>IFERROR(_xlfn.XLOOKUP($D117,'Modelling New'!$D:$D,'Modelling New'!P:P),"")</f>
        <v>3.8096774193548386</v>
      </c>
      <c r="AD117" s="294">
        <f>IFERROR(_xlfn.XLOOKUP($D117,'Modelling New'!$D:$D,'Modelling New'!T:T)*1000,"")</f>
        <v>171306.96170170087</v>
      </c>
      <c r="AE117" s="304">
        <f>IFERROR(_xlfn.XLOOKUP($D117,'Modelling New'!$D:$D,'Modelling New'!$O:$O),"")</f>
        <v>0.82702281611841366</v>
      </c>
      <c r="AF117" s="304">
        <f>IFERROR(_xlfn.XLOOKUP($D117,'Modelling New'!$D:$D,'Modelling New'!$W:$W),"")</f>
        <v>0.13127875616073204</v>
      </c>
      <c r="AG117" s="304">
        <f>IFERROR(_xlfn.XLOOKUP($D117,'Modelling New'!$D:$D,'Modelling New'!$AE:$AE),"")</f>
        <v>0.995</v>
      </c>
      <c r="AH117" s="304">
        <f>IFERROR(_xlfn.XLOOKUP($D117,'Modelling New'!$D:$D,'Modelling New'!$AF:$AF),"")</f>
        <v>0.995</v>
      </c>
      <c r="AI117" s="295"/>
      <c r="AJ117" s="295"/>
      <c r="AK117" s="295"/>
      <c r="AL117" s="295"/>
      <c r="AM117" s="295"/>
      <c r="AN117" s="305"/>
      <c r="AO117" s="302"/>
      <c r="AP117" s="302"/>
      <c r="AQ117" s="302"/>
      <c r="AR117" s="294">
        <f>_xlfn.XLOOKUP($D117,'Modelling New'!$D:$D,'Modelling New'!$N:$N)</f>
        <v>54.371250000000003</v>
      </c>
      <c r="AS117" s="294">
        <f t="shared" si="13"/>
        <v>123538.5606974953</v>
      </c>
    </row>
    <row r="118" spans="1:45">
      <c r="A118" s="293">
        <f t="shared" si="14"/>
        <v>45861</v>
      </c>
      <c r="B118" s="294">
        <f>YEAR(Daily_KPI[[#This Row],[Date]])+IF(MONTH(Daily_KPI[[#This Row],[Date]])&gt;=4,1,0)</f>
        <v>2026</v>
      </c>
      <c r="C118" s="295">
        <f>YEAR(Daily_KPI[[#This Row],[Date]])</f>
        <v>2025</v>
      </c>
      <c r="D118" s="296">
        <f>Daily_KPI[[#This Row],[Date]]-DAY(Daily_KPI[[#This Row],[Date]])+1</f>
        <v>45839</v>
      </c>
      <c r="E118" s="295">
        <f t="shared" si="10"/>
        <v>31</v>
      </c>
      <c r="F118" s="297">
        <f>IFERROR(_xlfn.XLOOKUP($A118,Input_Raw!$A:$A,Input_Raw!$AR:$AR),"")</f>
        <v>11.7</v>
      </c>
      <c r="G118" s="298">
        <f>IFERROR(_xlfn.XLOOKUP($A118,Input_Raw!$A:$A,Input_Raw!$R:$R),"")</f>
        <v>4.0659999999999998</v>
      </c>
      <c r="H118" s="298"/>
      <c r="I118" s="298">
        <f>IFERROR(_xlfn.XLOOKUP($A118,Input_Raw!$A:$A,Input_Raw!$Q:$Q),"")</f>
        <v>4.024</v>
      </c>
      <c r="J118" s="298"/>
      <c r="K118" s="298">
        <f>IFERROR(_xlfn.XLOOKUP($A118,Input_Raw!$A:$A,Input_Raw!S:S),"")</f>
        <v>29.24</v>
      </c>
      <c r="L118" s="298">
        <f>IFERROR(_xlfn.XLOOKUP($A118,Input_Raw!$A:$A,Input_Raw!T:T),"")</f>
        <v>35.19</v>
      </c>
      <c r="M118" s="298">
        <f>IFERROR(_xlfn.XLOOKUP($A118,Input_Raw!$A:$A,Input_Raw!W:W),"")</f>
        <v>4.3860000000000001</v>
      </c>
      <c r="N118" s="298">
        <f>IFERROR(_xlfn.XLOOKUP($A118,Input_Raw!$A:$A,Input_Raw!X:X),"")</f>
        <v>9.6999999999999993</v>
      </c>
      <c r="O118" s="299">
        <f>IFERROR(1-(SUMIF(Plant_BD!$B:$B,$A118,Plant_BD!$AL:$AL)/($AA118+SUMIF(Plant_BD!$B:$B,$A118,Plant_BD!$AL:$AL))),"")</f>
        <v>0.94888077290218265</v>
      </c>
      <c r="P118" s="299"/>
      <c r="Q118" s="300"/>
      <c r="R118" s="299">
        <f>IFERROR(1-(SUMIF(Grid_BD!$B:$B,$A118,Grid_BD!$V:$V)/($AA118+SUMIF(Grid_BD!$B:$B,$A118,Grid_BD!$V:$V))),"")</f>
        <v>1</v>
      </c>
      <c r="S118" s="295"/>
      <c r="T118" s="300"/>
      <c r="U118" s="301">
        <f t="shared" si="11"/>
        <v>0.83361296474683222</v>
      </c>
      <c r="V118" s="301" t="str">
        <f>IFERROR(_xlfn.XLOOKUP($A118,Input_Raw!$A:$A,Input_Raw!$AX:$AX),"")</f>
        <v/>
      </c>
      <c r="W118" s="302">
        <f t="shared" si="12"/>
        <v>0.10079493645940218</v>
      </c>
      <c r="X118" s="294">
        <f>IFERROR(_xlfn.XLOOKUP($A118,Input_Raw!$A:$A,Input_Raw!$AA:$AA),"")</f>
        <v>134055.5</v>
      </c>
      <c r="Y118" s="294">
        <f>IFERROR(_xlfn.XLOOKUP($A118,Input_Raw!$A:$A,Input_Raw!$AS:$AS),"")</f>
        <v>132000</v>
      </c>
      <c r="Z118" s="294"/>
      <c r="AA118" s="294">
        <f>IFERROR(_xlfn.XLOOKUP($A118,Input_Raw!$A:$A,Input_Raw!$AT:$AT),"")</f>
        <v>131528.32053523851</v>
      </c>
      <c r="AB118" s="294">
        <f>IFERROR(_xlfn.XLOOKUP($A118,Input_Raw!$A:$A,Input_Raw!$AU:$AU),"")</f>
        <v>39.21</v>
      </c>
      <c r="AC118" s="303">
        <f>IFERROR(_xlfn.XLOOKUP($D118,'Modelling New'!$D:$D,'Modelling New'!P:P),"")</f>
        <v>3.8096774193548386</v>
      </c>
      <c r="AD118" s="294">
        <f>IFERROR(_xlfn.XLOOKUP($D118,'Modelling New'!$D:$D,'Modelling New'!T:T)*1000,"")</f>
        <v>171306.96170170087</v>
      </c>
      <c r="AE118" s="304">
        <f>IFERROR(_xlfn.XLOOKUP($D118,'Modelling New'!$D:$D,'Modelling New'!$O:$O),"")</f>
        <v>0.82702281611841366</v>
      </c>
      <c r="AF118" s="304">
        <f>IFERROR(_xlfn.XLOOKUP($D118,'Modelling New'!$D:$D,'Modelling New'!$W:$W),"")</f>
        <v>0.13127875616073204</v>
      </c>
      <c r="AG118" s="304">
        <f>IFERROR(_xlfn.XLOOKUP($D118,'Modelling New'!$D:$D,'Modelling New'!$AE:$AE),"")</f>
        <v>0.995</v>
      </c>
      <c r="AH118" s="304">
        <f>IFERROR(_xlfn.XLOOKUP($D118,'Modelling New'!$D:$D,'Modelling New'!$AF:$AF),"")</f>
        <v>0.995</v>
      </c>
      <c r="AI118" s="295"/>
      <c r="AJ118" s="295"/>
      <c r="AK118" s="295"/>
      <c r="AL118" s="295"/>
      <c r="AM118" s="295"/>
      <c r="AN118" s="305"/>
      <c r="AO118" s="302"/>
      <c r="AP118" s="302"/>
      <c r="AQ118" s="302"/>
      <c r="AR118" s="294">
        <f>_xlfn.XLOOKUP($D118,'Modelling New'!$D:$D,'Modelling New'!$N:$N)</f>
        <v>54.371250000000003</v>
      </c>
      <c r="AS118" s="294">
        <f t="shared" si="13"/>
        <v>123538.5606974953</v>
      </c>
    </row>
    <row r="119" spans="1:45">
      <c r="A119" s="293">
        <f t="shared" si="14"/>
        <v>45862</v>
      </c>
      <c r="B119" s="294">
        <f>YEAR(Daily_KPI[[#This Row],[Date]])+IF(MONTH(Daily_KPI[[#This Row],[Date]])&gt;=4,1,0)</f>
        <v>2026</v>
      </c>
      <c r="C119" s="295">
        <f>YEAR(Daily_KPI[[#This Row],[Date]])</f>
        <v>2025</v>
      </c>
      <c r="D119" s="296">
        <f>Daily_KPI[[#This Row],[Date]]-DAY(Daily_KPI[[#This Row],[Date]])+1</f>
        <v>45839</v>
      </c>
      <c r="E119" s="295">
        <f t="shared" si="10"/>
        <v>31</v>
      </c>
      <c r="F119" s="297">
        <f>IFERROR(_xlfn.XLOOKUP($A119,Input_Raw!$A:$A,Input_Raw!$AR:$AR),"")</f>
        <v>11.266666666666666</v>
      </c>
      <c r="G119" s="298">
        <f>IFERROR(_xlfn.XLOOKUP($A119,Input_Raw!$A:$A,Input_Raw!$R:$R),"")</f>
        <v>2.2189999999999999</v>
      </c>
      <c r="H119" s="298"/>
      <c r="I119" s="298">
        <f>IFERROR(_xlfn.XLOOKUP($A119,Input_Raw!$A:$A,Input_Raw!$Q:$Q),"")</f>
        <v>2.198</v>
      </c>
      <c r="J119" s="298"/>
      <c r="K119" s="298">
        <f>IFERROR(_xlfn.XLOOKUP($A119,Input_Raw!$A:$A,Input_Raw!S:S),"")</f>
        <v>27.074999999999999</v>
      </c>
      <c r="L119" s="298">
        <f>IFERROR(_xlfn.XLOOKUP($A119,Input_Raw!$A:$A,Input_Raw!T:T),"")</f>
        <v>30.138000000000002</v>
      </c>
      <c r="M119" s="298">
        <f>IFERROR(_xlfn.XLOOKUP($A119,Input_Raw!$A:$A,Input_Raw!W:W),"")</f>
        <v>3.9169999999999998</v>
      </c>
      <c r="N119" s="298">
        <f>IFERROR(_xlfn.XLOOKUP($A119,Input_Raw!$A:$A,Input_Raw!X:X),"")</f>
        <v>8.73</v>
      </c>
      <c r="O119" s="299">
        <f>IFERROR(1-(SUMIF(Plant_BD!$B:$B,$A119,Plant_BD!$AL:$AL)/($AA119+SUMIF(Plant_BD!$B:$B,$A119,Plant_BD!$AL:$AL))),"")</f>
        <v>1</v>
      </c>
      <c r="P119" s="299"/>
      <c r="Q119" s="300"/>
      <c r="R119" s="299">
        <f>IFERROR(1-(SUMIF(Grid_BD!$B:$B,$A119,Grid_BD!$V:$V)/($AA119+SUMIF(Grid_BD!$B:$B,$A119,Grid_BD!$V:$V))),"")</f>
        <v>1</v>
      </c>
      <c r="S119" s="295"/>
      <c r="T119" s="300"/>
      <c r="U119" s="301">
        <f t="shared" si="11"/>
        <v>0.93155634237714791</v>
      </c>
      <c r="V119" s="301" t="str">
        <f>IFERROR(_xlfn.XLOOKUP($A119,Input_Raw!$A:$A,Input_Raw!$AX:$AX),"")</f>
        <v/>
      </c>
      <c r="W119" s="302">
        <f t="shared" si="12"/>
        <v>6.1525209062516434E-2</v>
      </c>
      <c r="X119" s="294">
        <f>IFERROR(_xlfn.XLOOKUP($A119,Input_Raw!$A:$A,Input_Raw!$AA:$AA),"")</f>
        <v>82273.3</v>
      </c>
      <c r="Y119" s="294">
        <f>IFERROR(_xlfn.XLOOKUP($A119,Input_Raw!$A:$A,Input_Raw!$AS:$AS),"")</f>
        <v>82000</v>
      </c>
      <c r="Z119" s="294"/>
      <c r="AA119" s="294">
        <f>IFERROR(_xlfn.XLOOKUP($A119,Input_Raw!$A:$A,Input_Raw!$AT:$AT),"")</f>
        <v>80284.860557768319</v>
      </c>
      <c r="AB119" s="294">
        <f>IFERROR(_xlfn.XLOOKUP($A119,Input_Raw!$A:$A,Input_Raw!$AU:$AU),"")</f>
        <v>39.21</v>
      </c>
      <c r="AC119" s="303">
        <f>IFERROR(_xlfn.XLOOKUP($D119,'Modelling New'!$D:$D,'Modelling New'!P:P),"")</f>
        <v>3.8096774193548386</v>
      </c>
      <c r="AD119" s="294">
        <f>IFERROR(_xlfn.XLOOKUP($D119,'Modelling New'!$D:$D,'Modelling New'!T:T)*1000,"")</f>
        <v>171306.96170170087</v>
      </c>
      <c r="AE119" s="304">
        <f>IFERROR(_xlfn.XLOOKUP($D119,'Modelling New'!$D:$D,'Modelling New'!$O:$O),"")</f>
        <v>0.82702281611841366</v>
      </c>
      <c r="AF119" s="304">
        <f>IFERROR(_xlfn.XLOOKUP($D119,'Modelling New'!$D:$D,'Modelling New'!$W:$W),"")</f>
        <v>0.13127875616073204</v>
      </c>
      <c r="AG119" s="304">
        <f>IFERROR(_xlfn.XLOOKUP($D119,'Modelling New'!$D:$D,'Modelling New'!$AE:$AE),"")</f>
        <v>0.995</v>
      </c>
      <c r="AH119" s="304">
        <f>IFERROR(_xlfn.XLOOKUP($D119,'Modelling New'!$D:$D,'Modelling New'!$AF:$AF),"")</f>
        <v>0.995</v>
      </c>
      <c r="AI119" s="295"/>
      <c r="AJ119" s="295"/>
      <c r="AK119" s="295"/>
      <c r="AL119" s="295"/>
      <c r="AM119" s="295"/>
      <c r="AN119" s="305"/>
      <c r="AO119" s="302"/>
      <c r="AP119" s="302"/>
      <c r="AQ119" s="302"/>
      <c r="AR119" s="294">
        <f>_xlfn.XLOOKUP($D119,'Modelling New'!$D:$D,'Modelling New'!$N:$N)</f>
        <v>54.371250000000003</v>
      </c>
      <c r="AS119" s="294">
        <f t="shared" si="13"/>
        <v>123538.5606974953</v>
      </c>
    </row>
    <row r="120" spans="1:45">
      <c r="A120" s="293">
        <f t="shared" si="14"/>
        <v>45863</v>
      </c>
      <c r="B120" s="294">
        <f>YEAR(Daily_KPI[[#This Row],[Date]])+IF(MONTH(Daily_KPI[[#This Row],[Date]])&gt;=4,1,0)</f>
        <v>2026</v>
      </c>
      <c r="C120" s="295">
        <f>YEAR(Daily_KPI[[#This Row],[Date]])</f>
        <v>2025</v>
      </c>
      <c r="D120" s="296">
        <f>Daily_KPI[[#This Row],[Date]]-DAY(Daily_KPI[[#This Row],[Date]])+1</f>
        <v>45839</v>
      </c>
      <c r="E120" s="295">
        <f t="shared" si="10"/>
        <v>31</v>
      </c>
      <c r="F120" s="297">
        <f>IFERROR(_xlfn.XLOOKUP($A120,Input_Raw!$A:$A,Input_Raw!$AR:$AR),"")</f>
        <v>10.766666666666667</v>
      </c>
      <c r="G120" s="298">
        <f>IFERROR(_xlfn.XLOOKUP($A120,Input_Raw!$A:$A,Input_Raw!$R:$R),"")</f>
        <v>1.6559999999999999</v>
      </c>
      <c r="H120" s="298"/>
      <c r="I120" s="298">
        <f>IFERROR(_xlfn.XLOOKUP($A120,Input_Raw!$A:$A,Input_Raw!$Q:$Q),"")</f>
        <v>1.6439999999999999</v>
      </c>
      <c r="J120" s="298"/>
      <c r="K120" s="298">
        <f>IFERROR(_xlfn.XLOOKUP($A120,Input_Raw!$A:$A,Input_Raw!S:S),"")</f>
        <v>26.059000000000001</v>
      </c>
      <c r="L120" s="298">
        <f>IFERROR(_xlfn.XLOOKUP($A120,Input_Raw!$A:$A,Input_Raw!T:T),"")</f>
        <v>28.321000000000002</v>
      </c>
      <c r="M120" s="298">
        <f>IFERROR(_xlfn.XLOOKUP($A120,Input_Raw!$A:$A,Input_Raw!W:W),"")</f>
        <v>2.5449999999999999</v>
      </c>
      <c r="N120" s="298">
        <f>IFERROR(_xlfn.XLOOKUP($A120,Input_Raw!$A:$A,Input_Raw!X:X),"")</f>
        <v>7.64</v>
      </c>
      <c r="O120" s="299">
        <f>IFERROR(1-(SUMIF(Plant_BD!$B:$B,$A120,Plant_BD!$AL:$AL)/($AA120+SUMIF(Plant_BD!$B:$B,$A120,Plant_BD!$AL:$AL))),"")</f>
        <v>1</v>
      </c>
      <c r="P120" s="299"/>
      <c r="Q120" s="300"/>
      <c r="R120" s="299">
        <f>IFERROR(1-(SUMIF(Grid_BD!$B:$B,$A120,Grid_BD!$V:$V)/($AA120+SUMIF(Grid_BD!$B:$B,$A120,Grid_BD!$V:$V))),"")</f>
        <v>1</v>
      </c>
      <c r="S120" s="295"/>
      <c r="T120" s="300"/>
      <c r="U120" s="301">
        <f t="shared" si="11"/>
        <v>0.95019985732910106</v>
      </c>
      <c r="V120" s="301" t="str">
        <f>IFERROR(_xlfn.XLOOKUP($A120,Input_Raw!$A:$A,Input_Raw!$AX:$AX),"")</f>
        <v/>
      </c>
      <c r="W120" s="302">
        <f t="shared" si="12"/>
        <v>4.6938916133110284E-2</v>
      </c>
      <c r="X120" s="294">
        <f>IFERROR(_xlfn.XLOOKUP($A120,Input_Raw!$A:$A,Input_Raw!$AA:$AA),"")</f>
        <v>62655.700000000004</v>
      </c>
      <c r="Y120" s="294">
        <f>IFERROR(_xlfn.XLOOKUP($A120,Input_Raw!$A:$A,Input_Raw!$AS:$AS),"")</f>
        <v>62000</v>
      </c>
      <c r="Z120" s="294"/>
      <c r="AA120" s="294">
        <f>IFERROR(_xlfn.XLOOKUP($A120,Input_Raw!$A:$A,Input_Raw!$AT:$AT),"")</f>
        <v>61251.06105125694</v>
      </c>
      <c r="AB120" s="294">
        <f>IFERROR(_xlfn.XLOOKUP($A120,Input_Raw!$A:$A,Input_Raw!$AU:$AU),"")</f>
        <v>39.21</v>
      </c>
      <c r="AC120" s="303">
        <f>IFERROR(_xlfn.XLOOKUP($D120,'Modelling New'!$D:$D,'Modelling New'!P:P),"")</f>
        <v>3.8096774193548386</v>
      </c>
      <c r="AD120" s="294">
        <f>IFERROR(_xlfn.XLOOKUP($D120,'Modelling New'!$D:$D,'Modelling New'!T:T)*1000,"")</f>
        <v>171306.96170170087</v>
      </c>
      <c r="AE120" s="304">
        <f>IFERROR(_xlfn.XLOOKUP($D120,'Modelling New'!$D:$D,'Modelling New'!$O:$O),"")</f>
        <v>0.82702281611841366</v>
      </c>
      <c r="AF120" s="304">
        <f>IFERROR(_xlfn.XLOOKUP($D120,'Modelling New'!$D:$D,'Modelling New'!$W:$W),"")</f>
        <v>0.13127875616073204</v>
      </c>
      <c r="AG120" s="304">
        <f>IFERROR(_xlfn.XLOOKUP($D120,'Modelling New'!$D:$D,'Modelling New'!$AE:$AE),"")</f>
        <v>0.995</v>
      </c>
      <c r="AH120" s="304">
        <f>IFERROR(_xlfn.XLOOKUP($D120,'Modelling New'!$D:$D,'Modelling New'!$AF:$AF),"")</f>
        <v>0.995</v>
      </c>
      <c r="AI120" s="295"/>
      <c r="AJ120" s="295"/>
      <c r="AK120" s="295"/>
      <c r="AL120" s="295"/>
      <c r="AM120" s="295"/>
      <c r="AN120" s="305"/>
      <c r="AO120" s="302"/>
      <c r="AP120" s="302"/>
      <c r="AQ120" s="302"/>
      <c r="AR120" s="294">
        <f>_xlfn.XLOOKUP($D120,'Modelling New'!$D:$D,'Modelling New'!$N:$N)</f>
        <v>54.371250000000003</v>
      </c>
      <c r="AS120" s="294">
        <f t="shared" si="13"/>
        <v>123538.5606974953</v>
      </c>
    </row>
    <row r="121" spans="1:45">
      <c r="A121" s="293">
        <f t="shared" si="14"/>
        <v>45864</v>
      </c>
      <c r="B121" s="294">
        <f>YEAR(Daily_KPI[[#This Row],[Date]])+IF(MONTH(Daily_KPI[[#This Row],[Date]])&gt;=4,1,0)</f>
        <v>2026</v>
      </c>
      <c r="C121" s="295">
        <f>YEAR(Daily_KPI[[#This Row],[Date]])</f>
        <v>2025</v>
      </c>
      <c r="D121" s="296">
        <f>Daily_KPI[[#This Row],[Date]]-DAY(Daily_KPI[[#This Row],[Date]])+1</f>
        <v>45839</v>
      </c>
      <c r="E121" s="295">
        <f t="shared" si="10"/>
        <v>31</v>
      </c>
      <c r="F121" s="297">
        <f>IFERROR(_xlfn.XLOOKUP($A121,Input_Raw!$A:$A,Input_Raw!$AR:$AR),"")</f>
        <v>10.649999999999999</v>
      </c>
      <c r="G121" s="298">
        <f>IFERROR(_xlfn.XLOOKUP($A121,Input_Raw!$A:$A,Input_Raw!$R:$R),"")</f>
        <v>1.095</v>
      </c>
      <c r="H121" s="298"/>
      <c r="I121" s="298">
        <f>IFERROR(_xlfn.XLOOKUP($A121,Input_Raw!$A:$A,Input_Raw!$Q:$Q),"")</f>
        <v>1.0980000000000001</v>
      </c>
      <c r="J121" s="298"/>
      <c r="K121" s="298">
        <f>IFERROR(_xlfn.XLOOKUP($A121,Input_Raw!$A:$A,Input_Raw!S:S),"")</f>
        <v>25.47</v>
      </c>
      <c r="L121" s="298">
        <f>IFERROR(_xlfn.XLOOKUP($A121,Input_Raw!$A:$A,Input_Raw!T:T),"")</f>
        <v>25.501000000000001</v>
      </c>
      <c r="M121" s="298">
        <f>IFERROR(_xlfn.XLOOKUP($A121,Input_Raw!$A:$A,Input_Raw!W:W),"")</f>
        <v>3.2480000000000002</v>
      </c>
      <c r="N121" s="298">
        <f>IFERROR(_xlfn.XLOOKUP($A121,Input_Raw!$A:$A,Input_Raw!X:X),"")</f>
        <v>5.97</v>
      </c>
      <c r="O121" s="299">
        <f>IFERROR(1-(SUMIF(Plant_BD!$B:$B,$A121,Plant_BD!$AL:$AL)/($AA121+SUMIF(Plant_BD!$B:$B,$A121,Plant_BD!$AL:$AL))),"")</f>
        <v>1</v>
      </c>
      <c r="P121" s="299"/>
      <c r="Q121" s="300"/>
      <c r="R121" s="299">
        <f>IFERROR(1-(SUMIF(Grid_BD!$B:$B,$A121,Grid_BD!$V:$V)/($AA121+SUMIF(Grid_BD!$B:$B,$A121,Grid_BD!$V:$V))),"")</f>
        <v>1</v>
      </c>
      <c r="S121" s="295"/>
      <c r="T121" s="300"/>
      <c r="U121" s="301">
        <f t="shared" si="11"/>
        <v>0.98068120410729209</v>
      </c>
      <c r="V121" s="301" t="str">
        <f>IFERROR(_xlfn.XLOOKUP($A121,Input_Raw!$A:$A,Input_Raw!$AX:$AX),"")</f>
        <v/>
      </c>
      <c r="W121" s="302">
        <f t="shared" si="12"/>
        <v>3.2355377761167842E-2</v>
      </c>
      <c r="X121" s="294">
        <f>IFERROR(_xlfn.XLOOKUP($A121,Input_Raw!$A:$A,Input_Raw!$AA:$AA),"")</f>
        <v>43656.5</v>
      </c>
      <c r="Y121" s="294">
        <f>IFERROR(_xlfn.XLOOKUP($A121,Input_Raw!$A:$A,Input_Raw!$AS:$AS),"")</f>
        <v>44000</v>
      </c>
      <c r="Z121" s="294"/>
      <c r="AA121" s="294">
        <f>IFERROR(_xlfn.XLOOKUP($A121,Input_Raw!$A:$A,Input_Raw!$AT:$AT),"")</f>
        <v>42220.855994325524</v>
      </c>
      <c r="AB121" s="294">
        <f>IFERROR(_xlfn.XLOOKUP($A121,Input_Raw!$A:$A,Input_Raw!$AU:$AU),"")</f>
        <v>39.21</v>
      </c>
      <c r="AC121" s="303">
        <f>IFERROR(_xlfn.XLOOKUP($D121,'Modelling New'!$D:$D,'Modelling New'!P:P),"")</f>
        <v>3.8096774193548386</v>
      </c>
      <c r="AD121" s="294">
        <f>IFERROR(_xlfn.XLOOKUP($D121,'Modelling New'!$D:$D,'Modelling New'!T:T)*1000,"")</f>
        <v>171306.96170170087</v>
      </c>
      <c r="AE121" s="304">
        <f>IFERROR(_xlfn.XLOOKUP($D121,'Modelling New'!$D:$D,'Modelling New'!$O:$O),"")</f>
        <v>0.82702281611841366</v>
      </c>
      <c r="AF121" s="304">
        <f>IFERROR(_xlfn.XLOOKUP($D121,'Modelling New'!$D:$D,'Modelling New'!$W:$W),"")</f>
        <v>0.13127875616073204</v>
      </c>
      <c r="AG121" s="304">
        <f>IFERROR(_xlfn.XLOOKUP($D121,'Modelling New'!$D:$D,'Modelling New'!$AE:$AE),"")</f>
        <v>0.995</v>
      </c>
      <c r="AH121" s="304">
        <f>IFERROR(_xlfn.XLOOKUP($D121,'Modelling New'!$D:$D,'Modelling New'!$AF:$AF),"")</f>
        <v>0.995</v>
      </c>
      <c r="AI121" s="295"/>
      <c r="AJ121" s="295"/>
      <c r="AK121" s="295"/>
      <c r="AL121" s="295"/>
      <c r="AM121" s="295"/>
      <c r="AN121" s="305"/>
      <c r="AO121" s="302"/>
      <c r="AP121" s="302"/>
      <c r="AQ121" s="302"/>
      <c r="AR121" s="294">
        <f>_xlfn.XLOOKUP($D121,'Modelling New'!$D:$D,'Modelling New'!$N:$N)</f>
        <v>54.371250000000003</v>
      </c>
      <c r="AS121" s="294">
        <f t="shared" si="13"/>
        <v>123538.5606974953</v>
      </c>
    </row>
    <row r="122" spans="1:45">
      <c r="A122" s="293">
        <f t="shared" si="14"/>
        <v>45865</v>
      </c>
      <c r="B122" s="294">
        <f>YEAR(Daily_KPI[[#This Row],[Date]])+IF(MONTH(Daily_KPI[[#This Row],[Date]])&gt;=4,1,0)</f>
        <v>2026</v>
      </c>
      <c r="C122" s="295">
        <f>YEAR(Daily_KPI[[#This Row],[Date]])</f>
        <v>2025</v>
      </c>
      <c r="D122" s="296">
        <f>Daily_KPI[[#This Row],[Date]]-DAY(Daily_KPI[[#This Row],[Date]])+1</f>
        <v>45839</v>
      </c>
      <c r="E122" s="295">
        <f t="shared" si="10"/>
        <v>31</v>
      </c>
      <c r="F122" s="297">
        <f>IFERROR(_xlfn.XLOOKUP($A122,Input_Raw!$A:$A,Input_Raw!$AR:$AR),"")</f>
        <v>11.866666666666667</v>
      </c>
      <c r="G122" s="298">
        <f>IFERROR(_xlfn.XLOOKUP($A122,Input_Raw!$A:$A,Input_Raw!$R:$R),"")</f>
        <v>2.19</v>
      </c>
      <c r="H122" s="298"/>
      <c r="I122" s="298">
        <f>IFERROR(_xlfn.XLOOKUP($A122,Input_Raw!$A:$A,Input_Raw!$Q:$Q),"")</f>
        <v>2.1960000000000002</v>
      </c>
      <c r="J122" s="298"/>
      <c r="K122" s="298">
        <f>IFERROR(_xlfn.XLOOKUP($A122,Input_Raw!$A:$A,Input_Raw!S:S),"")</f>
        <v>27.044</v>
      </c>
      <c r="L122" s="298">
        <f>IFERROR(_xlfn.XLOOKUP($A122,Input_Raw!$A:$A,Input_Raw!T:T),"")</f>
        <v>30.143999999999998</v>
      </c>
      <c r="M122" s="298">
        <f>IFERROR(_xlfn.XLOOKUP($A122,Input_Raw!$A:$A,Input_Raw!W:W),"")</f>
        <v>4.1180000000000003</v>
      </c>
      <c r="N122" s="298">
        <f>IFERROR(_xlfn.XLOOKUP($A122,Input_Raw!$A:$A,Input_Raw!X:X),"")</f>
        <v>9.8000000000000007</v>
      </c>
      <c r="O122" s="299">
        <f>IFERROR(1-(SUMIF(Plant_BD!$B:$B,$A122,Plant_BD!$AL:$AL)/($AA122+SUMIF(Plant_BD!$B:$B,$A122,Plant_BD!$AL:$AL))),"")</f>
        <v>1</v>
      </c>
      <c r="P122" s="299"/>
      <c r="Q122" s="300"/>
      <c r="R122" s="299">
        <f>IFERROR(1-(SUMIF(Grid_BD!$B:$B,$A122,Grid_BD!$V:$V)/($AA122+SUMIF(Grid_BD!$B:$B,$A122,Grid_BD!$V:$V))),"")</f>
        <v>1</v>
      </c>
      <c r="S122" s="295"/>
      <c r="T122" s="300"/>
      <c r="U122" s="301">
        <f t="shared" si="11"/>
        <v>0.9290703400494934</v>
      </c>
      <c r="V122" s="301" t="str">
        <f>IFERROR(_xlfn.XLOOKUP($A122,Input_Raw!$A:$A,Input_Raw!$AX:$AX),"")</f>
        <v/>
      </c>
      <c r="W122" s="302">
        <f t="shared" si="12"/>
        <v>6.1305186013760379E-2</v>
      </c>
      <c r="X122" s="294">
        <f>IFERROR(_xlfn.XLOOKUP($A122,Input_Raw!$A:$A,Input_Raw!$AA:$AA),"")</f>
        <v>82053.699999999983</v>
      </c>
      <c r="Y122" s="294">
        <f>IFERROR(_xlfn.XLOOKUP($A122,Input_Raw!$A:$A,Input_Raw!$AS:$AS),"")</f>
        <v>81000</v>
      </c>
      <c r="Z122" s="294"/>
      <c r="AA122" s="294">
        <f>IFERROR(_xlfn.XLOOKUP($A122,Input_Raw!$A:$A,Input_Raw!$AT:$AT),"")</f>
        <v>79997.750281216053</v>
      </c>
      <c r="AB122" s="294">
        <f>IFERROR(_xlfn.XLOOKUP($A122,Input_Raw!$A:$A,Input_Raw!$AU:$AU),"")</f>
        <v>39.21</v>
      </c>
      <c r="AC122" s="303">
        <f>IFERROR(_xlfn.XLOOKUP($D122,'Modelling New'!$D:$D,'Modelling New'!P:P),"")</f>
        <v>3.8096774193548386</v>
      </c>
      <c r="AD122" s="294">
        <f>IFERROR(_xlfn.XLOOKUP($D122,'Modelling New'!$D:$D,'Modelling New'!T:T)*1000,"")</f>
        <v>171306.96170170087</v>
      </c>
      <c r="AE122" s="304">
        <f>IFERROR(_xlfn.XLOOKUP($D122,'Modelling New'!$D:$D,'Modelling New'!$O:$O),"")</f>
        <v>0.82702281611841366</v>
      </c>
      <c r="AF122" s="304">
        <f>IFERROR(_xlfn.XLOOKUP($D122,'Modelling New'!$D:$D,'Modelling New'!$W:$W),"")</f>
        <v>0.13127875616073204</v>
      </c>
      <c r="AG122" s="304">
        <f>IFERROR(_xlfn.XLOOKUP($D122,'Modelling New'!$D:$D,'Modelling New'!$AE:$AE),"")</f>
        <v>0.995</v>
      </c>
      <c r="AH122" s="304">
        <f>IFERROR(_xlfn.XLOOKUP($D122,'Modelling New'!$D:$D,'Modelling New'!$AF:$AF),"")</f>
        <v>0.995</v>
      </c>
      <c r="AI122" s="295"/>
      <c r="AJ122" s="295"/>
      <c r="AK122" s="295"/>
      <c r="AL122" s="295"/>
      <c r="AM122" s="295"/>
      <c r="AN122" s="305"/>
      <c r="AO122" s="302"/>
      <c r="AP122" s="302"/>
      <c r="AQ122" s="302"/>
      <c r="AR122" s="294">
        <f>_xlfn.XLOOKUP($D122,'Modelling New'!$D:$D,'Modelling New'!$N:$N)</f>
        <v>54.371250000000003</v>
      </c>
      <c r="AS122" s="294">
        <f t="shared" si="13"/>
        <v>123538.5606974953</v>
      </c>
    </row>
    <row r="123" spans="1:45">
      <c r="A123" s="293">
        <f t="shared" si="14"/>
        <v>45866</v>
      </c>
      <c r="B123" s="294">
        <f>YEAR(Daily_KPI[[#This Row],[Date]])+IF(MONTH(Daily_KPI[[#This Row],[Date]])&gt;=4,1,0)</f>
        <v>2026</v>
      </c>
      <c r="C123" s="295">
        <f>YEAR(Daily_KPI[[#This Row],[Date]])</f>
        <v>2025</v>
      </c>
      <c r="D123" s="296">
        <f>Daily_KPI[[#This Row],[Date]]-DAY(Daily_KPI[[#This Row],[Date]])+1</f>
        <v>45839</v>
      </c>
      <c r="E123" s="295">
        <f t="shared" si="10"/>
        <v>31</v>
      </c>
      <c r="F123" s="297">
        <f>IFERROR(_xlfn.XLOOKUP($A123,Input_Raw!$A:$A,Input_Raw!$AR:$AR),"")</f>
        <v>0</v>
      </c>
      <c r="G123" s="298">
        <f>IFERROR(_xlfn.XLOOKUP($A123,Input_Raw!$A:$A,Input_Raw!$R:$R),"")</f>
        <v>0</v>
      </c>
      <c r="H123" s="298"/>
      <c r="I123" s="298">
        <f>IFERROR(_xlfn.XLOOKUP($A123,Input_Raw!$A:$A,Input_Raw!$Q:$Q),"")</f>
        <v>0</v>
      </c>
      <c r="J123" s="298"/>
      <c r="K123" s="298">
        <f>IFERROR(_xlfn.XLOOKUP($A123,Input_Raw!$A:$A,Input_Raw!S:S),"")</f>
        <v>0</v>
      </c>
      <c r="L123" s="298">
        <f>IFERROR(_xlfn.XLOOKUP($A123,Input_Raw!$A:$A,Input_Raw!T:T),"")</f>
        <v>0</v>
      </c>
      <c r="M123" s="298">
        <f>IFERROR(_xlfn.XLOOKUP($A123,Input_Raw!$A:$A,Input_Raw!W:W),"")</f>
        <v>0</v>
      </c>
      <c r="N123" s="298">
        <f>IFERROR(_xlfn.XLOOKUP($A123,Input_Raw!$A:$A,Input_Raw!X:X),"")</f>
        <v>0</v>
      </c>
      <c r="O123" s="299" t="str">
        <f>IFERROR(1-(SUMIF(Plant_BD!$B:$B,$A123,Plant_BD!$AL:$AL)/($AA123+SUMIF(Plant_BD!$B:$B,$A123,Plant_BD!$AL:$AL))),"")</f>
        <v/>
      </c>
      <c r="P123" s="299"/>
      <c r="Q123" s="300"/>
      <c r="R123" s="299" t="str">
        <f>IFERROR(1-(SUMIF(Grid_BD!$B:$B,$A123,Grid_BD!$V:$V)/($AA123+SUMIF(Grid_BD!$B:$B,$A123,Grid_BD!$V:$V))),"")</f>
        <v/>
      </c>
      <c r="S123" s="295"/>
      <c r="T123" s="300"/>
      <c r="U123" s="301" t="str">
        <f t="shared" si="11"/>
        <v/>
      </c>
      <c r="V123" s="301" t="str">
        <f>IFERROR(_xlfn.XLOOKUP($A123,Input_Raw!$A:$A,Input_Raw!$AX:$AX),"")</f>
        <v/>
      </c>
      <c r="W123" s="302">
        <f t="shared" si="12"/>
        <v>0</v>
      </c>
      <c r="X123" s="294">
        <f>IFERROR(_xlfn.XLOOKUP($A123,Input_Raw!$A:$A,Input_Raw!$AA:$AA),"")</f>
        <v>0</v>
      </c>
      <c r="Y123" s="294">
        <f>IFERROR(_xlfn.XLOOKUP($A123,Input_Raw!$A:$A,Input_Raw!$AS:$AS),"")</f>
        <v>0</v>
      </c>
      <c r="Z123" s="294"/>
      <c r="AA123" s="294">
        <f>IFERROR(_xlfn.XLOOKUP($A123,Input_Raw!$A:$A,Input_Raw!$AT:$AT),"")</f>
        <v>0</v>
      </c>
      <c r="AB123" s="294">
        <f>IFERROR(_xlfn.XLOOKUP($A123,Input_Raw!$A:$A,Input_Raw!$AU:$AU),"")</f>
        <v>39.21</v>
      </c>
      <c r="AC123" s="303">
        <f>IFERROR(_xlfn.XLOOKUP($D123,'Modelling New'!$D:$D,'Modelling New'!P:P),"")</f>
        <v>3.8096774193548386</v>
      </c>
      <c r="AD123" s="294">
        <f>IFERROR(_xlfn.XLOOKUP($D123,'Modelling New'!$D:$D,'Modelling New'!T:T)*1000,"")</f>
        <v>171306.96170170087</v>
      </c>
      <c r="AE123" s="304">
        <f>IFERROR(_xlfn.XLOOKUP($D123,'Modelling New'!$D:$D,'Modelling New'!$O:$O),"")</f>
        <v>0.82702281611841366</v>
      </c>
      <c r="AF123" s="304">
        <f>IFERROR(_xlfn.XLOOKUP($D123,'Modelling New'!$D:$D,'Modelling New'!$W:$W),"")</f>
        <v>0.13127875616073204</v>
      </c>
      <c r="AG123" s="304">
        <f>IFERROR(_xlfn.XLOOKUP($D123,'Modelling New'!$D:$D,'Modelling New'!$AE:$AE),"")</f>
        <v>0.995</v>
      </c>
      <c r="AH123" s="304">
        <f>IFERROR(_xlfn.XLOOKUP($D123,'Modelling New'!$D:$D,'Modelling New'!$AF:$AF),"")</f>
        <v>0.995</v>
      </c>
      <c r="AI123" s="295"/>
      <c r="AJ123" s="295"/>
      <c r="AK123" s="295"/>
      <c r="AL123" s="295"/>
      <c r="AM123" s="295"/>
      <c r="AN123" s="305"/>
      <c r="AO123" s="302"/>
      <c r="AP123" s="302"/>
      <c r="AQ123" s="302"/>
      <c r="AR123" s="294">
        <f>_xlfn.XLOOKUP($D123,'Modelling New'!$D:$D,'Modelling New'!$N:$N)</f>
        <v>54.371250000000003</v>
      </c>
      <c r="AS123" s="294">
        <f t="shared" si="13"/>
        <v>123538.5606974953</v>
      </c>
    </row>
    <row r="124" spans="1:45">
      <c r="A124" s="293">
        <f t="shared" si="14"/>
        <v>45867</v>
      </c>
      <c r="B124" s="294">
        <f>YEAR(Daily_KPI[[#This Row],[Date]])+IF(MONTH(Daily_KPI[[#This Row],[Date]])&gt;=4,1,0)</f>
        <v>2026</v>
      </c>
      <c r="C124" s="295">
        <f>YEAR(Daily_KPI[[#This Row],[Date]])</f>
        <v>2025</v>
      </c>
      <c r="D124" s="296">
        <f>Daily_KPI[[#This Row],[Date]]-DAY(Daily_KPI[[#This Row],[Date]])+1</f>
        <v>45839</v>
      </c>
      <c r="E124" s="295">
        <f t="shared" si="10"/>
        <v>31</v>
      </c>
      <c r="F124" s="297">
        <f>IFERROR(_xlfn.XLOOKUP($A124,Input_Raw!$A:$A,Input_Raw!$AR:$AR),"")</f>
        <v>0</v>
      </c>
      <c r="G124" s="298">
        <f>IFERROR(_xlfn.XLOOKUP($A124,Input_Raw!$A:$A,Input_Raw!$R:$R),"")</f>
        <v>0</v>
      </c>
      <c r="H124" s="298"/>
      <c r="I124" s="298">
        <f>IFERROR(_xlfn.XLOOKUP($A124,Input_Raw!$A:$A,Input_Raw!$Q:$Q),"")</f>
        <v>0</v>
      </c>
      <c r="J124" s="298"/>
      <c r="K124" s="298">
        <f>IFERROR(_xlfn.XLOOKUP($A124,Input_Raw!$A:$A,Input_Raw!S:S),"")</f>
        <v>0</v>
      </c>
      <c r="L124" s="298">
        <f>IFERROR(_xlfn.XLOOKUP($A124,Input_Raw!$A:$A,Input_Raw!T:T),"")</f>
        <v>0</v>
      </c>
      <c r="M124" s="298">
        <f>IFERROR(_xlfn.XLOOKUP($A124,Input_Raw!$A:$A,Input_Raw!W:W),"")</f>
        <v>0</v>
      </c>
      <c r="N124" s="298">
        <f>IFERROR(_xlfn.XLOOKUP($A124,Input_Raw!$A:$A,Input_Raw!X:X),"")</f>
        <v>0</v>
      </c>
      <c r="O124" s="299" t="str">
        <f>IFERROR(1-(SUMIF(Plant_BD!$B:$B,$A124,Plant_BD!$AL:$AL)/($AA124+SUMIF(Plant_BD!$B:$B,$A124,Plant_BD!$AL:$AL))),"")</f>
        <v/>
      </c>
      <c r="P124" s="299"/>
      <c r="Q124" s="300"/>
      <c r="R124" s="299" t="str">
        <f>IFERROR(1-(SUMIF(Grid_BD!$B:$B,$A124,Grid_BD!$V:$V)/($AA124+SUMIF(Grid_BD!$B:$B,$A124,Grid_BD!$V:$V))),"")</f>
        <v/>
      </c>
      <c r="S124" s="295"/>
      <c r="T124" s="300"/>
      <c r="U124" s="301" t="str">
        <f t="shared" si="11"/>
        <v/>
      </c>
      <c r="V124" s="301" t="str">
        <f>IFERROR(_xlfn.XLOOKUP($A124,Input_Raw!$A:$A,Input_Raw!$AX:$AX),"")</f>
        <v/>
      </c>
      <c r="W124" s="302">
        <f t="shared" si="12"/>
        <v>0</v>
      </c>
      <c r="X124" s="294">
        <f>IFERROR(_xlfn.XLOOKUP($A124,Input_Raw!$A:$A,Input_Raw!$AA:$AA),"")</f>
        <v>0</v>
      </c>
      <c r="Y124" s="294">
        <f>IFERROR(_xlfn.XLOOKUP($A124,Input_Raw!$A:$A,Input_Raw!$AS:$AS),"")</f>
        <v>0</v>
      </c>
      <c r="Z124" s="294"/>
      <c r="AA124" s="294">
        <f>IFERROR(_xlfn.XLOOKUP($A124,Input_Raw!$A:$A,Input_Raw!$AT:$AT),"")</f>
        <v>0</v>
      </c>
      <c r="AB124" s="294">
        <f>IFERROR(_xlfn.XLOOKUP($A124,Input_Raw!$A:$A,Input_Raw!$AU:$AU),"")</f>
        <v>39.21</v>
      </c>
      <c r="AC124" s="303">
        <f>IFERROR(_xlfn.XLOOKUP($D124,'Modelling New'!$D:$D,'Modelling New'!P:P),"")</f>
        <v>3.8096774193548386</v>
      </c>
      <c r="AD124" s="294">
        <f>IFERROR(_xlfn.XLOOKUP($D124,'Modelling New'!$D:$D,'Modelling New'!T:T)*1000,"")</f>
        <v>171306.96170170087</v>
      </c>
      <c r="AE124" s="304">
        <f>IFERROR(_xlfn.XLOOKUP($D124,'Modelling New'!$D:$D,'Modelling New'!$O:$O),"")</f>
        <v>0.82702281611841366</v>
      </c>
      <c r="AF124" s="304">
        <f>IFERROR(_xlfn.XLOOKUP($D124,'Modelling New'!$D:$D,'Modelling New'!$W:$W),"")</f>
        <v>0.13127875616073204</v>
      </c>
      <c r="AG124" s="304">
        <f>IFERROR(_xlfn.XLOOKUP($D124,'Modelling New'!$D:$D,'Modelling New'!$AE:$AE),"")</f>
        <v>0.995</v>
      </c>
      <c r="AH124" s="304">
        <f>IFERROR(_xlfn.XLOOKUP($D124,'Modelling New'!$D:$D,'Modelling New'!$AF:$AF),"")</f>
        <v>0.995</v>
      </c>
      <c r="AI124" s="295"/>
      <c r="AJ124" s="295"/>
      <c r="AK124" s="295"/>
      <c r="AL124" s="295"/>
      <c r="AM124" s="295"/>
      <c r="AN124" s="305"/>
      <c r="AO124" s="302"/>
      <c r="AP124" s="302"/>
      <c r="AQ124" s="302"/>
      <c r="AR124" s="294">
        <f>_xlfn.XLOOKUP($D124,'Modelling New'!$D:$D,'Modelling New'!$N:$N)</f>
        <v>54.371250000000003</v>
      </c>
      <c r="AS124" s="294">
        <f t="shared" si="13"/>
        <v>123538.5606974953</v>
      </c>
    </row>
    <row r="125" spans="1:45">
      <c r="A125" s="293">
        <f t="shared" si="14"/>
        <v>45868</v>
      </c>
      <c r="B125" s="294">
        <f>YEAR(Daily_KPI[[#This Row],[Date]])+IF(MONTH(Daily_KPI[[#This Row],[Date]])&gt;=4,1,0)</f>
        <v>2026</v>
      </c>
      <c r="C125" s="295">
        <f>YEAR(Daily_KPI[[#This Row],[Date]])</f>
        <v>2025</v>
      </c>
      <c r="D125" s="296">
        <f>Daily_KPI[[#This Row],[Date]]-DAY(Daily_KPI[[#This Row],[Date]])+1</f>
        <v>45839</v>
      </c>
      <c r="E125" s="295">
        <f t="shared" si="10"/>
        <v>31</v>
      </c>
      <c r="F125" s="297">
        <f>IFERROR(_xlfn.XLOOKUP($A125,Input_Raw!$A:$A,Input_Raw!$AR:$AR),"")</f>
        <v>0</v>
      </c>
      <c r="G125" s="298">
        <f>IFERROR(_xlfn.XLOOKUP($A125,Input_Raw!$A:$A,Input_Raw!$R:$R),"")</f>
        <v>0</v>
      </c>
      <c r="H125" s="298"/>
      <c r="I125" s="298">
        <f>IFERROR(_xlfn.XLOOKUP($A125,Input_Raw!$A:$A,Input_Raw!$Q:$Q),"")</f>
        <v>0</v>
      </c>
      <c r="J125" s="298"/>
      <c r="K125" s="298">
        <f>IFERROR(_xlfn.XLOOKUP($A125,Input_Raw!$A:$A,Input_Raw!S:S),"")</f>
        <v>0</v>
      </c>
      <c r="L125" s="298">
        <f>IFERROR(_xlfn.XLOOKUP($A125,Input_Raw!$A:$A,Input_Raw!T:T),"")</f>
        <v>0</v>
      </c>
      <c r="M125" s="298">
        <f>IFERROR(_xlfn.XLOOKUP($A125,Input_Raw!$A:$A,Input_Raw!W:W),"")</f>
        <v>0</v>
      </c>
      <c r="N125" s="298">
        <f>IFERROR(_xlfn.XLOOKUP($A125,Input_Raw!$A:$A,Input_Raw!X:X),"")</f>
        <v>0</v>
      </c>
      <c r="O125" s="299" t="str">
        <f>IFERROR(1-(SUMIF(Plant_BD!$B:$B,$A125,Plant_BD!$AL:$AL)/($AA125+SUMIF(Plant_BD!$B:$B,$A125,Plant_BD!$AL:$AL))),"")</f>
        <v/>
      </c>
      <c r="P125" s="299"/>
      <c r="Q125" s="300"/>
      <c r="R125" s="299" t="str">
        <f>IFERROR(1-(SUMIF(Grid_BD!$B:$B,$A125,Grid_BD!$V:$V)/($AA125+SUMIF(Grid_BD!$B:$B,$A125,Grid_BD!$V:$V))),"")</f>
        <v/>
      </c>
      <c r="S125" s="295"/>
      <c r="T125" s="300"/>
      <c r="U125" s="301" t="str">
        <f t="shared" si="11"/>
        <v/>
      </c>
      <c r="V125" s="301" t="str">
        <f>IFERROR(_xlfn.XLOOKUP($A125,Input_Raw!$A:$A,Input_Raw!$AX:$AX),"")</f>
        <v/>
      </c>
      <c r="W125" s="302">
        <f t="shared" si="12"/>
        <v>0</v>
      </c>
      <c r="X125" s="294">
        <f>IFERROR(_xlfn.XLOOKUP($A125,Input_Raw!$A:$A,Input_Raw!$AA:$AA),"")</f>
        <v>0</v>
      </c>
      <c r="Y125" s="294">
        <f>IFERROR(_xlfn.XLOOKUP($A125,Input_Raw!$A:$A,Input_Raw!$AS:$AS),"")</f>
        <v>0</v>
      </c>
      <c r="Z125" s="294"/>
      <c r="AA125" s="294">
        <f>IFERROR(_xlfn.XLOOKUP($A125,Input_Raw!$A:$A,Input_Raw!$AT:$AT),"")</f>
        <v>0</v>
      </c>
      <c r="AB125" s="294">
        <f>IFERROR(_xlfn.XLOOKUP($A125,Input_Raw!$A:$A,Input_Raw!$AU:$AU),"")</f>
        <v>39.21</v>
      </c>
      <c r="AC125" s="303">
        <f>IFERROR(_xlfn.XLOOKUP($D125,'Modelling New'!$D:$D,'Modelling New'!P:P),"")</f>
        <v>3.8096774193548386</v>
      </c>
      <c r="AD125" s="294">
        <f>IFERROR(_xlfn.XLOOKUP($D125,'Modelling New'!$D:$D,'Modelling New'!T:T)*1000,"")</f>
        <v>171306.96170170087</v>
      </c>
      <c r="AE125" s="304">
        <f>IFERROR(_xlfn.XLOOKUP($D125,'Modelling New'!$D:$D,'Modelling New'!$O:$O),"")</f>
        <v>0.82702281611841366</v>
      </c>
      <c r="AF125" s="304">
        <f>IFERROR(_xlfn.XLOOKUP($D125,'Modelling New'!$D:$D,'Modelling New'!$W:$W),"")</f>
        <v>0.13127875616073204</v>
      </c>
      <c r="AG125" s="304">
        <f>IFERROR(_xlfn.XLOOKUP($D125,'Modelling New'!$D:$D,'Modelling New'!$AE:$AE),"")</f>
        <v>0.995</v>
      </c>
      <c r="AH125" s="304">
        <f>IFERROR(_xlfn.XLOOKUP($D125,'Modelling New'!$D:$D,'Modelling New'!$AF:$AF),"")</f>
        <v>0.995</v>
      </c>
      <c r="AI125" s="295"/>
      <c r="AJ125" s="295"/>
      <c r="AK125" s="295"/>
      <c r="AL125" s="295"/>
      <c r="AM125" s="295"/>
      <c r="AN125" s="305"/>
      <c r="AO125" s="302"/>
      <c r="AP125" s="302"/>
      <c r="AQ125" s="302"/>
      <c r="AR125" s="294">
        <f>_xlfn.XLOOKUP($D125,'Modelling New'!$D:$D,'Modelling New'!$N:$N)</f>
        <v>54.371250000000003</v>
      </c>
      <c r="AS125" s="294">
        <f t="shared" si="13"/>
        <v>123538.5606974953</v>
      </c>
    </row>
    <row r="126" spans="1:45">
      <c r="A126" s="293">
        <f t="shared" si="14"/>
        <v>45869</v>
      </c>
      <c r="B126" s="294">
        <f>YEAR(Daily_KPI[[#This Row],[Date]])+IF(MONTH(Daily_KPI[[#This Row],[Date]])&gt;=4,1,0)</f>
        <v>2026</v>
      </c>
      <c r="C126" s="295">
        <f>YEAR(Daily_KPI[[#This Row],[Date]])</f>
        <v>2025</v>
      </c>
      <c r="D126" s="296">
        <f>Daily_KPI[[#This Row],[Date]]-DAY(Daily_KPI[[#This Row],[Date]])+1</f>
        <v>45839</v>
      </c>
      <c r="E126" s="295">
        <f t="shared" si="10"/>
        <v>31</v>
      </c>
      <c r="F126" s="297">
        <f>IFERROR(_xlfn.XLOOKUP($A126,Input_Raw!$A:$A,Input_Raw!$AR:$AR),"")</f>
        <v>0</v>
      </c>
      <c r="G126" s="298">
        <f>IFERROR(_xlfn.XLOOKUP($A126,Input_Raw!$A:$A,Input_Raw!$R:$R),"")</f>
        <v>0</v>
      </c>
      <c r="H126" s="298"/>
      <c r="I126" s="298">
        <f>IFERROR(_xlfn.XLOOKUP($A126,Input_Raw!$A:$A,Input_Raw!$Q:$Q),"")</f>
        <v>0</v>
      </c>
      <c r="J126" s="298"/>
      <c r="K126" s="298">
        <f>IFERROR(_xlfn.XLOOKUP($A126,Input_Raw!$A:$A,Input_Raw!S:S),"")</f>
        <v>0</v>
      </c>
      <c r="L126" s="298">
        <f>IFERROR(_xlfn.XLOOKUP($A126,Input_Raw!$A:$A,Input_Raw!T:T),"")</f>
        <v>0</v>
      </c>
      <c r="M126" s="298">
        <f>IFERROR(_xlfn.XLOOKUP($A126,Input_Raw!$A:$A,Input_Raw!W:W),"")</f>
        <v>0</v>
      </c>
      <c r="N126" s="298">
        <f>IFERROR(_xlfn.XLOOKUP($A126,Input_Raw!$A:$A,Input_Raw!X:X),"")</f>
        <v>0</v>
      </c>
      <c r="O126" s="299" t="str">
        <f>IFERROR(1-(SUMIF(Plant_BD!$B:$B,$A126,Plant_BD!$AL:$AL)/($AA126+SUMIF(Plant_BD!$B:$B,$A126,Plant_BD!$AL:$AL))),"")</f>
        <v/>
      </c>
      <c r="P126" s="299"/>
      <c r="Q126" s="300"/>
      <c r="R126" s="299" t="str">
        <f>IFERROR(1-(SUMIF(Grid_BD!$B:$B,$A126,Grid_BD!$V:$V)/($AA126+SUMIF(Grid_BD!$B:$B,$A126,Grid_BD!$V:$V))),"")</f>
        <v/>
      </c>
      <c r="S126" s="295"/>
      <c r="T126" s="300"/>
      <c r="U126" s="301" t="str">
        <f t="shared" si="11"/>
        <v/>
      </c>
      <c r="V126" s="301" t="str">
        <f>IFERROR(_xlfn.XLOOKUP($A126,Input_Raw!$A:$A,Input_Raw!$AX:$AX),"")</f>
        <v/>
      </c>
      <c r="W126" s="302">
        <f t="shared" si="12"/>
        <v>0</v>
      </c>
      <c r="X126" s="294">
        <f>IFERROR(_xlfn.XLOOKUP($A126,Input_Raw!$A:$A,Input_Raw!$AA:$AA),"")</f>
        <v>0</v>
      </c>
      <c r="Y126" s="294">
        <f>IFERROR(_xlfn.XLOOKUP($A126,Input_Raw!$A:$A,Input_Raw!$AS:$AS),"")</f>
        <v>0</v>
      </c>
      <c r="Z126" s="294"/>
      <c r="AA126" s="294">
        <f>IFERROR(_xlfn.XLOOKUP($A126,Input_Raw!$A:$A,Input_Raw!$AT:$AT),"")</f>
        <v>0</v>
      </c>
      <c r="AB126" s="294">
        <f>IFERROR(_xlfn.XLOOKUP($A126,Input_Raw!$A:$A,Input_Raw!$AU:$AU),"")</f>
        <v>39.21</v>
      </c>
      <c r="AC126" s="303">
        <f>IFERROR(_xlfn.XLOOKUP($D126,'Modelling New'!$D:$D,'Modelling New'!P:P),"")</f>
        <v>3.8096774193548386</v>
      </c>
      <c r="AD126" s="294">
        <f>IFERROR(_xlfn.XLOOKUP($D126,'Modelling New'!$D:$D,'Modelling New'!T:T)*1000,"")</f>
        <v>171306.96170170087</v>
      </c>
      <c r="AE126" s="304">
        <f>IFERROR(_xlfn.XLOOKUP($D126,'Modelling New'!$D:$D,'Modelling New'!$O:$O),"")</f>
        <v>0.82702281611841366</v>
      </c>
      <c r="AF126" s="304">
        <f>IFERROR(_xlfn.XLOOKUP($D126,'Modelling New'!$D:$D,'Modelling New'!$W:$W),"")</f>
        <v>0.13127875616073204</v>
      </c>
      <c r="AG126" s="304">
        <f>IFERROR(_xlfn.XLOOKUP($D126,'Modelling New'!$D:$D,'Modelling New'!$AE:$AE),"")</f>
        <v>0.995</v>
      </c>
      <c r="AH126" s="304">
        <f>IFERROR(_xlfn.XLOOKUP($D126,'Modelling New'!$D:$D,'Modelling New'!$AF:$AF),"")</f>
        <v>0.995</v>
      </c>
      <c r="AI126" s="295"/>
      <c r="AJ126" s="295"/>
      <c r="AK126" s="295"/>
      <c r="AL126" s="295"/>
      <c r="AM126" s="295"/>
      <c r="AN126" s="305"/>
      <c r="AO126" s="302"/>
      <c r="AP126" s="302"/>
      <c r="AQ126" s="302"/>
      <c r="AR126" s="294">
        <f>_xlfn.XLOOKUP($D126,'Modelling New'!$D:$D,'Modelling New'!$N:$N)</f>
        <v>54.371250000000003</v>
      </c>
      <c r="AS126" s="294">
        <f t="shared" si="13"/>
        <v>123538.5606974953</v>
      </c>
    </row>
    <row r="127" spans="1:45">
      <c r="A127" s="293">
        <f t="shared" si="14"/>
        <v>45870</v>
      </c>
      <c r="B127" s="294">
        <f>YEAR(Daily_KPI[[#This Row],[Date]])+IF(MONTH(Daily_KPI[[#This Row],[Date]])&gt;=4,1,0)</f>
        <v>2026</v>
      </c>
      <c r="C127" s="295">
        <f>YEAR(Daily_KPI[[#This Row],[Date]])</f>
        <v>2025</v>
      </c>
      <c r="D127" s="296">
        <f>Daily_KPI[[#This Row],[Date]]-DAY(Daily_KPI[[#This Row],[Date]])+1</f>
        <v>45870</v>
      </c>
      <c r="E127" s="295">
        <f t="shared" si="10"/>
        <v>31</v>
      </c>
      <c r="F127" s="297">
        <f>IFERROR(_xlfn.XLOOKUP($A127,Input_Raw!$A:$A,Input_Raw!$AR:$AR),"")</f>
        <v>0</v>
      </c>
      <c r="G127" s="298">
        <f>IFERROR(_xlfn.XLOOKUP($A127,Input_Raw!$A:$A,Input_Raw!$R:$R),"")</f>
        <v>0</v>
      </c>
      <c r="H127" s="298"/>
      <c r="I127" s="298">
        <f>IFERROR(_xlfn.XLOOKUP($A127,Input_Raw!$A:$A,Input_Raw!$Q:$Q),"")</f>
        <v>0</v>
      </c>
      <c r="J127" s="298"/>
      <c r="K127" s="298">
        <f>IFERROR(_xlfn.XLOOKUP($A127,Input_Raw!$A:$A,Input_Raw!S:S),"")</f>
        <v>0</v>
      </c>
      <c r="L127" s="298">
        <f>IFERROR(_xlfn.XLOOKUP($A127,Input_Raw!$A:$A,Input_Raw!T:T),"")</f>
        <v>0</v>
      </c>
      <c r="M127" s="298">
        <f>IFERROR(_xlfn.XLOOKUP($A127,Input_Raw!$A:$A,Input_Raw!W:W),"")</f>
        <v>0</v>
      </c>
      <c r="N127" s="298">
        <f>IFERROR(_xlfn.XLOOKUP($A127,Input_Raw!$A:$A,Input_Raw!X:X),"")</f>
        <v>0</v>
      </c>
      <c r="O127" s="299" t="str">
        <f>IFERROR(1-(SUMIF(Plant_BD!$B:$B,$A127,Plant_BD!$AL:$AL)/($AA127+SUMIF(Plant_BD!$B:$B,$A127,Plant_BD!$AL:$AL))),"")</f>
        <v/>
      </c>
      <c r="P127" s="299"/>
      <c r="Q127" s="300"/>
      <c r="R127" s="299" t="str">
        <f>IFERROR(1-(SUMIF(Grid_BD!$B:$B,$A127,Grid_BD!$V:$V)/($AA127+SUMIF(Grid_BD!$B:$B,$A127,Grid_BD!$V:$V))),"")</f>
        <v/>
      </c>
      <c r="S127" s="295"/>
      <c r="T127" s="300"/>
      <c r="U127" s="301" t="str">
        <f t="shared" si="11"/>
        <v/>
      </c>
      <c r="V127" s="301" t="str">
        <f>IFERROR(_xlfn.XLOOKUP($A127,Input_Raw!$A:$A,Input_Raw!$AX:$AX),"")</f>
        <v/>
      </c>
      <c r="W127" s="302">
        <f t="shared" si="12"/>
        <v>0</v>
      </c>
      <c r="X127" s="294">
        <f>IFERROR(_xlfn.XLOOKUP($A127,Input_Raw!$A:$A,Input_Raw!$AA:$AA),"")</f>
        <v>0</v>
      </c>
      <c r="Y127" s="294">
        <f>IFERROR(_xlfn.XLOOKUP($A127,Input_Raw!$A:$A,Input_Raw!$AS:$AS),"")</f>
        <v>0</v>
      </c>
      <c r="Z127" s="294"/>
      <c r="AA127" s="294">
        <f>IFERROR(_xlfn.XLOOKUP($A127,Input_Raw!$A:$A,Input_Raw!$AT:$AT),"")</f>
        <v>0</v>
      </c>
      <c r="AB127" s="294">
        <f>IFERROR(_xlfn.XLOOKUP($A127,Input_Raw!$A:$A,Input_Raw!$AU:$AU),"")</f>
        <v>0</v>
      </c>
      <c r="AC127" s="303">
        <f>IFERROR(_xlfn.XLOOKUP($D127,'Modelling New'!$D:$D,'Modelling New'!P:P),"")</f>
        <v>3.9096774193548387</v>
      </c>
      <c r="AD127" s="294">
        <f>IFERROR(_xlfn.XLOOKUP($D127,'Modelling New'!$D:$D,'Modelling New'!T:T)*1000,"")</f>
        <v>185476.6695582087</v>
      </c>
      <c r="AE127" s="304">
        <f>IFERROR(_xlfn.XLOOKUP($D127,'Modelling New'!$D:$D,'Modelling New'!$O:$O),"")</f>
        <v>0.87252734266252563</v>
      </c>
      <c r="AF127" s="304">
        <f>IFERROR(_xlfn.XLOOKUP($D127,'Modelling New'!$D:$D,'Modelling New'!$W:$W),"")</f>
        <v>0.14213751872405658</v>
      </c>
      <c r="AG127" s="304">
        <f>IFERROR(_xlfn.XLOOKUP($D127,'Modelling New'!$D:$D,'Modelling New'!$AE:$AE),"")</f>
        <v>0.995</v>
      </c>
      <c r="AH127" s="304">
        <f>IFERROR(_xlfn.XLOOKUP($D127,'Modelling New'!$D:$D,'Modelling New'!$AF:$AF),"")</f>
        <v>0.995</v>
      </c>
      <c r="AI127" s="295"/>
      <c r="AJ127" s="295"/>
      <c r="AK127" s="295"/>
      <c r="AL127" s="295"/>
      <c r="AM127" s="295"/>
      <c r="AN127" s="305"/>
      <c r="AO127" s="302"/>
      <c r="AP127" s="302"/>
      <c r="AQ127" s="302"/>
      <c r="AR127" s="294">
        <f>_xlfn.XLOOKUP($D127,'Modelling New'!$D:$D,'Modelling New'!$N:$N)</f>
        <v>54.371250000000003</v>
      </c>
      <c r="AS127" s="294">
        <f t="shared" si="13"/>
        <v>0</v>
      </c>
    </row>
    <row r="128" spans="1:45">
      <c r="A128" s="293">
        <f t="shared" si="14"/>
        <v>45871</v>
      </c>
      <c r="B128" s="294">
        <f>YEAR(Daily_KPI[[#This Row],[Date]])+IF(MONTH(Daily_KPI[[#This Row],[Date]])&gt;=4,1,0)</f>
        <v>2026</v>
      </c>
      <c r="C128" s="295">
        <f>YEAR(Daily_KPI[[#This Row],[Date]])</f>
        <v>2025</v>
      </c>
      <c r="D128" s="296">
        <f>Daily_KPI[[#This Row],[Date]]-DAY(Daily_KPI[[#This Row],[Date]])+1</f>
        <v>45870</v>
      </c>
      <c r="E128" s="295">
        <f t="shared" si="10"/>
        <v>31</v>
      </c>
      <c r="F128" s="297">
        <f>IFERROR(_xlfn.XLOOKUP($A128,Input_Raw!$A:$A,Input_Raw!$AR:$AR),"")</f>
        <v>0</v>
      </c>
      <c r="G128" s="298">
        <f>IFERROR(_xlfn.XLOOKUP($A128,Input_Raw!$A:$A,Input_Raw!$R:$R),"")</f>
        <v>0</v>
      </c>
      <c r="H128" s="298"/>
      <c r="I128" s="298">
        <f>IFERROR(_xlfn.XLOOKUP($A128,Input_Raw!$A:$A,Input_Raw!$Q:$Q),"")</f>
        <v>0</v>
      </c>
      <c r="J128" s="298"/>
      <c r="K128" s="298">
        <f>IFERROR(_xlfn.XLOOKUP($A128,Input_Raw!$A:$A,Input_Raw!S:S),"")</f>
        <v>0</v>
      </c>
      <c r="L128" s="298">
        <f>IFERROR(_xlfn.XLOOKUP($A128,Input_Raw!$A:$A,Input_Raw!T:T),"")</f>
        <v>0</v>
      </c>
      <c r="M128" s="298">
        <f>IFERROR(_xlfn.XLOOKUP($A128,Input_Raw!$A:$A,Input_Raw!W:W),"")</f>
        <v>0</v>
      </c>
      <c r="N128" s="298">
        <f>IFERROR(_xlfn.XLOOKUP($A128,Input_Raw!$A:$A,Input_Raw!X:X),"")</f>
        <v>0</v>
      </c>
      <c r="O128" s="299" t="str">
        <f>IFERROR(1-(SUMIF(Plant_BD!$B:$B,$A128,Plant_BD!$AL:$AL)/($AA128+SUMIF(Plant_BD!$B:$B,$A128,Plant_BD!$AL:$AL))),"")</f>
        <v/>
      </c>
      <c r="P128" s="299"/>
      <c r="Q128" s="300"/>
      <c r="R128" s="299" t="str">
        <f>IFERROR(1-(SUMIF(Grid_BD!$B:$B,$A128,Grid_BD!$V:$V)/($AA128+SUMIF(Grid_BD!$B:$B,$A128,Grid_BD!$V:$V))),"")</f>
        <v/>
      </c>
      <c r="S128" s="295"/>
      <c r="T128" s="300"/>
      <c r="U128" s="301" t="str">
        <f t="shared" si="11"/>
        <v/>
      </c>
      <c r="V128" s="301" t="str">
        <f>IFERROR(_xlfn.XLOOKUP($A128,Input_Raw!$A:$A,Input_Raw!$AX:$AX),"")</f>
        <v/>
      </c>
      <c r="W128" s="302">
        <f t="shared" si="12"/>
        <v>0</v>
      </c>
      <c r="X128" s="294">
        <f>IFERROR(_xlfn.XLOOKUP($A128,Input_Raw!$A:$A,Input_Raw!$AA:$AA),"")</f>
        <v>0</v>
      </c>
      <c r="Y128" s="294">
        <f>IFERROR(_xlfn.XLOOKUP($A128,Input_Raw!$A:$A,Input_Raw!$AS:$AS),"")</f>
        <v>0</v>
      </c>
      <c r="Z128" s="294"/>
      <c r="AA128" s="294">
        <f>IFERROR(_xlfn.XLOOKUP($A128,Input_Raw!$A:$A,Input_Raw!$AT:$AT),"")</f>
        <v>0</v>
      </c>
      <c r="AB128" s="294">
        <f>IFERROR(_xlfn.XLOOKUP($A128,Input_Raw!$A:$A,Input_Raw!$AU:$AU),"")</f>
        <v>0</v>
      </c>
      <c r="AC128" s="303">
        <f>IFERROR(_xlfn.XLOOKUP($D128,'Modelling New'!$D:$D,'Modelling New'!P:P),"")</f>
        <v>3.9096774193548387</v>
      </c>
      <c r="AD128" s="294">
        <f>IFERROR(_xlfn.XLOOKUP($D128,'Modelling New'!$D:$D,'Modelling New'!T:T)*1000,"")</f>
        <v>185476.6695582087</v>
      </c>
      <c r="AE128" s="304">
        <f>IFERROR(_xlfn.XLOOKUP($D128,'Modelling New'!$D:$D,'Modelling New'!$O:$O),"")</f>
        <v>0.87252734266252563</v>
      </c>
      <c r="AF128" s="304">
        <f>IFERROR(_xlfn.XLOOKUP($D128,'Modelling New'!$D:$D,'Modelling New'!$W:$W),"")</f>
        <v>0.14213751872405658</v>
      </c>
      <c r="AG128" s="304">
        <f>IFERROR(_xlfn.XLOOKUP($D128,'Modelling New'!$D:$D,'Modelling New'!$AE:$AE),"")</f>
        <v>0.995</v>
      </c>
      <c r="AH128" s="304">
        <f>IFERROR(_xlfn.XLOOKUP($D128,'Modelling New'!$D:$D,'Modelling New'!$AF:$AF),"")</f>
        <v>0.995</v>
      </c>
      <c r="AI128" s="295"/>
      <c r="AJ128" s="295"/>
      <c r="AK128" s="295"/>
      <c r="AL128" s="295"/>
      <c r="AM128" s="295"/>
      <c r="AN128" s="305"/>
      <c r="AO128" s="302"/>
      <c r="AP128" s="302"/>
      <c r="AQ128" s="302"/>
      <c r="AR128" s="294">
        <f>_xlfn.XLOOKUP($D128,'Modelling New'!$D:$D,'Modelling New'!$N:$N)</f>
        <v>54.371250000000003</v>
      </c>
      <c r="AS128" s="294">
        <f t="shared" si="13"/>
        <v>0</v>
      </c>
    </row>
    <row r="129" spans="1:45">
      <c r="A129" s="293">
        <f t="shared" si="14"/>
        <v>45872</v>
      </c>
      <c r="B129" s="294">
        <f>YEAR(Daily_KPI[[#This Row],[Date]])+IF(MONTH(Daily_KPI[[#This Row],[Date]])&gt;=4,1,0)</f>
        <v>2026</v>
      </c>
      <c r="C129" s="295">
        <f>YEAR(Daily_KPI[[#This Row],[Date]])</f>
        <v>2025</v>
      </c>
      <c r="D129" s="296">
        <f>Daily_KPI[[#This Row],[Date]]-DAY(Daily_KPI[[#This Row],[Date]])+1</f>
        <v>45870</v>
      </c>
      <c r="E129" s="295">
        <f t="shared" si="10"/>
        <v>31</v>
      </c>
      <c r="F129" s="297">
        <f>IFERROR(_xlfn.XLOOKUP($A129,Input_Raw!$A:$A,Input_Raw!$AR:$AR),"")</f>
        <v>0</v>
      </c>
      <c r="G129" s="298">
        <f>IFERROR(_xlfn.XLOOKUP($A129,Input_Raw!$A:$A,Input_Raw!$R:$R),"")</f>
        <v>0</v>
      </c>
      <c r="H129" s="298"/>
      <c r="I129" s="298">
        <f>IFERROR(_xlfn.XLOOKUP($A129,Input_Raw!$A:$A,Input_Raw!$Q:$Q),"")</f>
        <v>0</v>
      </c>
      <c r="J129" s="298"/>
      <c r="K129" s="298">
        <f>IFERROR(_xlfn.XLOOKUP($A129,Input_Raw!$A:$A,Input_Raw!S:S),"")</f>
        <v>0</v>
      </c>
      <c r="L129" s="298">
        <f>IFERROR(_xlfn.XLOOKUP($A129,Input_Raw!$A:$A,Input_Raw!T:T),"")</f>
        <v>0</v>
      </c>
      <c r="M129" s="298">
        <f>IFERROR(_xlfn.XLOOKUP($A129,Input_Raw!$A:$A,Input_Raw!W:W),"")</f>
        <v>0</v>
      </c>
      <c r="N129" s="298">
        <f>IFERROR(_xlfn.XLOOKUP($A129,Input_Raw!$A:$A,Input_Raw!X:X),"")</f>
        <v>0</v>
      </c>
      <c r="O129" s="299" t="str">
        <f>IFERROR(1-(SUMIF(Plant_BD!$B:$B,$A129,Plant_BD!$AL:$AL)/($AA129+SUMIF(Plant_BD!$B:$B,$A129,Plant_BD!$AL:$AL))),"")</f>
        <v/>
      </c>
      <c r="P129" s="299"/>
      <c r="Q129" s="300"/>
      <c r="R129" s="299" t="str">
        <f>IFERROR(1-(SUMIF(Grid_BD!$B:$B,$A129,Grid_BD!$V:$V)/($AA129+SUMIF(Grid_BD!$B:$B,$A129,Grid_BD!$V:$V))),"")</f>
        <v/>
      </c>
      <c r="S129" s="295"/>
      <c r="T129" s="300"/>
      <c r="U129" s="301" t="str">
        <f t="shared" si="11"/>
        <v/>
      </c>
      <c r="V129" s="301" t="str">
        <f>IFERROR(_xlfn.XLOOKUP($A129,Input_Raw!$A:$A,Input_Raw!$AX:$AX),"")</f>
        <v/>
      </c>
      <c r="W129" s="302">
        <f t="shared" si="12"/>
        <v>0</v>
      </c>
      <c r="X129" s="294">
        <f>IFERROR(_xlfn.XLOOKUP($A129,Input_Raw!$A:$A,Input_Raw!$AA:$AA),"")</f>
        <v>0</v>
      </c>
      <c r="Y129" s="294">
        <f>IFERROR(_xlfn.XLOOKUP($A129,Input_Raw!$A:$A,Input_Raw!$AS:$AS),"")</f>
        <v>0</v>
      </c>
      <c r="Z129" s="294"/>
      <c r="AA129" s="294">
        <f>IFERROR(_xlfn.XLOOKUP($A129,Input_Raw!$A:$A,Input_Raw!$AT:$AT),"")</f>
        <v>0</v>
      </c>
      <c r="AB129" s="294">
        <f>IFERROR(_xlfn.XLOOKUP($A129,Input_Raw!$A:$A,Input_Raw!$AU:$AU),"")</f>
        <v>0</v>
      </c>
      <c r="AC129" s="303">
        <f>IFERROR(_xlfn.XLOOKUP($D129,'Modelling New'!$D:$D,'Modelling New'!P:P),"")</f>
        <v>3.9096774193548387</v>
      </c>
      <c r="AD129" s="294">
        <f>IFERROR(_xlfn.XLOOKUP($D129,'Modelling New'!$D:$D,'Modelling New'!T:T)*1000,"")</f>
        <v>185476.6695582087</v>
      </c>
      <c r="AE129" s="304">
        <f>IFERROR(_xlfn.XLOOKUP($D129,'Modelling New'!$D:$D,'Modelling New'!$O:$O),"")</f>
        <v>0.87252734266252563</v>
      </c>
      <c r="AF129" s="304">
        <f>IFERROR(_xlfn.XLOOKUP($D129,'Modelling New'!$D:$D,'Modelling New'!$W:$W),"")</f>
        <v>0.14213751872405658</v>
      </c>
      <c r="AG129" s="304">
        <f>IFERROR(_xlfn.XLOOKUP($D129,'Modelling New'!$D:$D,'Modelling New'!$AE:$AE),"")</f>
        <v>0.995</v>
      </c>
      <c r="AH129" s="304">
        <f>IFERROR(_xlfn.XLOOKUP($D129,'Modelling New'!$D:$D,'Modelling New'!$AF:$AF),"")</f>
        <v>0.995</v>
      </c>
      <c r="AI129" s="295"/>
      <c r="AJ129" s="295"/>
      <c r="AK129" s="295"/>
      <c r="AL129" s="295"/>
      <c r="AM129" s="295"/>
      <c r="AN129" s="305"/>
      <c r="AO129" s="302"/>
      <c r="AP129" s="302"/>
      <c r="AQ129" s="302"/>
      <c r="AR129" s="294">
        <f>_xlfn.XLOOKUP($D129,'Modelling New'!$D:$D,'Modelling New'!$N:$N)</f>
        <v>54.371250000000003</v>
      </c>
      <c r="AS129" s="294">
        <f t="shared" si="13"/>
        <v>0</v>
      </c>
    </row>
    <row r="130" spans="1:45">
      <c r="A130" s="293">
        <f t="shared" si="14"/>
        <v>45873</v>
      </c>
      <c r="B130" s="294">
        <f>YEAR(Daily_KPI[[#This Row],[Date]])+IF(MONTH(Daily_KPI[[#This Row],[Date]])&gt;=4,1,0)</f>
        <v>2026</v>
      </c>
      <c r="C130" s="295">
        <f>YEAR(Daily_KPI[[#This Row],[Date]])</f>
        <v>2025</v>
      </c>
      <c r="D130" s="296">
        <f>Daily_KPI[[#This Row],[Date]]-DAY(Daily_KPI[[#This Row],[Date]])+1</f>
        <v>45870</v>
      </c>
      <c r="E130" s="295">
        <f t="shared" si="10"/>
        <v>31</v>
      </c>
      <c r="F130" s="297">
        <f>IFERROR(_xlfn.XLOOKUP($A130,Input_Raw!$A:$A,Input_Raw!$AR:$AR),"")</f>
        <v>0</v>
      </c>
      <c r="G130" s="298">
        <f>IFERROR(_xlfn.XLOOKUP($A130,Input_Raw!$A:$A,Input_Raw!$R:$R),"")</f>
        <v>0</v>
      </c>
      <c r="H130" s="298"/>
      <c r="I130" s="298">
        <f>IFERROR(_xlfn.XLOOKUP($A130,Input_Raw!$A:$A,Input_Raw!$Q:$Q),"")</f>
        <v>0</v>
      </c>
      <c r="J130" s="298"/>
      <c r="K130" s="298">
        <f>IFERROR(_xlfn.XLOOKUP($A130,Input_Raw!$A:$A,Input_Raw!S:S),"")</f>
        <v>0</v>
      </c>
      <c r="L130" s="298">
        <f>IFERROR(_xlfn.XLOOKUP($A130,Input_Raw!$A:$A,Input_Raw!T:T),"")</f>
        <v>0</v>
      </c>
      <c r="M130" s="298">
        <f>IFERROR(_xlfn.XLOOKUP($A130,Input_Raw!$A:$A,Input_Raw!W:W),"")</f>
        <v>0</v>
      </c>
      <c r="N130" s="298">
        <f>IFERROR(_xlfn.XLOOKUP($A130,Input_Raw!$A:$A,Input_Raw!X:X),"")</f>
        <v>0</v>
      </c>
      <c r="O130" s="299" t="str">
        <f>IFERROR(1-(SUMIF(Plant_BD!$B:$B,$A130,Plant_BD!$AL:$AL)/($AA130+SUMIF(Plant_BD!$B:$B,$A130,Plant_BD!$AL:$AL))),"")</f>
        <v/>
      </c>
      <c r="P130" s="299"/>
      <c r="Q130" s="300"/>
      <c r="R130" s="299" t="str">
        <f>IFERROR(1-(SUMIF(Grid_BD!$B:$B,$A130,Grid_BD!$V:$V)/($AA130+SUMIF(Grid_BD!$B:$B,$A130,Grid_BD!$V:$V))),"")</f>
        <v/>
      </c>
      <c r="S130" s="295"/>
      <c r="T130" s="300"/>
      <c r="U130" s="301" t="str">
        <f t="shared" si="11"/>
        <v/>
      </c>
      <c r="V130" s="301" t="str">
        <f>IFERROR(_xlfn.XLOOKUP($A130,Input_Raw!$A:$A,Input_Raw!$AX:$AX),"")</f>
        <v/>
      </c>
      <c r="W130" s="302">
        <f t="shared" si="12"/>
        <v>0</v>
      </c>
      <c r="X130" s="294">
        <f>IFERROR(_xlfn.XLOOKUP($A130,Input_Raw!$A:$A,Input_Raw!$AA:$AA),"")</f>
        <v>0</v>
      </c>
      <c r="Y130" s="294">
        <f>IFERROR(_xlfn.XLOOKUP($A130,Input_Raw!$A:$A,Input_Raw!$AS:$AS),"")</f>
        <v>0</v>
      </c>
      <c r="Z130" s="294"/>
      <c r="AA130" s="294">
        <f>IFERROR(_xlfn.XLOOKUP($A130,Input_Raw!$A:$A,Input_Raw!$AT:$AT),"")</f>
        <v>0</v>
      </c>
      <c r="AB130" s="294">
        <f>IFERROR(_xlfn.XLOOKUP($A130,Input_Raw!$A:$A,Input_Raw!$AU:$AU),"")</f>
        <v>0</v>
      </c>
      <c r="AC130" s="303">
        <f>IFERROR(_xlfn.XLOOKUP($D130,'Modelling New'!$D:$D,'Modelling New'!P:P),"")</f>
        <v>3.9096774193548387</v>
      </c>
      <c r="AD130" s="294">
        <f>IFERROR(_xlfn.XLOOKUP($D130,'Modelling New'!$D:$D,'Modelling New'!T:T)*1000,"")</f>
        <v>185476.6695582087</v>
      </c>
      <c r="AE130" s="304">
        <f>IFERROR(_xlfn.XLOOKUP($D130,'Modelling New'!$D:$D,'Modelling New'!$O:$O),"")</f>
        <v>0.87252734266252563</v>
      </c>
      <c r="AF130" s="304">
        <f>IFERROR(_xlfn.XLOOKUP($D130,'Modelling New'!$D:$D,'Modelling New'!$W:$W),"")</f>
        <v>0.14213751872405658</v>
      </c>
      <c r="AG130" s="304">
        <f>IFERROR(_xlfn.XLOOKUP($D130,'Modelling New'!$D:$D,'Modelling New'!$AE:$AE),"")</f>
        <v>0.995</v>
      </c>
      <c r="AH130" s="304">
        <f>IFERROR(_xlfn.XLOOKUP($D130,'Modelling New'!$D:$D,'Modelling New'!$AF:$AF),"")</f>
        <v>0.995</v>
      </c>
      <c r="AI130" s="295"/>
      <c r="AJ130" s="295"/>
      <c r="AK130" s="295"/>
      <c r="AL130" s="295"/>
      <c r="AM130" s="295"/>
      <c r="AN130" s="305"/>
      <c r="AO130" s="302"/>
      <c r="AP130" s="302"/>
      <c r="AQ130" s="302"/>
      <c r="AR130" s="294">
        <f>_xlfn.XLOOKUP($D130,'Modelling New'!$D:$D,'Modelling New'!$N:$N)</f>
        <v>54.371250000000003</v>
      </c>
      <c r="AS130" s="294">
        <f t="shared" si="13"/>
        <v>0</v>
      </c>
    </row>
    <row r="131" spans="1:45">
      <c r="A131" s="293">
        <f t="shared" si="14"/>
        <v>45874</v>
      </c>
      <c r="B131" s="294">
        <f>YEAR(Daily_KPI[[#This Row],[Date]])+IF(MONTH(Daily_KPI[[#This Row],[Date]])&gt;=4,1,0)</f>
        <v>2026</v>
      </c>
      <c r="C131" s="295">
        <f>YEAR(Daily_KPI[[#This Row],[Date]])</f>
        <v>2025</v>
      </c>
      <c r="D131" s="296">
        <f>Daily_KPI[[#This Row],[Date]]-DAY(Daily_KPI[[#This Row],[Date]])+1</f>
        <v>45870</v>
      </c>
      <c r="E131" s="295">
        <f t="shared" si="10"/>
        <v>31</v>
      </c>
      <c r="F131" s="297">
        <f>IFERROR(_xlfn.XLOOKUP($A131,Input_Raw!$A:$A,Input_Raw!$AR:$AR),"")</f>
        <v>0</v>
      </c>
      <c r="G131" s="298">
        <f>IFERROR(_xlfn.XLOOKUP($A131,Input_Raw!$A:$A,Input_Raw!$R:$R),"")</f>
        <v>0</v>
      </c>
      <c r="H131" s="298"/>
      <c r="I131" s="298">
        <f>IFERROR(_xlfn.XLOOKUP($A131,Input_Raw!$A:$A,Input_Raw!$Q:$Q),"")</f>
        <v>0</v>
      </c>
      <c r="J131" s="298"/>
      <c r="K131" s="298">
        <f>IFERROR(_xlfn.XLOOKUP($A131,Input_Raw!$A:$A,Input_Raw!S:S),"")</f>
        <v>0</v>
      </c>
      <c r="L131" s="298">
        <f>IFERROR(_xlfn.XLOOKUP($A131,Input_Raw!$A:$A,Input_Raw!T:T),"")</f>
        <v>0</v>
      </c>
      <c r="M131" s="298">
        <f>IFERROR(_xlfn.XLOOKUP($A131,Input_Raw!$A:$A,Input_Raw!W:W),"")</f>
        <v>0</v>
      </c>
      <c r="N131" s="298">
        <f>IFERROR(_xlfn.XLOOKUP($A131,Input_Raw!$A:$A,Input_Raw!X:X),"")</f>
        <v>0</v>
      </c>
      <c r="O131" s="299" t="str">
        <f>IFERROR(1-(SUMIF(Plant_BD!$B:$B,$A131,Plant_BD!$AL:$AL)/($AA131+SUMIF(Plant_BD!$B:$B,$A131,Plant_BD!$AL:$AL))),"")</f>
        <v/>
      </c>
      <c r="P131" s="299"/>
      <c r="Q131" s="300"/>
      <c r="R131" s="299" t="str">
        <f>IFERROR(1-(SUMIF(Grid_BD!$B:$B,$A131,Grid_BD!$V:$V)/($AA131+SUMIF(Grid_BD!$B:$B,$A131,Grid_BD!$V:$V))),"")</f>
        <v/>
      </c>
      <c r="S131" s="295"/>
      <c r="T131" s="300"/>
      <c r="U131" s="301" t="str">
        <f t="shared" si="11"/>
        <v/>
      </c>
      <c r="V131" s="301" t="str">
        <f>IFERROR(_xlfn.XLOOKUP($A131,Input_Raw!$A:$A,Input_Raw!$AX:$AX),"")</f>
        <v/>
      </c>
      <c r="W131" s="302">
        <f t="shared" si="12"/>
        <v>0</v>
      </c>
      <c r="X131" s="294">
        <f>IFERROR(_xlfn.XLOOKUP($A131,Input_Raw!$A:$A,Input_Raw!$AA:$AA),"")</f>
        <v>0</v>
      </c>
      <c r="Y131" s="294">
        <f>IFERROR(_xlfn.XLOOKUP($A131,Input_Raw!$A:$A,Input_Raw!$AS:$AS),"")</f>
        <v>0</v>
      </c>
      <c r="Z131" s="294"/>
      <c r="AA131" s="294">
        <f>IFERROR(_xlfn.XLOOKUP($A131,Input_Raw!$A:$A,Input_Raw!$AT:$AT),"")</f>
        <v>0</v>
      </c>
      <c r="AB131" s="294">
        <f>IFERROR(_xlfn.XLOOKUP($A131,Input_Raw!$A:$A,Input_Raw!$AU:$AU),"")</f>
        <v>0</v>
      </c>
      <c r="AC131" s="303">
        <f>IFERROR(_xlfn.XLOOKUP($D131,'Modelling New'!$D:$D,'Modelling New'!P:P),"")</f>
        <v>3.9096774193548387</v>
      </c>
      <c r="AD131" s="294">
        <f>IFERROR(_xlfn.XLOOKUP($D131,'Modelling New'!$D:$D,'Modelling New'!T:T)*1000,"")</f>
        <v>185476.6695582087</v>
      </c>
      <c r="AE131" s="304">
        <f>IFERROR(_xlfn.XLOOKUP($D131,'Modelling New'!$D:$D,'Modelling New'!$O:$O),"")</f>
        <v>0.87252734266252563</v>
      </c>
      <c r="AF131" s="304">
        <f>IFERROR(_xlfn.XLOOKUP($D131,'Modelling New'!$D:$D,'Modelling New'!$W:$W),"")</f>
        <v>0.14213751872405658</v>
      </c>
      <c r="AG131" s="304">
        <f>IFERROR(_xlfn.XLOOKUP($D131,'Modelling New'!$D:$D,'Modelling New'!$AE:$AE),"")</f>
        <v>0.995</v>
      </c>
      <c r="AH131" s="304">
        <f>IFERROR(_xlfn.XLOOKUP($D131,'Modelling New'!$D:$D,'Modelling New'!$AF:$AF),"")</f>
        <v>0.995</v>
      </c>
      <c r="AI131" s="295"/>
      <c r="AJ131" s="295"/>
      <c r="AK131" s="295"/>
      <c r="AL131" s="295"/>
      <c r="AM131" s="295"/>
      <c r="AN131" s="305"/>
      <c r="AO131" s="302"/>
      <c r="AP131" s="302"/>
      <c r="AQ131" s="302"/>
      <c r="AR131" s="294">
        <f>_xlfn.XLOOKUP($D131,'Modelling New'!$D:$D,'Modelling New'!$N:$N)</f>
        <v>54.371250000000003</v>
      </c>
      <c r="AS131" s="294">
        <f t="shared" si="13"/>
        <v>0</v>
      </c>
    </row>
    <row r="132" spans="1:45">
      <c r="A132" s="293">
        <f t="shared" si="14"/>
        <v>45875</v>
      </c>
      <c r="B132" s="294">
        <f>YEAR(Daily_KPI[[#This Row],[Date]])+IF(MONTH(Daily_KPI[[#This Row],[Date]])&gt;=4,1,0)</f>
        <v>2026</v>
      </c>
      <c r="C132" s="295">
        <f>YEAR(Daily_KPI[[#This Row],[Date]])</f>
        <v>2025</v>
      </c>
      <c r="D132" s="296">
        <f>Daily_KPI[[#This Row],[Date]]-DAY(Daily_KPI[[#This Row],[Date]])+1</f>
        <v>45870</v>
      </c>
      <c r="E132" s="295">
        <f t="shared" si="10"/>
        <v>31</v>
      </c>
      <c r="F132" s="297">
        <f>IFERROR(_xlfn.XLOOKUP($A132,Input_Raw!$A:$A,Input_Raw!$AR:$AR),"")</f>
        <v>0</v>
      </c>
      <c r="G132" s="298">
        <f>IFERROR(_xlfn.XLOOKUP($A132,Input_Raw!$A:$A,Input_Raw!$R:$R),"")</f>
        <v>0</v>
      </c>
      <c r="H132" s="298"/>
      <c r="I132" s="298">
        <f>IFERROR(_xlfn.XLOOKUP($A132,Input_Raw!$A:$A,Input_Raw!$Q:$Q),"")</f>
        <v>0</v>
      </c>
      <c r="J132" s="298"/>
      <c r="K132" s="298">
        <f>IFERROR(_xlfn.XLOOKUP($A132,Input_Raw!$A:$A,Input_Raw!S:S),"")</f>
        <v>0</v>
      </c>
      <c r="L132" s="298">
        <f>IFERROR(_xlfn.XLOOKUP($A132,Input_Raw!$A:$A,Input_Raw!T:T),"")</f>
        <v>0</v>
      </c>
      <c r="M132" s="298">
        <f>IFERROR(_xlfn.XLOOKUP($A132,Input_Raw!$A:$A,Input_Raw!W:W),"")</f>
        <v>0</v>
      </c>
      <c r="N132" s="298">
        <f>IFERROR(_xlfn.XLOOKUP($A132,Input_Raw!$A:$A,Input_Raw!X:X),"")</f>
        <v>0</v>
      </c>
      <c r="O132" s="299" t="str">
        <f>IFERROR(1-(SUMIF(Plant_BD!$B:$B,$A132,Plant_BD!$AL:$AL)/($AA132+SUMIF(Plant_BD!$B:$B,$A132,Plant_BD!$AL:$AL))),"")</f>
        <v/>
      </c>
      <c r="P132" s="299"/>
      <c r="Q132" s="300"/>
      <c r="R132" s="299" t="str">
        <f>IFERROR(1-(SUMIF(Grid_BD!$B:$B,$A132,Grid_BD!$V:$V)/($AA132+SUMIF(Grid_BD!$B:$B,$A132,Grid_BD!$V:$V))),"")</f>
        <v/>
      </c>
      <c r="S132" s="295"/>
      <c r="T132" s="300"/>
      <c r="U132" s="301" t="str">
        <f t="shared" si="11"/>
        <v/>
      </c>
      <c r="V132" s="301" t="str">
        <f>IFERROR(_xlfn.XLOOKUP($A132,Input_Raw!$A:$A,Input_Raw!$AX:$AX),"")</f>
        <v/>
      </c>
      <c r="W132" s="302">
        <f t="shared" si="12"/>
        <v>0</v>
      </c>
      <c r="X132" s="294">
        <f>IFERROR(_xlfn.XLOOKUP($A132,Input_Raw!$A:$A,Input_Raw!$AA:$AA),"")</f>
        <v>0</v>
      </c>
      <c r="Y132" s="294">
        <f>IFERROR(_xlfn.XLOOKUP($A132,Input_Raw!$A:$A,Input_Raw!$AS:$AS),"")</f>
        <v>0</v>
      </c>
      <c r="Z132" s="294"/>
      <c r="AA132" s="294">
        <f>IFERROR(_xlfn.XLOOKUP($A132,Input_Raw!$A:$A,Input_Raw!$AT:$AT),"")</f>
        <v>0</v>
      </c>
      <c r="AB132" s="294">
        <f>IFERROR(_xlfn.XLOOKUP($A132,Input_Raw!$A:$A,Input_Raw!$AU:$AU),"")</f>
        <v>0</v>
      </c>
      <c r="AC132" s="303">
        <f>IFERROR(_xlfn.XLOOKUP($D132,'Modelling New'!$D:$D,'Modelling New'!P:P),"")</f>
        <v>3.9096774193548387</v>
      </c>
      <c r="AD132" s="294">
        <f>IFERROR(_xlfn.XLOOKUP($D132,'Modelling New'!$D:$D,'Modelling New'!T:T)*1000,"")</f>
        <v>185476.6695582087</v>
      </c>
      <c r="AE132" s="304">
        <f>IFERROR(_xlfn.XLOOKUP($D132,'Modelling New'!$D:$D,'Modelling New'!$O:$O),"")</f>
        <v>0.87252734266252563</v>
      </c>
      <c r="AF132" s="304">
        <f>IFERROR(_xlfn.XLOOKUP($D132,'Modelling New'!$D:$D,'Modelling New'!$W:$W),"")</f>
        <v>0.14213751872405658</v>
      </c>
      <c r="AG132" s="304">
        <f>IFERROR(_xlfn.XLOOKUP($D132,'Modelling New'!$D:$D,'Modelling New'!$AE:$AE),"")</f>
        <v>0.995</v>
      </c>
      <c r="AH132" s="304">
        <f>IFERROR(_xlfn.XLOOKUP($D132,'Modelling New'!$D:$D,'Modelling New'!$AF:$AF),"")</f>
        <v>0.995</v>
      </c>
      <c r="AI132" s="295"/>
      <c r="AJ132" s="295"/>
      <c r="AK132" s="295"/>
      <c r="AL132" s="295"/>
      <c r="AM132" s="295"/>
      <c r="AN132" s="305"/>
      <c r="AO132" s="302"/>
      <c r="AP132" s="302"/>
      <c r="AQ132" s="302"/>
      <c r="AR132" s="294">
        <f>_xlfn.XLOOKUP($D132,'Modelling New'!$D:$D,'Modelling New'!$N:$N)</f>
        <v>54.371250000000003</v>
      </c>
      <c r="AS132" s="294">
        <f t="shared" si="13"/>
        <v>0</v>
      </c>
    </row>
    <row r="133" spans="1:45">
      <c r="A133" s="293">
        <f t="shared" si="14"/>
        <v>45876</v>
      </c>
      <c r="B133" s="294">
        <f>YEAR(Daily_KPI[[#This Row],[Date]])+IF(MONTH(Daily_KPI[[#This Row],[Date]])&gt;=4,1,0)</f>
        <v>2026</v>
      </c>
      <c r="C133" s="295">
        <f>YEAR(Daily_KPI[[#This Row],[Date]])</f>
        <v>2025</v>
      </c>
      <c r="D133" s="296">
        <f>Daily_KPI[[#This Row],[Date]]-DAY(Daily_KPI[[#This Row],[Date]])+1</f>
        <v>45870</v>
      </c>
      <c r="E133" s="295">
        <f t="shared" si="10"/>
        <v>31</v>
      </c>
      <c r="F133" s="297">
        <f>IFERROR(_xlfn.XLOOKUP($A133,Input_Raw!$A:$A,Input_Raw!$AR:$AR),"")</f>
        <v>0</v>
      </c>
      <c r="G133" s="298">
        <f>IFERROR(_xlfn.XLOOKUP($A133,Input_Raw!$A:$A,Input_Raw!$R:$R),"")</f>
        <v>0</v>
      </c>
      <c r="H133" s="298"/>
      <c r="I133" s="298">
        <f>IFERROR(_xlfn.XLOOKUP($A133,Input_Raw!$A:$A,Input_Raw!$Q:$Q),"")</f>
        <v>0</v>
      </c>
      <c r="J133" s="298"/>
      <c r="K133" s="298">
        <f>IFERROR(_xlfn.XLOOKUP($A133,Input_Raw!$A:$A,Input_Raw!S:S),"")</f>
        <v>0</v>
      </c>
      <c r="L133" s="298">
        <f>IFERROR(_xlfn.XLOOKUP($A133,Input_Raw!$A:$A,Input_Raw!T:T),"")</f>
        <v>0</v>
      </c>
      <c r="M133" s="298">
        <f>IFERROR(_xlfn.XLOOKUP($A133,Input_Raw!$A:$A,Input_Raw!W:W),"")</f>
        <v>0</v>
      </c>
      <c r="N133" s="298">
        <f>IFERROR(_xlfn.XLOOKUP($A133,Input_Raw!$A:$A,Input_Raw!X:X),"")</f>
        <v>0</v>
      </c>
      <c r="O133" s="299" t="str">
        <f>IFERROR(1-(SUMIF(Plant_BD!$B:$B,$A133,Plant_BD!$AL:$AL)/($AA133+SUMIF(Plant_BD!$B:$B,$A133,Plant_BD!$AL:$AL))),"")</f>
        <v/>
      </c>
      <c r="P133" s="299"/>
      <c r="Q133" s="300"/>
      <c r="R133" s="299" t="str">
        <f>IFERROR(1-(SUMIF(Grid_BD!$B:$B,$A133,Grid_BD!$V:$V)/($AA133+SUMIF(Grid_BD!$B:$B,$A133,Grid_BD!$V:$V))),"")</f>
        <v/>
      </c>
      <c r="S133" s="295"/>
      <c r="T133" s="300"/>
      <c r="U133" s="301" t="str">
        <f t="shared" si="11"/>
        <v/>
      </c>
      <c r="V133" s="301" t="str">
        <f>IFERROR(_xlfn.XLOOKUP($A133,Input_Raw!$A:$A,Input_Raw!$AX:$AX),"")</f>
        <v/>
      </c>
      <c r="W133" s="302">
        <f t="shared" si="12"/>
        <v>0</v>
      </c>
      <c r="X133" s="294">
        <f>IFERROR(_xlfn.XLOOKUP($A133,Input_Raw!$A:$A,Input_Raw!$AA:$AA),"")</f>
        <v>0</v>
      </c>
      <c r="Y133" s="294">
        <f>IFERROR(_xlfn.XLOOKUP($A133,Input_Raw!$A:$A,Input_Raw!$AS:$AS),"")</f>
        <v>0</v>
      </c>
      <c r="Z133" s="294"/>
      <c r="AA133" s="294">
        <f>IFERROR(_xlfn.XLOOKUP($A133,Input_Raw!$A:$A,Input_Raw!$AT:$AT),"")</f>
        <v>0</v>
      </c>
      <c r="AB133" s="294">
        <f>IFERROR(_xlfn.XLOOKUP($A133,Input_Raw!$A:$A,Input_Raw!$AU:$AU),"")</f>
        <v>0</v>
      </c>
      <c r="AC133" s="303">
        <f>IFERROR(_xlfn.XLOOKUP($D133,'Modelling New'!$D:$D,'Modelling New'!P:P),"")</f>
        <v>3.9096774193548387</v>
      </c>
      <c r="AD133" s="294">
        <f>IFERROR(_xlfn.XLOOKUP($D133,'Modelling New'!$D:$D,'Modelling New'!T:T)*1000,"")</f>
        <v>185476.6695582087</v>
      </c>
      <c r="AE133" s="304">
        <f>IFERROR(_xlfn.XLOOKUP($D133,'Modelling New'!$D:$D,'Modelling New'!$O:$O),"")</f>
        <v>0.87252734266252563</v>
      </c>
      <c r="AF133" s="304">
        <f>IFERROR(_xlfn.XLOOKUP($D133,'Modelling New'!$D:$D,'Modelling New'!$W:$W),"")</f>
        <v>0.14213751872405658</v>
      </c>
      <c r="AG133" s="304">
        <f>IFERROR(_xlfn.XLOOKUP($D133,'Modelling New'!$D:$D,'Modelling New'!$AE:$AE),"")</f>
        <v>0.995</v>
      </c>
      <c r="AH133" s="304">
        <f>IFERROR(_xlfn.XLOOKUP($D133,'Modelling New'!$D:$D,'Modelling New'!$AF:$AF),"")</f>
        <v>0.995</v>
      </c>
      <c r="AI133" s="295"/>
      <c r="AJ133" s="295"/>
      <c r="AK133" s="295"/>
      <c r="AL133" s="295"/>
      <c r="AM133" s="295"/>
      <c r="AN133" s="305"/>
      <c r="AO133" s="302"/>
      <c r="AP133" s="302"/>
      <c r="AQ133" s="302"/>
      <c r="AR133" s="294">
        <f>_xlfn.XLOOKUP($D133,'Modelling New'!$D:$D,'Modelling New'!$N:$N)</f>
        <v>54.371250000000003</v>
      </c>
      <c r="AS133" s="294">
        <f t="shared" si="13"/>
        <v>0</v>
      </c>
    </row>
    <row r="134" spans="1:45">
      <c r="A134" s="293">
        <f t="shared" si="14"/>
        <v>45877</v>
      </c>
      <c r="B134" s="294">
        <f>YEAR(Daily_KPI[[#This Row],[Date]])+IF(MONTH(Daily_KPI[[#This Row],[Date]])&gt;=4,1,0)</f>
        <v>2026</v>
      </c>
      <c r="C134" s="295">
        <f>YEAR(Daily_KPI[[#This Row],[Date]])</f>
        <v>2025</v>
      </c>
      <c r="D134" s="296">
        <f>Daily_KPI[[#This Row],[Date]]-DAY(Daily_KPI[[#This Row],[Date]])+1</f>
        <v>45870</v>
      </c>
      <c r="E134" s="295">
        <f t="shared" si="10"/>
        <v>31</v>
      </c>
      <c r="F134" s="297">
        <f>IFERROR(_xlfn.XLOOKUP($A134,Input_Raw!$A:$A,Input_Raw!$AR:$AR),"")</f>
        <v>0</v>
      </c>
      <c r="G134" s="298">
        <f>IFERROR(_xlfn.XLOOKUP($A134,Input_Raw!$A:$A,Input_Raw!$R:$R),"")</f>
        <v>0</v>
      </c>
      <c r="H134" s="298"/>
      <c r="I134" s="298">
        <f>IFERROR(_xlfn.XLOOKUP($A134,Input_Raw!$A:$A,Input_Raw!$Q:$Q),"")</f>
        <v>0</v>
      </c>
      <c r="J134" s="298"/>
      <c r="K134" s="298">
        <f>IFERROR(_xlfn.XLOOKUP($A134,Input_Raw!$A:$A,Input_Raw!S:S),"")</f>
        <v>0</v>
      </c>
      <c r="L134" s="298">
        <f>IFERROR(_xlfn.XLOOKUP($A134,Input_Raw!$A:$A,Input_Raw!T:T),"")</f>
        <v>0</v>
      </c>
      <c r="M134" s="298">
        <f>IFERROR(_xlfn.XLOOKUP($A134,Input_Raw!$A:$A,Input_Raw!W:W),"")</f>
        <v>0</v>
      </c>
      <c r="N134" s="298">
        <f>IFERROR(_xlfn.XLOOKUP($A134,Input_Raw!$A:$A,Input_Raw!X:X),"")</f>
        <v>0</v>
      </c>
      <c r="O134" s="299" t="str">
        <f>IFERROR(1-(SUMIF(Plant_BD!$B:$B,$A134,Plant_BD!$AL:$AL)/($AA134+SUMIF(Plant_BD!$B:$B,$A134,Plant_BD!$AL:$AL))),"")</f>
        <v/>
      </c>
      <c r="P134" s="299"/>
      <c r="Q134" s="300"/>
      <c r="R134" s="299" t="str">
        <f>IFERROR(1-(SUMIF(Grid_BD!$B:$B,$A134,Grid_BD!$V:$V)/($AA134+SUMIF(Grid_BD!$B:$B,$A134,Grid_BD!$V:$V))),"")</f>
        <v/>
      </c>
      <c r="S134" s="295"/>
      <c r="T134" s="300"/>
      <c r="U134" s="301" t="str">
        <f t="shared" si="11"/>
        <v/>
      </c>
      <c r="V134" s="301" t="str">
        <f>IFERROR(_xlfn.XLOOKUP($A134,Input_Raw!$A:$A,Input_Raw!$AX:$AX),"")</f>
        <v/>
      </c>
      <c r="W134" s="302">
        <f t="shared" si="12"/>
        <v>0</v>
      </c>
      <c r="X134" s="294">
        <f>IFERROR(_xlfn.XLOOKUP($A134,Input_Raw!$A:$A,Input_Raw!$AA:$AA),"")</f>
        <v>0</v>
      </c>
      <c r="Y134" s="294">
        <f>IFERROR(_xlfn.XLOOKUP($A134,Input_Raw!$A:$A,Input_Raw!$AS:$AS),"")</f>
        <v>0</v>
      </c>
      <c r="Z134" s="294"/>
      <c r="AA134" s="294">
        <f>IFERROR(_xlfn.XLOOKUP($A134,Input_Raw!$A:$A,Input_Raw!$AT:$AT),"")</f>
        <v>0</v>
      </c>
      <c r="AB134" s="294">
        <f>IFERROR(_xlfn.XLOOKUP($A134,Input_Raw!$A:$A,Input_Raw!$AU:$AU),"")</f>
        <v>0</v>
      </c>
      <c r="AC134" s="303">
        <f>IFERROR(_xlfn.XLOOKUP($D134,'Modelling New'!$D:$D,'Modelling New'!P:P),"")</f>
        <v>3.9096774193548387</v>
      </c>
      <c r="AD134" s="294">
        <f>IFERROR(_xlfn.XLOOKUP($D134,'Modelling New'!$D:$D,'Modelling New'!T:T)*1000,"")</f>
        <v>185476.6695582087</v>
      </c>
      <c r="AE134" s="304">
        <f>IFERROR(_xlfn.XLOOKUP($D134,'Modelling New'!$D:$D,'Modelling New'!$O:$O),"")</f>
        <v>0.87252734266252563</v>
      </c>
      <c r="AF134" s="304">
        <f>IFERROR(_xlfn.XLOOKUP($D134,'Modelling New'!$D:$D,'Modelling New'!$W:$W),"")</f>
        <v>0.14213751872405658</v>
      </c>
      <c r="AG134" s="304">
        <f>IFERROR(_xlfn.XLOOKUP($D134,'Modelling New'!$D:$D,'Modelling New'!$AE:$AE),"")</f>
        <v>0.995</v>
      </c>
      <c r="AH134" s="304">
        <f>IFERROR(_xlfn.XLOOKUP($D134,'Modelling New'!$D:$D,'Modelling New'!$AF:$AF),"")</f>
        <v>0.995</v>
      </c>
      <c r="AI134" s="295"/>
      <c r="AJ134" s="295"/>
      <c r="AK134" s="295"/>
      <c r="AL134" s="295"/>
      <c r="AM134" s="295"/>
      <c r="AN134" s="305"/>
      <c r="AO134" s="302"/>
      <c r="AP134" s="302"/>
      <c r="AQ134" s="302"/>
      <c r="AR134" s="294">
        <f>_xlfn.XLOOKUP($D134,'Modelling New'!$D:$D,'Modelling New'!$N:$N)</f>
        <v>54.371250000000003</v>
      </c>
      <c r="AS134" s="294">
        <f t="shared" si="13"/>
        <v>0</v>
      </c>
    </row>
    <row r="135" spans="1:45">
      <c r="A135" s="293">
        <f t="shared" si="14"/>
        <v>45878</v>
      </c>
      <c r="B135" s="294">
        <f>YEAR(Daily_KPI[[#This Row],[Date]])+IF(MONTH(Daily_KPI[[#This Row],[Date]])&gt;=4,1,0)</f>
        <v>2026</v>
      </c>
      <c r="C135" s="295">
        <f>YEAR(Daily_KPI[[#This Row],[Date]])</f>
        <v>2025</v>
      </c>
      <c r="D135" s="296">
        <f>Daily_KPI[[#This Row],[Date]]-DAY(Daily_KPI[[#This Row],[Date]])+1</f>
        <v>45870</v>
      </c>
      <c r="E135" s="295">
        <f t="shared" si="10"/>
        <v>31</v>
      </c>
      <c r="F135" s="297">
        <f>IFERROR(_xlfn.XLOOKUP($A135,Input_Raw!$A:$A,Input_Raw!$AR:$AR),"")</f>
        <v>0</v>
      </c>
      <c r="G135" s="298">
        <f>IFERROR(_xlfn.XLOOKUP($A135,Input_Raw!$A:$A,Input_Raw!$R:$R),"")</f>
        <v>0</v>
      </c>
      <c r="H135" s="298"/>
      <c r="I135" s="298">
        <f>IFERROR(_xlfn.XLOOKUP($A135,Input_Raw!$A:$A,Input_Raw!$Q:$Q),"")</f>
        <v>0</v>
      </c>
      <c r="J135" s="298"/>
      <c r="K135" s="298">
        <f>IFERROR(_xlfn.XLOOKUP($A135,Input_Raw!$A:$A,Input_Raw!S:S),"")</f>
        <v>0</v>
      </c>
      <c r="L135" s="298">
        <f>IFERROR(_xlfn.XLOOKUP($A135,Input_Raw!$A:$A,Input_Raw!T:T),"")</f>
        <v>0</v>
      </c>
      <c r="M135" s="298">
        <f>IFERROR(_xlfn.XLOOKUP($A135,Input_Raw!$A:$A,Input_Raw!W:W),"")</f>
        <v>0</v>
      </c>
      <c r="N135" s="298">
        <f>IFERROR(_xlfn.XLOOKUP($A135,Input_Raw!$A:$A,Input_Raw!X:X),"")</f>
        <v>0</v>
      </c>
      <c r="O135" s="299" t="str">
        <f>IFERROR(1-(SUMIF(Plant_BD!$B:$B,$A135,Plant_BD!$AL:$AL)/($AA135+SUMIF(Plant_BD!$B:$B,$A135,Plant_BD!$AL:$AL))),"")</f>
        <v/>
      </c>
      <c r="P135" s="299"/>
      <c r="Q135" s="300"/>
      <c r="R135" s="299" t="str">
        <f>IFERROR(1-(SUMIF(Grid_BD!$B:$B,$A135,Grid_BD!$V:$V)/($AA135+SUMIF(Grid_BD!$B:$B,$A135,Grid_BD!$V:$V))),"")</f>
        <v/>
      </c>
      <c r="S135" s="295"/>
      <c r="T135" s="300"/>
      <c r="U135" s="301" t="str">
        <f t="shared" si="11"/>
        <v/>
      </c>
      <c r="V135" s="301" t="str">
        <f>IFERROR(_xlfn.XLOOKUP($A135,Input_Raw!$A:$A,Input_Raw!$AX:$AX),"")</f>
        <v/>
      </c>
      <c r="W135" s="302">
        <f t="shared" si="12"/>
        <v>0</v>
      </c>
      <c r="X135" s="294">
        <f>IFERROR(_xlfn.XLOOKUP($A135,Input_Raw!$A:$A,Input_Raw!$AA:$AA),"")</f>
        <v>0</v>
      </c>
      <c r="Y135" s="294">
        <f>IFERROR(_xlfn.XLOOKUP($A135,Input_Raw!$A:$A,Input_Raw!$AS:$AS),"")</f>
        <v>0</v>
      </c>
      <c r="Z135" s="294"/>
      <c r="AA135" s="294">
        <f>IFERROR(_xlfn.XLOOKUP($A135,Input_Raw!$A:$A,Input_Raw!$AT:$AT),"")</f>
        <v>0</v>
      </c>
      <c r="AB135" s="294">
        <f>IFERROR(_xlfn.XLOOKUP($A135,Input_Raw!$A:$A,Input_Raw!$AU:$AU),"")</f>
        <v>0</v>
      </c>
      <c r="AC135" s="303">
        <f>IFERROR(_xlfn.XLOOKUP($D135,'Modelling New'!$D:$D,'Modelling New'!P:P),"")</f>
        <v>3.9096774193548387</v>
      </c>
      <c r="AD135" s="294">
        <f>IFERROR(_xlfn.XLOOKUP($D135,'Modelling New'!$D:$D,'Modelling New'!T:T)*1000,"")</f>
        <v>185476.6695582087</v>
      </c>
      <c r="AE135" s="304">
        <f>IFERROR(_xlfn.XLOOKUP($D135,'Modelling New'!$D:$D,'Modelling New'!$O:$O),"")</f>
        <v>0.87252734266252563</v>
      </c>
      <c r="AF135" s="304">
        <f>IFERROR(_xlfn.XLOOKUP($D135,'Modelling New'!$D:$D,'Modelling New'!$W:$W),"")</f>
        <v>0.14213751872405658</v>
      </c>
      <c r="AG135" s="304">
        <f>IFERROR(_xlfn.XLOOKUP($D135,'Modelling New'!$D:$D,'Modelling New'!$AE:$AE),"")</f>
        <v>0.995</v>
      </c>
      <c r="AH135" s="304">
        <f>IFERROR(_xlfn.XLOOKUP($D135,'Modelling New'!$D:$D,'Modelling New'!$AF:$AF),"")</f>
        <v>0.995</v>
      </c>
      <c r="AI135" s="295"/>
      <c r="AJ135" s="295"/>
      <c r="AK135" s="295"/>
      <c r="AL135" s="295"/>
      <c r="AM135" s="295"/>
      <c r="AN135" s="305"/>
      <c r="AO135" s="302"/>
      <c r="AP135" s="302"/>
      <c r="AQ135" s="302"/>
      <c r="AR135" s="294">
        <f>_xlfn.XLOOKUP($D135,'Modelling New'!$D:$D,'Modelling New'!$N:$N)</f>
        <v>54.371250000000003</v>
      </c>
      <c r="AS135" s="294">
        <f t="shared" si="13"/>
        <v>0</v>
      </c>
    </row>
    <row r="136" spans="1:45">
      <c r="A136" s="293">
        <f t="shared" si="14"/>
        <v>45879</v>
      </c>
      <c r="B136" s="294">
        <f>YEAR(Daily_KPI[[#This Row],[Date]])+IF(MONTH(Daily_KPI[[#This Row],[Date]])&gt;=4,1,0)</f>
        <v>2026</v>
      </c>
      <c r="C136" s="295">
        <f>YEAR(Daily_KPI[[#This Row],[Date]])</f>
        <v>2025</v>
      </c>
      <c r="D136" s="296">
        <f>Daily_KPI[[#This Row],[Date]]-DAY(Daily_KPI[[#This Row],[Date]])+1</f>
        <v>45870</v>
      </c>
      <c r="E136" s="295">
        <f t="shared" si="10"/>
        <v>31</v>
      </c>
      <c r="F136" s="297">
        <f>IFERROR(_xlfn.XLOOKUP($A136,Input_Raw!$A:$A,Input_Raw!$AR:$AR),"")</f>
        <v>0</v>
      </c>
      <c r="G136" s="298">
        <f>IFERROR(_xlfn.XLOOKUP($A136,Input_Raw!$A:$A,Input_Raw!$R:$R),"")</f>
        <v>0</v>
      </c>
      <c r="H136" s="298"/>
      <c r="I136" s="298">
        <f>IFERROR(_xlfn.XLOOKUP($A136,Input_Raw!$A:$A,Input_Raw!$Q:$Q),"")</f>
        <v>0</v>
      </c>
      <c r="J136" s="298"/>
      <c r="K136" s="298">
        <f>IFERROR(_xlfn.XLOOKUP($A136,Input_Raw!$A:$A,Input_Raw!S:S),"")</f>
        <v>0</v>
      </c>
      <c r="L136" s="298">
        <f>IFERROR(_xlfn.XLOOKUP($A136,Input_Raw!$A:$A,Input_Raw!T:T),"")</f>
        <v>0</v>
      </c>
      <c r="M136" s="298">
        <f>IFERROR(_xlfn.XLOOKUP($A136,Input_Raw!$A:$A,Input_Raw!W:W),"")</f>
        <v>0</v>
      </c>
      <c r="N136" s="298">
        <f>IFERROR(_xlfn.XLOOKUP($A136,Input_Raw!$A:$A,Input_Raw!X:X),"")</f>
        <v>0</v>
      </c>
      <c r="O136" s="299" t="str">
        <f>IFERROR(1-(SUMIF(Plant_BD!$B:$B,$A136,Plant_BD!$AL:$AL)/($AA136+SUMIF(Plant_BD!$B:$B,$A136,Plant_BD!$AL:$AL))),"")</f>
        <v/>
      </c>
      <c r="P136" s="299"/>
      <c r="Q136" s="300"/>
      <c r="R136" s="299" t="str">
        <f>IFERROR(1-(SUMIF(Grid_BD!$B:$B,$A136,Grid_BD!$V:$V)/($AA136+SUMIF(Grid_BD!$B:$B,$A136,Grid_BD!$V:$V))),"")</f>
        <v/>
      </c>
      <c r="S136" s="295"/>
      <c r="T136" s="300"/>
      <c r="U136" s="301" t="str">
        <f t="shared" si="11"/>
        <v/>
      </c>
      <c r="V136" s="301" t="str">
        <f>IFERROR(_xlfn.XLOOKUP($A136,Input_Raw!$A:$A,Input_Raw!$AX:$AX),"")</f>
        <v/>
      </c>
      <c r="W136" s="302">
        <f t="shared" si="12"/>
        <v>0</v>
      </c>
      <c r="X136" s="294">
        <f>IFERROR(_xlfn.XLOOKUP($A136,Input_Raw!$A:$A,Input_Raw!$AA:$AA),"")</f>
        <v>0</v>
      </c>
      <c r="Y136" s="294">
        <f>IFERROR(_xlfn.XLOOKUP($A136,Input_Raw!$A:$A,Input_Raw!$AS:$AS),"")</f>
        <v>0</v>
      </c>
      <c r="Z136" s="294"/>
      <c r="AA136" s="294">
        <f>IFERROR(_xlfn.XLOOKUP($A136,Input_Raw!$A:$A,Input_Raw!$AT:$AT),"")</f>
        <v>0</v>
      </c>
      <c r="AB136" s="294">
        <f>IFERROR(_xlfn.XLOOKUP($A136,Input_Raw!$A:$A,Input_Raw!$AU:$AU),"")</f>
        <v>0</v>
      </c>
      <c r="AC136" s="303">
        <f>IFERROR(_xlfn.XLOOKUP($D136,'Modelling New'!$D:$D,'Modelling New'!P:P),"")</f>
        <v>3.9096774193548387</v>
      </c>
      <c r="AD136" s="294">
        <f>IFERROR(_xlfn.XLOOKUP($D136,'Modelling New'!$D:$D,'Modelling New'!T:T)*1000,"")</f>
        <v>185476.6695582087</v>
      </c>
      <c r="AE136" s="304">
        <f>IFERROR(_xlfn.XLOOKUP($D136,'Modelling New'!$D:$D,'Modelling New'!$O:$O),"")</f>
        <v>0.87252734266252563</v>
      </c>
      <c r="AF136" s="304">
        <f>IFERROR(_xlfn.XLOOKUP($D136,'Modelling New'!$D:$D,'Modelling New'!$W:$W),"")</f>
        <v>0.14213751872405658</v>
      </c>
      <c r="AG136" s="304">
        <f>IFERROR(_xlfn.XLOOKUP($D136,'Modelling New'!$D:$D,'Modelling New'!$AE:$AE),"")</f>
        <v>0.995</v>
      </c>
      <c r="AH136" s="304">
        <f>IFERROR(_xlfn.XLOOKUP($D136,'Modelling New'!$D:$D,'Modelling New'!$AF:$AF),"")</f>
        <v>0.995</v>
      </c>
      <c r="AI136" s="295"/>
      <c r="AJ136" s="295"/>
      <c r="AK136" s="295"/>
      <c r="AL136" s="295"/>
      <c r="AM136" s="295"/>
      <c r="AN136" s="305"/>
      <c r="AO136" s="302"/>
      <c r="AP136" s="302"/>
      <c r="AQ136" s="302"/>
      <c r="AR136" s="294">
        <f>_xlfn.XLOOKUP($D136,'Modelling New'!$D:$D,'Modelling New'!$N:$N)</f>
        <v>54.371250000000003</v>
      </c>
      <c r="AS136" s="294">
        <f t="shared" si="13"/>
        <v>0</v>
      </c>
    </row>
    <row r="137" spans="1:45">
      <c r="A137" s="293">
        <f t="shared" si="14"/>
        <v>45880</v>
      </c>
      <c r="B137" s="294">
        <f>YEAR(Daily_KPI[[#This Row],[Date]])+IF(MONTH(Daily_KPI[[#This Row],[Date]])&gt;=4,1,0)</f>
        <v>2026</v>
      </c>
      <c r="C137" s="295">
        <f>YEAR(Daily_KPI[[#This Row],[Date]])</f>
        <v>2025</v>
      </c>
      <c r="D137" s="296">
        <f>Daily_KPI[[#This Row],[Date]]-DAY(Daily_KPI[[#This Row],[Date]])+1</f>
        <v>45870</v>
      </c>
      <c r="E137" s="295">
        <f t="shared" si="10"/>
        <v>31</v>
      </c>
      <c r="F137" s="297">
        <f>IFERROR(_xlfn.XLOOKUP($A137,Input_Raw!$A:$A,Input_Raw!$AR:$AR),"")</f>
        <v>0</v>
      </c>
      <c r="G137" s="298">
        <f>IFERROR(_xlfn.XLOOKUP($A137,Input_Raw!$A:$A,Input_Raw!$R:$R),"")</f>
        <v>0</v>
      </c>
      <c r="H137" s="298"/>
      <c r="I137" s="298">
        <f>IFERROR(_xlfn.XLOOKUP($A137,Input_Raw!$A:$A,Input_Raw!$Q:$Q),"")</f>
        <v>0</v>
      </c>
      <c r="J137" s="298"/>
      <c r="K137" s="298">
        <f>IFERROR(_xlfn.XLOOKUP($A137,Input_Raw!$A:$A,Input_Raw!S:S),"")</f>
        <v>0</v>
      </c>
      <c r="L137" s="298">
        <f>IFERROR(_xlfn.XLOOKUP($A137,Input_Raw!$A:$A,Input_Raw!T:T),"")</f>
        <v>0</v>
      </c>
      <c r="M137" s="298">
        <f>IFERROR(_xlfn.XLOOKUP($A137,Input_Raw!$A:$A,Input_Raw!W:W),"")</f>
        <v>0</v>
      </c>
      <c r="N137" s="298">
        <f>IFERROR(_xlfn.XLOOKUP($A137,Input_Raw!$A:$A,Input_Raw!X:X),"")</f>
        <v>0</v>
      </c>
      <c r="O137" s="299" t="str">
        <f>IFERROR(1-(SUMIF(Plant_BD!$B:$B,$A137,Plant_BD!$AL:$AL)/($AA137+SUMIF(Plant_BD!$B:$B,$A137,Plant_BD!$AL:$AL))),"")</f>
        <v/>
      </c>
      <c r="P137" s="299"/>
      <c r="Q137" s="300"/>
      <c r="R137" s="299" t="str">
        <f>IFERROR(1-(SUMIF(Grid_BD!$B:$B,$A137,Grid_BD!$V:$V)/($AA137+SUMIF(Grid_BD!$B:$B,$A137,Grid_BD!$V:$V))),"")</f>
        <v/>
      </c>
      <c r="S137" s="295"/>
      <c r="T137" s="300"/>
      <c r="U137" s="301" t="str">
        <f t="shared" si="11"/>
        <v/>
      </c>
      <c r="V137" s="301" t="str">
        <f>IFERROR(_xlfn.XLOOKUP($A137,Input_Raw!$A:$A,Input_Raw!$AX:$AX),"")</f>
        <v/>
      </c>
      <c r="W137" s="302">
        <f t="shared" si="12"/>
        <v>0</v>
      </c>
      <c r="X137" s="294">
        <f>IFERROR(_xlfn.XLOOKUP($A137,Input_Raw!$A:$A,Input_Raw!$AA:$AA),"")</f>
        <v>0</v>
      </c>
      <c r="Y137" s="294">
        <f>IFERROR(_xlfn.XLOOKUP($A137,Input_Raw!$A:$A,Input_Raw!$AS:$AS),"")</f>
        <v>0</v>
      </c>
      <c r="Z137" s="294"/>
      <c r="AA137" s="294">
        <f>IFERROR(_xlfn.XLOOKUP($A137,Input_Raw!$A:$A,Input_Raw!$AT:$AT),"")</f>
        <v>0</v>
      </c>
      <c r="AB137" s="294">
        <f>IFERROR(_xlfn.XLOOKUP($A137,Input_Raw!$A:$A,Input_Raw!$AU:$AU),"")</f>
        <v>0</v>
      </c>
      <c r="AC137" s="303">
        <f>IFERROR(_xlfn.XLOOKUP($D137,'Modelling New'!$D:$D,'Modelling New'!P:P),"")</f>
        <v>3.9096774193548387</v>
      </c>
      <c r="AD137" s="294">
        <f>IFERROR(_xlfn.XLOOKUP($D137,'Modelling New'!$D:$D,'Modelling New'!T:T)*1000,"")</f>
        <v>185476.6695582087</v>
      </c>
      <c r="AE137" s="304">
        <f>IFERROR(_xlfn.XLOOKUP($D137,'Modelling New'!$D:$D,'Modelling New'!$O:$O),"")</f>
        <v>0.87252734266252563</v>
      </c>
      <c r="AF137" s="304">
        <f>IFERROR(_xlfn.XLOOKUP($D137,'Modelling New'!$D:$D,'Modelling New'!$W:$W),"")</f>
        <v>0.14213751872405658</v>
      </c>
      <c r="AG137" s="304">
        <f>IFERROR(_xlfn.XLOOKUP($D137,'Modelling New'!$D:$D,'Modelling New'!$AE:$AE),"")</f>
        <v>0.995</v>
      </c>
      <c r="AH137" s="304">
        <f>IFERROR(_xlfn.XLOOKUP($D137,'Modelling New'!$D:$D,'Modelling New'!$AF:$AF),"")</f>
        <v>0.995</v>
      </c>
      <c r="AI137" s="295"/>
      <c r="AJ137" s="295"/>
      <c r="AK137" s="295"/>
      <c r="AL137" s="295"/>
      <c r="AM137" s="295"/>
      <c r="AN137" s="305"/>
      <c r="AO137" s="302"/>
      <c r="AP137" s="302"/>
      <c r="AQ137" s="302"/>
      <c r="AR137" s="294">
        <f>_xlfn.XLOOKUP($D137,'Modelling New'!$D:$D,'Modelling New'!$N:$N)</f>
        <v>54.371250000000003</v>
      </c>
      <c r="AS137" s="294">
        <f t="shared" si="13"/>
        <v>0</v>
      </c>
    </row>
    <row r="138" spans="1:45">
      <c r="A138" s="293">
        <f t="shared" si="14"/>
        <v>45881</v>
      </c>
      <c r="B138" s="294">
        <f>YEAR(Daily_KPI[[#This Row],[Date]])+IF(MONTH(Daily_KPI[[#This Row],[Date]])&gt;=4,1,0)</f>
        <v>2026</v>
      </c>
      <c r="C138" s="295">
        <f>YEAR(Daily_KPI[[#This Row],[Date]])</f>
        <v>2025</v>
      </c>
      <c r="D138" s="296">
        <f>Daily_KPI[[#This Row],[Date]]-DAY(Daily_KPI[[#This Row],[Date]])+1</f>
        <v>45870</v>
      </c>
      <c r="E138" s="295">
        <f t="shared" ref="E138:E201" si="15">DAY(EOMONTH(A138,0))</f>
        <v>31</v>
      </c>
      <c r="F138" s="297">
        <f>IFERROR(_xlfn.XLOOKUP($A138,Input_Raw!$A:$A,Input_Raw!$AR:$AR),"")</f>
        <v>0</v>
      </c>
      <c r="G138" s="298">
        <f>IFERROR(_xlfn.XLOOKUP($A138,Input_Raw!$A:$A,Input_Raw!$R:$R),"")</f>
        <v>0</v>
      </c>
      <c r="H138" s="298"/>
      <c r="I138" s="298">
        <f>IFERROR(_xlfn.XLOOKUP($A138,Input_Raw!$A:$A,Input_Raw!$Q:$Q),"")</f>
        <v>0</v>
      </c>
      <c r="J138" s="298"/>
      <c r="K138" s="298">
        <f>IFERROR(_xlfn.XLOOKUP($A138,Input_Raw!$A:$A,Input_Raw!S:S),"")</f>
        <v>0</v>
      </c>
      <c r="L138" s="298">
        <f>IFERROR(_xlfn.XLOOKUP($A138,Input_Raw!$A:$A,Input_Raw!T:T),"")</f>
        <v>0</v>
      </c>
      <c r="M138" s="298">
        <f>IFERROR(_xlfn.XLOOKUP($A138,Input_Raw!$A:$A,Input_Raw!W:W),"")</f>
        <v>0</v>
      </c>
      <c r="N138" s="298">
        <f>IFERROR(_xlfn.XLOOKUP($A138,Input_Raw!$A:$A,Input_Raw!X:X),"")</f>
        <v>0</v>
      </c>
      <c r="O138" s="299" t="str">
        <f>IFERROR(1-(SUMIF(Plant_BD!$B:$B,$A138,Plant_BD!$AL:$AL)/($AA138+SUMIF(Plant_BD!$B:$B,$A138,Plant_BD!$AL:$AL))),"")</f>
        <v/>
      </c>
      <c r="P138" s="299"/>
      <c r="Q138" s="300"/>
      <c r="R138" s="299" t="str">
        <f>IFERROR(1-(SUMIF(Grid_BD!$B:$B,$A138,Grid_BD!$V:$V)/($AA138+SUMIF(Grid_BD!$B:$B,$A138,Grid_BD!$V:$V))),"")</f>
        <v/>
      </c>
      <c r="S138" s="295"/>
      <c r="T138" s="300"/>
      <c r="U138" s="301" t="str">
        <f t="shared" ref="U138:U201" si="16">IFERROR(AA138/I138/AB138/1000,"")</f>
        <v/>
      </c>
      <c r="V138" s="301" t="str">
        <f>IFERROR(_xlfn.XLOOKUP($A138,Input_Raw!$A:$A,Input_Raw!$AX:$AX),"")</f>
        <v/>
      </c>
      <c r="W138" s="302">
        <f t="shared" ref="W138:W201" si="17">IFERROR(AA138/(24*AR138*1000),"")</f>
        <v>0</v>
      </c>
      <c r="X138" s="294">
        <f>IFERROR(_xlfn.XLOOKUP($A138,Input_Raw!$A:$A,Input_Raw!$AA:$AA),"")</f>
        <v>0</v>
      </c>
      <c r="Y138" s="294">
        <f>IFERROR(_xlfn.XLOOKUP($A138,Input_Raw!$A:$A,Input_Raw!$AS:$AS),"")</f>
        <v>0</v>
      </c>
      <c r="Z138" s="294"/>
      <c r="AA138" s="294">
        <f>IFERROR(_xlfn.XLOOKUP($A138,Input_Raw!$A:$A,Input_Raw!$AT:$AT),"")</f>
        <v>0</v>
      </c>
      <c r="AB138" s="294">
        <f>IFERROR(_xlfn.XLOOKUP($A138,Input_Raw!$A:$A,Input_Raw!$AU:$AU),"")</f>
        <v>0</v>
      </c>
      <c r="AC138" s="303">
        <f>IFERROR(_xlfn.XLOOKUP($D138,'Modelling New'!$D:$D,'Modelling New'!P:P),"")</f>
        <v>3.9096774193548387</v>
      </c>
      <c r="AD138" s="294">
        <f>IFERROR(_xlfn.XLOOKUP($D138,'Modelling New'!$D:$D,'Modelling New'!T:T)*1000,"")</f>
        <v>185476.6695582087</v>
      </c>
      <c r="AE138" s="304">
        <f>IFERROR(_xlfn.XLOOKUP($D138,'Modelling New'!$D:$D,'Modelling New'!$O:$O),"")</f>
        <v>0.87252734266252563</v>
      </c>
      <c r="AF138" s="304">
        <f>IFERROR(_xlfn.XLOOKUP($D138,'Modelling New'!$D:$D,'Modelling New'!$W:$W),"")</f>
        <v>0.14213751872405658</v>
      </c>
      <c r="AG138" s="304">
        <f>IFERROR(_xlfn.XLOOKUP($D138,'Modelling New'!$D:$D,'Modelling New'!$AE:$AE),"")</f>
        <v>0.995</v>
      </c>
      <c r="AH138" s="304">
        <f>IFERROR(_xlfn.XLOOKUP($D138,'Modelling New'!$D:$D,'Modelling New'!$AF:$AF),"")</f>
        <v>0.995</v>
      </c>
      <c r="AI138" s="295"/>
      <c r="AJ138" s="295"/>
      <c r="AK138" s="295"/>
      <c r="AL138" s="295"/>
      <c r="AM138" s="295"/>
      <c r="AN138" s="305"/>
      <c r="AO138" s="302"/>
      <c r="AP138" s="302"/>
      <c r="AQ138" s="302"/>
      <c r="AR138" s="294">
        <f>_xlfn.XLOOKUP($D138,'Modelling New'!$D:$D,'Modelling New'!$N:$N)</f>
        <v>54.371250000000003</v>
      </c>
      <c r="AS138" s="294">
        <f t="shared" ref="AS138:AS201" si="18">IFERROR((AD138/AR138)*AB138,"")</f>
        <v>0</v>
      </c>
    </row>
    <row r="139" spans="1:45">
      <c r="A139" s="293">
        <f t="shared" si="14"/>
        <v>45882</v>
      </c>
      <c r="B139" s="294">
        <f>YEAR(Daily_KPI[[#This Row],[Date]])+IF(MONTH(Daily_KPI[[#This Row],[Date]])&gt;=4,1,0)</f>
        <v>2026</v>
      </c>
      <c r="C139" s="295">
        <f>YEAR(Daily_KPI[[#This Row],[Date]])</f>
        <v>2025</v>
      </c>
      <c r="D139" s="296">
        <f>Daily_KPI[[#This Row],[Date]]-DAY(Daily_KPI[[#This Row],[Date]])+1</f>
        <v>45870</v>
      </c>
      <c r="E139" s="295">
        <f t="shared" si="15"/>
        <v>31</v>
      </c>
      <c r="F139" s="297">
        <f>IFERROR(_xlfn.XLOOKUP($A139,Input_Raw!$A:$A,Input_Raw!$AR:$AR),"")</f>
        <v>0</v>
      </c>
      <c r="G139" s="298">
        <f>IFERROR(_xlfn.XLOOKUP($A139,Input_Raw!$A:$A,Input_Raw!$R:$R),"")</f>
        <v>0</v>
      </c>
      <c r="H139" s="298"/>
      <c r="I139" s="298">
        <f>IFERROR(_xlfn.XLOOKUP($A139,Input_Raw!$A:$A,Input_Raw!$Q:$Q),"")</f>
        <v>0</v>
      </c>
      <c r="J139" s="298"/>
      <c r="K139" s="298">
        <f>IFERROR(_xlfn.XLOOKUP($A139,Input_Raw!$A:$A,Input_Raw!S:S),"")</f>
        <v>0</v>
      </c>
      <c r="L139" s="298">
        <f>IFERROR(_xlfn.XLOOKUP($A139,Input_Raw!$A:$A,Input_Raw!T:T),"")</f>
        <v>0</v>
      </c>
      <c r="M139" s="298">
        <f>IFERROR(_xlfn.XLOOKUP($A139,Input_Raw!$A:$A,Input_Raw!W:W),"")</f>
        <v>0</v>
      </c>
      <c r="N139" s="298">
        <f>IFERROR(_xlfn.XLOOKUP($A139,Input_Raw!$A:$A,Input_Raw!X:X),"")</f>
        <v>0</v>
      </c>
      <c r="O139" s="299" t="str">
        <f>IFERROR(1-(SUMIF(Plant_BD!$B:$B,$A139,Plant_BD!$AL:$AL)/($AA139+SUMIF(Plant_BD!$B:$B,$A139,Plant_BD!$AL:$AL))),"")</f>
        <v/>
      </c>
      <c r="P139" s="299"/>
      <c r="Q139" s="300"/>
      <c r="R139" s="299" t="str">
        <f>IFERROR(1-(SUMIF(Grid_BD!$B:$B,$A139,Grid_BD!$V:$V)/($AA139+SUMIF(Grid_BD!$B:$B,$A139,Grid_BD!$V:$V))),"")</f>
        <v/>
      </c>
      <c r="S139" s="295"/>
      <c r="T139" s="300"/>
      <c r="U139" s="301" t="str">
        <f t="shared" si="16"/>
        <v/>
      </c>
      <c r="V139" s="301" t="str">
        <f>IFERROR(_xlfn.XLOOKUP($A139,Input_Raw!$A:$A,Input_Raw!$AX:$AX),"")</f>
        <v/>
      </c>
      <c r="W139" s="302">
        <f t="shared" si="17"/>
        <v>0</v>
      </c>
      <c r="X139" s="294">
        <f>IFERROR(_xlfn.XLOOKUP($A139,Input_Raw!$A:$A,Input_Raw!$AA:$AA),"")</f>
        <v>0</v>
      </c>
      <c r="Y139" s="294">
        <f>IFERROR(_xlfn.XLOOKUP($A139,Input_Raw!$A:$A,Input_Raw!$AS:$AS),"")</f>
        <v>0</v>
      </c>
      <c r="Z139" s="294"/>
      <c r="AA139" s="294">
        <f>IFERROR(_xlfn.XLOOKUP($A139,Input_Raw!$A:$A,Input_Raw!$AT:$AT),"")</f>
        <v>0</v>
      </c>
      <c r="AB139" s="294">
        <f>IFERROR(_xlfn.XLOOKUP($A139,Input_Raw!$A:$A,Input_Raw!$AU:$AU),"")</f>
        <v>0</v>
      </c>
      <c r="AC139" s="303">
        <f>IFERROR(_xlfn.XLOOKUP($D139,'Modelling New'!$D:$D,'Modelling New'!P:P),"")</f>
        <v>3.9096774193548387</v>
      </c>
      <c r="AD139" s="294">
        <f>IFERROR(_xlfn.XLOOKUP($D139,'Modelling New'!$D:$D,'Modelling New'!T:T)*1000,"")</f>
        <v>185476.6695582087</v>
      </c>
      <c r="AE139" s="304">
        <f>IFERROR(_xlfn.XLOOKUP($D139,'Modelling New'!$D:$D,'Modelling New'!$O:$O),"")</f>
        <v>0.87252734266252563</v>
      </c>
      <c r="AF139" s="304">
        <f>IFERROR(_xlfn.XLOOKUP($D139,'Modelling New'!$D:$D,'Modelling New'!$W:$W),"")</f>
        <v>0.14213751872405658</v>
      </c>
      <c r="AG139" s="304">
        <f>IFERROR(_xlfn.XLOOKUP($D139,'Modelling New'!$D:$D,'Modelling New'!$AE:$AE),"")</f>
        <v>0.995</v>
      </c>
      <c r="AH139" s="304">
        <f>IFERROR(_xlfn.XLOOKUP($D139,'Modelling New'!$D:$D,'Modelling New'!$AF:$AF),"")</f>
        <v>0.995</v>
      </c>
      <c r="AI139" s="295"/>
      <c r="AJ139" s="295"/>
      <c r="AK139" s="295"/>
      <c r="AL139" s="295"/>
      <c r="AM139" s="295"/>
      <c r="AN139" s="305"/>
      <c r="AO139" s="302"/>
      <c r="AP139" s="302"/>
      <c r="AQ139" s="302"/>
      <c r="AR139" s="294">
        <f>_xlfn.XLOOKUP($D139,'Modelling New'!$D:$D,'Modelling New'!$N:$N)</f>
        <v>54.371250000000003</v>
      </c>
      <c r="AS139" s="294">
        <f t="shared" si="18"/>
        <v>0</v>
      </c>
    </row>
    <row r="140" spans="1:45">
      <c r="A140" s="293">
        <f t="shared" ref="A140:A203" si="19">A139+1</f>
        <v>45883</v>
      </c>
      <c r="B140" s="294">
        <f>YEAR(Daily_KPI[[#This Row],[Date]])+IF(MONTH(Daily_KPI[[#This Row],[Date]])&gt;=4,1,0)</f>
        <v>2026</v>
      </c>
      <c r="C140" s="295">
        <f>YEAR(Daily_KPI[[#This Row],[Date]])</f>
        <v>2025</v>
      </c>
      <c r="D140" s="296">
        <f>Daily_KPI[[#This Row],[Date]]-DAY(Daily_KPI[[#This Row],[Date]])+1</f>
        <v>45870</v>
      </c>
      <c r="E140" s="295">
        <f t="shared" si="15"/>
        <v>31</v>
      </c>
      <c r="F140" s="297">
        <f>IFERROR(_xlfn.XLOOKUP($A140,Input_Raw!$A:$A,Input_Raw!$AR:$AR),"")</f>
        <v>0</v>
      </c>
      <c r="G140" s="298">
        <f>IFERROR(_xlfn.XLOOKUP($A140,Input_Raw!$A:$A,Input_Raw!$R:$R),"")</f>
        <v>0</v>
      </c>
      <c r="H140" s="298"/>
      <c r="I140" s="298">
        <f>IFERROR(_xlfn.XLOOKUP($A140,Input_Raw!$A:$A,Input_Raw!$Q:$Q),"")</f>
        <v>0</v>
      </c>
      <c r="J140" s="298"/>
      <c r="K140" s="298">
        <f>IFERROR(_xlfn.XLOOKUP($A140,Input_Raw!$A:$A,Input_Raw!S:S),"")</f>
        <v>0</v>
      </c>
      <c r="L140" s="298">
        <f>IFERROR(_xlfn.XLOOKUP($A140,Input_Raw!$A:$A,Input_Raw!T:T),"")</f>
        <v>0</v>
      </c>
      <c r="M140" s="298">
        <f>IFERROR(_xlfn.XLOOKUP($A140,Input_Raw!$A:$A,Input_Raw!W:W),"")</f>
        <v>0</v>
      </c>
      <c r="N140" s="298">
        <f>IFERROR(_xlfn.XLOOKUP($A140,Input_Raw!$A:$A,Input_Raw!X:X),"")</f>
        <v>0</v>
      </c>
      <c r="O140" s="299" t="str">
        <f>IFERROR(1-(SUMIF(Plant_BD!$B:$B,$A140,Plant_BD!$AL:$AL)/($AA140+SUMIF(Plant_BD!$B:$B,$A140,Plant_BD!$AL:$AL))),"")</f>
        <v/>
      </c>
      <c r="P140" s="299"/>
      <c r="Q140" s="300"/>
      <c r="R140" s="299" t="str">
        <f>IFERROR(1-(SUMIF(Grid_BD!$B:$B,$A140,Grid_BD!$V:$V)/($AA140+SUMIF(Grid_BD!$B:$B,$A140,Grid_BD!$V:$V))),"")</f>
        <v/>
      </c>
      <c r="S140" s="295"/>
      <c r="T140" s="300"/>
      <c r="U140" s="301" t="str">
        <f t="shared" si="16"/>
        <v/>
      </c>
      <c r="V140" s="301" t="str">
        <f>IFERROR(_xlfn.XLOOKUP($A140,Input_Raw!$A:$A,Input_Raw!$AX:$AX),"")</f>
        <v/>
      </c>
      <c r="W140" s="302">
        <f t="shared" si="17"/>
        <v>0</v>
      </c>
      <c r="X140" s="294">
        <f>IFERROR(_xlfn.XLOOKUP($A140,Input_Raw!$A:$A,Input_Raw!$AA:$AA),"")</f>
        <v>0</v>
      </c>
      <c r="Y140" s="294">
        <f>IFERROR(_xlfn.XLOOKUP($A140,Input_Raw!$A:$A,Input_Raw!$AS:$AS),"")</f>
        <v>0</v>
      </c>
      <c r="Z140" s="294"/>
      <c r="AA140" s="294">
        <f>IFERROR(_xlfn.XLOOKUP($A140,Input_Raw!$A:$A,Input_Raw!$AT:$AT),"")</f>
        <v>0</v>
      </c>
      <c r="AB140" s="294">
        <f>IFERROR(_xlfn.XLOOKUP($A140,Input_Raw!$A:$A,Input_Raw!$AU:$AU),"")</f>
        <v>0</v>
      </c>
      <c r="AC140" s="303">
        <f>IFERROR(_xlfn.XLOOKUP($D140,'Modelling New'!$D:$D,'Modelling New'!P:P),"")</f>
        <v>3.9096774193548387</v>
      </c>
      <c r="AD140" s="294">
        <f>IFERROR(_xlfn.XLOOKUP($D140,'Modelling New'!$D:$D,'Modelling New'!T:T)*1000,"")</f>
        <v>185476.6695582087</v>
      </c>
      <c r="AE140" s="304">
        <f>IFERROR(_xlfn.XLOOKUP($D140,'Modelling New'!$D:$D,'Modelling New'!$O:$O),"")</f>
        <v>0.87252734266252563</v>
      </c>
      <c r="AF140" s="304">
        <f>IFERROR(_xlfn.XLOOKUP($D140,'Modelling New'!$D:$D,'Modelling New'!$W:$W),"")</f>
        <v>0.14213751872405658</v>
      </c>
      <c r="AG140" s="304">
        <f>IFERROR(_xlfn.XLOOKUP($D140,'Modelling New'!$D:$D,'Modelling New'!$AE:$AE),"")</f>
        <v>0.995</v>
      </c>
      <c r="AH140" s="304">
        <f>IFERROR(_xlfn.XLOOKUP($D140,'Modelling New'!$D:$D,'Modelling New'!$AF:$AF),"")</f>
        <v>0.995</v>
      </c>
      <c r="AI140" s="295"/>
      <c r="AJ140" s="295"/>
      <c r="AK140" s="295"/>
      <c r="AL140" s="295"/>
      <c r="AM140" s="295"/>
      <c r="AN140" s="305"/>
      <c r="AO140" s="302"/>
      <c r="AP140" s="302"/>
      <c r="AQ140" s="302"/>
      <c r="AR140" s="294">
        <f>_xlfn.XLOOKUP($D140,'Modelling New'!$D:$D,'Modelling New'!$N:$N)</f>
        <v>54.371250000000003</v>
      </c>
      <c r="AS140" s="294">
        <f t="shared" si="18"/>
        <v>0</v>
      </c>
    </row>
    <row r="141" spans="1:45">
      <c r="A141" s="293">
        <f t="shared" si="19"/>
        <v>45884</v>
      </c>
      <c r="B141" s="294">
        <f>YEAR(Daily_KPI[[#This Row],[Date]])+IF(MONTH(Daily_KPI[[#This Row],[Date]])&gt;=4,1,0)</f>
        <v>2026</v>
      </c>
      <c r="C141" s="295">
        <f>YEAR(Daily_KPI[[#This Row],[Date]])</f>
        <v>2025</v>
      </c>
      <c r="D141" s="296">
        <f>Daily_KPI[[#This Row],[Date]]-DAY(Daily_KPI[[#This Row],[Date]])+1</f>
        <v>45870</v>
      </c>
      <c r="E141" s="295">
        <f t="shared" si="15"/>
        <v>31</v>
      </c>
      <c r="F141" s="297">
        <f>IFERROR(_xlfn.XLOOKUP($A141,Input_Raw!$A:$A,Input_Raw!$AR:$AR),"")</f>
        <v>0</v>
      </c>
      <c r="G141" s="298">
        <f>IFERROR(_xlfn.XLOOKUP($A141,Input_Raw!$A:$A,Input_Raw!$R:$R),"")</f>
        <v>0</v>
      </c>
      <c r="H141" s="298"/>
      <c r="I141" s="298">
        <f>IFERROR(_xlfn.XLOOKUP($A141,Input_Raw!$A:$A,Input_Raw!$Q:$Q),"")</f>
        <v>0</v>
      </c>
      <c r="J141" s="298"/>
      <c r="K141" s="298">
        <f>IFERROR(_xlfn.XLOOKUP($A141,Input_Raw!$A:$A,Input_Raw!S:S),"")</f>
        <v>0</v>
      </c>
      <c r="L141" s="298">
        <f>IFERROR(_xlfn.XLOOKUP($A141,Input_Raw!$A:$A,Input_Raw!T:T),"")</f>
        <v>0</v>
      </c>
      <c r="M141" s="298">
        <f>IFERROR(_xlfn.XLOOKUP($A141,Input_Raw!$A:$A,Input_Raw!W:W),"")</f>
        <v>0</v>
      </c>
      <c r="N141" s="298">
        <f>IFERROR(_xlfn.XLOOKUP($A141,Input_Raw!$A:$A,Input_Raw!X:X),"")</f>
        <v>0</v>
      </c>
      <c r="O141" s="299" t="str">
        <f>IFERROR(1-(SUMIF(Plant_BD!$B:$B,$A141,Plant_BD!$AL:$AL)/($AA141+SUMIF(Plant_BD!$B:$B,$A141,Plant_BD!$AL:$AL))),"")</f>
        <v/>
      </c>
      <c r="P141" s="299"/>
      <c r="Q141" s="300"/>
      <c r="R141" s="299" t="str">
        <f>IFERROR(1-(SUMIF(Grid_BD!$B:$B,$A141,Grid_BD!$V:$V)/($AA141+SUMIF(Grid_BD!$B:$B,$A141,Grid_BD!$V:$V))),"")</f>
        <v/>
      </c>
      <c r="S141" s="295"/>
      <c r="T141" s="300"/>
      <c r="U141" s="301" t="str">
        <f t="shared" si="16"/>
        <v/>
      </c>
      <c r="V141" s="301" t="str">
        <f>IFERROR(_xlfn.XLOOKUP($A141,Input_Raw!$A:$A,Input_Raw!$AX:$AX),"")</f>
        <v/>
      </c>
      <c r="W141" s="302">
        <f t="shared" si="17"/>
        <v>0</v>
      </c>
      <c r="X141" s="294">
        <f>IFERROR(_xlfn.XLOOKUP($A141,Input_Raw!$A:$A,Input_Raw!$AA:$AA),"")</f>
        <v>0</v>
      </c>
      <c r="Y141" s="294">
        <f>IFERROR(_xlfn.XLOOKUP($A141,Input_Raw!$A:$A,Input_Raw!$AS:$AS),"")</f>
        <v>0</v>
      </c>
      <c r="Z141" s="294"/>
      <c r="AA141" s="294">
        <f>IFERROR(_xlfn.XLOOKUP($A141,Input_Raw!$A:$A,Input_Raw!$AT:$AT),"")</f>
        <v>0</v>
      </c>
      <c r="AB141" s="294">
        <f>IFERROR(_xlfn.XLOOKUP($A141,Input_Raw!$A:$A,Input_Raw!$AU:$AU),"")</f>
        <v>0</v>
      </c>
      <c r="AC141" s="303">
        <f>IFERROR(_xlfn.XLOOKUP($D141,'Modelling New'!$D:$D,'Modelling New'!P:P),"")</f>
        <v>3.9096774193548387</v>
      </c>
      <c r="AD141" s="294">
        <f>IFERROR(_xlfn.XLOOKUP($D141,'Modelling New'!$D:$D,'Modelling New'!T:T)*1000,"")</f>
        <v>185476.6695582087</v>
      </c>
      <c r="AE141" s="304">
        <f>IFERROR(_xlfn.XLOOKUP($D141,'Modelling New'!$D:$D,'Modelling New'!$O:$O),"")</f>
        <v>0.87252734266252563</v>
      </c>
      <c r="AF141" s="304">
        <f>IFERROR(_xlfn.XLOOKUP($D141,'Modelling New'!$D:$D,'Modelling New'!$W:$W),"")</f>
        <v>0.14213751872405658</v>
      </c>
      <c r="AG141" s="304">
        <f>IFERROR(_xlfn.XLOOKUP($D141,'Modelling New'!$D:$D,'Modelling New'!$AE:$AE),"")</f>
        <v>0.995</v>
      </c>
      <c r="AH141" s="304">
        <f>IFERROR(_xlfn.XLOOKUP($D141,'Modelling New'!$D:$D,'Modelling New'!$AF:$AF),"")</f>
        <v>0.995</v>
      </c>
      <c r="AI141" s="295"/>
      <c r="AJ141" s="295"/>
      <c r="AK141" s="295"/>
      <c r="AL141" s="295"/>
      <c r="AM141" s="295"/>
      <c r="AN141" s="305"/>
      <c r="AO141" s="302"/>
      <c r="AP141" s="302"/>
      <c r="AQ141" s="302"/>
      <c r="AR141" s="294">
        <f>_xlfn.XLOOKUP($D141,'Modelling New'!$D:$D,'Modelling New'!$N:$N)</f>
        <v>54.371250000000003</v>
      </c>
      <c r="AS141" s="294">
        <f t="shared" si="18"/>
        <v>0</v>
      </c>
    </row>
    <row r="142" spans="1:45">
      <c r="A142" s="293">
        <f t="shared" si="19"/>
        <v>45885</v>
      </c>
      <c r="B142" s="294">
        <f>YEAR(Daily_KPI[[#This Row],[Date]])+IF(MONTH(Daily_KPI[[#This Row],[Date]])&gt;=4,1,0)</f>
        <v>2026</v>
      </c>
      <c r="C142" s="295">
        <f>YEAR(Daily_KPI[[#This Row],[Date]])</f>
        <v>2025</v>
      </c>
      <c r="D142" s="296">
        <f>Daily_KPI[[#This Row],[Date]]-DAY(Daily_KPI[[#This Row],[Date]])+1</f>
        <v>45870</v>
      </c>
      <c r="E142" s="295">
        <f t="shared" si="15"/>
        <v>31</v>
      </c>
      <c r="F142" s="297">
        <f>IFERROR(_xlfn.XLOOKUP($A142,Input_Raw!$A:$A,Input_Raw!$AR:$AR),"")</f>
        <v>0</v>
      </c>
      <c r="G142" s="298">
        <f>IFERROR(_xlfn.XLOOKUP($A142,Input_Raw!$A:$A,Input_Raw!$R:$R),"")</f>
        <v>0</v>
      </c>
      <c r="H142" s="298"/>
      <c r="I142" s="298">
        <f>IFERROR(_xlfn.XLOOKUP($A142,Input_Raw!$A:$A,Input_Raw!$Q:$Q),"")</f>
        <v>0</v>
      </c>
      <c r="J142" s="298"/>
      <c r="K142" s="298">
        <f>IFERROR(_xlfn.XLOOKUP($A142,Input_Raw!$A:$A,Input_Raw!S:S),"")</f>
        <v>0</v>
      </c>
      <c r="L142" s="298">
        <f>IFERROR(_xlfn.XLOOKUP($A142,Input_Raw!$A:$A,Input_Raw!T:T),"")</f>
        <v>0</v>
      </c>
      <c r="M142" s="298">
        <f>IFERROR(_xlfn.XLOOKUP($A142,Input_Raw!$A:$A,Input_Raw!W:W),"")</f>
        <v>0</v>
      </c>
      <c r="N142" s="298">
        <f>IFERROR(_xlfn.XLOOKUP($A142,Input_Raw!$A:$A,Input_Raw!X:X),"")</f>
        <v>0</v>
      </c>
      <c r="O142" s="299" t="str">
        <f>IFERROR(1-(SUMIF(Plant_BD!$B:$B,$A142,Plant_BD!$AL:$AL)/($AA142+SUMIF(Plant_BD!$B:$B,$A142,Plant_BD!$AL:$AL))),"")</f>
        <v/>
      </c>
      <c r="P142" s="299"/>
      <c r="Q142" s="300"/>
      <c r="R142" s="299" t="str">
        <f>IFERROR(1-(SUMIF(Grid_BD!$B:$B,$A142,Grid_BD!$V:$V)/($AA142+SUMIF(Grid_BD!$B:$B,$A142,Grid_BD!$V:$V))),"")</f>
        <v/>
      </c>
      <c r="S142" s="295"/>
      <c r="T142" s="300"/>
      <c r="U142" s="301" t="str">
        <f t="shared" si="16"/>
        <v/>
      </c>
      <c r="V142" s="301" t="str">
        <f>IFERROR(_xlfn.XLOOKUP($A142,Input_Raw!$A:$A,Input_Raw!$AX:$AX),"")</f>
        <v/>
      </c>
      <c r="W142" s="302">
        <f t="shared" si="17"/>
        <v>0</v>
      </c>
      <c r="X142" s="294">
        <f>IFERROR(_xlfn.XLOOKUP($A142,Input_Raw!$A:$A,Input_Raw!$AA:$AA),"")</f>
        <v>0</v>
      </c>
      <c r="Y142" s="294">
        <f>IFERROR(_xlfn.XLOOKUP($A142,Input_Raw!$A:$A,Input_Raw!$AS:$AS),"")</f>
        <v>0</v>
      </c>
      <c r="Z142" s="294"/>
      <c r="AA142" s="294">
        <f>IFERROR(_xlfn.XLOOKUP($A142,Input_Raw!$A:$A,Input_Raw!$AT:$AT),"")</f>
        <v>0</v>
      </c>
      <c r="AB142" s="294">
        <f>IFERROR(_xlfn.XLOOKUP($A142,Input_Raw!$A:$A,Input_Raw!$AU:$AU),"")</f>
        <v>0</v>
      </c>
      <c r="AC142" s="303">
        <f>IFERROR(_xlfn.XLOOKUP($D142,'Modelling New'!$D:$D,'Modelling New'!P:P),"")</f>
        <v>3.9096774193548387</v>
      </c>
      <c r="AD142" s="294">
        <f>IFERROR(_xlfn.XLOOKUP($D142,'Modelling New'!$D:$D,'Modelling New'!T:T)*1000,"")</f>
        <v>185476.6695582087</v>
      </c>
      <c r="AE142" s="304">
        <f>IFERROR(_xlfn.XLOOKUP($D142,'Modelling New'!$D:$D,'Modelling New'!$O:$O),"")</f>
        <v>0.87252734266252563</v>
      </c>
      <c r="AF142" s="304">
        <f>IFERROR(_xlfn.XLOOKUP($D142,'Modelling New'!$D:$D,'Modelling New'!$W:$W),"")</f>
        <v>0.14213751872405658</v>
      </c>
      <c r="AG142" s="304">
        <f>IFERROR(_xlfn.XLOOKUP($D142,'Modelling New'!$D:$D,'Modelling New'!$AE:$AE),"")</f>
        <v>0.995</v>
      </c>
      <c r="AH142" s="304">
        <f>IFERROR(_xlfn.XLOOKUP($D142,'Modelling New'!$D:$D,'Modelling New'!$AF:$AF),"")</f>
        <v>0.995</v>
      </c>
      <c r="AI142" s="295"/>
      <c r="AJ142" s="295"/>
      <c r="AK142" s="295"/>
      <c r="AL142" s="295"/>
      <c r="AM142" s="295"/>
      <c r="AN142" s="305"/>
      <c r="AO142" s="302"/>
      <c r="AP142" s="302"/>
      <c r="AQ142" s="302"/>
      <c r="AR142" s="294">
        <f>_xlfn.XLOOKUP($D142,'Modelling New'!$D:$D,'Modelling New'!$N:$N)</f>
        <v>54.371250000000003</v>
      </c>
      <c r="AS142" s="294">
        <f t="shared" si="18"/>
        <v>0</v>
      </c>
    </row>
    <row r="143" spans="1:45">
      <c r="A143" s="293">
        <f t="shared" si="19"/>
        <v>45886</v>
      </c>
      <c r="B143" s="294">
        <f>YEAR(Daily_KPI[[#This Row],[Date]])+IF(MONTH(Daily_KPI[[#This Row],[Date]])&gt;=4,1,0)</f>
        <v>2026</v>
      </c>
      <c r="C143" s="295">
        <f>YEAR(Daily_KPI[[#This Row],[Date]])</f>
        <v>2025</v>
      </c>
      <c r="D143" s="296">
        <f>Daily_KPI[[#This Row],[Date]]-DAY(Daily_KPI[[#This Row],[Date]])+1</f>
        <v>45870</v>
      </c>
      <c r="E143" s="295">
        <f t="shared" si="15"/>
        <v>31</v>
      </c>
      <c r="F143" s="297">
        <f>IFERROR(_xlfn.XLOOKUP($A143,Input_Raw!$A:$A,Input_Raw!$AR:$AR),"")</f>
        <v>0</v>
      </c>
      <c r="G143" s="298">
        <f>IFERROR(_xlfn.XLOOKUP($A143,Input_Raw!$A:$A,Input_Raw!$R:$R),"")</f>
        <v>0</v>
      </c>
      <c r="H143" s="298"/>
      <c r="I143" s="298">
        <f>IFERROR(_xlfn.XLOOKUP($A143,Input_Raw!$A:$A,Input_Raw!$Q:$Q),"")</f>
        <v>0</v>
      </c>
      <c r="J143" s="298"/>
      <c r="K143" s="298">
        <f>IFERROR(_xlfn.XLOOKUP($A143,Input_Raw!$A:$A,Input_Raw!S:S),"")</f>
        <v>0</v>
      </c>
      <c r="L143" s="298">
        <f>IFERROR(_xlfn.XLOOKUP($A143,Input_Raw!$A:$A,Input_Raw!T:T),"")</f>
        <v>0</v>
      </c>
      <c r="M143" s="298">
        <f>IFERROR(_xlfn.XLOOKUP($A143,Input_Raw!$A:$A,Input_Raw!W:W),"")</f>
        <v>0</v>
      </c>
      <c r="N143" s="298">
        <f>IFERROR(_xlfn.XLOOKUP($A143,Input_Raw!$A:$A,Input_Raw!X:X),"")</f>
        <v>0</v>
      </c>
      <c r="O143" s="299" t="str">
        <f>IFERROR(1-(SUMIF(Plant_BD!$B:$B,$A143,Plant_BD!$AL:$AL)/($AA143+SUMIF(Plant_BD!$B:$B,$A143,Plant_BD!$AL:$AL))),"")</f>
        <v/>
      </c>
      <c r="P143" s="299"/>
      <c r="Q143" s="300"/>
      <c r="R143" s="299" t="str">
        <f>IFERROR(1-(SUMIF(Grid_BD!$B:$B,$A143,Grid_BD!$V:$V)/($AA143+SUMIF(Grid_BD!$B:$B,$A143,Grid_BD!$V:$V))),"")</f>
        <v/>
      </c>
      <c r="S143" s="295"/>
      <c r="T143" s="300"/>
      <c r="U143" s="301" t="str">
        <f t="shared" si="16"/>
        <v/>
      </c>
      <c r="V143" s="301" t="str">
        <f>IFERROR(_xlfn.XLOOKUP($A143,Input_Raw!$A:$A,Input_Raw!$AX:$AX),"")</f>
        <v/>
      </c>
      <c r="W143" s="302">
        <f t="shared" si="17"/>
        <v>0</v>
      </c>
      <c r="X143" s="294">
        <f>IFERROR(_xlfn.XLOOKUP($A143,Input_Raw!$A:$A,Input_Raw!$AA:$AA),"")</f>
        <v>0</v>
      </c>
      <c r="Y143" s="294">
        <f>IFERROR(_xlfn.XLOOKUP($A143,Input_Raw!$A:$A,Input_Raw!$AS:$AS),"")</f>
        <v>0</v>
      </c>
      <c r="Z143" s="294"/>
      <c r="AA143" s="294">
        <f>IFERROR(_xlfn.XLOOKUP($A143,Input_Raw!$A:$A,Input_Raw!$AT:$AT),"")</f>
        <v>0</v>
      </c>
      <c r="AB143" s="294">
        <f>IFERROR(_xlfn.XLOOKUP($A143,Input_Raw!$A:$A,Input_Raw!$AU:$AU),"")</f>
        <v>0</v>
      </c>
      <c r="AC143" s="303">
        <f>IFERROR(_xlfn.XLOOKUP($D143,'Modelling New'!$D:$D,'Modelling New'!P:P),"")</f>
        <v>3.9096774193548387</v>
      </c>
      <c r="AD143" s="294">
        <f>IFERROR(_xlfn.XLOOKUP($D143,'Modelling New'!$D:$D,'Modelling New'!T:T)*1000,"")</f>
        <v>185476.6695582087</v>
      </c>
      <c r="AE143" s="304">
        <f>IFERROR(_xlfn.XLOOKUP($D143,'Modelling New'!$D:$D,'Modelling New'!$O:$O),"")</f>
        <v>0.87252734266252563</v>
      </c>
      <c r="AF143" s="304">
        <f>IFERROR(_xlfn.XLOOKUP($D143,'Modelling New'!$D:$D,'Modelling New'!$W:$W),"")</f>
        <v>0.14213751872405658</v>
      </c>
      <c r="AG143" s="304">
        <f>IFERROR(_xlfn.XLOOKUP($D143,'Modelling New'!$D:$D,'Modelling New'!$AE:$AE),"")</f>
        <v>0.995</v>
      </c>
      <c r="AH143" s="304">
        <f>IFERROR(_xlfn.XLOOKUP($D143,'Modelling New'!$D:$D,'Modelling New'!$AF:$AF),"")</f>
        <v>0.995</v>
      </c>
      <c r="AI143" s="295"/>
      <c r="AJ143" s="295"/>
      <c r="AK143" s="295"/>
      <c r="AL143" s="295"/>
      <c r="AM143" s="295"/>
      <c r="AN143" s="305"/>
      <c r="AO143" s="302"/>
      <c r="AP143" s="302"/>
      <c r="AQ143" s="302"/>
      <c r="AR143" s="294">
        <f>_xlfn.XLOOKUP($D143,'Modelling New'!$D:$D,'Modelling New'!$N:$N)</f>
        <v>54.371250000000003</v>
      </c>
      <c r="AS143" s="294">
        <f t="shared" si="18"/>
        <v>0</v>
      </c>
    </row>
    <row r="144" spans="1:45">
      <c r="A144" s="293">
        <f t="shared" si="19"/>
        <v>45887</v>
      </c>
      <c r="B144" s="294">
        <f>YEAR(Daily_KPI[[#This Row],[Date]])+IF(MONTH(Daily_KPI[[#This Row],[Date]])&gt;=4,1,0)</f>
        <v>2026</v>
      </c>
      <c r="C144" s="295">
        <f>YEAR(Daily_KPI[[#This Row],[Date]])</f>
        <v>2025</v>
      </c>
      <c r="D144" s="296">
        <f>Daily_KPI[[#This Row],[Date]]-DAY(Daily_KPI[[#This Row],[Date]])+1</f>
        <v>45870</v>
      </c>
      <c r="E144" s="295">
        <f t="shared" si="15"/>
        <v>31</v>
      </c>
      <c r="F144" s="297">
        <f>IFERROR(_xlfn.XLOOKUP($A144,Input_Raw!$A:$A,Input_Raw!$AR:$AR),"")</f>
        <v>0</v>
      </c>
      <c r="G144" s="298">
        <f>IFERROR(_xlfn.XLOOKUP($A144,Input_Raw!$A:$A,Input_Raw!$R:$R),"")</f>
        <v>0</v>
      </c>
      <c r="H144" s="298"/>
      <c r="I144" s="298">
        <f>IFERROR(_xlfn.XLOOKUP($A144,Input_Raw!$A:$A,Input_Raw!$Q:$Q),"")</f>
        <v>0</v>
      </c>
      <c r="J144" s="298"/>
      <c r="K144" s="298">
        <f>IFERROR(_xlfn.XLOOKUP($A144,Input_Raw!$A:$A,Input_Raw!S:S),"")</f>
        <v>0</v>
      </c>
      <c r="L144" s="298">
        <f>IFERROR(_xlfn.XLOOKUP($A144,Input_Raw!$A:$A,Input_Raw!T:T),"")</f>
        <v>0</v>
      </c>
      <c r="M144" s="298">
        <f>IFERROR(_xlfn.XLOOKUP($A144,Input_Raw!$A:$A,Input_Raw!W:W),"")</f>
        <v>0</v>
      </c>
      <c r="N144" s="298">
        <f>IFERROR(_xlfn.XLOOKUP($A144,Input_Raw!$A:$A,Input_Raw!X:X),"")</f>
        <v>0</v>
      </c>
      <c r="O144" s="299" t="str">
        <f>IFERROR(1-(SUMIF(Plant_BD!$B:$B,$A144,Plant_BD!$AL:$AL)/($AA144+SUMIF(Plant_BD!$B:$B,$A144,Plant_BD!$AL:$AL))),"")</f>
        <v/>
      </c>
      <c r="P144" s="299"/>
      <c r="Q144" s="300"/>
      <c r="R144" s="299" t="str">
        <f>IFERROR(1-(SUMIF(Grid_BD!$B:$B,$A144,Grid_BD!$V:$V)/($AA144+SUMIF(Grid_BD!$B:$B,$A144,Grid_BD!$V:$V))),"")</f>
        <v/>
      </c>
      <c r="S144" s="295"/>
      <c r="T144" s="300"/>
      <c r="U144" s="301" t="str">
        <f t="shared" si="16"/>
        <v/>
      </c>
      <c r="V144" s="301" t="str">
        <f>IFERROR(_xlfn.XLOOKUP($A144,Input_Raw!$A:$A,Input_Raw!$AX:$AX),"")</f>
        <v/>
      </c>
      <c r="W144" s="302">
        <f t="shared" si="17"/>
        <v>0</v>
      </c>
      <c r="X144" s="294">
        <f>IFERROR(_xlfn.XLOOKUP($A144,Input_Raw!$A:$A,Input_Raw!$AA:$AA),"")</f>
        <v>0</v>
      </c>
      <c r="Y144" s="294">
        <f>IFERROR(_xlfn.XLOOKUP($A144,Input_Raw!$A:$A,Input_Raw!$AS:$AS),"")</f>
        <v>0</v>
      </c>
      <c r="Z144" s="294"/>
      <c r="AA144" s="294">
        <f>IFERROR(_xlfn.XLOOKUP($A144,Input_Raw!$A:$A,Input_Raw!$AT:$AT),"")</f>
        <v>0</v>
      </c>
      <c r="AB144" s="294">
        <f>IFERROR(_xlfn.XLOOKUP($A144,Input_Raw!$A:$A,Input_Raw!$AU:$AU),"")</f>
        <v>0</v>
      </c>
      <c r="AC144" s="303">
        <f>IFERROR(_xlfn.XLOOKUP($D144,'Modelling New'!$D:$D,'Modelling New'!P:P),"")</f>
        <v>3.9096774193548387</v>
      </c>
      <c r="AD144" s="294">
        <f>IFERROR(_xlfn.XLOOKUP($D144,'Modelling New'!$D:$D,'Modelling New'!T:T)*1000,"")</f>
        <v>185476.6695582087</v>
      </c>
      <c r="AE144" s="304">
        <f>IFERROR(_xlfn.XLOOKUP($D144,'Modelling New'!$D:$D,'Modelling New'!$O:$O),"")</f>
        <v>0.87252734266252563</v>
      </c>
      <c r="AF144" s="304">
        <f>IFERROR(_xlfn.XLOOKUP($D144,'Modelling New'!$D:$D,'Modelling New'!$W:$W),"")</f>
        <v>0.14213751872405658</v>
      </c>
      <c r="AG144" s="304">
        <f>IFERROR(_xlfn.XLOOKUP($D144,'Modelling New'!$D:$D,'Modelling New'!$AE:$AE),"")</f>
        <v>0.995</v>
      </c>
      <c r="AH144" s="304">
        <f>IFERROR(_xlfn.XLOOKUP($D144,'Modelling New'!$D:$D,'Modelling New'!$AF:$AF),"")</f>
        <v>0.995</v>
      </c>
      <c r="AI144" s="295"/>
      <c r="AJ144" s="295"/>
      <c r="AK144" s="295"/>
      <c r="AL144" s="295"/>
      <c r="AM144" s="295"/>
      <c r="AN144" s="305"/>
      <c r="AO144" s="302"/>
      <c r="AP144" s="302"/>
      <c r="AQ144" s="302"/>
      <c r="AR144" s="294">
        <f>_xlfn.XLOOKUP($D144,'Modelling New'!$D:$D,'Modelling New'!$N:$N)</f>
        <v>54.371250000000003</v>
      </c>
      <c r="AS144" s="294">
        <f t="shared" si="18"/>
        <v>0</v>
      </c>
    </row>
    <row r="145" spans="1:45">
      <c r="A145" s="293">
        <f t="shared" si="19"/>
        <v>45888</v>
      </c>
      <c r="B145" s="294">
        <f>YEAR(Daily_KPI[[#This Row],[Date]])+IF(MONTH(Daily_KPI[[#This Row],[Date]])&gt;=4,1,0)</f>
        <v>2026</v>
      </c>
      <c r="C145" s="295">
        <f>YEAR(Daily_KPI[[#This Row],[Date]])</f>
        <v>2025</v>
      </c>
      <c r="D145" s="296">
        <f>Daily_KPI[[#This Row],[Date]]-DAY(Daily_KPI[[#This Row],[Date]])+1</f>
        <v>45870</v>
      </c>
      <c r="E145" s="295">
        <f t="shared" si="15"/>
        <v>31</v>
      </c>
      <c r="F145" s="297">
        <f>IFERROR(_xlfn.XLOOKUP($A145,Input_Raw!$A:$A,Input_Raw!$AR:$AR),"")</f>
        <v>0</v>
      </c>
      <c r="G145" s="298">
        <f>IFERROR(_xlfn.XLOOKUP($A145,Input_Raw!$A:$A,Input_Raw!$R:$R),"")</f>
        <v>0</v>
      </c>
      <c r="H145" s="298"/>
      <c r="I145" s="298">
        <f>IFERROR(_xlfn.XLOOKUP($A145,Input_Raw!$A:$A,Input_Raw!$Q:$Q),"")</f>
        <v>0</v>
      </c>
      <c r="J145" s="298"/>
      <c r="K145" s="298">
        <f>IFERROR(_xlfn.XLOOKUP($A145,Input_Raw!$A:$A,Input_Raw!S:S),"")</f>
        <v>0</v>
      </c>
      <c r="L145" s="298">
        <f>IFERROR(_xlfn.XLOOKUP($A145,Input_Raw!$A:$A,Input_Raw!T:T),"")</f>
        <v>0</v>
      </c>
      <c r="M145" s="298">
        <f>IFERROR(_xlfn.XLOOKUP($A145,Input_Raw!$A:$A,Input_Raw!W:W),"")</f>
        <v>0</v>
      </c>
      <c r="N145" s="298">
        <f>IFERROR(_xlfn.XLOOKUP($A145,Input_Raw!$A:$A,Input_Raw!X:X),"")</f>
        <v>0</v>
      </c>
      <c r="O145" s="299" t="str">
        <f>IFERROR(1-(SUMIF(Plant_BD!$B:$B,$A145,Plant_BD!$AL:$AL)/($AA145+SUMIF(Plant_BD!$B:$B,$A145,Plant_BD!$AL:$AL))),"")</f>
        <v/>
      </c>
      <c r="P145" s="299"/>
      <c r="Q145" s="300"/>
      <c r="R145" s="299" t="str">
        <f>IFERROR(1-(SUMIF(Grid_BD!$B:$B,$A145,Grid_BD!$V:$V)/($AA145+SUMIF(Grid_BD!$B:$B,$A145,Grid_BD!$V:$V))),"")</f>
        <v/>
      </c>
      <c r="S145" s="295"/>
      <c r="T145" s="300"/>
      <c r="U145" s="301" t="str">
        <f t="shared" si="16"/>
        <v/>
      </c>
      <c r="V145" s="301" t="str">
        <f>IFERROR(_xlfn.XLOOKUP($A145,Input_Raw!$A:$A,Input_Raw!$AX:$AX),"")</f>
        <v/>
      </c>
      <c r="W145" s="302">
        <f t="shared" si="17"/>
        <v>0</v>
      </c>
      <c r="X145" s="294">
        <f>IFERROR(_xlfn.XLOOKUP($A145,Input_Raw!$A:$A,Input_Raw!$AA:$AA),"")</f>
        <v>0</v>
      </c>
      <c r="Y145" s="294">
        <f>IFERROR(_xlfn.XLOOKUP($A145,Input_Raw!$A:$A,Input_Raw!$AS:$AS),"")</f>
        <v>0</v>
      </c>
      <c r="Z145" s="294"/>
      <c r="AA145" s="294">
        <f>IFERROR(_xlfn.XLOOKUP($A145,Input_Raw!$A:$A,Input_Raw!$AT:$AT),"")</f>
        <v>0</v>
      </c>
      <c r="AB145" s="294">
        <f>IFERROR(_xlfn.XLOOKUP($A145,Input_Raw!$A:$A,Input_Raw!$AU:$AU),"")</f>
        <v>0</v>
      </c>
      <c r="AC145" s="303">
        <f>IFERROR(_xlfn.XLOOKUP($D145,'Modelling New'!$D:$D,'Modelling New'!P:P),"")</f>
        <v>3.9096774193548387</v>
      </c>
      <c r="AD145" s="294">
        <f>IFERROR(_xlfn.XLOOKUP($D145,'Modelling New'!$D:$D,'Modelling New'!T:T)*1000,"")</f>
        <v>185476.6695582087</v>
      </c>
      <c r="AE145" s="304">
        <f>IFERROR(_xlfn.XLOOKUP($D145,'Modelling New'!$D:$D,'Modelling New'!$O:$O),"")</f>
        <v>0.87252734266252563</v>
      </c>
      <c r="AF145" s="304">
        <f>IFERROR(_xlfn.XLOOKUP($D145,'Modelling New'!$D:$D,'Modelling New'!$W:$W),"")</f>
        <v>0.14213751872405658</v>
      </c>
      <c r="AG145" s="304">
        <f>IFERROR(_xlfn.XLOOKUP($D145,'Modelling New'!$D:$D,'Modelling New'!$AE:$AE),"")</f>
        <v>0.995</v>
      </c>
      <c r="AH145" s="304">
        <f>IFERROR(_xlfn.XLOOKUP($D145,'Modelling New'!$D:$D,'Modelling New'!$AF:$AF),"")</f>
        <v>0.995</v>
      </c>
      <c r="AI145" s="295"/>
      <c r="AJ145" s="295"/>
      <c r="AK145" s="295"/>
      <c r="AL145" s="295"/>
      <c r="AM145" s="295"/>
      <c r="AN145" s="305"/>
      <c r="AO145" s="302"/>
      <c r="AP145" s="302"/>
      <c r="AQ145" s="302"/>
      <c r="AR145" s="294">
        <f>_xlfn.XLOOKUP($D145,'Modelling New'!$D:$D,'Modelling New'!$N:$N)</f>
        <v>54.371250000000003</v>
      </c>
      <c r="AS145" s="294">
        <f t="shared" si="18"/>
        <v>0</v>
      </c>
    </row>
    <row r="146" spans="1:45">
      <c r="A146" s="293">
        <f t="shared" si="19"/>
        <v>45889</v>
      </c>
      <c r="B146" s="294">
        <f>YEAR(Daily_KPI[[#This Row],[Date]])+IF(MONTH(Daily_KPI[[#This Row],[Date]])&gt;=4,1,0)</f>
        <v>2026</v>
      </c>
      <c r="C146" s="295">
        <f>YEAR(Daily_KPI[[#This Row],[Date]])</f>
        <v>2025</v>
      </c>
      <c r="D146" s="296">
        <f>Daily_KPI[[#This Row],[Date]]-DAY(Daily_KPI[[#This Row],[Date]])+1</f>
        <v>45870</v>
      </c>
      <c r="E146" s="295">
        <f t="shared" si="15"/>
        <v>31</v>
      </c>
      <c r="F146" s="297">
        <f>IFERROR(_xlfn.XLOOKUP($A146,Input_Raw!$A:$A,Input_Raw!$AR:$AR),"")</f>
        <v>0</v>
      </c>
      <c r="G146" s="298">
        <f>IFERROR(_xlfn.XLOOKUP($A146,Input_Raw!$A:$A,Input_Raw!$R:$R),"")</f>
        <v>0</v>
      </c>
      <c r="H146" s="298"/>
      <c r="I146" s="298">
        <f>IFERROR(_xlfn.XLOOKUP($A146,Input_Raw!$A:$A,Input_Raw!$Q:$Q),"")</f>
        <v>0</v>
      </c>
      <c r="J146" s="298"/>
      <c r="K146" s="298">
        <f>IFERROR(_xlfn.XLOOKUP($A146,Input_Raw!$A:$A,Input_Raw!S:S),"")</f>
        <v>0</v>
      </c>
      <c r="L146" s="298">
        <f>IFERROR(_xlfn.XLOOKUP($A146,Input_Raw!$A:$A,Input_Raw!T:T),"")</f>
        <v>0</v>
      </c>
      <c r="M146" s="298">
        <f>IFERROR(_xlfn.XLOOKUP($A146,Input_Raw!$A:$A,Input_Raw!W:W),"")</f>
        <v>0</v>
      </c>
      <c r="N146" s="298">
        <f>IFERROR(_xlfn.XLOOKUP($A146,Input_Raw!$A:$A,Input_Raw!X:X),"")</f>
        <v>0</v>
      </c>
      <c r="O146" s="299" t="str">
        <f>IFERROR(1-(SUMIF(Plant_BD!$B:$B,$A146,Plant_BD!$AL:$AL)/($AA146+SUMIF(Plant_BD!$B:$B,$A146,Plant_BD!$AL:$AL))),"")</f>
        <v/>
      </c>
      <c r="P146" s="299"/>
      <c r="Q146" s="300"/>
      <c r="R146" s="299" t="str">
        <f>IFERROR(1-(SUMIF(Grid_BD!$B:$B,$A146,Grid_BD!$V:$V)/($AA146+SUMIF(Grid_BD!$B:$B,$A146,Grid_BD!$V:$V))),"")</f>
        <v/>
      </c>
      <c r="S146" s="295"/>
      <c r="T146" s="300"/>
      <c r="U146" s="301" t="str">
        <f t="shared" si="16"/>
        <v/>
      </c>
      <c r="V146" s="301" t="str">
        <f>IFERROR(_xlfn.XLOOKUP($A146,Input_Raw!$A:$A,Input_Raw!$AX:$AX),"")</f>
        <v/>
      </c>
      <c r="W146" s="302">
        <f t="shared" si="17"/>
        <v>0</v>
      </c>
      <c r="X146" s="294">
        <f>IFERROR(_xlfn.XLOOKUP($A146,Input_Raw!$A:$A,Input_Raw!$AA:$AA),"")</f>
        <v>0</v>
      </c>
      <c r="Y146" s="294">
        <f>IFERROR(_xlfn.XLOOKUP($A146,Input_Raw!$A:$A,Input_Raw!$AS:$AS),"")</f>
        <v>0</v>
      </c>
      <c r="Z146" s="294"/>
      <c r="AA146" s="294">
        <f>IFERROR(_xlfn.XLOOKUP($A146,Input_Raw!$A:$A,Input_Raw!$AT:$AT),"")</f>
        <v>0</v>
      </c>
      <c r="AB146" s="294">
        <f>IFERROR(_xlfn.XLOOKUP($A146,Input_Raw!$A:$A,Input_Raw!$AU:$AU),"")</f>
        <v>0</v>
      </c>
      <c r="AC146" s="303">
        <f>IFERROR(_xlfn.XLOOKUP($D146,'Modelling New'!$D:$D,'Modelling New'!P:P),"")</f>
        <v>3.9096774193548387</v>
      </c>
      <c r="AD146" s="294">
        <f>IFERROR(_xlfn.XLOOKUP($D146,'Modelling New'!$D:$D,'Modelling New'!T:T)*1000,"")</f>
        <v>185476.6695582087</v>
      </c>
      <c r="AE146" s="304">
        <f>IFERROR(_xlfn.XLOOKUP($D146,'Modelling New'!$D:$D,'Modelling New'!$O:$O),"")</f>
        <v>0.87252734266252563</v>
      </c>
      <c r="AF146" s="304">
        <f>IFERROR(_xlfn.XLOOKUP($D146,'Modelling New'!$D:$D,'Modelling New'!$W:$W),"")</f>
        <v>0.14213751872405658</v>
      </c>
      <c r="AG146" s="304">
        <f>IFERROR(_xlfn.XLOOKUP($D146,'Modelling New'!$D:$D,'Modelling New'!$AE:$AE),"")</f>
        <v>0.995</v>
      </c>
      <c r="AH146" s="304">
        <f>IFERROR(_xlfn.XLOOKUP($D146,'Modelling New'!$D:$D,'Modelling New'!$AF:$AF),"")</f>
        <v>0.995</v>
      </c>
      <c r="AI146" s="295"/>
      <c r="AJ146" s="295"/>
      <c r="AK146" s="295"/>
      <c r="AL146" s="295"/>
      <c r="AM146" s="295"/>
      <c r="AN146" s="305"/>
      <c r="AO146" s="302"/>
      <c r="AP146" s="302"/>
      <c r="AQ146" s="302"/>
      <c r="AR146" s="294">
        <f>_xlfn.XLOOKUP($D146,'Modelling New'!$D:$D,'Modelling New'!$N:$N)</f>
        <v>54.371250000000003</v>
      </c>
      <c r="AS146" s="294">
        <f t="shared" si="18"/>
        <v>0</v>
      </c>
    </row>
    <row r="147" spans="1:45">
      <c r="A147" s="293">
        <f t="shared" si="19"/>
        <v>45890</v>
      </c>
      <c r="B147" s="294">
        <f>YEAR(Daily_KPI[[#This Row],[Date]])+IF(MONTH(Daily_KPI[[#This Row],[Date]])&gt;=4,1,0)</f>
        <v>2026</v>
      </c>
      <c r="C147" s="295">
        <f>YEAR(Daily_KPI[[#This Row],[Date]])</f>
        <v>2025</v>
      </c>
      <c r="D147" s="296">
        <f>Daily_KPI[[#This Row],[Date]]-DAY(Daily_KPI[[#This Row],[Date]])+1</f>
        <v>45870</v>
      </c>
      <c r="E147" s="295">
        <f t="shared" si="15"/>
        <v>31</v>
      </c>
      <c r="F147" s="297">
        <f>IFERROR(_xlfn.XLOOKUP($A147,Input_Raw!$A:$A,Input_Raw!$AR:$AR),"")</f>
        <v>0</v>
      </c>
      <c r="G147" s="298">
        <f>IFERROR(_xlfn.XLOOKUP($A147,Input_Raw!$A:$A,Input_Raw!$R:$R),"")</f>
        <v>0</v>
      </c>
      <c r="H147" s="298"/>
      <c r="I147" s="298">
        <f>IFERROR(_xlfn.XLOOKUP($A147,Input_Raw!$A:$A,Input_Raw!$Q:$Q),"")</f>
        <v>0</v>
      </c>
      <c r="J147" s="298"/>
      <c r="K147" s="298">
        <f>IFERROR(_xlfn.XLOOKUP($A147,Input_Raw!$A:$A,Input_Raw!S:S),"")</f>
        <v>0</v>
      </c>
      <c r="L147" s="298">
        <f>IFERROR(_xlfn.XLOOKUP($A147,Input_Raw!$A:$A,Input_Raw!T:T),"")</f>
        <v>0</v>
      </c>
      <c r="M147" s="298">
        <f>IFERROR(_xlfn.XLOOKUP($A147,Input_Raw!$A:$A,Input_Raw!W:W),"")</f>
        <v>0</v>
      </c>
      <c r="N147" s="298">
        <f>IFERROR(_xlfn.XLOOKUP($A147,Input_Raw!$A:$A,Input_Raw!X:X),"")</f>
        <v>0</v>
      </c>
      <c r="O147" s="299" t="str">
        <f>IFERROR(1-(SUMIF(Plant_BD!$B:$B,$A147,Plant_BD!$AL:$AL)/($AA147+SUMIF(Plant_BD!$B:$B,$A147,Plant_BD!$AL:$AL))),"")</f>
        <v/>
      </c>
      <c r="P147" s="299"/>
      <c r="Q147" s="300"/>
      <c r="R147" s="299" t="str">
        <f>IFERROR(1-(SUMIF(Grid_BD!$B:$B,$A147,Grid_BD!$V:$V)/($AA147+SUMIF(Grid_BD!$B:$B,$A147,Grid_BD!$V:$V))),"")</f>
        <v/>
      </c>
      <c r="S147" s="295"/>
      <c r="T147" s="300"/>
      <c r="U147" s="301" t="str">
        <f t="shared" si="16"/>
        <v/>
      </c>
      <c r="V147" s="301" t="str">
        <f>IFERROR(_xlfn.XLOOKUP($A147,Input_Raw!$A:$A,Input_Raw!$AX:$AX),"")</f>
        <v/>
      </c>
      <c r="W147" s="302">
        <f t="shared" si="17"/>
        <v>0</v>
      </c>
      <c r="X147" s="294">
        <f>IFERROR(_xlfn.XLOOKUP($A147,Input_Raw!$A:$A,Input_Raw!$AA:$AA),"")</f>
        <v>0</v>
      </c>
      <c r="Y147" s="294">
        <f>IFERROR(_xlfn.XLOOKUP($A147,Input_Raw!$A:$A,Input_Raw!$AS:$AS),"")</f>
        <v>0</v>
      </c>
      <c r="Z147" s="294"/>
      <c r="AA147" s="294">
        <f>IFERROR(_xlfn.XLOOKUP($A147,Input_Raw!$A:$A,Input_Raw!$AT:$AT),"")</f>
        <v>0</v>
      </c>
      <c r="AB147" s="294">
        <f>IFERROR(_xlfn.XLOOKUP($A147,Input_Raw!$A:$A,Input_Raw!$AU:$AU),"")</f>
        <v>0</v>
      </c>
      <c r="AC147" s="303">
        <f>IFERROR(_xlfn.XLOOKUP($D147,'Modelling New'!$D:$D,'Modelling New'!P:P),"")</f>
        <v>3.9096774193548387</v>
      </c>
      <c r="AD147" s="294">
        <f>IFERROR(_xlfn.XLOOKUP($D147,'Modelling New'!$D:$D,'Modelling New'!T:T)*1000,"")</f>
        <v>185476.6695582087</v>
      </c>
      <c r="AE147" s="304">
        <f>IFERROR(_xlfn.XLOOKUP($D147,'Modelling New'!$D:$D,'Modelling New'!$O:$O),"")</f>
        <v>0.87252734266252563</v>
      </c>
      <c r="AF147" s="304">
        <f>IFERROR(_xlfn.XLOOKUP($D147,'Modelling New'!$D:$D,'Modelling New'!$W:$W),"")</f>
        <v>0.14213751872405658</v>
      </c>
      <c r="AG147" s="304">
        <f>IFERROR(_xlfn.XLOOKUP($D147,'Modelling New'!$D:$D,'Modelling New'!$AE:$AE),"")</f>
        <v>0.995</v>
      </c>
      <c r="AH147" s="304">
        <f>IFERROR(_xlfn.XLOOKUP($D147,'Modelling New'!$D:$D,'Modelling New'!$AF:$AF),"")</f>
        <v>0.995</v>
      </c>
      <c r="AI147" s="295"/>
      <c r="AJ147" s="295"/>
      <c r="AK147" s="295"/>
      <c r="AL147" s="295"/>
      <c r="AM147" s="295"/>
      <c r="AN147" s="305"/>
      <c r="AO147" s="302"/>
      <c r="AP147" s="302"/>
      <c r="AQ147" s="302"/>
      <c r="AR147" s="294">
        <f>_xlfn.XLOOKUP($D147,'Modelling New'!$D:$D,'Modelling New'!$N:$N)</f>
        <v>54.371250000000003</v>
      </c>
      <c r="AS147" s="294">
        <f t="shared" si="18"/>
        <v>0</v>
      </c>
    </row>
    <row r="148" spans="1:45">
      <c r="A148" s="293">
        <f t="shared" si="19"/>
        <v>45891</v>
      </c>
      <c r="B148" s="294">
        <f>YEAR(Daily_KPI[[#This Row],[Date]])+IF(MONTH(Daily_KPI[[#This Row],[Date]])&gt;=4,1,0)</f>
        <v>2026</v>
      </c>
      <c r="C148" s="295">
        <f>YEAR(Daily_KPI[[#This Row],[Date]])</f>
        <v>2025</v>
      </c>
      <c r="D148" s="296">
        <f>Daily_KPI[[#This Row],[Date]]-DAY(Daily_KPI[[#This Row],[Date]])+1</f>
        <v>45870</v>
      </c>
      <c r="E148" s="295">
        <f t="shared" si="15"/>
        <v>31</v>
      </c>
      <c r="F148" s="297">
        <f>IFERROR(_xlfn.XLOOKUP($A148,Input_Raw!$A:$A,Input_Raw!$AR:$AR),"")</f>
        <v>0</v>
      </c>
      <c r="G148" s="298">
        <f>IFERROR(_xlfn.XLOOKUP($A148,Input_Raw!$A:$A,Input_Raw!$R:$R),"")</f>
        <v>0</v>
      </c>
      <c r="H148" s="298"/>
      <c r="I148" s="298">
        <f>IFERROR(_xlfn.XLOOKUP($A148,Input_Raw!$A:$A,Input_Raw!$Q:$Q),"")</f>
        <v>0</v>
      </c>
      <c r="J148" s="298"/>
      <c r="K148" s="298">
        <f>IFERROR(_xlfn.XLOOKUP($A148,Input_Raw!$A:$A,Input_Raw!S:S),"")</f>
        <v>0</v>
      </c>
      <c r="L148" s="298">
        <f>IFERROR(_xlfn.XLOOKUP($A148,Input_Raw!$A:$A,Input_Raw!T:T),"")</f>
        <v>0</v>
      </c>
      <c r="M148" s="298">
        <f>IFERROR(_xlfn.XLOOKUP($A148,Input_Raw!$A:$A,Input_Raw!W:W),"")</f>
        <v>0</v>
      </c>
      <c r="N148" s="298">
        <f>IFERROR(_xlfn.XLOOKUP($A148,Input_Raw!$A:$A,Input_Raw!X:X),"")</f>
        <v>0</v>
      </c>
      <c r="O148" s="299" t="str">
        <f>IFERROR(1-(SUMIF(Plant_BD!$B:$B,$A148,Plant_BD!$AL:$AL)/($AA148+SUMIF(Plant_BD!$B:$B,$A148,Plant_BD!$AL:$AL))),"")</f>
        <v/>
      </c>
      <c r="P148" s="299"/>
      <c r="Q148" s="300"/>
      <c r="R148" s="299" t="str">
        <f>IFERROR(1-(SUMIF(Grid_BD!$B:$B,$A148,Grid_BD!$V:$V)/($AA148+SUMIF(Grid_BD!$B:$B,$A148,Grid_BD!$V:$V))),"")</f>
        <v/>
      </c>
      <c r="S148" s="295"/>
      <c r="T148" s="300"/>
      <c r="U148" s="301" t="str">
        <f t="shared" si="16"/>
        <v/>
      </c>
      <c r="V148" s="301" t="str">
        <f>IFERROR(_xlfn.XLOOKUP($A148,Input_Raw!$A:$A,Input_Raw!$AX:$AX),"")</f>
        <v/>
      </c>
      <c r="W148" s="302">
        <f t="shared" si="17"/>
        <v>0</v>
      </c>
      <c r="X148" s="294">
        <f>IFERROR(_xlfn.XLOOKUP($A148,Input_Raw!$A:$A,Input_Raw!$AA:$AA),"")</f>
        <v>0</v>
      </c>
      <c r="Y148" s="294">
        <f>IFERROR(_xlfn.XLOOKUP($A148,Input_Raw!$A:$A,Input_Raw!$AS:$AS),"")</f>
        <v>0</v>
      </c>
      <c r="Z148" s="294"/>
      <c r="AA148" s="294">
        <f>IFERROR(_xlfn.XLOOKUP($A148,Input_Raw!$A:$A,Input_Raw!$AT:$AT),"")</f>
        <v>0</v>
      </c>
      <c r="AB148" s="294">
        <f>IFERROR(_xlfn.XLOOKUP($A148,Input_Raw!$A:$A,Input_Raw!$AU:$AU),"")</f>
        <v>0</v>
      </c>
      <c r="AC148" s="303">
        <f>IFERROR(_xlfn.XLOOKUP($D148,'Modelling New'!$D:$D,'Modelling New'!P:P),"")</f>
        <v>3.9096774193548387</v>
      </c>
      <c r="AD148" s="294">
        <f>IFERROR(_xlfn.XLOOKUP($D148,'Modelling New'!$D:$D,'Modelling New'!T:T)*1000,"")</f>
        <v>185476.6695582087</v>
      </c>
      <c r="AE148" s="304">
        <f>IFERROR(_xlfn.XLOOKUP($D148,'Modelling New'!$D:$D,'Modelling New'!$O:$O),"")</f>
        <v>0.87252734266252563</v>
      </c>
      <c r="AF148" s="304">
        <f>IFERROR(_xlfn.XLOOKUP($D148,'Modelling New'!$D:$D,'Modelling New'!$W:$W),"")</f>
        <v>0.14213751872405658</v>
      </c>
      <c r="AG148" s="304">
        <f>IFERROR(_xlfn.XLOOKUP($D148,'Modelling New'!$D:$D,'Modelling New'!$AE:$AE),"")</f>
        <v>0.995</v>
      </c>
      <c r="AH148" s="304">
        <f>IFERROR(_xlfn.XLOOKUP($D148,'Modelling New'!$D:$D,'Modelling New'!$AF:$AF),"")</f>
        <v>0.995</v>
      </c>
      <c r="AI148" s="295"/>
      <c r="AJ148" s="295"/>
      <c r="AK148" s="295"/>
      <c r="AL148" s="295"/>
      <c r="AM148" s="295"/>
      <c r="AN148" s="305"/>
      <c r="AO148" s="302"/>
      <c r="AP148" s="302"/>
      <c r="AQ148" s="302"/>
      <c r="AR148" s="294">
        <f>_xlfn.XLOOKUP($D148,'Modelling New'!$D:$D,'Modelling New'!$N:$N)</f>
        <v>54.371250000000003</v>
      </c>
      <c r="AS148" s="294">
        <f t="shared" si="18"/>
        <v>0</v>
      </c>
    </row>
    <row r="149" spans="1:45">
      <c r="A149" s="293">
        <f t="shared" si="19"/>
        <v>45892</v>
      </c>
      <c r="B149" s="294">
        <f>YEAR(Daily_KPI[[#This Row],[Date]])+IF(MONTH(Daily_KPI[[#This Row],[Date]])&gt;=4,1,0)</f>
        <v>2026</v>
      </c>
      <c r="C149" s="295">
        <f>YEAR(Daily_KPI[[#This Row],[Date]])</f>
        <v>2025</v>
      </c>
      <c r="D149" s="296">
        <f>Daily_KPI[[#This Row],[Date]]-DAY(Daily_KPI[[#This Row],[Date]])+1</f>
        <v>45870</v>
      </c>
      <c r="E149" s="295">
        <f t="shared" si="15"/>
        <v>31</v>
      </c>
      <c r="F149" s="297">
        <f>IFERROR(_xlfn.XLOOKUP($A149,Input_Raw!$A:$A,Input_Raw!$AR:$AR),"")</f>
        <v>0</v>
      </c>
      <c r="G149" s="298">
        <f>IFERROR(_xlfn.XLOOKUP($A149,Input_Raw!$A:$A,Input_Raw!$R:$R),"")</f>
        <v>0</v>
      </c>
      <c r="H149" s="298"/>
      <c r="I149" s="298">
        <f>IFERROR(_xlfn.XLOOKUP($A149,Input_Raw!$A:$A,Input_Raw!$Q:$Q),"")</f>
        <v>0</v>
      </c>
      <c r="J149" s="298"/>
      <c r="K149" s="298">
        <f>IFERROR(_xlfn.XLOOKUP($A149,Input_Raw!$A:$A,Input_Raw!S:S),"")</f>
        <v>0</v>
      </c>
      <c r="L149" s="298">
        <f>IFERROR(_xlfn.XLOOKUP($A149,Input_Raw!$A:$A,Input_Raw!T:T),"")</f>
        <v>0</v>
      </c>
      <c r="M149" s="298">
        <f>IFERROR(_xlfn.XLOOKUP($A149,Input_Raw!$A:$A,Input_Raw!W:W),"")</f>
        <v>0</v>
      </c>
      <c r="N149" s="298">
        <f>IFERROR(_xlfn.XLOOKUP($A149,Input_Raw!$A:$A,Input_Raw!X:X),"")</f>
        <v>0</v>
      </c>
      <c r="O149" s="299" t="str">
        <f>IFERROR(1-(SUMIF(Plant_BD!$B:$B,$A149,Plant_BD!$AL:$AL)/($AA149+SUMIF(Plant_BD!$B:$B,$A149,Plant_BD!$AL:$AL))),"")</f>
        <v/>
      </c>
      <c r="P149" s="299"/>
      <c r="Q149" s="300"/>
      <c r="R149" s="299" t="str">
        <f>IFERROR(1-(SUMIF(Grid_BD!$B:$B,$A149,Grid_BD!$V:$V)/($AA149+SUMIF(Grid_BD!$B:$B,$A149,Grid_BD!$V:$V))),"")</f>
        <v/>
      </c>
      <c r="S149" s="295"/>
      <c r="T149" s="300"/>
      <c r="U149" s="301" t="str">
        <f t="shared" si="16"/>
        <v/>
      </c>
      <c r="V149" s="301" t="str">
        <f>IFERROR(_xlfn.XLOOKUP($A149,Input_Raw!$A:$A,Input_Raw!$AX:$AX),"")</f>
        <v/>
      </c>
      <c r="W149" s="302">
        <f t="shared" si="17"/>
        <v>0</v>
      </c>
      <c r="X149" s="294">
        <f>IFERROR(_xlfn.XLOOKUP($A149,Input_Raw!$A:$A,Input_Raw!$AA:$AA),"")</f>
        <v>0</v>
      </c>
      <c r="Y149" s="294">
        <f>IFERROR(_xlfn.XLOOKUP($A149,Input_Raw!$A:$A,Input_Raw!$AS:$AS),"")</f>
        <v>0</v>
      </c>
      <c r="Z149" s="294"/>
      <c r="AA149" s="294">
        <f>IFERROR(_xlfn.XLOOKUP($A149,Input_Raw!$A:$A,Input_Raw!$AT:$AT),"")</f>
        <v>0</v>
      </c>
      <c r="AB149" s="294">
        <f>IFERROR(_xlfn.XLOOKUP($A149,Input_Raw!$A:$A,Input_Raw!$AU:$AU),"")</f>
        <v>0</v>
      </c>
      <c r="AC149" s="303">
        <f>IFERROR(_xlfn.XLOOKUP($D149,'Modelling New'!$D:$D,'Modelling New'!P:P),"")</f>
        <v>3.9096774193548387</v>
      </c>
      <c r="AD149" s="294">
        <f>IFERROR(_xlfn.XLOOKUP($D149,'Modelling New'!$D:$D,'Modelling New'!T:T)*1000,"")</f>
        <v>185476.6695582087</v>
      </c>
      <c r="AE149" s="304">
        <f>IFERROR(_xlfn.XLOOKUP($D149,'Modelling New'!$D:$D,'Modelling New'!$O:$O),"")</f>
        <v>0.87252734266252563</v>
      </c>
      <c r="AF149" s="304">
        <f>IFERROR(_xlfn.XLOOKUP($D149,'Modelling New'!$D:$D,'Modelling New'!$W:$W),"")</f>
        <v>0.14213751872405658</v>
      </c>
      <c r="AG149" s="304">
        <f>IFERROR(_xlfn.XLOOKUP($D149,'Modelling New'!$D:$D,'Modelling New'!$AE:$AE),"")</f>
        <v>0.995</v>
      </c>
      <c r="AH149" s="304">
        <f>IFERROR(_xlfn.XLOOKUP($D149,'Modelling New'!$D:$D,'Modelling New'!$AF:$AF),"")</f>
        <v>0.995</v>
      </c>
      <c r="AI149" s="295"/>
      <c r="AJ149" s="295"/>
      <c r="AK149" s="295"/>
      <c r="AL149" s="295"/>
      <c r="AM149" s="295"/>
      <c r="AN149" s="305"/>
      <c r="AO149" s="302"/>
      <c r="AP149" s="302"/>
      <c r="AQ149" s="302"/>
      <c r="AR149" s="294">
        <f>_xlfn.XLOOKUP($D149,'Modelling New'!$D:$D,'Modelling New'!$N:$N)</f>
        <v>54.371250000000003</v>
      </c>
      <c r="AS149" s="294">
        <f t="shared" si="18"/>
        <v>0</v>
      </c>
    </row>
    <row r="150" spans="1:45">
      <c r="A150" s="293">
        <f t="shared" si="19"/>
        <v>45893</v>
      </c>
      <c r="B150" s="294">
        <f>YEAR(Daily_KPI[[#This Row],[Date]])+IF(MONTH(Daily_KPI[[#This Row],[Date]])&gt;=4,1,0)</f>
        <v>2026</v>
      </c>
      <c r="C150" s="295">
        <f>YEAR(Daily_KPI[[#This Row],[Date]])</f>
        <v>2025</v>
      </c>
      <c r="D150" s="296">
        <f>Daily_KPI[[#This Row],[Date]]-DAY(Daily_KPI[[#This Row],[Date]])+1</f>
        <v>45870</v>
      </c>
      <c r="E150" s="295">
        <f t="shared" si="15"/>
        <v>31</v>
      </c>
      <c r="F150" s="297">
        <f>IFERROR(_xlfn.XLOOKUP($A150,Input_Raw!$A:$A,Input_Raw!$AR:$AR),"")</f>
        <v>0</v>
      </c>
      <c r="G150" s="298">
        <f>IFERROR(_xlfn.XLOOKUP($A150,Input_Raw!$A:$A,Input_Raw!$R:$R),"")</f>
        <v>0</v>
      </c>
      <c r="H150" s="298"/>
      <c r="I150" s="298">
        <f>IFERROR(_xlfn.XLOOKUP($A150,Input_Raw!$A:$A,Input_Raw!$Q:$Q),"")</f>
        <v>0</v>
      </c>
      <c r="J150" s="298"/>
      <c r="K150" s="298">
        <f>IFERROR(_xlfn.XLOOKUP($A150,Input_Raw!$A:$A,Input_Raw!S:S),"")</f>
        <v>0</v>
      </c>
      <c r="L150" s="298">
        <f>IFERROR(_xlfn.XLOOKUP($A150,Input_Raw!$A:$A,Input_Raw!T:T),"")</f>
        <v>0</v>
      </c>
      <c r="M150" s="298">
        <f>IFERROR(_xlfn.XLOOKUP($A150,Input_Raw!$A:$A,Input_Raw!W:W),"")</f>
        <v>0</v>
      </c>
      <c r="N150" s="298">
        <f>IFERROR(_xlfn.XLOOKUP($A150,Input_Raw!$A:$A,Input_Raw!X:X),"")</f>
        <v>0</v>
      </c>
      <c r="O150" s="299" t="str">
        <f>IFERROR(1-(SUMIF(Plant_BD!$B:$B,$A150,Plant_BD!$AL:$AL)/($AA150+SUMIF(Plant_BD!$B:$B,$A150,Plant_BD!$AL:$AL))),"")</f>
        <v/>
      </c>
      <c r="P150" s="299"/>
      <c r="Q150" s="300"/>
      <c r="R150" s="299" t="str">
        <f>IFERROR(1-(SUMIF(Grid_BD!$B:$B,$A150,Grid_BD!$V:$V)/($AA150+SUMIF(Grid_BD!$B:$B,$A150,Grid_BD!$V:$V))),"")</f>
        <v/>
      </c>
      <c r="S150" s="295"/>
      <c r="T150" s="300"/>
      <c r="U150" s="301" t="str">
        <f t="shared" si="16"/>
        <v/>
      </c>
      <c r="V150" s="301" t="str">
        <f>IFERROR(_xlfn.XLOOKUP($A150,Input_Raw!$A:$A,Input_Raw!$AX:$AX),"")</f>
        <v/>
      </c>
      <c r="W150" s="302">
        <f t="shared" si="17"/>
        <v>0</v>
      </c>
      <c r="X150" s="294">
        <f>IFERROR(_xlfn.XLOOKUP($A150,Input_Raw!$A:$A,Input_Raw!$AA:$AA),"")</f>
        <v>0</v>
      </c>
      <c r="Y150" s="294">
        <f>IFERROR(_xlfn.XLOOKUP($A150,Input_Raw!$A:$A,Input_Raw!$AS:$AS),"")</f>
        <v>0</v>
      </c>
      <c r="Z150" s="294"/>
      <c r="AA150" s="294">
        <f>IFERROR(_xlfn.XLOOKUP($A150,Input_Raw!$A:$A,Input_Raw!$AT:$AT),"")</f>
        <v>0</v>
      </c>
      <c r="AB150" s="294">
        <f>IFERROR(_xlfn.XLOOKUP($A150,Input_Raw!$A:$A,Input_Raw!$AU:$AU),"")</f>
        <v>0</v>
      </c>
      <c r="AC150" s="303">
        <f>IFERROR(_xlfn.XLOOKUP($D150,'Modelling New'!$D:$D,'Modelling New'!P:P),"")</f>
        <v>3.9096774193548387</v>
      </c>
      <c r="AD150" s="294">
        <f>IFERROR(_xlfn.XLOOKUP($D150,'Modelling New'!$D:$D,'Modelling New'!T:T)*1000,"")</f>
        <v>185476.6695582087</v>
      </c>
      <c r="AE150" s="304">
        <f>IFERROR(_xlfn.XLOOKUP($D150,'Modelling New'!$D:$D,'Modelling New'!$O:$O),"")</f>
        <v>0.87252734266252563</v>
      </c>
      <c r="AF150" s="304">
        <f>IFERROR(_xlfn.XLOOKUP($D150,'Modelling New'!$D:$D,'Modelling New'!$W:$W),"")</f>
        <v>0.14213751872405658</v>
      </c>
      <c r="AG150" s="304">
        <f>IFERROR(_xlfn.XLOOKUP($D150,'Modelling New'!$D:$D,'Modelling New'!$AE:$AE),"")</f>
        <v>0.995</v>
      </c>
      <c r="AH150" s="304">
        <f>IFERROR(_xlfn.XLOOKUP($D150,'Modelling New'!$D:$D,'Modelling New'!$AF:$AF),"")</f>
        <v>0.995</v>
      </c>
      <c r="AI150" s="295"/>
      <c r="AJ150" s="295"/>
      <c r="AK150" s="295"/>
      <c r="AL150" s="295"/>
      <c r="AM150" s="295"/>
      <c r="AN150" s="305"/>
      <c r="AO150" s="302"/>
      <c r="AP150" s="302"/>
      <c r="AQ150" s="302"/>
      <c r="AR150" s="294">
        <f>_xlfn.XLOOKUP($D150,'Modelling New'!$D:$D,'Modelling New'!$N:$N)</f>
        <v>54.371250000000003</v>
      </c>
      <c r="AS150" s="294">
        <f t="shared" si="18"/>
        <v>0</v>
      </c>
    </row>
    <row r="151" spans="1:45">
      <c r="A151" s="293">
        <f t="shared" si="19"/>
        <v>45894</v>
      </c>
      <c r="B151" s="294">
        <f>YEAR(Daily_KPI[[#This Row],[Date]])+IF(MONTH(Daily_KPI[[#This Row],[Date]])&gt;=4,1,0)</f>
        <v>2026</v>
      </c>
      <c r="C151" s="295">
        <f>YEAR(Daily_KPI[[#This Row],[Date]])</f>
        <v>2025</v>
      </c>
      <c r="D151" s="296">
        <f>Daily_KPI[[#This Row],[Date]]-DAY(Daily_KPI[[#This Row],[Date]])+1</f>
        <v>45870</v>
      </c>
      <c r="E151" s="295">
        <f t="shared" si="15"/>
        <v>31</v>
      </c>
      <c r="F151" s="297">
        <f>IFERROR(_xlfn.XLOOKUP($A151,Input_Raw!$A:$A,Input_Raw!$AR:$AR),"")</f>
        <v>0</v>
      </c>
      <c r="G151" s="298">
        <f>IFERROR(_xlfn.XLOOKUP($A151,Input_Raw!$A:$A,Input_Raw!$R:$R),"")</f>
        <v>0</v>
      </c>
      <c r="H151" s="298"/>
      <c r="I151" s="298">
        <f>IFERROR(_xlfn.XLOOKUP($A151,Input_Raw!$A:$A,Input_Raw!$Q:$Q),"")</f>
        <v>0</v>
      </c>
      <c r="J151" s="298"/>
      <c r="K151" s="298">
        <f>IFERROR(_xlfn.XLOOKUP($A151,Input_Raw!$A:$A,Input_Raw!S:S),"")</f>
        <v>0</v>
      </c>
      <c r="L151" s="298">
        <f>IFERROR(_xlfn.XLOOKUP($A151,Input_Raw!$A:$A,Input_Raw!T:T),"")</f>
        <v>0</v>
      </c>
      <c r="M151" s="298">
        <f>IFERROR(_xlfn.XLOOKUP($A151,Input_Raw!$A:$A,Input_Raw!W:W),"")</f>
        <v>0</v>
      </c>
      <c r="N151" s="298">
        <f>IFERROR(_xlfn.XLOOKUP($A151,Input_Raw!$A:$A,Input_Raw!X:X),"")</f>
        <v>0</v>
      </c>
      <c r="O151" s="299" t="str">
        <f>IFERROR(1-(SUMIF(Plant_BD!$B:$B,$A151,Plant_BD!$AL:$AL)/($AA151+SUMIF(Plant_BD!$B:$B,$A151,Plant_BD!$AL:$AL))),"")</f>
        <v/>
      </c>
      <c r="P151" s="299"/>
      <c r="Q151" s="300"/>
      <c r="R151" s="299" t="str">
        <f>IFERROR(1-(SUMIF(Grid_BD!$B:$B,$A151,Grid_BD!$V:$V)/($AA151+SUMIF(Grid_BD!$B:$B,$A151,Grid_BD!$V:$V))),"")</f>
        <v/>
      </c>
      <c r="S151" s="295"/>
      <c r="T151" s="300"/>
      <c r="U151" s="301" t="str">
        <f t="shared" si="16"/>
        <v/>
      </c>
      <c r="V151" s="301" t="str">
        <f>IFERROR(_xlfn.XLOOKUP($A151,Input_Raw!$A:$A,Input_Raw!$AX:$AX),"")</f>
        <v/>
      </c>
      <c r="W151" s="302">
        <f t="shared" si="17"/>
        <v>0</v>
      </c>
      <c r="X151" s="294">
        <f>IFERROR(_xlfn.XLOOKUP($A151,Input_Raw!$A:$A,Input_Raw!$AA:$AA),"")</f>
        <v>0</v>
      </c>
      <c r="Y151" s="294">
        <f>IFERROR(_xlfn.XLOOKUP($A151,Input_Raw!$A:$A,Input_Raw!$AS:$AS),"")</f>
        <v>0</v>
      </c>
      <c r="Z151" s="294"/>
      <c r="AA151" s="294">
        <f>IFERROR(_xlfn.XLOOKUP($A151,Input_Raw!$A:$A,Input_Raw!$AT:$AT),"")</f>
        <v>0</v>
      </c>
      <c r="AB151" s="294">
        <f>IFERROR(_xlfn.XLOOKUP($A151,Input_Raw!$A:$A,Input_Raw!$AU:$AU),"")</f>
        <v>0</v>
      </c>
      <c r="AC151" s="303">
        <f>IFERROR(_xlfn.XLOOKUP($D151,'Modelling New'!$D:$D,'Modelling New'!P:P),"")</f>
        <v>3.9096774193548387</v>
      </c>
      <c r="AD151" s="294">
        <f>IFERROR(_xlfn.XLOOKUP($D151,'Modelling New'!$D:$D,'Modelling New'!T:T)*1000,"")</f>
        <v>185476.6695582087</v>
      </c>
      <c r="AE151" s="304">
        <f>IFERROR(_xlfn.XLOOKUP($D151,'Modelling New'!$D:$D,'Modelling New'!$O:$O),"")</f>
        <v>0.87252734266252563</v>
      </c>
      <c r="AF151" s="304">
        <f>IFERROR(_xlfn.XLOOKUP($D151,'Modelling New'!$D:$D,'Modelling New'!$W:$W),"")</f>
        <v>0.14213751872405658</v>
      </c>
      <c r="AG151" s="304">
        <f>IFERROR(_xlfn.XLOOKUP($D151,'Modelling New'!$D:$D,'Modelling New'!$AE:$AE),"")</f>
        <v>0.995</v>
      </c>
      <c r="AH151" s="304">
        <f>IFERROR(_xlfn.XLOOKUP($D151,'Modelling New'!$D:$D,'Modelling New'!$AF:$AF),"")</f>
        <v>0.995</v>
      </c>
      <c r="AI151" s="295"/>
      <c r="AJ151" s="295"/>
      <c r="AK151" s="295"/>
      <c r="AL151" s="295"/>
      <c r="AM151" s="295"/>
      <c r="AN151" s="305"/>
      <c r="AO151" s="302"/>
      <c r="AP151" s="302"/>
      <c r="AQ151" s="302"/>
      <c r="AR151" s="294">
        <f>_xlfn.XLOOKUP($D151,'Modelling New'!$D:$D,'Modelling New'!$N:$N)</f>
        <v>54.371250000000003</v>
      </c>
      <c r="AS151" s="294">
        <f t="shared" si="18"/>
        <v>0</v>
      </c>
    </row>
    <row r="152" spans="1:45">
      <c r="A152" s="293">
        <f t="shared" si="19"/>
        <v>45895</v>
      </c>
      <c r="B152" s="294">
        <f>YEAR(Daily_KPI[[#This Row],[Date]])+IF(MONTH(Daily_KPI[[#This Row],[Date]])&gt;=4,1,0)</f>
        <v>2026</v>
      </c>
      <c r="C152" s="295">
        <f>YEAR(Daily_KPI[[#This Row],[Date]])</f>
        <v>2025</v>
      </c>
      <c r="D152" s="296">
        <f>Daily_KPI[[#This Row],[Date]]-DAY(Daily_KPI[[#This Row],[Date]])+1</f>
        <v>45870</v>
      </c>
      <c r="E152" s="295">
        <f t="shared" si="15"/>
        <v>31</v>
      </c>
      <c r="F152" s="297">
        <f>IFERROR(_xlfn.XLOOKUP($A152,Input_Raw!$A:$A,Input_Raw!$AR:$AR),"")</f>
        <v>0</v>
      </c>
      <c r="G152" s="298">
        <f>IFERROR(_xlfn.XLOOKUP($A152,Input_Raw!$A:$A,Input_Raw!$R:$R),"")</f>
        <v>0</v>
      </c>
      <c r="H152" s="298"/>
      <c r="I152" s="298">
        <f>IFERROR(_xlfn.XLOOKUP($A152,Input_Raw!$A:$A,Input_Raw!$Q:$Q),"")</f>
        <v>0</v>
      </c>
      <c r="J152" s="298"/>
      <c r="K152" s="298">
        <f>IFERROR(_xlfn.XLOOKUP($A152,Input_Raw!$A:$A,Input_Raw!S:S),"")</f>
        <v>0</v>
      </c>
      <c r="L152" s="298">
        <f>IFERROR(_xlfn.XLOOKUP($A152,Input_Raw!$A:$A,Input_Raw!T:T),"")</f>
        <v>0</v>
      </c>
      <c r="M152" s="298">
        <f>IFERROR(_xlfn.XLOOKUP($A152,Input_Raw!$A:$A,Input_Raw!W:W),"")</f>
        <v>0</v>
      </c>
      <c r="N152" s="298">
        <f>IFERROR(_xlfn.XLOOKUP($A152,Input_Raw!$A:$A,Input_Raw!X:X),"")</f>
        <v>0</v>
      </c>
      <c r="O152" s="299" t="str">
        <f>IFERROR(1-(SUMIF(Plant_BD!$B:$B,$A152,Plant_BD!$AL:$AL)/($AA152+SUMIF(Plant_BD!$B:$B,$A152,Plant_BD!$AL:$AL))),"")</f>
        <v/>
      </c>
      <c r="P152" s="299"/>
      <c r="Q152" s="300"/>
      <c r="R152" s="299" t="str">
        <f>IFERROR(1-(SUMIF(Grid_BD!$B:$B,$A152,Grid_BD!$V:$V)/($AA152+SUMIF(Grid_BD!$B:$B,$A152,Grid_BD!$V:$V))),"")</f>
        <v/>
      </c>
      <c r="S152" s="295"/>
      <c r="T152" s="300"/>
      <c r="U152" s="301" t="str">
        <f t="shared" si="16"/>
        <v/>
      </c>
      <c r="V152" s="301" t="str">
        <f>IFERROR(_xlfn.XLOOKUP($A152,Input_Raw!$A:$A,Input_Raw!$AX:$AX),"")</f>
        <v/>
      </c>
      <c r="W152" s="302">
        <f t="shared" si="17"/>
        <v>0</v>
      </c>
      <c r="X152" s="294">
        <f>IFERROR(_xlfn.XLOOKUP($A152,Input_Raw!$A:$A,Input_Raw!$AA:$AA),"")</f>
        <v>0</v>
      </c>
      <c r="Y152" s="294">
        <f>IFERROR(_xlfn.XLOOKUP($A152,Input_Raw!$A:$A,Input_Raw!$AS:$AS),"")</f>
        <v>0</v>
      </c>
      <c r="Z152" s="294"/>
      <c r="AA152" s="294">
        <f>IFERROR(_xlfn.XLOOKUP($A152,Input_Raw!$A:$A,Input_Raw!$AT:$AT),"")</f>
        <v>0</v>
      </c>
      <c r="AB152" s="294">
        <f>IFERROR(_xlfn.XLOOKUP($A152,Input_Raw!$A:$A,Input_Raw!$AU:$AU),"")</f>
        <v>0</v>
      </c>
      <c r="AC152" s="303">
        <f>IFERROR(_xlfn.XLOOKUP($D152,'Modelling New'!$D:$D,'Modelling New'!P:P),"")</f>
        <v>3.9096774193548387</v>
      </c>
      <c r="AD152" s="294">
        <f>IFERROR(_xlfn.XLOOKUP($D152,'Modelling New'!$D:$D,'Modelling New'!T:T)*1000,"")</f>
        <v>185476.6695582087</v>
      </c>
      <c r="AE152" s="304">
        <f>IFERROR(_xlfn.XLOOKUP($D152,'Modelling New'!$D:$D,'Modelling New'!$O:$O),"")</f>
        <v>0.87252734266252563</v>
      </c>
      <c r="AF152" s="304">
        <f>IFERROR(_xlfn.XLOOKUP($D152,'Modelling New'!$D:$D,'Modelling New'!$W:$W),"")</f>
        <v>0.14213751872405658</v>
      </c>
      <c r="AG152" s="304">
        <f>IFERROR(_xlfn.XLOOKUP($D152,'Modelling New'!$D:$D,'Modelling New'!$AE:$AE),"")</f>
        <v>0.995</v>
      </c>
      <c r="AH152" s="304">
        <f>IFERROR(_xlfn.XLOOKUP($D152,'Modelling New'!$D:$D,'Modelling New'!$AF:$AF),"")</f>
        <v>0.995</v>
      </c>
      <c r="AI152" s="295"/>
      <c r="AJ152" s="295"/>
      <c r="AK152" s="295"/>
      <c r="AL152" s="295"/>
      <c r="AM152" s="295"/>
      <c r="AN152" s="305"/>
      <c r="AO152" s="302"/>
      <c r="AP152" s="302"/>
      <c r="AQ152" s="302"/>
      <c r="AR152" s="294">
        <f>_xlfn.XLOOKUP($D152,'Modelling New'!$D:$D,'Modelling New'!$N:$N)</f>
        <v>54.371250000000003</v>
      </c>
      <c r="AS152" s="294">
        <f t="shared" si="18"/>
        <v>0</v>
      </c>
    </row>
    <row r="153" spans="1:45">
      <c r="A153" s="293">
        <f t="shared" si="19"/>
        <v>45896</v>
      </c>
      <c r="B153" s="294">
        <f>YEAR(Daily_KPI[[#This Row],[Date]])+IF(MONTH(Daily_KPI[[#This Row],[Date]])&gt;=4,1,0)</f>
        <v>2026</v>
      </c>
      <c r="C153" s="295">
        <f>YEAR(Daily_KPI[[#This Row],[Date]])</f>
        <v>2025</v>
      </c>
      <c r="D153" s="296">
        <f>Daily_KPI[[#This Row],[Date]]-DAY(Daily_KPI[[#This Row],[Date]])+1</f>
        <v>45870</v>
      </c>
      <c r="E153" s="295">
        <f t="shared" si="15"/>
        <v>31</v>
      </c>
      <c r="F153" s="297">
        <f>IFERROR(_xlfn.XLOOKUP($A153,Input_Raw!$A:$A,Input_Raw!$AR:$AR),"")</f>
        <v>0</v>
      </c>
      <c r="G153" s="298">
        <f>IFERROR(_xlfn.XLOOKUP($A153,Input_Raw!$A:$A,Input_Raw!$R:$R),"")</f>
        <v>0</v>
      </c>
      <c r="H153" s="298"/>
      <c r="I153" s="298">
        <f>IFERROR(_xlfn.XLOOKUP($A153,Input_Raw!$A:$A,Input_Raw!$Q:$Q),"")</f>
        <v>0</v>
      </c>
      <c r="J153" s="298"/>
      <c r="K153" s="298">
        <f>IFERROR(_xlfn.XLOOKUP($A153,Input_Raw!$A:$A,Input_Raw!S:S),"")</f>
        <v>0</v>
      </c>
      <c r="L153" s="298">
        <f>IFERROR(_xlfn.XLOOKUP($A153,Input_Raw!$A:$A,Input_Raw!T:T),"")</f>
        <v>0</v>
      </c>
      <c r="M153" s="298">
        <f>IFERROR(_xlfn.XLOOKUP($A153,Input_Raw!$A:$A,Input_Raw!W:W),"")</f>
        <v>0</v>
      </c>
      <c r="N153" s="298">
        <f>IFERROR(_xlfn.XLOOKUP($A153,Input_Raw!$A:$A,Input_Raw!X:X),"")</f>
        <v>0</v>
      </c>
      <c r="O153" s="299" t="str">
        <f>IFERROR(1-(SUMIF(Plant_BD!$B:$B,$A153,Plant_BD!$AL:$AL)/($AA153+SUMIF(Plant_BD!$B:$B,$A153,Plant_BD!$AL:$AL))),"")</f>
        <v/>
      </c>
      <c r="P153" s="299"/>
      <c r="Q153" s="300"/>
      <c r="R153" s="299" t="str">
        <f>IFERROR(1-(SUMIF(Grid_BD!$B:$B,$A153,Grid_BD!$V:$V)/($AA153+SUMIF(Grid_BD!$B:$B,$A153,Grid_BD!$V:$V))),"")</f>
        <v/>
      </c>
      <c r="S153" s="295"/>
      <c r="T153" s="300"/>
      <c r="U153" s="301" t="str">
        <f t="shared" si="16"/>
        <v/>
      </c>
      <c r="V153" s="301" t="str">
        <f>IFERROR(_xlfn.XLOOKUP($A153,Input_Raw!$A:$A,Input_Raw!$AX:$AX),"")</f>
        <v/>
      </c>
      <c r="W153" s="302">
        <f t="shared" si="17"/>
        <v>0</v>
      </c>
      <c r="X153" s="294">
        <f>IFERROR(_xlfn.XLOOKUP($A153,Input_Raw!$A:$A,Input_Raw!$AA:$AA),"")</f>
        <v>0</v>
      </c>
      <c r="Y153" s="294">
        <f>IFERROR(_xlfn.XLOOKUP($A153,Input_Raw!$A:$A,Input_Raw!$AS:$AS),"")</f>
        <v>0</v>
      </c>
      <c r="Z153" s="294"/>
      <c r="AA153" s="294">
        <f>IFERROR(_xlfn.XLOOKUP($A153,Input_Raw!$A:$A,Input_Raw!$AT:$AT),"")</f>
        <v>0</v>
      </c>
      <c r="AB153" s="294">
        <f>IFERROR(_xlfn.XLOOKUP($A153,Input_Raw!$A:$A,Input_Raw!$AU:$AU),"")</f>
        <v>0</v>
      </c>
      <c r="AC153" s="303">
        <f>IFERROR(_xlfn.XLOOKUP($D153,'Modelling New'!$D:$D,'Modelling New'!P:P),"")</f>
        <v>3.9096774193548387</v>
      </c>
      <c r="AD153" s="294">
        <f>IFERROR(_xlfn.XLOOKUP($D153,'Modelling New'!$D:$D,'Modelling New'!T:T)*1000,"")</f>
        <v>185476.6695582087</v>
      </c>
      <c r="AE153" s="304">
        <f>IFERROR(_xlfn.XLOOKUP($D153,'Modelling New'!$D:$D,'Modelling New'!$O:$O),"")</f>
        <v>0.87252734266252563</v>
      </c>
      <c r="AF153" s="304">
        <f>IFERROR(_xlfn.XLOOKUP($D153,'Modelling New'!$D:$D,'Modelling New'!$W:$W),"")</f>
        <v>0.14213751872405658</v>
      </c>
      <c r="AG153" s="304">
        <f>IFERROR(_xlfn.XLOOKUP($D153,'Modelling New'!$D:$D,'Modelling New'!$AE:$AE),"")</f>
        <v>0.995</v>
      </c>
      <c r="AH153" s="304">
        <f>IFERROR(_xlfn.XLOOKUP($D153,'Modelling New'!$D:$D,'Modelling New'!$AF:$AF),"")</f>
        <v>0.995</v>
      </c>
      <c r="AI153" s="295"/>
      <c r="AJ153" s="295"/>
      <c r="AK153" s="295"/>
      <c r="AL153" s="295"/>
      <c r="AM153" s="295"/>
      <c r="AN153" s="305"/>
      <c r="AO153" s="302"/>
      <c r="AP153" s="302"/>
      <c r="AQ153" s="302"/>
      <c r="AR153" s="294">
        <f>_xlfn.XLOOKUP($D153,'Modelling New'!$D:$D,'Modelling New'!$N:$N)</f>
        <v>54.371250000000003</v>
      </c>
      <c r="AS153" s="294">
        <f t="shared" si="18"/>
        <v>0</v>
      </c>
    </row>
    <row r="154" spans="1:45">
      <c r="A154" s="293">
        <f t="shared" si="19"/>
        <v>45897</v>
      </c>
      <c r="B154" s="294">
        <f>YEAR(Daily_KPI[[#This Row],[Date]])+IF(MONTH(Daily_KPI[[#This Row],[Date]])&gt;=4,1,0)</f>
        <v>2026</v>
      </c>
      <c r="C154" s="295">
        <f>YEAR(Daily_KPI[[#This Row],[Date]])</f>
        <v>2025</v>
      </c>
      <c r="D154" s="296">
        <f>Daily_KPI[[#This Row],[Date]]-DAY(Daily_KPI[[#This Row],[Date]])+1</f>
        <v>45870</v>
      </c>
      <c r="E154" s="295">
        <f t="shared" si="15"/>
        <v>31</v>
      </c>
      <c r="F154" s="297">
        <f>IFERROR(_xlfn.XLOOKUP($A154,Input_Raw!$A:$A,Input_Raw!$AR:$AR),"")</f>
        <v>0</v>
      </c>
      <c r="G154" s="298">
        <f>IFERROR(_xlfn.XLOOKUP($A154,Input_Raw!$A:$A,Input_Raw!$R:$R),"")</f>
        <v>0</v>
      </c>
      <c r="H154" s="298"/>
      <c r="I154" s="298">
        <f>IFERROR(_xlfn.XLOOKUP($A154,Input_Raw!$A:$A,Input_Raw!$Q:$Q),"")</f>
        <v>0</v>
      </c>
      <c r="J154" s="298"/>
      <c r="K154" s="298">
        <f>IFERROR(_xlfn.XLOOKUP($A154,Input_Raw!$A:$A,Input_Raw!S:S),"")</f>
        <v>0</v>
      </c>
      <c r="L154" s="298">
        <f>IFERROR(_xlfn.XLOOKUP($A154,Input_Raw!$A:$A,Input_Raw!T:T),"")</f>
        <v>0</v>
      </c>
      <c r="M154" s="298">
        <f>IFERROR(_xlfn.XLOOKUP($A154,Input_Raw!$A:$A,Input_Raw!W:W),"")</f>
        <v>0</v>
      </c>
      <c r="N154" s="298">
        <f>IFERROR(_xlfn.XLOOKUP($A154,Input_Raw!$A:$A,Input_Raw!X:X),"")</f>
        <v>0</v>
      </c>
      <c r="O154" s="299" t="str">
        <f>IFERROR(1-(SUMIF(Plant_BD!$B:$B,$A154,Plant_BD!$AL:$AL)/($AA154+SUMIF(Plant_BD!$B:$B,$A154,Plant_BD!$AL:$AL))),"")</f>
        <v/>
      </c>
      <c r="P154" s="299"/>
      <c r="Q154" s="300"/>
      <c r="R154" s="299" t="str">
        <f>IFERROR(1-(SUMIF(Grid_BD!$B:$B,$A154,Grid_BD!$V:$V)/($AA154+SUMIF(Grid_BD!$B:$B,$A154,Grid_BD!$V:$V))),"")</f>
        <v/>
      </c>
      <c r="S154" s="295"/>
      <c r="T154" s="300"/>
      <c r="U154" s="301" t="str">
        <f t="shared" si="16"/>
        <v/>
      </c>
      <c r="V154" s="301" t="str">
        <f>IFERROR(_xlfn.XLOOKUP($A154,Input_Raw!$A:$A,Input_Raw!$AX:$AX),"")</f>
        <v/>
      </c>
      <c r="W154" s="302">
        <f t="shared" si="17"/>
        <v>0</v>
      </c>
      <c r="X154" s="294">
        <f>IFERROR(_xlfn.XLOOKUP($A154,Input_Raw!$A:$A,Input_Raw!$AA:$AA),"")</f>
        <v>0</v>
      </c>
      <c r="Y154" s="294">
        <f>IFERROR(_xlfn.XLOOKUP($A154,Input_Raw!$A:$A,Input_Raw!$AS:$AS),"")</f>
        <v>0</v>
      </c>
      <c r="Z154" s="294"/>
      <c r="AA154" s="294">
        <f>IFERROR(_xlfn.XLOOKUP($A154,Input_Raw!$A:$A,Input_Raw!$AT:$AT),"")</f>
        <v>0</v>
      </c>
      <c r="AB154" s="294">
        <f>IFERROR(_xlfn.XLOOKUP($A154,Input_Raw!$A:$A,Input_Raw!$AU:$AU),"")</f>
        <v>0</v>
      </c>
      <c r="AC154" s="303">
        <f>IFERROR(_xlfn.XLOOKUP($D154,'Modelling New'!$D:$D,'Modelling New'!P:P),"")</f>
        <v>3.9096774193548387</v>
      </c>
      <c r="AD154" s="294">
        <f>IFERROR(_xlfn.XLOOKUP($D154,'Modelling New'!$D:$D,'Modelling New'!T:T)*1000,"")</f>
        <v>185476.6695582087</v>
      </c>
      <c r="AE154" s="304">
        <f>IFERROR(_xlfn.XLOOKUP($D154,'Modelling New'!$D:$D,'Modelling New'!$O:$O),"")</f>
        <v>0.87252734266252563</v>
      </c>
      <c r="AF154" s="304">
        <f>IFERROR(_xlfn.XLOOKUP($D154,'Modelling New'!$D:$D,'Modelling New'!$W:$W),"")</f>
        <v>0.14213751872405658</v>
      </c>
      <c r="AG154" s="304">
        <f>IFERROR(_xlfn.XLOOKUP($D154,'Modelling New'!$D:$D,'Modelling New'!$AE:$AE),"")</f>
        <v>0.995</v>
      </c>
      <c r="AH154" s="304">
        <f>IFERROR(_xlfn.XLOOKUP($D154,'Modelling New'!$D:$D,'Modelling New'!$AF:$AF),"")</f>
        <v>0.995</v>
      </c>
      <c r="AI154" s="295"/>
      <c r="AJ154" s="295"/>
      <c r="AK154" s="295"/>
      <c r="AL154" s="295"/>
      <c r="AM154" s="295"/>
      <c r="AN154" s="305"/>
      <c r="AO154" s="302"/>
      <c r="AP154" s="302"/>
      <c r="AQ154" s="302"/>
      <c r="AR154" s="294">
        <f>_xlfn.XLOOKUP($D154,'Modelling New'!$D:$D,'Modelling New'!$N:$N)</f>
        <v>54.371250000000003</v>
      </c>
      <c r="AS154" s="294">
        <f t="shared" si="18"/>
        <v>0</v>
      </c>
    </row>
    <row r="155" spans="1:45">
      <c r="A155" s="293">
        <f t="shared" si="19"/>
        <v>45898</v>
      </c>
      <c r="B155" s="294">
        <f>YEAR(Daily_KPI[[#This Row],[Date]])+IF(MONTH(Daily_KPI[[#This Row],[Date]])&gt;=4,1,0)</f>
        <v>2026</v>
      </c>
      <c r="C155" s="295">
        <f>YEAR(Daily_KPI[[#This Row],[Date]])</f>
        <v>2025</v>
      </c>
      <c r="D155" s="296">
        <f>Daily_KPI[[#This Row],[Date]]-DAY(Daily_KPI[[#This Row],[Date]])+1</f>
        <v>45870</v>
      </c>
      <c r="E155" s="295">
        <f t="shared" si="15"/>
        <v>31</v>
      </c>
      <c r="F155" s="297">
        <f>IFERROR(_xlfn.XLOOKUP($A155,Input_Raw!$A:$A,Input_Raw!$AR:$AR),"")</f>
        <v>0</v>
      </c>
      <c r="G155" s="298">
        <f>IFERROR(_xlfn.XLOOKUP($A155,Input_Raw!$A:$A,Input_Raw!$R:$R),"")</f>
        <v>0</v>
      </c>
      <c r="H155" s="298"/>
      <c r="I155" s="298">
        <f>IFERROR(_xlfn.XLOOKUP($A155,Input_Raw!$A:$A,Input_Raw!$Q:$Q),"")</f>
        <v>0</v>
      </c>
      <c r="J155" s="298"/>
      <c r="K155" s="298">
        <f>IFERROR(_xlfn.XLOOKUP($A155,Input_Raw!$A:$A,Input_Raw!S:S),"")</f>
        <v>0</v>
      </c>
      <c r="L155" s="298">
        <f>IFERROR(_xlfn.XLOOKUP($A155,Input_Raw!$A:$A,Input_Raw!T:T),"")</f>
        <v>0</v>
      </c>
      <c r="M155" s="298">
        <f>IFERROR(_xlfn.XLOOKUP($A155,Input_Raw!$A:$A,Input_Raw!W:W),"")</f>
        <v>0</v>
      </c>
      <c r="N155" s="298">
        <f>IFERROR(_xlfn.XLOOKUP($A155,Input_Raw!$A:$A,Input_Raw!X:X),"")</f>
        <v>0</v>
      </c>
      <c r="O155" s="299" t="str">
        <f>IFERROR(1-(SUMIF(Plant_BD!$B:$B,$A155,Plant_BD!$AL:$AL)/($AA155+SUMIF(Plant_BD!$B:$B,$A155,Plant_BD!$AL:$AL))),"")</f>
        <v/>
      </c>
      <c r="P155" s="299"/>
      <c r="Q155" s="300"/>
      <c r="R155" s="299" t="str">
        <f>IFERROR(1-(SUMIF(Grid_BD!$B:$B,$A155,Grid_BD!$V:$V)/($AA155+SUMIF(Grid_BD!$B:$B,$A155,Grid_BD!$V:$V))),"")</f>
        <v/>
      </c>
      <c r="S155" s="295"/>
      <c r="T155" s="300"/>
      <c r="U155" s="301" t="str">
        <f t="shared" si="16"/>
        <v/>
      </c>
      <c r="V155" s="301" t="str">
        <f>IFERROR(_xlfn.XLOOKUP($A155,Input_Raw!$A:$A,Input_Raw!$AX:$AX),"")</f>
        <v/>
      </c>
      <c r="W155" s="302">
        <f t="shared" si="17"/>
        <v>0</v>
      </c>
      <c r="X155" s="294">
        <f>IFERROR(_xlfn.XLOOKUP($A155,Input_Raw!$A:$A,Input_Raw!$AA:$AA),"")</f>
        <v>0</v>
      </c>
      <c r="Y155" s="294">
        <f>IFERROR(_xlfn.XLOOKUP($A155,Input_Raw!$A:$A,Input_Raw!$AS:$AS),"")</f>
        <v>0</v>
      </c>
      <c r="Z155" s="294"/>
      <c r="AA155" s="294">
        <f>IFERROR(_xlfn.XLOOKUP($A155,Input_Raw!$A:$A,Input_Raw!$AT:$AT),"")</f>
        <v>0</v>
      </c>
      <c r="AB155" s="294">
        <f>IFERROR(_xlfn.XLOOKUP($A155,Input_Raw!$A:$A,Input_Raw!$AU:$AU),"")</f>
        <v>0</v>
      </c>
      <c r="AC155" s="303">
        <f>IFERROR(_xlfn.XLOOKUP($D155,'Modelling New'!$D:$D,'Modelling New'!P:P),"")</f>
        <v>3.9096774193548387</v>
      </c>
      <c r="AD155" s="294">
        <f>IFERROR(_xlfn.XLOOKUP($D155,'Modelling New'!$D:$D,'Modelling New'!T:T)*1000,"")</f>
        <v>185476.6695582087</v>
      </c>
      <c r="AE155" s="304">
        <f>IFERROR(_xlfn.XLOOKUP($D155,'Modelling New'!$D:$D,'Modelling New'!$O:$O),"")</f>
        <v>0.87252734266252563</v>
      </c>
      <c r="AF155" s="304">
        <f>IFERROR(_xlfn.XLOOKUP($D155,'Modelling New'!$D:$D,'Modelling New'!$W:$W),"")</f>
        <v>0.14213751872405658</v>
      </c>
      <c r="AG155" s="304">
        <f>IFERROR(_xlfn.XLOOKUP($D155,'Modelling New'!$D:$D,'Modelling New'!$AE:$AE),"")</f>
        <v>0.995</v>
      </c>
      <c r="AH155" s="304">
        <f>IFERROR(_xlfn.XLOOKUP($D155,'Modelling New'!$D:$D,'Modelling New'!$AF:$AF),"")</f>
        <v>0.995</v>
      </c>
      <c r="AI155" s="295"/>
      <c r="AJ155" s="295"/>
      <c r="AK155" s="295"/>
      <c r="AL155" s="295"/>
      <c r="AM155" s="295"/>
      <c r="AN155" s="305"/>
      <c r="AO155" s="302"/>
      <c r="AP155" s="302"/>
      <c r="AQ155" s="302"/>
      <c r="AR155" s="294">
        <f>_xlfn.XLOOKUP($D155,'Modelling New'!$D:$D,'Modelling New'!$N:$N)</f>
        <v>54.371250000000003</v>
      </c>
      <c r="AS155" s="294">
        <f t="shared" si="18"/>
        <v>0</v>
      </c>
    </row>
    <row r="156" spans="1:45">
      <c r="A156" s="293">
        <f t="shared" si="19"/>
        <v>45899</v>
      </c>
      <c r="B156" s="294">
        <f>YEAR(Daily_KPI[[#This Row],[Date]])+IF(MONTH(Daily_KPI[[#This Row],[Date]])&gt;=4,1,0)</f>
        <v>2026</v>
      </c>
      <c r="C156" s="295">
        <f>YEAR(Daily_KPI[[#This Row],[Date]])</f>
        <v>2025</v>
      </c>
      <c r="D156" s="296">
        <f>Daily_KPI[[#This Row],[Date]]-DAY(Daily_KPI[[#This Row],[Date]])+1</f>
        <v>45870</v>
      </c>
      <c r="E156" s="295">
        <f t="shared" si="15"/>
        <v>31</v>
      </c>
      <c r="F156" s="297">
        <f>IFERROR(_xlfn.XLOOKUP($A156,Input_Raw!$A:$A,Input_Raw!$AR:$AR),"")</f>
        <v>0</v>
      </c>
      <c r="G156" s="298">
        <f>IFERROR(_xlfn.XLOOKUP($A156,Input_Raw!$A:$A,Input_Raw!$R:$R),"")</f>
        <v>0</v>
      </c>
      <c r="H156" s="298"/>
      <c r="I156" s="298">
        <f>IFERROR(_xlfn.XLOOKUP($A156,Input_Raw!$A:$A,Input_Raw!$Q:$Q),"")</f>
        <v>0</v>
      </c>
      <c r="J156" s="298"/>
      <c r="K156" s="298">
        <f>IFERROR(_xlfn.XLOOKUP($A156,Input_Raw!$A:$A,Input_Raw!S:S),"")</f>
        <v>0</v>
      </c>
      <c r="L156" s="298">
        <f>IFERROR(_xlfn.XLOOKUP($A156,Input_Raw!$A:$A,Input_Raw!T:T),"")</f>
        <v>0</v>
      </c>
      <c r="M156" s="298">
        <f>IFERROR(_xlfn.XLOOKUP($A156,Input_Raw!$A:$A,Input_Raw!W:W),"")</f>
        <v>0</v>
      </c>
      <c r="N156" s="298">
        <f>IFERROR(_xlfn.XLOOKUP($A156,Input_Raw!$A:$A,Input_Raw!X:X),"")</f>
        <v>0</v>
      </c>
      <c r="O156" s="299" t="str">
        <f>IFERROR(1-(SUMIF(Plant_BD!$B:$B,$A156,Plant_BD!$AL:$AL)/($AA156+SUMIF(Plant_BD!$B:$B,$A156,Plant_BD!$AL:$AL))),"")</f>
        <v/>
      </c>
      <c r="P156" s="299"/>
      <c r="Q156" s="300"/>
      <c r="R156" s="299" t="str">
        <f>IFERROR(1-(SUMIF(Grid_BD!$B:$B,$A156,Grid_BD!$V:$V)/($AA156+SUMIF(Grid_BD!$B:$B,$A156,Grid_BD!$V:$V))),"")</f>
        <v/>
      </c>
      <c r="S156" s="295"/>
      <c r="T156" s="300"/>
      <c r="U156" s="301" t="str">
        <f t="shared" si="16"/>
        <v/>
      </c>
      <c r="V156" s="301" t="str">
        <f>IFERROR(_xlfn.XLOOKUP($A156,Input_Raw!$A:$A,Input_Raw!$AX:$AX),"")</f>
        <v/>
      </c>
      <c r="W156" s="302">
        <f t="shared" si="17"/>
        <v>0</v>
      </c>
      <c r="X156" s="294">
        <f>IFERROR(_xlfn.XLOOKUP($A156,Input_Raw!$A:$A,Input_Raw!$AA:$AA),"")</f>
        <v>0</v>
      </c>
      <c r="Y156" s="294">
        <f>IFERROR(_xlfn.XLOOKUP($A156,Input_Raw!$A:$A,Input_Raw!$AS:$AS),"")</f>
        <v>0</v>
      </c>
      <c r="Z156" s="294"/>
      <c r="AA156" s="294">
        <f>IFERROR(_xlfn.XLOOKUP($A156,Input_Raw!$A:$A,Input_Raw!$AT:$AT),"")</f>
        <v>0</v>
      </c>
      <c r="AB156" s="294">
        <f>IFERROR(_xlfn.XLOOKUP($A156,Input_Raw!$A:$A,Input_Raw!$AU:$AU),"")</f>
        <v>0</v>
      </c>
      <c r="AC156" s="303">
        <f>IFERROR(_xlfn.XLOOKUP($D156,'Modelling New'!$D:$D,'Modelling New'!P:P),"")</f>
        <v>3.9096774193548387</v>
      </c>
      <c r="AD156" s="294">
        <f>IFERROR(_xlfn.XLOOKUP($D156,'Modelling New'!$D:$D,'Modelling New'!T:T)*1000,"")</f>
        <v>185476.6695582087</v>
      </c>
      <c r="AE156" s="304">
        <f>IFERROR(_xlfn.XLOOKUP($D156,'Modelling New'!$D:$D,'Modelling New'!$O:$O),"")</f>
        <v>0.87252734266252563</v>
      </c>
      <c r="AF156" s="304">
        <f>IFERROR(_xlfn.XLOOKUP($D156,'Modelling New'!$D:$D,'Modelling New'!$W:$W),"")</f>
        <v>0.14213751872405658</v>
      </c>
      <c r="AG156" s="304">
        <f>IFERROR(_xlfn.XLOOKUP($D156,'Modelling New'!$D:$D,'Modelling New'!$AE:$AE),"")</f>
        <v>0.995</v>
      </c>
      <c r="AH156" s="304">
        <f>IFERROR(_xlfn.XLOOKUP($D156,'Modelling New'!$D:$D,'Modelling New'!$AF:$AF),"")</f>
        <v>0.995</v>
      </c>
      <c r="AI156" s="295"/>
      <c r="AJ156" s="295"/>
      <c r="AK156" s="295"/>
      <c r="AL156" s="295"/>
      <c r="AM156" s="295"/>
      <c r="AN156" s="305"/>
      <c r="AO156" s="302"/>
      <c r="AP156" s="302"/>
      <c r="AQ156" s="302"/>
      <c r="AR156" s="294">
        <f>_xlfn.XLOOKUP($D156,'Modelling New'!$D:$D,'Modelling New'!$N:$N)</f>
        <v>54.371250000000003</v>
      </c>
      <c r="AS156" s="294">
        <f t="shared" si="18"/>
        <v>0</v>
      </c>
    </row>
    <row r="157" spans="1:45">
      <c r="A157" s="293">
        <f t="shared" si="19"/>
        <v>45900</v>
      </c>
      <c r="B157" s="294">
        <f>YEAR(Daily_KPI[[#This Row],[Date]])+IF(MONTH(Daily_KPI[[#This Row],[Date]])&gt;=4,1,0)</f>
        <v>2026</v>
      </c>
      <c r="C157" s="295">
        <f>YEAR(Daily_KPI[[#This Row],[Date]])</f>
        <v>2025</v>
      </c>
      <c r="D157" s="296">
        <f>Daily_KPI[[#This Row],[Date]]-DAY(Daily_KPI[[#This Row],[Date]])+1</f>
        <v>45870</v>
      </c>
      <c r="E157" s="295">
        <f t="shared" si="15"/>
        <v>31</v>
      </c>
      <c r="F157" s="297">
        <f>IFERROR(_xlfn.XLOOKUP($A157,Input_Raw!$A:$A,Input_Raw!$AR:$AR),"")</f>
        <v>0</v>
      </c>
      <c r="G157" s="298">
        <f>IFERROR(_xlfn.XLOOKUP($A157,Input_Raw!$A:$A,Input_Raw!$R:$R),"")</f>
        <v>0</v>
      </c>
      <c r="H157" s="298"/>
      <c r="I157" s="298">
        <f>IFERROR(_xlfn.XLOOKUP($A157,Input_Raw!$A:$A,Input_Raw!$Q:$Q),"")</f>
        <v>0</v>
      </c>
      <c r="J157" s="298"/>
      <c r="K157" s="298">
        <f>IFERROR(_xlfn.XLOOKUP($A157,Input_Raw!$A:$A,Input_Raw!S:S),"")</f>
        <v>0</v>
      </c>
      <c r="L157" s="298">
        <f>IFERROR(_xlfn.XLOOKUP($A157,Input_Raw!$A:$A,Input_Raw!T:T),"")</f>
        <v>0</v>
      </c>
      <c r="M157" s="298">
        <f>IFERROR(_xlfn.XLOOKUP($A157,Input_Raw!$A:$A,Input_Raw!W:W),"")</f>
        <v>0</v>
      </c>
      <c r="N157" s="298">
        <f>IFERROR(_xlfn.XLOOKUP($A157,Input_Raw!$A:$A,Input_Raw!X:X),"")</f>
        <v>0</v>
      </c>
      <c r="O157" s="299" t="str">
        <f>IFERROR(1-(SUMIF(Plant_BD!$B:$B,$A157,Plant_BD!$AL:$AL)/($AA157+SUMIF(Plant_BD!$B:$B,$A157,Plant_BD!$AL:$AL))),"")</f>
        <v/>
      </c>
      <c r="P157" s="299"/>
      <c r="Q157" s="300"/>
      <c r="R157" s="299" t="str">
        <f>IFERROR(1-(SUMIF(Grid_BD!$B:$B,$A157,Grid_BD!$V:$V)/($AA157+SUMIF(Grid_BD!$B:$B,$A157,Grid_BD!$V:$V))),"")</f>
        <v/>
      </c>
      <c r="S157" s="295"/>
      <c r="T157" s="300"/>
      <c r="U157" s="301" t="str">
        <f t="shared" si="16"/>
        <v/>
      </c>
      <c r="V157" s="301" t="str">
        <f>IFERROR(_xlfn.XLOOKUP($A157,Input_Raw!$A:$A,Input_Raw!$AX:$AX),"")</f>
        <v/>
      </c>
      <c r="W157" s="302">
        <f t="shared" si="17"/>
        <v>0</v>
      </c>
      <c r="X157" s="294">
        <f>IFERROR(_xlfn.XLOOKUP($A157,Input_Raw!$A:$A,Input_Raw!$AA:$AA),"")</f>
        <v>0</v>
      </c>
      <c r="Y157" s="294">
        <f>IFERROR(_xlfn.XLOOKUP($A157,Input_Raw!$A:$A,Input_Raw!$AS:$AS),"")</f>
        <v>0</v>
      </c>
      <c r="Z157" s="294"/>
      <c r="AA157" s="294">
        <f>IFERROR(_xlfn.XLOOKUP($A157,Input_Raw!$A:$A,Input_Raw!$AT:$AT),"")</f>
        <v>0</v>
      </c>
      <c r="AB157" s="294">
        <f>IFERROR(_xlfn.XLOOKUP($A157,Input_Raw!$A:$A,Input_Raw!$AU:$AU),"")</f>
        <v>0</v>
      </c>
      <c r="AC157" s="303">
        <f>IFERROR(_xlfn.XLOOKUP($D157,'Modelling New'!$D:$D,'Modelling New'!P:P),"")</f>
        <v>3.9096774193548387</v>
      </c>
      <c r="AD157" s="294">
        <f>IFERROR(_xlfn.XLOOKUP($D157,'Modelling New'!$D:$D,'Modelling New'!T:T)*1000,"")</f>
        <v>185476.6695582087</v>
      </c>
      <c r="AE157" s="304">
        <f>IFERROR(_xlfn.XLOOKUP($D157,'Modelling New'!$D:$D,'Modelling New'!$O:$O),"")</f>
        <v>0.87252734266252563</v>
      </c>
      <c r="AF157" s="304">
        <f>IFERROR(_xlfn.XLOOKUP($D157,'Modelling New'!$D:$D,'Modelling New'!$W:$W),"")</f>
        <v>0.14213751872405658</v>
      </c>
      <c r="AG157" s="304">
        <f>IFERROR(_xlfn.XLOOKUP($D157,'Modelling New'!$D:$D,'Modelling New'!$AE:$AE),"")</f>
        <v>0.995</v>
      </c>
      <c r="AH157" s="304">
        <f>IFERROR(_xlfn.XLOOKUP($D157,'Modelling New'!$D:$D,'Modelling New'!$AF:$AF),"")</f>
        <v>0.995</v>
      </c>
      <c r="AI157" s="295"/>
      <c r="AJ157" s="295"/>
      <c r="AK157" s="295"/>
      <c r="AL157" s="295"/>
      <c r="AM157" s="295"/>
      <c r="AN157" s="305"/>
      <c r="AO157" s="302"/>
      <c r="AP157" s="302"/>
      <c r="AQ157" s="302"/>
      <c r="AR157" s="294">
        <f>_xlfn.XLOOKUP($D157,'Modelling New'!$D:$D,'Modelling New'!$N:$N)</f>
        <v>54.371250000000003</v>
      </c>
      <c r="AS157" s="294">
        <f t="shared" si="18"/>
        <v>0</v>
      </c>
    </row>
    <row r="158" spans="1:45">
      <c r="A158" s="293">
        <f t="shared" si="19"/>
        <v>45901</v>
      </c>
      <c r="B158" s="294">
        <f>YEAR(Daily_KPI[[#This Row],[Date]])+IF(MONTH(Daily_KPI[[#This Row],[Date]])&gt;=4,1,0)</f>
        <v>2026</v>
      </c>
      <c r="C158" s="295">
        <f>YEAR(Daily_KPI[[#This Row],[Date]])</f>
        <v>2025</v>
      </c>
      <c r="D158" s="296">
        <f>Daily_KPI[[#This Row],[Date]]-DAY(Daily_KPI[[#This Row],[Date]])+1</f>
        <v>45901</v>
      </c>
      <c r="E158" s="295">
        <f t="shared" si="15"/>
        <v>30</v>
      </c>
      <c r="F158" s="297">
        <f>IFERROR(_xlfn.XLOOKUP($A158,Input_Raw!$A:$A,Input_Raw!$AR:$AR),"")</f>
        <v>0</v>
      </c>
      <c r="G158" s="298">
        <f>IFERROR(_xlfn.XLOOKUP($A158,Input_Raw!$A:$A,Input_Raw!$R:$R),"")</f>
        <v>0</v>
      </c>
      <c r="H158" s="298"/>
      <c r="I158" s="298">
        <f>IFERROR(_xlfn.XLOOKUP($A158,Input_Raw!$A:$A,Input_Raw!$Q:$Q),"")</f>
        <v>0</v>
      </c>
      <c r="J158" s="298"/>
      <c r="K158" s="298">
        <f>IFERROR(_xlfn.XLOOKUP($A158,Input_Raw!$A:$A,Input_Raw!S:S),"")</f>
        <v>0</v>
      </c>
      <c r="L158" s="298">
        <f>IFERROR(_xlfn.XLOOKUP($A158,Input_Raw!$A:$A,Input_Raw!T:T),"")</f>
        <v>0</v>
      </c>
      <c r="M158" s="298">
        <f>IFERROR(_xlfn.XLOOKUP($A158,Input_Raw!$A:$A,Input_Raw!W:W),"")</f>
        <v>0</v>
      </c>
      <c r="N158" s="298">
        <f>IFERROR(_xlfn.XLOOKUP($A158,Input_Raw!$A:$A,Input_Raw!X:X),"")</f>
        <v>0</v>
      </c>
      <c r="O158" s="299" t="str">
        <f>IFERROR(1-(SUMIF(Plant_BD!$B:$B,$A158,Plant_BD!$AL:$AL)/($AA158+SUMIF(Plant_BD!$B:$B,$A158,Plant_BD!$AL:$AL))),"")</f>
        <v/>
      </c>
      <c r="P158" s="299"/>
      <c r="Q158" s="300"/>
      <c r="R158" s="299" t="str">
        <f>IFERROR(1-(SUMIF(Grid_BD!$B:$B,$A158,Grid_BD!$V:$V)/($AA158+SUMIF(Grid_BD!$B:$B,$A158,Grid_BD!$V:$V))),"")</f>
        <v/>
      </c>
      <c r="S158" s="295"/>
      <c r="T158" s="300"/>
      <c r="U158" s="301" t="str">
        <f t="shared" si="16"/>
        <v/>
      </c>
      <c r="V158" s="301" t="str">
        <f>IFERROR(_xlfn.XLOOKUP($A158,Input_Raw!$A:$A,Input_Raw!$AX:$AX),"")</f>
        <v/>
      </c>
      <c r="W158" s="302">
        <f t="shared" si="17"/>
        <v>0</v>
      </c>
      <c r="X158" s="294">
        <f>IFERROR(_xlfn.XLOOKUP($A158,Input_Raw!$A:$A,Input_Raw!$AA:$AA),"")</f>
        <v>0</v>
      </c>
      <c r="Y158" s="294">
        <f>IFERROR(_xlfn.XLOOKUP($A158,Input_Raw!$A:$A,Input_Raw!$AS:$AS),"")</f>
        <v>0</v>
      </c>
      <c r="Z158" s="294"/>
      <c r="AA158" s="294">
        <f>IFERROR(_xlfn.XLOOKUP($A158,Input_Raw!$A:$A,Input_Raw!$AT:$AT),"")</f>
        <v>0</v>
      </c>
      <c r="AB158" s="294">
        <f>IFERROR(_xlfn.XLOOKUP($A158,Input_Raw!$A:$A,Input_Raw!$AU:$AU),"")</f>
        <v>0</v>
      </c>
      <c r="AC158" s="303">
        <f>IFERROR(_xlfn.XLOOKUP($D158,'Modelling New'!$D:$D,'Modelling New'!P:P),"")</f>
        <v>4.91</v>
      </c>
      <c r="AD158" s="294">
        <f>IFERROR(_xlfn.XLOOKUP($D158,'Modelling New'!$D:$D,'Modelling New'!T:T)*1000,"")</f>
        <v>224556.07945408835</v>
      </c>
      <c r="AE158" s="304">
        <f>IFERROR(_xlfn.XLOOKUP($D158,'Modelling New'!$D:$D,'Modelling New'!$O:$O),"")</f>
        <v>0.84115108139007666</v>
      </c>
      <c r="AF158" s="304">
        <f>IFERROR(_xlfn.XLOOKUP($D158,'Modelling New'!$D:$D,'Modelling New'!$W:$W),"")</f>
        <v>0.17208549206771986</v>
      </c>
      <c r="AG158" s="304">
        <f>IFERROR(_xlfn.XLOOKUP($D158,'Modelling New'!$D:$D,'Modelling New'!$AE:$AE),"")</f>
        <v>0.995</v>
      </c>
      <c r="AH158" s="304">
        <f>IFERROR(_xlfn.XLOOKUP($D158,'Modelling New'!$D:$D,'Modelling New'!$AF:$AF),"")</f>
        <v>0.995</v>
      </c>
      <c r="AI158" s="295"/>
      <c r="AJ158" s="295"/>
      <c r="AK158" s="295"/>
      <c r="AL158" s="295"/>
      <c r="AM158" s="295"/>
      <c r="AN158" s="305"/>
      <c r="AO158" s="302"/>
      <c r="AP158" s="302"/>
      <c r="AQ158" s="302"/>
      <c r="AR158" s="294">
        <f>_xlfn.XLOOKUP($D158,'Modelling New'!$D:$D,'Modelling New'!$N:$N)</f>
        <v>54.371250000000003</v>
      </c>
      <c r="AS158" s="294">
        <f t="shared" si="18"/>
        <v>0</v>
      </c>
    </row>
    <row r="159" spans="1:45">
      <c r="A159" s="293">
        <f t="shared" si="19"/>
        <v>45902</v>
      </c>
      <c r="B159" s="294">
        <f>YEAR(Daily_KPI[[#This Row],[Date]])+IF(MONTH(Daily_KPI[[#This Row],[Date]])&gt;=4,1,0)</f>
        <v>2026</v>
      </c>
      <c r="C159" s="295">
        <f>YEAR(Daily_KPI[[#This Row],[Date]])</f>
        <v>2025</v>
      </c>
      <c r="D159" s="296">
        <f>Daily_KPI[[#This Row],[Date]]-DAY(Daily_KPI[[#This Row],[Date]])+1</f>
        <v>45901</v>
      </c>
      <c r="E159" s="295">
        <f t="shared" si="15"/>
        <v>30</v>
      </c>
      <c r="F159" s="297">
        <f>IFERROR(_xlfn.XLOOKUP($A159,Input_Raw!$A:$A,Input_Raw!$AR:$AR),"")</f>
        <v>0</v>
      </c>
      <c r="G159" s="298">
        <f>IFERROR(_xlfn.XLOOKUP($A159,Input_Raw!$A:$A,Input_Raw!$R:$R),"")</f>
        <v>0</v>
      </c>
      <c r="H159" s="298"/>
      <c r="I159" s="298">
        <f>IFERROR(_xlfn.XLOOKUP($A159,Input_Raw!$A:$A,Input_Raw!$Q:$Q),"")</f>
        <v>0</v>
      </c>
      <c r="J159" s="298"/>
      <c r="K159" s="298">
        <f>IFERROR(_xlfn.XLOOKUP($A159,Input_Raw!$A:$A,Input_Raw!S:S),"")</f>
        <v>0</v>
      </c>
      <c r="L159" s="298">
        <f>IFERROR(_xlfn.XLOOKUP($A159,Input_Raw!$A:$A,Input_Raw!T:T),"")</f>
        <v>0</v>
      </c>
      <c r="M159" s="298">
        <f>IFERROR(_xlfn.XLOOKUP($A159,Input_Raw!$A:$A,Input_Raw!W:W),"")</f>
        <v>0</v>
      </c>
      <c r="N159" s="298">
        <f>IFERROR(_xlfn.XLOOKUP($A159,Input_Raw!$A:$A,Input_Raw!X:X),"")</f>
        <v>0</v>
      </c>
      <c r="O159" s="299" t="str">
        <f>IFERROR(1-(SUMIF(Plant_BD!$B:$B,$A159,Plant_BD!$AL:$AL)/($AA159+SUMIF(Plant_BD!$B:$B,$A159,Plant_BD!$AL:$AL))),"")</f>
        <v/>
      </c>
      <c r="P159" s="299"/>
      <c r="Q159" s="300"/>
      <c r="R159" s="299" t="str">
        <f>IFERROR(1-(SUMIF(Grid_BD!$B:$B,$A159,Grid_BD!$V:$V)/($AA159+SUMIF(Grid_BD!$B:$B,$A159,Grid_BD!$V:$V))),"")</f>
        <v/>
      </c>
      <c r="S159" s="295"/>
      <c r="T159" s="300"/>
      <c r="U159" s="301" t="str">
        <f t="shared" si="16"/>
        <v/>
      </c>
      <c r="V159" s="301" t="str">
        <f>IFERROR(_xlfn.XLOOKUP($A159,Input_Raw!$A:$A,Input_Raw!$AX:$AX),"")</f>
        <v/>
      </c>
      <c r="W159" s="302">
        <f t="shared" si="17"/>
        <v>0</v>
      </c>
      <c r="X159" s="294">
        <f>IFERROR(_xlfn.XLOOKUP($A159,Input_Raw!$A:$A,Input_Raw!$AA:$AA),"")</f>
        <v>0</v>
      </c>
      <c r="Y159" s="294">
        <f>IFERROR(_xlfn.XLOOKUP($A159,Input_Raw!$A:$A,Input_Raw!$AS:$AS),"")</f>
        <v>0</v>
      </c>
      <c r="Z159" s="294"/>
      <c r="AA159" s="294">
        <f>IFERROR(_xlfn.XLOOKUP($A159,Input_Raw!$A:$A,Input_Raw!$AT:$AT),"")</f>
        <v>0</v>
      </c>
      <c r="AB159" s="294">
        <f>IFERROR(_xlfn.XLOOKUP($A159,Input_Raw!$A:$A,Input_Raw!$AU:$AU),"")</f>
        <v>0</v>
      </c>
      <c r="AC159" s="303">
        <f>IFERROR(_xlfn.XLOOKUP($D159,'Modelling New'!$D:$D,'Modelling New'!P:P),"")</f>
        <v>4.91</v>
      </c>
      <c r="AD159" s="294">
        <f>IFERROR(_xlfn.XLOOKUP($D159,'Modelling New'!$D:$D,'Modelling New'!T:T)*1000,"")</f>
        <v>224556.07945408835</v>
      </c>
      <c r="AE159" s="304">
        <f>IFERROR(_xlfn.XLOOKUP($D159,'Modelling New'!$D:$D,'Modelling New'!$O:$O),"")</f>
        <v>0.84115108139007666</v>
      </c>
      <c r="AF159" s="304">
        <f>IFERROR(_xlfn.XLOOKUP($D159,'Modelling New'!$D:$D,'Modelling New'!$W:$W),"")</f>
        <v>0.17208549206771986</v>
      </c>
      <c r="AG159" s="304">
        <f>IFERROR(_xlfn.XLOOKUP($D159,'Modelling New'!$D:$D,'Modelling New'!$AE:$AE),"")</f>
        <v>0.995</v>
      </c>
      <c r="AH159" s="304">
        <f>IFERROR(_xlfn.XLOOKUP($D159,'Modelling New'!$D:$D,'Modelling New'!$AF:$AF),"")</f>
        <v>0.995</v>
      </c>
      <c r="AI159" s="295"/>
      <c r="AJ159" s="295"/>
      <c r="AK159" s="295"/>
      <c r="AL159" s="295"/>
      <c r="AM159" s="295"/>
      <c r="AN159" s="305"/>
      <c r="AO159" s="302"/>
      <c r="AP159" s="302"/>
      <c r="AQ159" s="302"/>
      <c r="AR159" s="294">
        <f>_xlfn.XLOOKUP($D159,'Modelling New'!$D:$D,'Modelling New'!$N:$N)</f>
        <v>54.371250000000003</v>
      </c>
      <c r="AS159" s="294">
        <f t="shared" si="18"/>
        <v>0</v>
      </c>
    </row>
    <row r="160" spans="1:45">
      <c r="A160" s="293">
        <f t="shared" si="19"/>
        <v>45903</v>
      </c>
      <c r="B160" s="294">
        <f>YEAR(Daily_KPI[[#This Row],[Date]])+IF(MONTH(Daily_KPI[[#This Row],[Date]])&gt;=4,1,0)</f>
        <v>2026</v>
      </c>
      <c r="C160" s="295">
        <f>YEAR(Daily_KPI[[#This Row],[Date]])</f>
        <v>2025</v>
      </c>
      <c r="D160" s="296">
        <f>Daily_KPI[[#This Row],[Date]]-DAY(Daily_KPI[[#This Row],[Date]])+1</f>
        <v>45901</v>
      </c>
      <c r="E160" s="295">
        <f t="shared" si="15"/>
        <v>30</v>
      </c>
      <c r="F160" s="297">
        <f>IFERROR(_xlfn.XLOOKUP($A160,Input_Raw!$A:$A,Input_Raw!$AR:$AR),"")</f>
        <v>0</v>
      </c>
      <c r="G160" s="298">
        <f>IFERROR(_xlfn.XLOOKUP($A160,Input_Raw!$A:$A,Input_Raw!$R:$R),"")</f>
        <v>0</v>
      </c>
      <c r="H160" s="298"/>
      <c r="I160" s="298">
        <f>IFERROR(_xlfn.XLOOKUP($A160,Input_Raw!$A:$A,Input_Raw!$Q:$Q),"")</f>
        <v>0</v>
      </c>
      <c r="J160" s="298"/>
      <c r="K160" s="298">
        <f>IFERROR(_xlfn.XLOOKUP($A160,Input_Raw!$A:$A,Input_Raw!S:S),"")</f>
        <v>0</v>
      </c>
      <c r="L160" s="298">
        <f>IFERROR(_xlfn.XLOOKUP($A160,Input_Raw!$A:$A,Input_Raw!T:T),"")</f>
        <v>0</v>
      </c>
      <c r="M160" s="298">
        <f>IFERROR(_xlfn.XLOOKUP($A160,Input_Raw!$A:$A,Input_Raw!W:W),"")</f>
        <v>0</v>
      </c>
      <c r="N160" s="298">
        <f>IFERROR(_xlfn.XLOOKUP($A160,Input_Raw!$A:$A,Input_Raw!X:X),"")</f>
        <v>0</v>
      </c>
      <c r="O160" s="299" t="str">
        <f>IFERROR(1-(SUMIF(Plant_BD!$B:$B,$A160,Plant_BD!$AL:$AL)/($AA160+SUMIF(Plant_BD!$B:$B,$A160,Plant_BD!$AL:$AL))),"")</f>
        <v/>
      </c>
      <c r="P160" s="299"/>
      <c r="Q160" s="300"/>
      <c r="R160" s="299" t="str">
        <f>IFERROR(1-(SUMIF(Grid_BD!$B:$B,$A160,Grid_BD!$V:$V)/($AA160+SUMIF(Grid_BD!$B:$B,$A160,Grid_BD!$V:$V))),"")</f>
        <v/>
      </c>
      <c r="S160" s="295"/>
      <c r="T160" s="300"/>
      <c r="U160" s="301" t="str">
        <f t="shared" si="16"/>
        <v/>
      </c>
      <c r="V160" s="301" t="str">
        <f>IFERROR(_xlfn.XLOOKUP($A160,Input_Raw!$A:$A,Input_Raw!$AX:$AX),"")</f>
        <v/>
      </c>
      <c r="W160" s="302">
        <f t="shared" si="17"/>
        <v>0</v>
      </c>
      <c r="X160" s="294">
        <f>IFERROR(_xlfn.XLOOKUP($A160,Input_Raw!$A:$A,Input_Raw!$AA:$AA),"")</f>
        <v>0</v>
      </c>
      <c r="Y160" s="294">
        <f>IFERROR(_xlfn.XLOOKUP($A160,Input_Raw!$A:$A,Input_Raw!$AS:$AS),"")</f>
        <v>0</v>
      </c>
      <c r="Z160" s="294"/>
      <c r="AA160" s="294">
        <f>IFERROR(_xlfn.XLOOKUP($A160,Input_Raw!$A:$A,Input_Raw!$AT:$AT),"")</f>
        <v>0</v>
      </c>
      <c r="AB160" s="294">
        <f>IFERROR(_xlfn.XLOOKUP($A160,Input_Raw!$A:$A,Input_Raw!$AU:$AU),"")</f>
        <v>0</v>
      </c>
      <c r="AC160" s="303">
        <f>IFERROR(_xlfn.XLOOKUP($D160,'Modelling New'!$D:$D,'Modelling New'!P:P),"")</f>
        <v>4.91</v>
      </c>
      <c r="AD160" s="294">
        <f>IFERROR(_xlfn.XLOOKUP($D160,'Modelling New'!$D:$D,'Modelling New'!T:T)*1000,"")</f>
        <v>224556.07945408835</v>
      </c>
      <c r="AE160" s="304">
        <f>IFERROR(_xlfn.XLOOKUP($D160,'Modelling New'!$D:$D,'Modelling New'!$O:$O),"")</f>
        <v>0.84115108139007666</v>
      </c>
      <c r="AF160" s="304">
        <f>IFERROR(_xlfn.XLOOKUP($D160,'Modelling New'!$D:$D,'Modelling New'!$W:$W),"")</f>
        <v>0.17208549206771986</v>
      </c>
      <c r="AG160" s="304">
        <f>IFERROR(_xlfn.XLOOKUP($D160,'Modelling New'!$D:$D,'Modelling New'!$AE:$AE),"")</f>
        <v>0.995</v>
      </c>
      <c r="AH160" s="304">
        <f>IFERROR(_xlfn.XLOOKUP($D160,'Modelling New'!$D:$D,'Modelling New'!$AF:$AF),"")</f>
        <v>0.995</v>
      </c>
      <c r="AI160" s="295"/>
      <c r="AJ160" s="295"/>
      <c r="AK160" s="295"/>
      <c r="AL160" s="295"/>
      <c r="AM160" s="295"/>
      <c r="AN160" s="305"/>
      <c r="AO160" s="302"/>
      <c r="AP160" s="302"/>
      <c r="AQ160" s="302"/>
      <c r="AR160" s="294">
        <f>_xlfn.XLOOKUP($D160,'Modelling New'!$D:$D,'Modelling New'!$N:$N)</f>
        <v>54.371250000000003</v>
      </c>
      <c r="AS160" s="294">
        <f t="shared" si="18"/>
        <v>0</v>
      </c>
    </row>
    <row r="161" spans="1:45">
      <c r="A161" s="293">
        <f t="shared" si="19"/>
        <v>45904</v>
      </c>
      <c r="B161" s="294">
        <f>YEAR(Daily_KPI[[#This Row],[Date]])+IF(MONTH(Daily_KPI[[#This Row],[Date]])&gt;=4,1,0)</f>
        <v>2026</v>
      </c>
      <c r="C161" s="295">
        <f>YEAR(Daily_KPI[[#This Row],[Date]])</f>
        <v>2025</v>
      </c>
      <c r="D161" s="296">
        <f>Daily_KPI[[#This Row],[Date]]-DAY(Daily_KPI[[#This Row],[Date]])+1</f>
        <v>45901</v>
      </c>
      <c r="E161" s="295">
        <f t="shared" si="15"/>
        <v>30</v>
      </c>
      <c r="F161" s="297">
        <f>IFERROR(_xlfn.XLOOKUP($A161,Input_Raw!$A:$A,Input_Raw!$AR:$AR),"")</f>
        <v>0</v>
      </c>
      <c r="G161" s="298">
        <f>IFERROR(_xlfn.XLOOKUP($A161,Input_Raw!$A:$A,Input_Raw!$R:$R),"")</f>
        <v>0</v>
      </c>
      <c r="H161" s="298"/>
      <c r="I161" s="298">
        <f>IFERROR(_xlfn.XLOOKUP($A161,Input_Raw!$A:$A,Input_Raw!$Q:$Q),"")</f>
        <v>0</v>
      </c>
      <c r="J161" s="298"/>
      <c r="K161" s="298">
        <f>IFERROR(_xlfn.XLOOKUP($A161,Input_Raw!$A:$A,Input_Raw!S:S),"")</f>
        <v>0</v>
      </c>
      <c r="L161" s="298">
        <f>IFERROR(_xlfn.XLOOKUP($A161,Input_Raw!$A:$A,Input_Raw!T:T),"")</f>
        <v>0</v>
      </c>
      <c r="M161" s="298">
        <f>IFERROR(_xlfn.XLOOKUP($A161,Input_Raw!$A:$A,Input_Raw!W:W),"")</f>
        <v>0</v>
      </c>
      <c r="N161" s="298">
        <f>IFERROR(_xlfn.XLOOKUP($A161,Input_Raw!$A:$A,Input_Raw!X:X),"")</f>
        <v>0</v>
      </c>
      <c r="O161" s="299" t="str">
        <f>IFERROR(1-(SUMIF(Plant_BD!$B:$B,$A161,Plant_BD!$AL:$AL)/($AA161+SUMIF(Plant_BD!$B:$B,$A161,Plant_BD!$AL:$AL))),"")</f>
        <v/>
      </c>
      <c r="P161" s="299"/>
      <c r="Q161" s="300"/>
      <c r="R161" s="299" t="str">
        <f>IFERROR(1-(SUMIF(Grid_BD!$B:$B,$A161,Grid_BD!$V:$V)/($AA161+SUMIF(Grid_BD!$B:$B,$A161,Grid_BD!$V:$V))),"")</f>
        <v/>
      </c>
      <c r="S161" s="295"/>
      <c r="T161" s="300"/>
      <c r="U161" s="301" t="str">
        <f t="shared" si="16"/>
        <v/>
      </c>
      <c r="V161" s="301" t="str">
        <f>IFERROR(_xlfn.XLOOKUP($A161,Input_Raw!$A:$A,Input_Raw!$AX:$AX),"")</f>
        <v/>
      </c>
      <c r="W161" s="302">
        <f t="shared" si="17"/>
        <v>0</v>
      </c>
      <c r="X161" s="294">
        <f>IFERROR(_xlfn.XLOOKUP($A161,Input_Raw!$A:$A,Input_Raw!$AA:$AA),"")</f>
        <v>0</v>
      </c>
      <c r="Y161" s="294">
        <f>IFERROR(_xlfn.XLOOKUP($A161,Input_Raw!$A:$A,Input_Raw!$AS:$AS),"")</f>
        <v>0</v>
      </c>
      <c r="Z161" s="294"/>
      <c r="AA161" s="294">
        <f>IFERROR(_xlfn.XLOOKUP($A161,Input_Raw!$A:$A,Input_Raw!$AT:$AT),"")</f>
        <v>0</v>
      </c>
      <c r="AB161" s="294">
        <f>IFERROR(_xlfn.XLOOKUP($A161,Input_Raw!$A:$A,Input_Raw!$AU:$AU),"")</f>
        <v>0</v>
      </c>
      <c r="AC161" s="303">
        <f>IFERROR(_xlfn.XLOOKUP($D161,'Modelling New'!$D:$D,'Modelling New'!P:P),"")</f>
        <v>4.91</v>
      </c>
      <c r="AD161" s="294">
        <f>IFERROR(_xlfn.XLOOKUP($D161,'Modelling New'!$D:$D,'Modelling New'!T:T)*1000,"")</f>
        <v>224556.07945408835</v>
      </c>
      <c r="AE161" s="304">
        <f>IFERROR(_xlfn.XLOOKUP($D161,'Modelling New'!$D:$D,'Modelling New'!$O:$O),"")</f>
        <v>0.84115108139007666</v>
      </c>
      <c r="AF161" s="304">
        <f>IFERROR(_xlfn.XLOOKUP($D161,'Modelling New'!$D:$D,'Modelling New'!$W:$W),"")</f>
        <v>0.17208549206771986</v>
      </c>
      <c r="AG161" s="304">
        <f>IFERROR(_xlfn.XLOOKUP($D161,'Modelling New'!$D:$D,'Modelling New'!$AE:$AE),"")</f>
        <v>0.995</v>
      </c>
      <c r="AH161" s="304">
        <f>IFERROR(_xlfn.XLOOKUP($D161,'Modelling New'!$D:$D,'Modelling New'!$AF:$AF),"")</f>
        <v>0.995</v>
      </c>
      <c r="AI161" s="295"/>
      <c r="AJ161" s="295"/>
      <c r="AK161" s="295"/>
      <c r="AL161" s="295"/>
      <c r="AM161" s="295"/>
      <c r="AN161" s="305"/>
      <c r="AO161" s="302"/>
      <c r="AP161" s="302"/>
      <c r="AQ161" s="302"/>
      <c r="AR161" s="294">
        <f>_xlfn.XLOOKUP($D161,'Modelling New'!$D:$D,'Modelling New'!$N:$N)</f>
        <v>54.371250000000003</v>
      </c>
      <c r="AS161" s="294">
        <f t="shared" si="18"/>
        <v>0</v>
      </c>
    </row>
    <row r="162" spans="1:45">
      <c r="A162" s="293">
        <f t="shared" si="19"/>
        <v>45905</v>
      </c>
      <c r="B162" s="294">
        <f>YEAR(Daily_KPI[[#This Row],[Date]])+IF(MONTH(Daily_KPI[[#This Row],[Date]])&gt;=4,1,0)</f>
        <v>2026</v>
      </c>
      <c r="C162" s="295">
        <f>YEAR(Daily_KPI[[#This Row],[Date]])</f>
        <v>2025</v>
      </c>
      <c r="D162" s="296">
        <f>Daily_KPI[[#This Row],[Date]]-DAY(Daily_KPI[[#This Row],[Date]])+1</f>
        <v>45901</v>
      </c>
      <c r="E162" s="295">
        <f t="shared" si="15"/>
        <v>30</v>
      </c>
      <c r="F162" s="297">
        <f>IFERROR(_xlfn.XLOOKUP($A162,Input_Raw!$A:$A,Input_Raw!$AR:$AR),"")</f>
        <v>0</v>
      </c>
      <c r="G162" s="298">
        <f>IFERROR(_xlfn.XLOOKUP($A162,Input_Raw!$A:$A,Input_Raw!$R:$R),"")</f>
        <v>0</v>
      </c>
      <c r="H162" s="298"/>
      <c r="I162" s="298">
        <f>IFERROR(_xlfn.XLOOKUP($A162,Input_Raw!$A:$A,Input_Raw!$Q:$Q),"")</f>
        <v>0</v>
      </c>
      <c r="J162" s="298"/>
      <c r="K162" s="298">
        <f>IFERROR(_xlfn.XLOOKUP($A162,Input_Raw!$A:$A,Input_Raw!S:S),"")</f>
        <v>0</v>
      </c>
      <c r="L162" s="298">
        <f>IFERROR(_xlfn.XLOOKUP($A162,Input_Raw!$A:$A,Input_Raw!T:T),"")</f>
        <v>0</v>
      </c>
      <c r="M162" s="298">
        <f>IFERROR(_xlfn.XLOOKUP($A162,Input_Raw!$A:$A,Input_Raw!W:W),"")</f>
        <v>0</v>
      </c>
      <c r="N162" s="298">
        <f>IFERROR(_xlfn.XLOOKUP($A162,Input_Raw!$A:$A,Input_Raw!X:X),"")</f>
        <v>0</v>
      </c>
      <c r="O162" s="299" t="str">
        <f>IFERROR(1-(SUMIF(Plant_BD!$B:$B,$A162,Plant_BD!$AL:$AL)/($AA162+SUMIF(Plant_BD!$B:$B,$A162,Plant_BD!$AL:$AL))),"")</f>
        <v/>
      </c>
      <c r="P162" s="299"/>
      <c r="Q162" s="300"/>
      <c r="R162" s="299" t="str">
        <f>IFERROR(1-(SUMIF(Grid_BD!$B:$B,$A162,Grid_BD!$V:$V)/($AA162+SUMIF(Grid_BD!$B:$B,$A162,Grid_BD!$V:$V))),"")</f>
        <v/>
      </c>
      <c r="S162" s="295"/>
      <c r="T162" s="300"/>
      <c r="U162" s="301" t="str">
        <f t="shared" si="16"/>
        <v/>
      </c>
      <c r="V162" s="301" t="str">
        <f>IFERROR(_xlfn.XLOOKUP($A162,Input_Raw!$A:$A,Input_Raw!$AX:$AX),"")</f>
        <v/>
      </c>
      <c r="W162" s="302">
        <f t="shared" si="17"/>
        <v>0</v>
      </c>
      <c r="X162" s="294">
        <f>IFERROR(_xlfn.XLOOKUP($A162,Input_Raw!$A:$A,Input_Raw!$AA:$AA),"")</f>
        <v>0</v>
      </c>
      <c r="Y162" s="294">
        <f>IFERROR(_xlfn.XLOOKUP($A162,Input_Raw!$A:$A,Input_Raw!$AS:$AS),"")</f>
        <v>0</v>
      </c>
      <c r="Z162" s="294"/>
      <c r="AA162" s="294">
        <f>IFERROR(_xlfn.XLOOKUP($A162,Input_Raw!$A:$A,Input_Raw!$AT:$AT),"")</f>
        <v>0</v>
      </c>
      <c r="AB162" s="294">
        <f>IFERROR(_xlfn.XLOOKUP($A162,Input_Raw!$A:$A,Input_Raw!$AU:$AU),"")</f>
        <v>0</v>
      </c>
      <c r="AC162" s="303">
        <f>IFERROR(_xlfn.XLOOKUP($D162,'Modelling New'!$D:$D,'Modelling New'!P:P),"")</f>
        <v>4.91</v>
      </c>
      <c r="AD162" s="294">
        <f>IFERROR(_xlfn.XLOOKUP($D162,'Modelling New'!$D:$D,'Modelling New'!T:T)*1000,"")</f>
        <v>224556.07945408835</v>
      </c>
      <c r="AE162" s="304">
        <f>IFERROR(_xlfn.XLOOKUP($D162,'Modelling New'!$D:$D,'Modelling New'!$O:$O),"")</f>
        <v>0.84115108139007666</v>
      </c>
      <c r="AF162" s="304">
        <f>IFERROR(_xlfn.XLOOKUP($D162,'Modelling New'!$D:$D,'Modelling New'!$W:$W),"")</f>
        <v>0.17208549206771986</v>
      </c>
      <c r="AG162" s="304">
        <f>IFERROR(_xlfn.XLOOKUP($D162,'Modelling New'!$D:$D,'Modelling New'!$AE:$AE),"")</f>
        <v>0.995</v>
      </c>
      <c r="AH162" s="304">
        <f>IFERROR(_xlfn.XLOOKUP($D162,'Modelling New'!$D:$D,'Modelling New'!$AF:$AF),"")</f>
        <v>0.995</v>
      </c>
      <c r="AI162" s="295"/>
      <c r="AJ162" s="295"/>
      <c r="AK162" s="295"/>
      <c r="AL162" s="295"/>
      <c r="AM162" s="295"/>
      <c r="AN162" s="305"/>
      <c r="AO162" s="302"/>
      <c r="AP162" s="302"/>
      <c r="AQ162" s="302"/>
      <c r="AR162" s="294">
        <f>_xlfn.XLOOKUP($D162,'Modelling New'!$D:$D,'Modelling New'!$N:$N)</f>
        <v>54.371250000000003</v>
      </c>
      <c r="AS162" s="294">
        <f t="shared" si="18"/>
        <v>0</v>
      </c>
    </row>
    <row r="163" spans="1:45">
      <c r="A163" s="293">
        <f t="shared" si="19"/>
        <v>45906</v>
      </c>
      <c r="B163" s="294">
        <f>YEAR(Daily_KPI[[#This Row],[Date]])+IF(MONTH(Daily_KPI[[#This Row],[Date]])&gt;=4,1,0)</f>
        <v>2026</v>
      </c>
      <c r="C163" s="295">
        <f>YEAR(Daily_KPI[[#This Row],[Date]])</f>
        <v>2025</v>
      </c>
      <c r="D163" s="296">
        <f>Daily_KPI[[#This Row],[Date]]-DAY(Daily_KPI[[#This Row],[Date]])+1</f>
        <v>45901</v>
      </c>
      <c r="E163" s="295">
        <f t="shared" si="15"/>
        <v>30</v>
      </c>
      <c r="F163" s="297">
        <f>IFERROR(_xlfn.XLOOKUP($A163,Input_Raw!$A:$A,Input_Raw!$AR:$AR),"")</f>
        <v>0</v>
      </c>
      <c r="G163" s="298">
        <f>IFERROR(_xlfn.XLOOKUP($A163,Input_Raw!$A:$A,Input_Raw!$R:$R),"")</f>
        <v>0</v>
      </c>
      <c r="H163" s="298"/>
      <c r="I163" s="298">
        <f>IFERROR(_xlfn.XLOOKUP($A163,Input_Raw!$A:$A,Input_Raw!$Q:$Q),"")</f>
        <v>0</v>
      </c>
      <c r="J163" s="298"/>
      <c r="K163" s="298">
        <f>IFERROR(_xlfn.XLOOKUP($A163,Input_Raw!$A:$A,Input_Raw!S:S),"")</f>
        <v>0</v>
      </c>
      <c r="L163" s="298">
        <f>IFERROR(_xlfn.XLOOKUP($A163,Input_Raw!$A:$A,Input_Raw!T:T),"")</f>
        <v>0</v>
      </c>
      <c r="M163" s="298">
        <f>IFERROR(_xlfn.XLOOKUP($A163,Input_Raw!$A:$A,Input_Raw!W:W),"")</f>
        <v>0</v>
      </c>
      <c r="N163" s="298">
        <f>IFERROR(_xlfn.XLOOKUP($A163,Input_Raw!$A:$A,Input_Raw!X:X),"")</f>
        <v>0</v>
      </c>
      <c r="O163" s="299" t="str">
        <f>IFERROR(1-(SUMIF(Plant_BD!$B:$B,$A163,Plant_BD!$AL:$AL)/($AA163+SUMIF(Plant_BD!$B:$B,$A163,Plant_BD!$AL:$AL))),"")</f>
        <v/>
      </c>
      <c r="P163" s="299"/>
      <c r="Q163" s="300"/>
      <c r="R163" s="299" t="str">
        <f>IFERROR(1-(SUMIF(Grid_BD!$B:$B,$A163,Grid_BD!$V:$V)/($AA163+SUMIF(Grid_BD!$B:$B,$A163,Grid_BD!$V:$V))),"")</f>
        <v/>
      </c>
      <c r="S163" s="295"/>
      <c r="T163" s="300"/>
      <c r="U163" s="301" t="str">
        <f t="shared" si="16"/>
        <v/>
      </c>
      <c r="V163" s="301" t="str">
        <f>IFERROR(_xlfn.XLOOKUP($A163,Input_Raw!$A:$A,Input_Raw!$AX:$AX),"")</f>
        <v/>
      </c>
      <c r="W163" s="302">
        <f t="shared" si="17"/>
        <v>0</v>
      </c>
      <c r="X163" s="294">
        <f>IFERROR(_xlfn.XLOOKUP($A163,Input_Raw!$A:$A,Input_Raw!$AA:$AA),"")</f>
        <v>0</v>
      </c>
      <c r="Y163" s="294">
        <f>IFERROR(_xlfn.XLOOKUP($A163,Input_Raw!$A:$A,Input_Raw!$AS:$AS),"")</f>
        <v>0</v>
      </c>
      <c r="Z163" s="294"/>
      <c r="AA163" s="294">
        <f>IFERROR(_xlfn.XLOOKUP($A163,Input_Raw!$A:$A,Input_Raw!$AT:$AT),"")</f>
        <v>0</v>
      </c>
      <c r="AB163" s="294">
        <f>IFERROR(_xlfn.XLOOKUP($A163,Input_Raw!$A:$A,Input_Raw!$AU:$AU),"")</f>
        <v>0</v>
      </c>
      <c r="AC163" s="303">
        <f>IFERROR(_xlfn.XLOOKUP($D163,'Modelling New'!$D:$D,'Modelling New'!P:P),"")</f>
        <v>4.91</v>
      </c>
      <c r="AD163" s="294">
        <f>IFERROR(_xlfn.XLOOKUP($D163,'Modelling New'!$D:$D,'Modelling New'!T:T)*1000,"")</f>
        <v>224556.07945408835</v>
      </c>
      <c r="AE163" s="304">
        <f>IFERROR(_xlfn.XLOOKUP($D163,'Modelling New'!$D:$D,'Modelling New'!$O:$O),"")</f>
        <v>0.84115108139007666</v>
      </c>
      <c r="AF163" s="304">
        <f>IFERROR(_xlfn.XLOOKUP($D163,'Modelling New'!$D:$D,'Modelling New'!$W:$W),"")</f>
        <v>0.17208549206771986</v>
      </c>
      <c r="AG163" s="304">
        <f>IFERROR(_xlfn.XLOOKUP($D163,'Modelling New'!$D:$D,'Modelling New'!$AE:$AE),"")</f>
        <v>0.995</v>
      </c>
      <c r="AH163" s="304">
        <f>IFERROR(_xlfn.XLOOKUP($D163,'Modelling New'!$D:$D,'Modelling New'!$AF:$AF),"")</f>
        <v>0.995</v>
      </c>
      <c r="AI163" s="295"/>
      <c r="AJ163" s="295"/>
      <c r="AK163" s="295"/>
      <c r="AL163" s="295"/>
      <c r="AM163" s="295"/>
      <c r="AN163" s="305"/>
      <c r="AO163" s="302"/>
      <c r="AP163" s="302"/>
      <c r="AQ163" s="302"/>
      <c r="AR163" s="294">
        <f>_xlfn.XLOOKUP($D163,'Modelling New'!$D:$D,'Modelling New'!$N:$N)</f>
        <v>54.371250000000003</v>
      </c>
      <c r="AS163" s="294">
        <f t="shared" si="18"/>
        <v>0</v>
      </c>
    </row>
    <row r="164" spans="1:45">
      <c r="A164" s="293">
        <f t="shared" si="19"/>
        <v>45907</v>
      </c>
      <c r="B164" s="294">
        <f>YEAR(Daily_KPI[[#This Row],[Date]])+IF(MONTH(Daily_KPI[[#This Row],[Date]])&gt;=4,1,0)</f>
        <v>2026</v>
      </c>
      <c r="C164" s="295">
        <f>YEAR(Daily_KPI[[#This Row],[Date]])</f>
        <v>2025</v>
      </c>
      <c r="D164" s="296">
        <f>Daily_KPI[[#This Row],[Date]]-DAY(Daily_KPI[[#This Row],[Date]])+1</f>
        <v>45901</v>
      </c>
      <c r="E164" s="295">
        <f t="shared" si="15"/>
        <v>30</v>
      </c>
      <c r="F164" s="297">
        <f>IFERROR(_xlfn.XLOOKUP($A164,Input_Raw!$A:$A,Input_Raw!$AR:$AR),"")</f>
        <v>0</v>
      </c>
      <c r="G164" s="298">
        <f>IFERROR(_xlfn.XLOOKUP($A164,Input_Raw!$A:$A,Input_Raw!$R:$R),"")</f>
        <v>0</v>
      </c>
      <c r="H164" s="298"/>
      <c r="I164" s="298">
        <f>IFERROR(_xlfn.XLOOKUP($A164,Input_Raw!$A:$A,Input_Raw!$Q:$Q),"")</f>
        <v>0</v>
      </c>
      <c r="J164" s="298"/>
      <c r="K164" s="298">
        <f>IFERROR(_xlfn.XLOOKUP($A164,Input_Raw!$A:$A,Input_Raw!S:S),"")</f>
        <v>0</v>
      </c>
      <c r="L164" s="298">
        <f>IFERROR(_xlfn.XLOOKUP($A164,Input_Raw!$A:$A,Input_Raw!T:T),"")</f>
        <v>0</v>
      </c>
      <c r="M164" s="298">
        <f>IFERROR(_xlfn.XLOOKUP($A164,Input_Raw!$A:$A,Input_Raw!W:W),"")</f>
        <v>0</v>
      </c>
      <c r="N164" s="298">
        <f>IFERROR(_xlfn.XLOOKUP($A164,Input_Raw!$A:$A,Input_Raw!X:X),"")</f>
        <v>0</v>
      </c>
      <c r="O164" s="299" t="str">
        <f>IFERROR(1-(SUMIF(Plant_BD!$B:$B,$A164,Plant_BD!$AL:$AL)/($AA164+SUMIF(Plant_BD!$B:$B,$A164,Plant_BD!$AL:$AL))),"")</f>
        <v/>
      </c>
      <c r="P164" s="299"/>
      <c r="Q164" s="300"/>
      <c r="R164" s="299" t="str">
        <f>IFERROR(1-(SUMIF(Grid_BD!$B:$B,$A164,Grid_BD!$V:$V)/($AA164+SUMIF(Grid_BD!$B:$B,$A164,Grid_BD!$V:$V))),"")</f>
        <v/>
      </c>
      <c r="S164" s="295"/>
      <c r="T164" s="300"/>
      <c r="U164" s="301" t="str">
        <f t="shared" si="16"/>
        <v/>
      </c>
      <c r="V164" s="301" t="str">
        <f>IFERROR(_xlfn.XLOOKUP($A164,Input_Raw!$A:$A,Input_Raw!$AX:$AX),"")</f>
        <v/>
      </c>
      <c r="W164" s="302">
        <f t="shared" si="17"/>
        <v>0</v>
      </c>
      <c r="X164" s="294">
        <f>IFERROR(_xlfn.XLOOKUP($A164,Input_Raw!$A:$A,Input_Raw!$AA:$AA),"")</f>
        <v>0</v>
      </c>
      <c r="Y164" s="294">
        <f>IFERROR(_xlfn.XLOOKUP($A164,Input_Raw!$A:$A,Input_Raw!$AS:$AS),"")</f>
        <v>0</v>
      </c>
      <c r="Z164" s="294"/>
      <c r="AA164" s="294">
        <f>IFERROR(_xlfn.XLOOKUP($A164,Input_Raw!$A:$A,Input_Raw!$AT:$AT),"")</f>
        <v>0</v>
      </c>
      <c r="AB164" s="294">
        <f>IFERROR(_xlfn.XLOOKUP($A164,Input_Raw!$A:$A,Input_Raw!$AU:$AU),"")</f>
        <v>0</v>
      </c>
      <c r="AC164" s="303">
        <f>IFERROR(_xlfn.XLOOKUP($D164,'Modelling New'!$D:$D,'Modelling New'!P:P),"")</f>
        <v>4.91</v>
      </c>
      <c r="AD164" s="294">
        <f>IFERROR(_xlfn.XLOOKUP($D164,'Modelling New'!$D:$D,'Modelling New'!T:T)*1000,"")</f>
        <v>224556.07945408835</v>
      </c>
      <c r="AE164" s="304">
        <f>IFERROR(_xlfn.XLOOKUP($D164,'Modelling New'!$D:$D,'Modelling New'!$O:$O),"")</f>
        <v>0.84115108139007666</v>
      </c>
      <c r="AF164" s="304">
        <f>IFERROR(_xlfn.XLOOKUP($D164,'Modelling New'!$D:$D,'Modelling New'!$W:$W),"")</f>
        <v>0.17208549206771986</v>
      </c>
      <c r="AG164" s="304">
        <f>IFERROR(_xlfn.XLOOKUP($D164,'Modelling New'!$D:$D,'Modelling New'!$AE:$AE),"")</f>
        <v>0.995</v>
      </c>
      <c r="AH164" s="304">
        <f>IFERROR(_xlfn.XLOOKUP($D164,'Modelling New'!$D:$D,'Modelling New'!$AF:$AF),"")</f>
        <v>0.995</v>
      </c>
      <c r="AI164" s="295"/>
      <c r="AJ164" s="295"/>
      <c r="AK164" s="295"/>
      <c r="AL164" s="295"/>
      <c r="AM164" s="295"/>
      <c r="AN164" s="305"/>
      <c r="AO164" s="302"/>
      <c r="AP164" s="302"/>
      <c r="AQ164" s="302"/>
      <c r="AR164" s="294">
        <f>_xlfn.XLOOKUP($D164,'Modelling New'!$D:$D,'Modelling New'!$N:$N)</f>
        <v>54.371250000000003</v>
      </c>
      <c r="AS164" s="294">
        <f t="shared" si="18"/>
        <v>0</v>
      </c>
    </row>
    <row r="165" spans="1:45">
      <c r="A165" s="293">
        <f t="shared" si="19"/>
        <v>45908</v>
      </c>
      <c r="B165" s="294">
        <f>YEAR(Daily_KPI[[#This Row],[Date]])+IF(MONTH(Daily_KPI[[#This Row],[Date]])&gt;=4,1,0)</f>
        <v>2026</v>
      </c>
      <c r="C165" s="295">
        <f>YEAR(Daily_KPI[[#This Row],[Date]])</f>
        <v>2025</v>
      </c>
      <c r="D165" s="296">
        <f>Daily_KPI[[#This Row],[Date]]-DAY(Daily_KPI[[#This Row],[Date]])+1</f>
        <v>45901</v>
      </c>
      <c r="E165" s="295">
        <f t="shared" si="15"/>
        <v>30</v>
      </c>
      <c r="F165" s="297">
        <f>IFERROR(_xlfn.XLOOKUP($A165,Input_Raw!$A:$A,Input_Raw!$AR:$AR),"")</f>
        <v>0</v>
      </c>
      <c r="G165" s="298">
        <f>IFERROR(_xlfn.XLOOKUP($A165,Input_Raw!$A:$A,Input_Raw!$R:$R),"")</f>
        <v>0</v>
      </c>
      <c r="H165" s="298"/>
      <c r="I165" s="298">
        <f>IFERROR(_xlfn.XLOOKUP($A165,Input_Raw!$A:$A,Input_Raw!$Q:$Q),"")</f>
        <v>0</v>
      </c>
      <c r="J165" s="298"/>
      <c r="K165" s="298">
        <f>IFERROR(_xlfn.XLOOKUP($A165,Input_Raw!$A:$A,Input_Raw!S:S),"")</f>
        <v>0</v>
      </c>
      <c r="L165" s="298">
        <f>IFERROR(_xlfn.XLOOKUP($A165,Input_Raw!$A:$A,Input_Raw!T:T),"")</f>
        <v>0</v>
      </c>
      <c r="M165" s="298">
        <f>IFERROR(_xlfn.XLOOKUP($A165,Input_Raw!$A:$A,Input_Raw!W:W),"")</f>
        <v>0</v>
      </c>
      <c r="N165" s="298">
        <f>IFERROR(_xlfn.XLOOKUP($A165,Input_Raw!$A:$A,Input_Raw!X:X),"")</f>
        <v>0</v>
      </c>
      <c r="O165" s="299" t="str">
        <f>IFERROR(1-(SUMIF(Plant_BD!$B:$B,$A165,Plant_BD!$AL:$AL)/($AA165+SUMIF(Plant_BD!$B:$B,$A165,Plant_BD!$AL:$AL))),"")</f>
        <v/>
      </c>
      <c r="P165" s="299"/>
      <c r="Q165" s="300"/>
      <c r="R165" s="299" t="str">
        <f>IFERROR(1-(SUMIF(Grid_BD!$B:$B,$A165,Grid_BD!$V:$V)/($AA165+SUMIF(Grid_BD!$B:$B,$A165,Grid_BD!$V:$V))),"")</f>
        <v/>
      </c>
      <c r="S165" s="295"/>
      <c r="T165" s="300"/>
      <c r="U165" s="301" t="str">
        <f t="shared" si="16"/>
        <v/>
      </c>
      <c r="V165" s="301" t="str">
        <f>IFERROR(_xlfn.XLOOKUP($A165,Input_Raw!$A:$A,Input_Raw!$AX:$AX),"")</f>
        <v/>
      </c>
      <c r="W165" s="302">
        <f t="shared" si="17"/>
        <v>0</v>
      </c>
      <c r="X165" s="294">
        <f>IFERROR(_xlfn.XLOOKUP($A165,Input_Raw!$A:$A,Input_Raw!$AA:$AA),"")</f>
        <v>0</v>
      </c>
      <c r="Y165" s="294">
        <f>IFERROR(_xlfn.XLOOKUP($A165,Input_Raw!$A:$A,Input_Raw!$AS:$AS),"")</f>
        <v>0</v>
      </c>
      <c r="Z165" s="294"/>
      <c r="AA165" s="294">
        <f>IFERROR(_xlfn.XLOOKUP($A165,Input_Raw!$A:$A,Input_Raw!$AT:$AT),"")</f>
        <v>0</v>
      </c>
      <c r="AB165" s="294">
        <f>IFERROR(_xlfn.XLOOKUP($A165,Input_Raw!$A:$A,Input_Raw!$AU:$AU),"")</f>
        <v>0</v>
      </c>
      <c r="AC165" s="303">
        <f>IFERROR(_xlfn.XLOOKUP($D165,'Modelling New'!$D:$D,'Modelling New'!P:P),"")</f>
        <v>4.91</v>
      </c>
      <c r="AD165" s="294">
        <f>IFERROR(_xlfn.XLOOKUP($D165,'Modelling New'!$D:$D,'Modelling New'!T:T)*1000,"")</f>
        <v>224556.07945408835</v>
      </c>
      <c r="AE165" s="304">
        <f>IFERROR(_xlfn.XLOOKUP($D165,'Modelling New'!$D:$D,'Modelling New'!$O:$O),"")</f>
        <v>0.84115108139007666</v>
      </c>
      <c r="AF165" s="304">
        <f>IFERROR(_xlfn.XLOOKUP($D165,'Modelling New'!$D:$D,'Modelling New'!$W:$W),"")</f>
        <v>0.17208549206771986</v>
      </c>
      <c r="AG165" s="304">
        <f>IFERROR(_xlfn.XLOOKUP($D165,'Modelling New'!$D:$D,'Modelling New'!$AE:$AE),"")</f>
        <v>0.995</v>
      </c>
      <c r="AH165" s="304">
        <f>IFERROR(_xlfn.XLOOKUP($D165,'Modelling New'!$D:$D,'Modelling New'!$AF:$AF),"")</f>
        <v>0.995</v>
      </c>
      <c r="AI165" s="295"/>
      <c r="AJ165" s="295"/>
      <c r="AK165" s="295"/>
      <c r="AL165" s="295"/>
      <c r="AM165" s="295"/>
      <c r="AN165" s="305"/>
      <c r="AO165" s="302"/>
      <c r="AP165" s="302"/>
      <c r="AQ165" s="302"/>
      <c r="AR165" s="294">
        <f>_xlfn.XLOOKUP($D165,'Modelling New'!$D:$D,'Modelling New'!$N:$N)</f>
        <v>54.371250000000003</v>
      </c>
      <c r="AS165" s="294">
        <f t="shared" si="18"/>
        <v>0</v>
      </c>
    </row>
    <row r="166" spans="1:45">
      <c r="A166" s="293">
        <f t="shared" si="19"/>
        <v>45909</v>
      </c>
      <c r="B166" s="294">
        <f>YEAR(Daily_KPI[[#This Row],[Date]])+IF(MONTH(Daily_KPI[[#This Row],[Date]])&gt;=4,1,0)</f>
        <v>2026</v>
      </c>
      <c r="C166" s="295">
        <f>YEAR(Daily_KPI[[#This Row],[Date]])</f>
        <v>2025</v>
      </c>
      <c r="D166" s="296">
        <f>Daily_KPI[[#This Row],[Date]]-DAY(Daily_KPI[[#This Row],[Date]])+1</f>
        <v>45901</v>
      </c>
      <c r="E166" s="295">
        <f t="shared" si="15"/>
        <v>30</v>
      </c>
      <c r="F166" s="297">
        <f>IFERROR(_xlfn.XLOOKUP($A166,Input_Raw!$A:$A,Input_Raw!$AR:$AR),"")</f>
        <v>0</v>
      </c>
      <c r="G166" s="298">
        <f>IFERROR(_xlfn.XLOOKUP($A166,Input_Raw!$A:$A,Input_Raw!$R:$R),"")</f>
        <v>0</v>
      </c>
      <c r="H166" s="298"/>
      <c r="I166" s="298">
        <f>IFERROR(_xlfn.XLOOKUP($A166,Input_Raw!$A:$A,Input_Raw!$Q:$Q),"")</f>
        <v>0</v>
      </c>
      <c r="J166" s="298"/>
      <c r="K166" s="298">
        <f>IFERROR(_xlfn.XLOOKUP($A166,Input_Raw!$A:$A,Input_Raw!S:S),"")</f>
        <v>0</v>
      </c>
      <c r="L166" s="298">
        <f>IFERROR(_xlfn.XLOOKUP($A166,Input_Raw!$A:$A,Input_Raw!T:T),"")</f>
        <v>0</v>
      </c>
      <c r="M166" s="298">
        <f>IFERROR(_xlfn.XLOOKUP($A166,Input_Raw!$A:$A,Input_Raw!W:W),"")</f>
        <v>0</v>
      </c>
      <c r="N166" s="298">
        <f>IFERROR(_xlfn.XLOOKUP($A166,Input_Raw!$A:$A,Input_Raw!X:X),"")</f>
        <v>0</v>
      </c>
      <c r="O166" s="299" t="str">
        <f>IFERROR(1-(SUMIF(Plant_BD!$B:$B,$A166,Plant_BD!$AL:$AL)/($AA166+SUMIF(Plant_BD!$B:$B,$A166,Plant_BD!$AL:$AL))),"")</f>
        <v/>
      </c>
      <c r="P166" s="299"/>
      <c r="Q166" s="300"/>
      <c r="R166" s="299" t="str">
        <f>IFERROR(1-(SUMIF(Grid_BD!$B:$B,$A166,Grid_BD!$V:$V)/($AA166+SUMIF(Grid_BD!$B:$B,$A166,Grid_BD!$V:$V))),"")</f>
        <v/>
      </c>
      <c r="S166" s="295"/>
      <c r="T166" s="300"/>
      <c r="U166" s="301" t="str">
        <f t="shared" si="16"/>
        <v/>
      </c>
      <c r="V166" s="301" t="str">
        <f>IFERROR(_xlfn.XLOOKUP($A166,Input_Raw!$A:$A,Input_Raw!$AX:$AX),"")</f>
        <v/>
      </c>
      <c r="W166" s="302">
        <f t="shared" si="17"/>
        <v>0</v>
      </c>
      <c r="X166" s="294">
        <f>IFERROR(_xlfn.XLOOKUP($A166,Input_Raw!$A:$A,Input_Raw!$AA:$AA),"")</f>
        <v>0</v>
      </c>
      <c r="Y166" s="294">
        <f>IFERROR(_xlfn.XLOOKUP($A166,Input_Raw!$A:$A,Input_Raw!$AS:$AS),"")</f>
        <v>0</v>
      </c>
      <c r="Z166" s="294"/>
      <c r="AA166" s="294">
        <f>IFERROR(_xlfn.XLOOKUP($A166,Input_Raw!$A:$A,Input_Raw!$AT:$AT),"")</f>
        <v>0</v>
      </c>
      <c r="AB166" s="294">
        <f>IFERROR(_xlfn.XLOOKUP($A166,Input_Raw!$A:$A,Input_Raw!$AU:$AU),"")</f>
        <v>0</v>
      </c>
      <c r="AC166" s="303">
        <f>IFERROR(_xlfn.XLOOKUP($D166,'Modelling New'!$D:$D,'Modelling New'!P:P),"")</f>
        <v>4.91</v>
      </c>
      <c r="AD166" s="294">
        <f>IFERROR(_xlfn.XLOOKUP($D166,'Modelling New'!$D:$D,'Modelling New'!T:T)*1000,"")</f>
        <v>224556.07945408835</v>
      </c>
      <c r="AE166" s="304">
        <f>IFERROR(_xlfn.XLOOKUP($D166,'Modelling New'!$D:$D,'Modelling New'!$O:$O),"")</f>
        <v>0.84115108139007666</v>
      </c>
      <c r="AF166" s="304">
        <f>IFERROR(_xlfn.XLOOKUP($D166,'Modelling New'!$D:$D,'Modelling New'!$W:$W),"")</f>
        <v>0.17208549206771986</v>
      </c>
      <c r="AG166" s="304">
        <f>IFERROR(_xlfn.XLOOKUP($D166,'Modelling New'!$D:$D,'Modelling New'!$AE:$AE),"")</f>
        <v>0.995</v>
      </c>
      <c r="AH166" s="304">
        <f>IFERROR(_xlfn.XLOOKUP($D166,'Modelling New'!$D:$D,'Modelling New'!$AF:$AF),"")</f>
        <v>0.995</v>
      </c>
      <c r="AI166" s="295"/>
      <c r="AJ166" s="295"/>
      <c r="AK166" s="295"/>
      <c r="AL166" s="295"/>
      <c r="AM166" s="295"/>
      <c r="AN166" s="305"/>
      <c r="AO166" s="302"/>
      <c r="AP166" s="302"/>
      <c r="AQ166" s="302"/>
      <c r="AR166" s="294">
        <f>_xlfn.XLOOKUP($D166,'Modelling New'!$D:$D,'Modelling New'!$N:$N)</f>
        <v>54.371250000000003</v>
      </c>
      <c r="AS166" s="294">
        <f t="shared" si="18"/>
        <v>0</v>
      </c>
    </row>
    <row r="167" spans="1:45">
      <c r="A167" s="293">
        <f t="shared" si="19"/>
        <v>45910</v>
      </c>
      <c r="B167" s="294">
        <f>YEAR(Daily_KPI[[#This Row],[Date]])+IF(MONTH(Daily_KPI[[#This Row],[Date]])&gt;=4,1,0)</f>
        <v>2026</v>
      </c>
      <c r="C167" s="295">
        <f>YEAR(Daily_KPI[[#This Row],[Date]])</f>
        <v>2025</v>
      </c>
      <c r="D167" s="296">
        <f>Daily_KPI[[#This Row],[Date]]-DAY(Daily_KPI[[#This Row],[Date]])+1</f>
        <v>45901</v>
      </c>
      <c r="E167" s="295">
        <f t="shared" si="15"/>
        <v>30</v>
      </c>
      <c r="F167" s="297">
        <f>IFERROR(_xlfn.XLOOKUP($A167,Input_Raw!$A:$A,Input_Raw!$AR:$AR),"")</f>
        <v>0</v>
      </c>
      <c r="G167" s="298">
        <f>IFERROR(_xlfn.XLOOKUP($A167,Input_Raw!$A:$A,Input_Raw!$R:$R),"")</f>
        <v>0</v>
      </c>
      <c r="H167" s="298"/>
      <c r="I167" s="298">
        <f>IFERROR(_xlfn.XLOOKUP($A167,Input_Raw!$A:$A,Input_Raw!$Q:$Q),"")</f>
        <v>0</v>
      </c>
      <c r="J167" s="298"/>
      <c r="K167" s="298">
        <f>IFERROR(_xlfn.XLOOKUP($A167,Input_Raw!$A:$A,Input_Raw!S:S),"")</f>
        <v>0</v>
      </c>
      <c r="L167" s="298">
        <f>IFERROR(_xlfn.XLOOKUP($A167,Input_Raw!$A:$A,Input_Raw!T:T),"")</f>
        <v>0</v>
      </c>
      <c r="M167" s="298">
        <f>IFERROR(_xlfn.XLOOKUP($A167,Input_Raw!$A:$A,Input_Raw!W:W),"")</f>
        <v>0</v>
      </c>
      <c r="N167" s="298">
        <f>IFERROR(_xlfn.XLOOKUP($A167,Input_Raw!$A:$A,Input_Raw!X:X),"")</f>
        <v>0</v>
      </c>
      <c r="O167" s="299" t="str">
        <f>IFERROR(1-(SUMIF(Plant_BD!$B:$B,$A167,Plant_BD!$AL:$AL)/($AA167+SUMIF(Plant_BD!$B:$B,$A167,Plant_BD!$AL:$AL))),"")</f>
        <v/>
      </c>
      <c r="P167" s="299"/>
      <c r="Q167" s="300"/>
      <c r="R167" s="299" t="str">
        <f>IFERROR(1-(SUMIF(Grid_BD!$B:$B,$A167,Grid_BD!$V:$V)/($AA167+SUMIF(Grid_BD!$B:$B,$A167,Grid_BD!$V:$V))),"")</f>
        <v/>
      </c>
      <c r="S167" s="295"/>
      <c r="T167" s="300"/>
      <c r="U167" s="301" t="str">
        <f t="shared" si="16"/>
        <v/>
      </c>
      <c r="V167" s="301" t="str">
        <f>IFERROR(_xlfn.XLOOKUP($A167,Input_Raw!$A:$A,Input_Raw!$AX:$AX),"")</f>
        <v/>
      </c>
      <c r="W167" s="302">
        <f t="shared" si="17"/>
        <v>0</v>
      </c>
      <c r="X167" s="294">
        <f>IFERROR(_xlfn.XLOOKUP($A167,Input_Raw!$A:$A,Input_Raw!$AA:$AA),"")</f>
        <v>0</v>
      </c>
      <c r="Y167" s="294">
        <f>IFERROR(_xlfn.XLOOKUP($A167,Input_Raw!$A:$A,Input_Raw!$AS:$AS),"")</f>
        <v>0</v>
      </c>
      <c r="Z167" s="294"/>
      <c r="AA167" s="294">
        <f>IFERROR(_xlfn.XLOOKUP($A167,Input_Raw!$A:$A,Input_Raw!$AT:$AT),"")</f>
        <v>0</v>
      </c>
      <c r="AB167" s="294">
        <f>IFERROR(_xlfn.XLOOKUP($A167,Input_Raw!$A:$A,Input_Raw!$AU:$AU),"")</f>
        <v>0</v>
      </c>
      <c r="AC167" s="303">
        <f>IFERROR(_xlfn.XLOOKUP($D167,'Modelling New'!$D:$D,'Modelling New'!P:P),"")</f>
        <v>4.91</v>
      </c>
      <c r="AD167" s="294">
        <f>IFERROR(_xlfn.XLOOKUP($D167,'Modelling New'!$D:$D,'Modelling New'!T:T)*1000,"")</f>
        <v>224556.07945408835</v>
      </c>
      <c r="AE167" s="304">
        <f>IFERROR(_xlfn.XLOOKUP($D167,'Modelling New'!$D:$D,'Modelling New'!$O:$O),"")</f>
        <v>0.84115108139007666</v>
      </c>
      <c r="AF167" s="304">
        <f>IFERROR(_xlfn.XLOOKUP($D167,'Modelling New'!$D:$D,'Modelling New'!$W:$W),"")</f>
        <v>0.17208549206771986</v>
      </c>
      <c r="AG167" s="304">
        <f>IFERROR(_xlfn.XLOOKUP($D167,'Modelling New'!$D:$D,'Modelling New'!$AE:$AE),"")</f>
        <v>0.995</v>
      </c>
      <c r="AH167" s="304">
        <f>IFERROR(_xlfn.XLOOKUP($D167,'Modelling New'!$D:$D,'Modelling New'!$AF:$AF),"")</f>
        <v>0.995</v>
      </c>
      <c r="AI167" s="295"/>
      <c r="AJ167" s="295"/>
      <c r="AK167" s="295"/>
      <c r="AL167" s="295"/>
      <c r="AM167" s="295"/>
      <c r="AN167" s="305"/>
      <c r="AO167" s="302"/>
      <c r="AP167" s="302"/>
      <c r="AQ167" s="302"/>
      <c r="AR167" s="294">
        <f>_xlfn.XLOOKUP($D167,'Modelling New'!$D:$D,'Modelling New'!$N:$N)</f>
        <v>54.371250000000003</v>
      </c>
      <c r="AS167" s="294">
        <f t="shared" si="18"/>
        <v>0</v>
      </c>
    </row>
    <row r="168" spans="1:45">
      <c r="A168" s="293">
        <f t="shared" si="19"/>
        <v>45911</v>
      </c>
      <c r="B168" s="294">
        <f>YEAR(Daily_KPI[[#This Row],[Date]])+IF(MONTH(Daily_KPI[[#This Row],[Date]])&gt;=4,1,0)</f>
        <v>2026</v>
      </c>
      <c r="C168" s="295">
        <f>YEAR(Daily_KPI[[#This Row],[Date]])</f>
        <v>2025</v>
      </c>
      <c r="D168" s="296">
        <f>Daily_KPI[[#This Row],[Date]]-DAY(Daily_KPI[[#This Row],[Date]])+1</f>
        <v>45901</v>
      </c>
      <c r="E168" s="295">
        <f t="shared" si="15"/>
        <v>30</v>
      </c>
      <c r="F168" s="297">
        <f>IFERROR(_xlfn.XLOOKUP($A168,Input_Raw!$A:$A,Input_Raw!$AR:$AR),"")</f>
        <v>0</v>
      </c>
      <c r="G168" s="298">
        <f>IFERROR(_xlfn.XLOOKUP($A168,Input_Raw!$A:$A,Input_Raw!$R:$R),"")</f>
        <v>0</v>
      </c>
      <c r="H168" s="298"/>
      <c r="I168" s="298">
        <f>IFERROR(_xlfn.XLOOKUP($A168,Input_Raw!$A:$A,Input_Raw!$Q:$Q),"")</f>
        <v>0</v>
      </c>
      <c r="J168" s="298"/>
      <c r="K168" s="298">
        <f>IFERROR(_xlfn.XLOOKUP($A168,Input_Raw!$A:$A,Input_Raw!S:S),"")</f>
        <v>0</v>
      </c>
      <c r="L168" s="298">
        <f>IFERROR(_xlfn.XLOOKUP($A168,Input_Raw!$A:$A,Input_Raw!T:T),"")</f>
        <v>0</v>
      </c>
      <c r="M168" s="298">
        <f>IFERROR(_xlfn.XLOOKUP($A168,Input_Raw!$A:$A,Input_Raw!W:W),"")</f>
        <v>0</v>
      </c>
      <c r="N168" s="298">
        <f>IFERROR(_xlfn.XLOOKUP($A168,Input_Raw!$A:$A,Input_Raw!X:X),"")</f>
        <v>0</v>
      </c>
      <c r="O168" s="299" t="str">
        <f>IFERROR(1-(SUMIF(Plant_BD!$B:$B,$A168,Plant_BD!$AL:$AL)/($AA168+SUMIF(Plant_BD!$B:$B,$A168,Plant_BD!$AL:$AL))),"")</f>
        <v/>
      </c>
      <c r="P168" s="299"/>
      <c r="Q168" s="300"/>
      <c r="R168" s="299" t="str">
        <f>IFERROR(1-(SUMIF(Grid_BD!$B:$B,$A168,Grid_BD!$V:$V)/($AA168+SUMIF(Grid_BD!$B:$B,$A168,Grid_BD!$V:$V))),"")</f>
        <v/>
      </c>
      <c r="S168" s="295"/>
      <c r="T168" s="300"/>
      <c r="U168" s="301" t="str">
        <f t="shared" si="16"/>
        <v/>
      </c>
      <c r="V168" s="301" t="str">
        <f>IFERROR(_xlfn.XLOOKUP($A168,Input_Raw!$A:$A,Input_Raw!$AX:$AX),"")</f>
        <v/>
      </c>
      <c r="W168" s="302">
        <f t="shared" si="17"/>
        <v>0</v>
      </c>
      <c r="X168" s="294">
        <f>IFERROR(_xlfn.XLOOKUP($A168,Input_Raw!$A:$A,Input_Raw!$AA:$AA),"")</f>
        <v>0</v>
      </c>
      <c r="Y168" s="294">
        <f>IFERROR(_xlfn.XLOOKUP($A168,Input_Raw!$A:$A,Input_Raw!$AS:$AS),"")</f>
        <v>0</v>
      </c>
      <c r="Z168" s="294"/>
      <c r="AA168" s="294">
        <f>IFERROR(_xlfn.XLOOKUP($A168,Input_Raw!$A:$A,Input_Raw!$AT:$AT),"")</f>
        <v>0</v>
      </c>
      <c r="AB168" s="294">
        <f>IFERROR(_xlfn.XLOOKUP($A168,Input_Raw!$A:$A,Input_Raw!$AU:$AU),"")</f>
        <v>0</v>
      </c>
      <c r="AC168" s="303">
        <f>IFERROR(_xlfn.XLOOKUP($D168,'Modelling New'!$D:$D,'Modelling New'!P:P),"")</f>
        <v>4.91</v>
      </c>
      <c r="AD168" s="294">
        <f>IFERROR(_xlfn.XLOOKUP($D168,'Modelling New'!$D:$D,'Modelling New'!T:T)*1000,"")</f>
        <v>224556.07945408835</v>
      </c>
      <c r="AE168" s="304">
        <f>IFERROR(_xlfn.XLOOKUP($D168,'Modelling New'!$D:$D,'Modelling New'!$O:$O),"")</f>
        <v>0.84115108139007666</v>
      </c>
      <c r="AF168" s="304">
        <f>IFERROR(_xlfn.XLOOKUP($D168,'Modelling New'!$D:$D,'Modelling New'!$W:$W),"")</f>
        <v>0.17208549206771986</v>
      </c>
      <c r="AG168" s="304">
        <f>IFERROR(_xlfn.XLOOKUP($D168,'Modelling New'!$D:$D,'Modelling New'!$AE:$AE),"")</f>
        <v>0.995</v>
      </c>
      <c r="AH168" s="304">
        <f>IFERROR(_xlfn.XLOOKUP($D168,'Modelling New'!$D:$D,'Modelling New'!$AF:$AF),"")</f>
        <v>0.995</v>
      </c>
      <c r="AI168" s="295"/>
      <c r="AJ168" s="295"/>
      <c r="AK168" s="295"/>
      <c r="AL168" s="295"/>
      <c r="AM168" s="295"/>
      <c r="AN168" s="305"/>
      <c r="AO168" s="302"/>
      <c r="AP168" s="302"/>
      <c r="AQ168" s="302"/>
      <c r="AR168" s="294">
        <f>_xlfn.XLOOKUP($D168,'Modelling New'!$D:$D,'Modelling New'!$N:$N)</f>
        <v>54.371250000000003</v>
      </c>
      <c r="AS168" s="294">
        <f t="shared" si="18"/>
        <v>0</v>
      </c>
    </row>
    <row r="169" spans="1:45">
      <c r="A169" s="293">
        <f t="shared" si="19"/>
        <v>45912</v>
      </c>
      <c r="B169" s="294">
        <f>YEAR(Daily_KPI[[#This Row],[Date]])+IF(MONTH(Daily_KPI[[#This Row],[Date]])&gt;=4,1,0)</f>
        <v>2026</v>
      </c>
      <c r="C169" s="295">
        <f>YEAR(Daily_KPI[[#This Row],[Date]])</f>
        <v>2025</v>
      </c>
      <c r="D169" s="296">
        <f>Daily_KPI[[#This Row],[Date]]-DAY(Daily_KPI[[#This Row],[Date]])+1</f>
        <v>45901</v>
      </c>
      <c r="E169" s="295">
        <f t="shared" si="15"/>
        <v>30</v>
      </c>
      <c r="F169" s="297">
        <f>IFERROR(_xlfn.XLOOKUP($A169,Input_Raw!$A:$A,Input_Raw!$AR:$AR),"")</f>
        <v>0</v>
      </c>
      <c r="G169" s="298">
        <f>IFERROR(_xlfn.XLOOKUP($A169,Input_Raw!$A:$A,Input_Raw!$R:$R),"")</f>
        <v>0</v>
      </c>
      <c r="H169" s="298"/>
      <c r="I169" s="298">
        <f>IFERROR(_xlfn.XLOOKUP($A169,Input_Raw!$A:$A,Input_Raw!$Q:$Q),"")</f>
        <v>0</v>
      </c>
      <c r="J169" s="298"/>
      <c r="K169" s="298">
        <f>IFERROR(_xlfn.XLOOKUP($A169,Input_Raw!$A:$A,Input_Raw!S:S),"")</f>
        <v>0</v>
      </c>
      <c r="L169" s="298">
        <f>IFERROR(_xlfn.XLOOKUP($A169,Input_Raw!$A:$A,Input_Raw!T:T),"")</f>
        <v>0</v>
      </c>
      <c r="M169" s="298">
        <f>IFERROR(_xlfn.XLOOKUP($A169,Input_Raw!$A:$A,Input_Raw!W:W),"")</f>
        <v>0</v>
      </c>
      <c r="N169" s="298">
        <f>IFERROR(_xlfn.XLOOKUP($A169,Input_Raw!$A:$A,Input_Raw!X:X),"")</f>
        <v>0</v>
      </c>
      <c r="O169" s="299" t="str">
        <f>IFERROR(1-(SUMIF(Plant_BD!$B:$B,$A169,Plant_BD!$AL:$AL)/($AA169+SUMIF(Plant_BD!$B:$B,$A169,Plant_BD!$AL:$AL))),"")</f>
        <v/>
      </c>
      <c r="P169" s="299"/>
      <c r="Q169" s="300"/>
      <c r="R169" s="299" t="str">
        <f>IFERROR(1-(SUMIF(Grid_BD!$B:$B,$A169,Grid_BD!$V:$V)/($AA169+SUMIF(Grid_BD!$B:$B,$A169,Grid_BD!$V:$V))),"")</f>
        <v/>
      </c>
      <c r="S169" s="295"/>
      <c r="T169" s="300"/>
      <c r="U169" s="301" t="str">
        <f t="shared" si="16"/>
        <v/>
      </c>
      <c r="V169" s="301" t="str">
        <f>IFERROR(_xlfn.XLOOKUP($A169,Input_Raw!$A:$A,Input_Raw!$AX:$AX),"")</f>
        <v/>
      </c>
      <c r="W169" s="302">
        <f t="shared" si="17"/>
        <v>0</v>
      </c>
      <c r="X169" s="294">
        <f>IFERROR(_xlfn.XLOOKUP($A169,Input_Raw!$A:$A,Input_Raw!$AA:$AA),"")</f>
        <v>0</v>
      </c>
      <c r="Y169" s="294">
        <f>IFERROR(_xlfn.XLOOKUP($A169,Input_Raw!$A:$A,Input_Raw!$AS:$AS),"")</f>
        <v>0</v>
      </c>
      <c r="Z169" s="294"/>
      <c r="AA169" s="294">
        <f>IFERROR(_xlfn.XLOOKUP($A169,Input_Raw!$A:$A,Input_Raw!$AT:$AT),"")</f>
        <v>0</v>
      </c>
      <c r="AB169" s="294">
        <f>IFERROR(_xlfn.XLOOKUP($A169,Input_Raw!$A:$A,Input_Raw!$AU:$AU),"")</f>
        <v>0</v>
      </c>
      <c r="AC169" s="303">
        <f>IFERROR(_xlfn.XLOOKUP($D169,'Modelling New'!$D:$D,'Modelling New'!P:P),"")</f>
        <v>4.91</v>
      </c>
      <c r="AD169" s="294">
        <f>IFERROR(_xlfn.XLOOKUP($D169,'Modelling New'!$D:$D,'Modelling New'!T:T)*1000,"")</f>
        <v>224556.07945408835</v>
      </c>
      <c r="AE169" s="304">
        <f>IFERROR(_xlfn.XLOOKUP($D169,'Modelling New'!$D:$D,'Modelling New'!$O:$O),"")</f>
        <v>0.84115108139007666</v>
      </c>
      <c r="AF169" s="304">
        <f>IFERROR(_xlfn.XLOOKUP($D169,'Modelling New'!$D:$D,'Modelling New'!$W:$W),"")</f>
        <v>0.17208549206771986</v>
      </c>
      <c r="AG169" s="304">
        <f>IFERROR(_xlfn.XLOOKUP($D169,'Modelling New'!$D:$D,'Modelling New'!$AE:$AE),"")</f>
        <v>0.995</v>
      </c>
      <c r="AH169" s="304">
        <f>IFERROR(_xlfn.XLOOKUP($D169,'Modelling New'!$D:$D,'Modelling New'!$AF:$AF),"")</f>
        <v>0.995</v>
      </c>
      <c r="AI169" s="295"/>
      <c r="AJ169" s="295"/>
      <c r="AK169" s="295"/>
      <c r="AL169" s="295"/>
      <c r="AM169" s="295"/>
      <c r="AN169" s="305"/>
      <c r="AO169" s="302"/>
      <c r="AP169" s="302"/>
      <c r="AQ169" s="302"/>
      <c r="AR169" s="294">
        <f>_xlfn.XLOOKUP($D169,'Modelling New'!$D:$D,'Modelling New'!$N:$N)</f>
        <v>54.371250000000003</v>
      </c>
      <c r="AS169" s="294">
        <f t="shared" si="18"/>
        <v>0</v>
      </c>
    </row>
    <row r="170" spans="1:45">
      <c r="A170" s="293">
        <f t="shared" si="19"/>
        <v>45913</v>
      </c>
      <c r="B170" s="294">
        <f>YEAR(Daily_KPI[[#This Row],[Date]])+IF(MONTH(Daily_KPI[[#This Row],[Date]])&gt;=4,1,0)</f>
        <v>2026</v>
      </c>
      <c r="C170" s="295">
        <f>YEAR(Daily_KPI[[#This Row],[Date]])</f>
        <v>2025</v>
      </c>
      <c r="D170" s="296">
        <f>Daily_KPI[[#This Row],[Date]]-DAY(Daily_KPI[[#This Row],[Date]])+1</f>
        <v>45901</v>
      </c>
      <c r="E170" s="295">
        <f t="shared" si="15"/>
        <v>30</v>
      </c>
      <c r="F170" s="297">
        <f>IFERROR(_xlfn.XLOOKUP($A170,Input_Raw!$A:$A,Input_Raw!$AR:$AR),"")</f>
        <v>0</v>
      </c>
      <c r="G170" s="298">
        <f>IFERROR(_xlfn.XLOOKUP($A170,Input_Raw!$A:$A,Input_Raw!$R:$R),"")</f>
        <v>0</v>
      </c>
      <c r="H170" s="298"/>
      <c r="I170" s="298">
        <f>IFERROR(_xlfn.XLOOKUP($A170,Input_Raw!$A:$A,Input_Raw!$Q:$Q),"")</f>
        <v>0</v>
      </c>
      <c r="J170" s="298"/>
      <c r="K170" s="298">
        <f>IFERROR(_xlfn.XLOOKUP($A170,Input_Raw!$A:$A,Input_Raw!S:S),"")</f>
        <v>0</v>
      </c>
      <c r="L170" s="298">
        <f>IFERROR(_xlfn.XLOOKUP($A170,Input_Raw!$A:$A,Input_Raw!T:T),"")</f>
        <v>0</v>
      </c>
      <c r="M170" s="298">
        <f>IFERROR(_xlfn.XLOOKUP($A170,Input_Raw!$A:$A,Input_Raw!W:W),"")</f>
        <v>0</v>
      </c>
      <c r="N170" s="298">
        <f>IFERROR(_xlfn.XLOOKUP($A170,Input_Raw!$A:$A,Input_Raw!X:X),"")</f>
        <v>0</v>
      </c>
      <c r="O170" s="299" t="str">
        <f>IFERROR(1-(SUMIF(Plant_BD!$B:$B,$A170,Plant_BD!$AL:$AL)/($AA170+SUMIF(Plant_BD!$B:$B,$A170,Plant_BD!$AL:$AL))),"")</f>
        <v/>
      </c>
      <c r="P170" s="299"/>
      <c r="Q170" s="300"/>
      <c r="R170" s="299" t="str">
        <f>IFERROR(1-(SUMIF(Grid_BD!$B:$B,$A170,Grid_BD!$V:$V)/($AA170+SUMIF(Grid_BD!$B:$B,$A170,Grid_BD!$V:$V))),"")</f>
        <v/>
      </c>
      <c r="S170" s="295"/>
      <c r="T170" s="300"/>
      <c r="U170" s="301" t="str">
        <f t="shared" si="16"/>
        <v/>
      </c>
      <c r="V170" s="301" t="str">
        <f>IFERROR(_xlfn.XLOOKUP($A170,Input_Raw!$A:$A,Input_Raw!$AX:$AX),"")</f>
        <v/>
      </c>
      <c r="W170" s="302">
        <f t="shared" si="17"/>
        <v>0</v>
      </c>
      <c r="X170" s="294">
        <f>IFERROR(_xlfn.XLOOKUP($A170,Input_Raw!$A:$A,Input_Raw!$AA:$AA),"")</f>
        <v>0</v>
      </c>
      <c r="Y170" s="294">
        <f>IFERROR(_xlfn.XLOOKUP($A170,Input_Raw!$A:$A,Input_Raw!$AS:$AS),"")</f>
        <v>0</v>
      </c>
      <c r="Z170" s="294"/>
      <c r="AA170" s="294">
        <f>IFERROR(_xlfn.XLOOKUP($A170,Input_Raw!$A:$A,Input_Raw!$AT:$AT),"")</f>
        <v>0</v>
      </c>
      <c r="AB170" s="294">
        <f>IFERROR(_xlfn.XLOOKUP($A170,Input_Raw!$A:$A,Input_Raw!$AU:$AU),"")</f>
        <v>0</v>
      </c>
      <c r="AC170" s="303">
        <f>IFERROR(_xlfn.XLOOKUP($D170,'Modelling New'!$D:$D,'Modelling New'!P:P),"")</f>
        <v>4.91</v>
      </c>
      <c r="AD170" s="294">
        <f>IFERROR(_xlfn.XLOOKUP($D170,'Modelling New'!$D:$D,'Modelling New'!T:T)*1000,"")</f>
        <v>224556.07945408835</v>
      </c>
      <c r="AE170" s="304">
        <f>IFERROR(_xlfn.XLOOKUP($D170,'Modelling New'!$D:$D,'Modelling New'!$O:$O),"")</f>
        <v>0.84115108139007666</v>
      </c>
      <c r="AF170" s="304">
        <f>IFERROR(_xlfn.XLOOKUP($D170,'Modelling New'!$D:$D,'Modelling New'!$W:$W),"")</f>
        <v>0.17208549206771986</v>
      </c>
      <c r="AG170" s="304">
        <f>IFERROR(_xlfn.XLOOKUP($D170,'Modelling New'!$D:$D,'Modelling New'!$AE:$AE),"")</f>
        <v>0.995</v>
      </c>
      <c r="AH170" s="304">
        <f>IFERROR(_xlfn.XLOOKUP($D170,'Modelling New'!$D:$D,'Modelling New'!$AF:$AF),"")</f>
        <v>0.995</v>
      </c>
      <c r="AI170" s="295"/>
      <c r="AJ170" s="295"/>
      <c r="AK170" s="295"/>
      <c r="AL170" s="295"/>
      <c r="AM170" s="295"/>
      <c r="AN170" s="305"/>
      <c r="AO170" s="302"/>
      <c r="AP170" s="302"/>
      <c r="AQ170" s="302"/>
      <c r="AR170" s="294">
        <f>_xlfn.XLOOKUP($D170,'Modelling New'!$D:$D,'Modelling New'!$N:$N)</f>
        <v>54.371250000000003</v>
      </c>
      <c r="AS170" s="294">
        <f t="shared" si="18"/>
        <v>0</v>
      </c>
    </row>
    <row r="171" spans="1:45">
      <c r="A171" s="293">
        <f t="shared" si="19"/>
        <v>45914</v>
      </c>
      <c r="B171" s="294">
        <f>YEAR(Daily_KPI[[#This Row],[Date]])+IF(MONTH(Daily_KPI[[#This Row],[Date]])&gt;=4,1,0)</f>
        <v>2026</v>
      </c>
      <c r="C171" s="295">
        <f>YEAR(Daily_KPI[[#This Row],[Date]])</f>
        <v>2025</v>
      </c>
      <c r="D171" s="296">
        <f>Daily_KPI[[#This Row],[Date]]-DAY(Daily_KPI[[#This Row],[Date]])+1</f>
        <v>45901</v>
      </c>
      <c r="E171" s="295">
        <f t="shared" si="15"/>
        <v>30</v>
      </c>
      <c r="F171" s="297">
        <f>IFERROR(_xlfn.XLOOKUP($A171,Input_Raw!$A:$A,Input_Raw!$AR:$AR),"")</f>
        <v>0</v>
      </c>
      <c r="G171" s="298">
        <f>IFERROR(_xlfn.XLOOKUP($A171,Input_Raw!$A:$A,Input_Raw!$R:$R),"")</f>
        <v>0</v>
      </c>
      <c r="H171" s="298"/>
      <c r="I171" s="298">
        <f>IFERROR(_xlfn.XLOOKUP($A171,Input_Raw!$A:$A,Input_Raw!$Q:$Q),"")</f>
        <v>0</v>
      </c>
      <c r="J171" s="298"/>
      <c r="K171" s="298">
        <f>IFERROR(_xlfn.XLOOKUP($A171,Input_Raw!$A:$A,Input_Raw!S:S),"")</f>
        <v>0</v>
      </c>
      <c r="L171" s="298">
        <f>IFERROR(_xlfn.XLOOKUP($A171,Input_Raw!$A:$A,Input_Raw!T:T),"")</f>
        <v>0</v>
      </c>
      <c r="M171" s="298">
        <f>IFERROR(_xlfn.XLOOKUP($A171,Input_Raw!$A:$A,Input_Raw!W:W),"")</f>
        <v>0</v>
      </c>
      <c r="N171" s="298">
        <f>IFERROR(_xlfn.XLOOKUP($A171,Input_Raw!$A:$A,Input_Raw!X:X),"")</f>
        <v>0</v>
      </c>
      <c r="O171" s="299" t="str">
        <f>IFERROR(1-(SUMIF(Plant_BD!$B:$B,$A171,Plant_BD!$AL:$AL)/($AA171+SUMIF(Plant_BD!$B:$B,$A171,Plant_BD!$AL:$AL))),"")</f>
        <v/>
      </c>
      <c r="P171" s="299"/>
      <c r="Q171" s="300"/>
      <c r="R171" s="299" t="str">
        <f>IFERROR(1-(SUMIF(Grid_BD!$B:$B,$A171,Grid_BD!$V:$V)/($AA171+SUMIF(Grid_BD!$B:$B,$A171,Grid_BD!$V:$V))),"")</f>
        <v/>
      </c>
      <c r="S171" s="295"/>
      <c r="T171" s="300"/>
      <c r="U171" s="301" t="str">
        <f t="shared" si="16"/>
        <v/>
      </c>
      <c r="V171" s="301" t="str">
        <f>IFERROR(_xlfn.XLOOKUP($A171,Input_Raw!$A:$A,Input_Raw!$AX:$AX),"")</f>
        <v/>
      </c>
      <c r="W171" s="302">
        <f t="shared" si="17"/>
        <v>0</v>
      </c>
      <c r="X171" s="294">
        <f>IFERROR(_xlfn.XLOOKUP($A171,Input_Raw!$A:$A,Input_Raw!$AA:$AA),"")</f>
        <v>0</v>
      </c>
      <c r="Y171" s="294">
        <f>IFERROR(_xlfn.XLOOKUP($A171,Input_Raw!$A:$A,Input_Raw!$AS:$AS),"")</f>
        <v>0</v>
      </c>
      <c r="Z171" s="294"/>
      <c r="AA171" s="294">
        <f>IFERROR(_xlfn.XLOOKUP($A171,Input_Raw!$A:$A,Input_Raw!$AT:$AT),"")</f>
        <v>0</v>
      </c>
      <c r="AB171" s="294">
        <f>IFERROR(_xlfn.XLOOKUP($A171,Input_Raw!$A:$A,Input_Raw!$AU:$AU),"")</f>
        <v>0</v>
      </c>
      <c r="AC171" s="303">
        <f>IFERROR(_xlfn.XLOOKUP($D171,'Modelling New'!$D:$D,'Modelling New'!P:P),"")</f>
        <v>4.91</v>
      </c>
      <c r="AD171" s="294">
        <f>IFERROR(_xlfn.XLOOKUP($D171,'Modelling New'!$D:$D,'Modelling New'!T:T)*1000,"")</f>
        <v>224556.07945408835</v>
      </c>
      <c r="AE171" s="304">
        <f>IFERROR(_xlfn.XLOOKUP($D171,'Modelling New'!$D:$D,'Modelling New'!$O:$O),"")</f>
        <v>0.84115108139007666</v>
      </c>
      <c r="AF171" s="304">
        <f>IFERROR(_xlfn.XLOOKUP($D171,'Modelling New'!$D:$D,'Modelling New'!$W:$W),"")</f>
        <v>0.17208549206771986</v>
      </c>
      <c r="AG171" s="304">
        <f>IFERROR(_xlfn.XLOOKUP($D171,'Modelling New'!$D:$D,'Modelling New'!$AE:$AE),"")</f>
        <v>0.995</v>
      </c>
      <c r="AH171" s="304">
        <f>IFERROR(_xlfn.XLOOKUP($D171,'Modelling New'!$D:$D,'Modelling New'!$AF:$AF),"")</f>
        <v>0.995</v>
      </c>
      <c r="AI171" s="295"/>
      <c r="AJ171" s="295"/>
      <c r="AK171" s="295"/>
      <c r="AL171" s="295"/>
      <c r="AM171" s="295"/>
      <c r="AN171" s="305"/>
      <c r="AO171" s="302"/>
      <c r="AP171" s="302"/>
      <c r="AQ171" s="302"/>
      <c r="AR171" s="294">
        <f>_xlfn.XLOOKUP($D171,'Modelling New'!$D:$D,'Modelling New'!$N:$N)</f>
        <v>54.371250000000003</v>
      </c>
      <c r="AS171" s="294">
        <f t="shared" si="18"/>
        <v>0</v>
      </c>
    </row>
    <row r="172" spans="1:45">
      <c r="A172" s="293">
        <f t="shared" si="19"/>
        <v>45915</v>
      </c>
      <c r="B172" s="294">
        <f>YEAR(Daily_KPI[[#This Row],[Date]])+IF(MONTH(Daily_KPI[[#This Row],[Date]])&gt;=4,1,0)</f>
        <v>2026</v>
      </c>
      <c r="C172" s="295">
        <f>YEAR(Daily_KPI[[#This Row],[Date]])</f>
        <v>2025</v>
      </c>
      <c r="D172" s="296">
        <f>Daily_KPI[[#This Row],[Date]]-DAY(Daily_KPI[[#This Row],[Date]])+1</f>
        <v>45901</v>
      </c>
      <c r="E172" s="295">
        <f t="shared" si="15"/>
        <v>30</v>
      </c>
      <c r="F172" s="297">
        <f>IFERROR(_xlfn.XLOOKUP($A172,Input_Raw!$A:$A,Input_Raw!$AR:$AR),"")</f>
        <v>0</v>
      </c>
      <c r="G172" s="298">
        <f>IFERROR(_xlfn.XLOOKUP($A172,Input_Raw!$A:$A,Input_Raw!$R:$R),"")</f>
        <v>0</v>
      </c>
      <c r="H172" s="298"/>
      <c r="I172" s="298">
        <f>IFERROR(_xlfn.XLOOKUP($A172,Input_Raw!$A:$A,Input_Raw!$Q:$Q),"")</f>
        <v>0</v>
      </c>
      <c r="J172" s="298"/>
      <c r="K172" s="298">
        <f>IFERROR(_xlfn.XLOOKUP($A172,Input_Raw!$A:$A,Input_Raw!S:S),"")</f>
        <v>0</v>
      </c>
      <c r="L172" s="298">
        <f>IFERROR(_xlfn.XLOOKUP($A172,Input_Raw!$A:$A,Input_Raw!T:T),"")</f>
        <v>0</v>
      </c>
      <c r="M172" s="298">
        <f>IFERROR(_xlfn.XLOOKUP($A172,Input_Raw!$A:$A,Input_Raw!W:W),"")</f>
        <v>0</v>
      </c>
      <c r="N172" s="298">
        <f>IFERROR(_xlfn.XLOOKUP($A172,Input_Raw!$A:$A,Input_Raw!X:X),"")</f>
        <v>0</v>
      </c>
      <c r="O172" s="299" t="str">
        <f>IFERROR(1-(SUMIF(Plant_BD!$B:$B,$A172,Plant_BD!$AL:$AL)/($AA172+SUMIF(Plant_BD!$B:$B,$A172,Plant_BD!$AL:$AL))),"")</f>
        <v/>
      </c>
      <c r="P172" s="299"/>
      <c r="Q172" s="300"/>
      <c r="R172" s="299" t="str">
        <f>IFERROR(1-(SUMIF(Grid_BD!$B:$B,$A172,Grid_BD!$V:$V)/($AA172+SUMIF(Grid_BD!$B:$B,$A172,Grid_BD!$V:$V))),"")</f>
        <v/>
      </c>
      <c r="S172" s="295"/>
      <c r="T172" s="300"/>
      <c r="U172" s="301" t="str">
        <f t="shared" si="16"/>
        <v/>
      </c>
      <c r="V172" s="301" t="str">
        <f>IFERROR(_xlfn.XLOOKUP($A172,Input_Raw!$A:$A,Input_Raw!$AX:$AX),"")</f>
        <v/>
      </c>
      <c r="W172" s="302">
        <f t="shared" si="17"/>
        <v>0</v>
      </c>
      <c r="X172" s="294">
        <f>IFERROR(_xlfn.XLOOKUP($A172,Input_Raw!$A:$A,Input_Raw!$AA:$AA),"")</f>
        <v>0</v>
      </c>
      <c r="Y172" s="294">
        <f>IFERROR(_xlfn.XLOOKUP($A172,Input_Raw!$A:$A,Input_Raw!$AS:$AS),"")</f>
        <v>0</v>
      </c>
      <c r="Z172" s="294"/>
      <c r="AA172" s="294">
        <f>IFERROR(_xlfn.XLOOKUP($A172,Input_Raw!$A:$A,Input_Raw!$AT:$AT),"")</f>
        <v>0</v>
      </c>
      <c r="AB172" s="294">
        <f>IFERROR(_xlfn.XLOOKUP($A172,Input_Raw!$A:$A,Input_Raw!$AU:$AU),"")</f>
        <v>0</v>
      </c>
      <c r="AC172" s="303">
        <f>IFERROR(_xlfn.XLOOKUP($D172,'Modelling New'!$D:$D,'Modelling New'!P:P),"")</f>
        <v>4.91</v>
      </c>
      <c r="AD172" s="294">
        <f>IFERROR(_xlfn.XLOOKUP($D172,'Modelling New'!$D:$D,'Modelling New'!T:T)*1000,"")</f>
        <v>224556.07945408835</v>
      </c>
      <c r="AE172" s="304">
        <f>IFERROR(_xlfn.XLOOKUP($D172,'Modelling New'!$D:$D,'Modelling New'!$O:$O),"")</f>
        <v>0.84115108139007666</v>
      </c>
      <c r="AF172" s="304">
        <f>IFERROR(_xlfn.XLOOKUP($D172,'Modelling New'!$D:$D,'Modelling New'!$W:$W),"")</f>
        <v>0.17208549206771986</v>
      </c>
      <c r="AG172" s="304">
        <f>IFERROR(_xlfn.XLOOKUP($D172,'Modelling New'!$D:$D,'Modelling New'!$AE:$AE),"")</f>
        <v>0.995</v>
      </c>
      <c r="AH172" s="304">
        <f>IFERROR(_xlfn.XLOOKUP($D172,'Modelling New'!$D:$D,'Modelling New'!$AF:$AF),"")</f>
        <v>0.995</v>
      </c>
      <c r="AI172" s="295"/>
      <c r="AJ172" s="295"/>
      <c r="AK172" s="295"/>
      <c r="AL172" s="295"/>
      <c r="AM172" s="295"/>
      <c r="AN172" s="305"/>
      <c r="AO172" s="302"/>
      <c r="AP172" s="302"/>
      <c r="AQ172" s="302"/>
      <c r="AR172" s="294">
        <f>_xlfn.XLOOKUP($D172,'Modelling New'!$D:$D,'Modelling New'!$N:$N)</f>
        <v>54.371250000000003</v>
      </c>
      <c r="AS172" s="294">
        <f t="shared" si="18"/>
        <v>0</v>
      </c>
    </row>
    <row r="173" spans="1:45">
      <c r="A173" s="293">
        <f t="shared" si="19"/>
        <v>45916</v>
      </c>
      <c r="B173" s="294">
        <f>YEAR(Daily_KPI[[#This Row],[Date]])+IF(MONTH(Daily_KPI[[#This Row],[Date]])&gt;=4,1,0)</f>
        <v>2026</v>
      </c>
      <c r="C173" s="295">
        <f>YEAR(Daily_KPI[[#This Row],[Date]])</f>
        <v>2025</v>
      </c>
      <c r="D173" s="296">
        <f>Daily_KPI[[#This Row],[Date]]-DAY(Daily_KPI[[#This Row],[Date]])+1</f>
        <v>45901</v>
      </c>
      <c r="E173" s="295">
        <f t="shared" si="15"/>
        <v>30</v>
      </c>
      <c r="F173" s="297">
        <f>IFERROR(_xlfn.XLOOKUP($A173,Input_Raw!$A:$A,Input_Raw!$AR:$AR),"")</f>
        <v>0</v>
      </c>
      <c r="G173" s="298">
        <f>IFERROR(_xlfn.XLOOKUP($A173,Input_Raw!$A:$A,Input_Raw!$R:$R),"")</f>
        <v>0</v>
      </c>
      <c r="H173" s="298"/>
      <c r="I173" s="298">
        <f>IFERROR(_xlfn.XLOOKUP($A173,Input_Raw!$A:$A,Input_Raw!$Q:$Q),"")</f>
        <v>0</v>
      </c>
      <c r="J173" s="298"/>
      <c r="K173" s="298">
        <f>IFERROR(_xlfn.XLOOKUP($A173,Input_Raw!$A:$A,Input_Raw!S:S),"")</f>
        <v>0</v>
      </c>
      <c r="L173" s="298">
        <f>IFERROR(_xlfn.XLOOKUP($A173,Input_Raw!$A:$A,Input_Raw!T:T),"")</f>
        <v>0</v>
      </c>
      <c r="M173" s="298">
        <f>IFERROR(_xlfn.XLOOKUP($A173,Input_Raw!$A:$A,Input_Raw!W:W),"")</f>
        <v>0</v>
      </c>
      <c r="N173" s="298">
        <f>IFERROR(_xlfn.XLOOKUP($A173,Input_Raw!$A:$A,Input_Raw!X:X),"")</f>
        <v>0</v>
      </c>
      <c r="O173" s="299" t="str">
        <f>IFERROR(1-(SUMIF(Plant_BD!$B:$B,$A173,Plant_BD!$AL:$AL)/($AA173+SUMIF(Plant_BD!$B:$B,$A173,Plant_BD!$AL:$AL))),"")</f>
        <v/>
      </c>
      <c r="P173" s="299"/>
      <c r="Q173" s="300"/>
      <c r="R173" s="299" t="str">
        <f>IFERROR(1-(SUMIF(Grid_BD!$B:$B,$A173,Grid_BD!$V:$V)/($AA173+SUMIF(Grid_BD!$B:$B,$A173,Grid_BD!$V:$V))),"")</f>
        <v/>
      </c>
      <c r="S173" s="295"/>
      <c r="T173" s="300"/>
      <c r="U173" s="301" t="str">
        <f t="shared" si="16"/>
        <v/>
      </c>
      <c r="V173" s="301" t="str">
        <f>IFERROR(_xlfn.XLOOKUP($A173,Input_Raw!$A:$A,Input_Raw!$AX:$AX),"")</f>
        <v/>
      </c>
      <c r="W173" s="302">
        <f t="shared" si="17"/>
        <v>0</v>
      </c>
      <c r="X173" s="294">
        <f>IFERROR(_xlfn.XLOOKUP($A173,Input_Raw!$A:$A,Input_Raw!$AA:$AA),"")</f>
        <v>0</v>
      </c>
      <c r="Y173" s="294">
        <f>IFERROR(_xlfn.XLOOKUP($A173,Input_Raw!$A:$A,Input_Raw!$AS:$AS),"")</f>
        <v>0</v>
      </c>
      <c r="Z173" s="294"/>
      <c r="AA173" s="294">
        <f>IFERROR(_xlfn.XLOOKUP($A173,Input_Raw!$A:$A,Input_Raw!$AT:$AT),"")</f>
        <v>0</v>
      </c>
      <c r="AB173" s="294">
        <f>IFERROR(_xlfn.XLOOKUP($A173,Input_Raw!$A:$A,Input_Raw!$AU:$AU),"")</f>
        <v>0</v>
      </c>
      <c r="AC173" s="303">
        <f>IFERROR(_xlfn.XLOOKUP($D173,'Modelling New'!$D:$D,'Modelling New'!P:P),"")</f>
        <v>4.91</v>
      </c>
      <c r="AD173" s="294">
        <f>IFERROR(_xlfn.XLOOKUP($D173,'Modelling New'!$D:$D,'Modelling New'!T:T)*1000,"")</f>
        <v>224556.07945408835</v>
      </c>
      <c r="AE173" s="304">
        <f>IFERROR(_xlfn.XLOOKUP($D173,'Modelling New'!$D:$D,'Modelling New'!$O:$O),"")</f>
        <v>0.84115108139007666</v>
      </c>
      <c r="AF173" s="304">
        <f>IFERROR(_xlfn.XLOOKUP($D173,'Modelling New'!$D:$D,'Modelling New'!$W:$W),"")</f>
        <v>0.17208549206771986</v>
      </c>
      <c r="AG173" s="304">
        <f>IFERROR(_xlfn.XLOOKUP($D173,'Modelling New'!$D:$D,'Modelling New'!$AE:$AE),"")</f>
        <v>0.995</v>
      </c>
      <c r="AH173" s="304">
        <f>IFERROR(_xlfn.XLOOKUP($D173,'Modelling New'!$D:$D,'Modelling New'!$AF:$AF),"")</f>
        <v>0.995</v>
      </c>
      <c r="AI173" s="295"/>
      <c r="AJ173" s="295"/>
      <c r="AK173" s="295"/>
      <c r="AL173" s="295"/>
      <c r="AM173" s="295"/>
      <c r="AN173" s="305"/>
      <c r="AO173" s="302"/>
      <c r="AP173" s="302"/>
      <c r="AQ173" s="302"/>
      <c r="AR173" s="294">
        <f>_xlfn.XLOOKUP($D173,'Modelling New'!$D:$D,'Modelling New'!$N:$N)</f>
        <v>54.371250000000003</v>
      </c>
      <c r="AS173" s="294">
        <f t="shared" si="18"/>
        <v>0</v>
      </c>
    </row>
    <row r="174" spans="1:45">
      <c r="A174" s="293">
        <f t="shared" si="19"/>
        <v>45917</v>
      </c>
      <c r="B174" s="294">
        <f>YEAR(Daily_KPI[[#This Row],[Date]])+IF(MONTH(Daily_KPI[[#This Row],[Date]])&gt;=4,1,0)</f>
        <v>2026</v>
      </c>
      <c r="C174" s="295">
        <f>YEAR(Daily_KPI[[#This Row],[Date]])</f>
        <v>2025</v>
      </c>
      <c r="D174" s="296">
        <f>Daily_KPI[[#This Row],[Date]]-DAY(Daily_KPI[[#This Row],[Date]])+1</f>
        <v>45901</v>
      </c>
      <c r="E174" s="295">
        <f t="shared" si="15"/>
        <v>30</v>
      </c>
      <c r="F174" s="297">
        <f>IFERROR(_xlfn.XLOOKUP($A174,Input_Raw!$A:$A,Input_Raw!$AR:$AR),"")</f>
        <v>0</v>
      </c>
      <c r="G174" s="298">
        <f>IFERROR(_xlfn.XLOOKUP($A174,Input_Raw!$A:$A,Input_Raw!$R:$R),"")</f>
        <v>0</v>
      </c>
      <c r="H174" s="298"/>
      <c r="I174" s="298">
        <f>IFERROR(_xlfn.XLOOKUP($A174,Input_Raw!$A:$A,Input_Raw!$Q:$Q),"")</f>
        <v>0</v>
      </c>
      <c r="J174" s="298"/>
      <c r="K174" s="298">
        <f>IFERROR(_xlfn.XLOOKUP($A174,Input_Raw!$A:$A,Input_Raw!S:S),"")</f>
        <v>0</v>
      </c>
      <c r="L174" s="298">
        <f>IFERROR(_xlfn.XLOOKUP($A174,Input_Raw!$A:$A,Input_Raw!T:T),"")</f>
        <v>0</v>
      </c>
      <c r="M174" s="298">
        <f>IFERROR(_xlfn.XLOOKUP($A174,Input_Raw!$A:$A,Input_Raw!W:W),"")</f>
        <v>0</v>
      </c>
      <c r="N174" s="298">
        <f>IFERROR(_xlfn.XLOOKUP($A174,Input_Raw!$A:$A,Input_Raw!X:X),"")</f>
        <v>0</v>
      </c>
      <c r="O174" s="299" t="str">
        <f>IFERROR(1-(SUMIF(Plant_BD!$B:$B,$A174,Plant_BD!$AL:$AL)/($AA174+SUMIF(Plant_BD!$B:$B,$A174,Plant_BD!$AL:$AL))),"")</f>
        <v/>
      </c>
      <c r="P174" s="299"/>
      <c r="Q174" s="300"/>
      <c r="R174" s="299" t="str">
        <f>IFERROR(1-(SUMIF(Grid_BD!$B:$B,$A174,Grid_BD!$V:$V)/($AA174+SUMIF(Grid_BD!$B:$B,$A174,Grid_BD!$V:$V))),"")</f>
        <v/>
      </c>
      <c r="S174" s="295"/>
      <c r="T174" s="300"/>
      <c r="U174" s="301" t="str">
        <f t="shared" si="16"/>
        <v/>
      </c>
      <c r="V174" s="301" t="str">
        <f>IFERROR(_xlfn.XLOOKUP($A174,Input_Raw!$A:$A,Input_Raw!$AX:$AX),"")</f>
        <v/>
      </c>
      <c r="W174" s="302">
        <f t="shared" si="17"/>
        <v>0</v>
      </c>
      <c r="X174" s="294">
        <f>IFERROR(_xlfn.XLOOKUP($A174,Input_Raw!$A:$A,Input_Raw!$AA:$AA),"")</f>
        <v>0</v>
      </c>
      <c r="Y174" s="294">
        <f>IFERROR(_xlfn.XLOOKUP($A174,Input_Raw!$A:$A,Input_Raw!$AS:$AS),"")</f>
        <v>0</v>
      </c>
      <c r="Z174" s="294"/>
      <c r="AA174" s="294">
        <f>IFERROR(_xlfn.XLOOKUP($A174,Input_Raw!$A:$A,Input_Raw!$AT:$AT),"")</f>
        <v>0</v>
      </c>
      <c r="AB174" s="294">
        <f>IFERROR(_xlfn.XLOOKUP($A174,Input_Raw!$A:$A,Input_Raw!$AU:$AU),"")</f>
        <v>0</v>
      </c>
      <c r="AC174" s="303">
        <f>IFERROR(_xlfn.XLOOKUP($D174,'Modelling New'!$D:$D,'Modelling New'!P:P),"")</f>
        <v>4.91</v>
      </c>
      <c r="AD174" s="294">
        <f>IFERROR(_xlfn.XLOOKUP($D174,'Modelling New'!$D:$D,'Modelling New'!T:T)*1000,"")</f>
        <v>224556.07945408835</v>
      </c>
      <c r="AE174" s="304">
        <f>IFERROR(_xlfn.XLOOKUP($D174,'Modelling New'!$D:$D,'Modelling New'!$O:$O),"")</f>
        <v>0.84115108139007666</v>
      </c>
      <c r="AF174" s="304">
        <f>IFERROR(_xlfn.XLOOKUP($D174,'Modelling New'!$D:$D,'Modelling New'!$W:$W),"")</f>
        <v>0.17208549206771986</v>
      </c>
      <c r="AG174" s="304">
        <f>IFERROR(_xlfn.XLOOKUP($D174,'Modelling New'!$D:$D,'Modelling New'!$AE:$AE),"")</f>
        <v>0.995</v>
      </c>
      <c r="AH174" s="304">
        <f>IFERROR(_xlfn.XLOOKUP($D174,'Modelling New'!$D:$D,'Modelling New'!$AF:$AF),"")</f>
        <v>0.995</v>
      </c>
      <c r="AI174" s="295"/>
      <c r="AJ174" s="295"/>
      <c r="AK174" s="295"/>
      <c r="AL174" s="295"/>
      <c r="AM174" s="295"/>
      <c r="AN174" s="305"/>
      <c r="AO174" s="302"/>
      <c r="AP174" s="302"/>
      <c r="AQ174" s="302"/>
      <c r="AR174" s="294">
        <f>_xlfn.XLOOKUP($D174,'Modelling New'!$D:$D,'Modelling New'!$N:$N)</f>
        <v>54.371250000000003</v>
      </c>
      <c r="AS174" s="294">
        <f t="shared" si="18"/>
        <v>0</v>
      </c>
    </row>
    <row r="175" spans="1:45">
      <c r="A175" s="293">
        <f t="shared" si="19"/>
        <v>45918</v>
      </c>
      <c r="B175" s="294">
        <f>YEAR(Daily_KPI[[#This Row],[Date]])+IF(MONTH(Daily_KPI[[#This Row],[Date]])&gt;=4,1,0)</f>
        <v>2026</v>
      </c>
      <c r="C175" s="295">
        <f>YEAR(Daily_KPI[[#This Row],[Date]])</f>
        <v>2025</v>
      </c>
      <c r="D175" s="296">
        <f>Daily_KPI[[#This Row],[Date]]-DAY(Daily_KPI[[#This Row],[Date]])+1</f>
        <v>45901</v>
      </c>
      <c r="E175" s="295">
        <f t="shared" si="15"/>
        <v>30</v>
      </c>
      <c r="F175" s="297">
        <f>IFERROR(_xlfn.XLOOKUP($A175,Input_Raw!$A:$A,Input_Raw!$AR:$AR),"")</f>
        <v>0</v>
      </c>
      <c r="G175" s="298">
        <f>IFERROR(_xlfn.XLOOKUP($A175,Input_Raw!$A:$A,Input_Raw!$R:$R),"")</f>
        <v>0</v>
      </c>
      <c r="H175" s="298"/>
      <c r="I175" s="298">
        <f>IFERROR(_xlfn.XLOOKUP($A175,Input_Raw!$A:$A,Input_Raw!$Q:$Q),"")</f>
        <v>0</v>
      </c>
      <c r="J175" s="298"/>
      <c r="K175" s="298">
        <f>IFERROR(_xlfn.XLOOKUP($A175,Input_Raw!$A:$A,Input_Raw!S:S),"")</f>
        <v>0</v>
      </c>
      <c r="L175" s="298">
        <f>IFERROR(_xlfn.XLOOKUP($A175,Input_Raw!$A:$A,Input_Raw!T:T),"")</f>
        <v>0</v>
      </c>
      <c r="M175" s="298">
        <f>IFERROR(_xlfn.XLOOKUP($A175,Input_Raw!$A:$A,Input_Raw!W:W),"")</f>
        <v>0</v>
      </c>
      <c r="N175" s="298">
        <f>IFERROR(_xlfn.XLOOKUP($A175,Input_Raw!$A:$A,Input_Raw!X:X),"")</f>
        <v>0</v>
      </c>
      <c r="O175" s="299" t="str">
        <f>IFERROR(1-(SUMIF(Plant_BD!$B:$B,$A175,Plant_BD!$AL:$AL)/($AA175+SUMIF(Plant_BD!$B:$B,$A175,Plant_BD!$AL:$AL))),"")</f>
        <v/>
      </c>
      <c r="P175" s="299"/>
      <c r="Q175" s="300"/>
      <c r="R175" s="299" t="str">
        <f>IFERROR(1-(SUMIF(Grid_BD!$B:$B,$A175,Grid_BD!$V:$V)/($AA175+SUMIF(Grid_BD!$B:$B,$A175,Grid_BD!$V:$V))),"")</f>
        <v/>
      </c>
      <c r="S175" s="295"/>
      <c r="T175" s="300"/>
      <c r="U175" s="301" t="str">
        <f t="shared" si="16"/>
        <v/>
      </c>
      <c r="V175" s="301" t="str">
        <f>IFERROR(_xlfn.XLOOKUP($A175,Input_Raw!$A:$A,Input_Raw!$AX:$AX),"")</f>
        <v/>
      </c>
      <c r="W175" s="302">
        <f t="shared" si="17"/>
        <v>0</v>
      </c>
      <c r="X175" s="294">
        <f>IFERROR(_xlfn.XLOOKUP($A175,Input_Raw!$A:$A,Input_Raw!$AA:$AA),"")</f>
        <v>0</v>
      </c>
      <c r="Y175" s="294">
        <f>IFERROR(_xlfn.XLOOKUP($A175,Input_Raw!$A:$A,Input_Raw!$AS:$AS),"")</f>
        <v>0</v>
      </c>
      <c r="Z175" s="294"/>
      <c r="AA175" s="294">
        <f>IFERROR(_xlfn.XLOOKUP($A175,Input_Raw!$A:$A,Input_Raw!$AT:$AT),"")</f>
        <v>0</v>
      </c>
      <c r="AB175" s="294">
        <f>IFERROR(_xlfn.XLOOKUP($A175,Input_Raw!$A:$A,Input_Raw!$AU:$AU),"")</f>
        <v>0</v>
      </c>
      <c r="AC175" s="303">
        <f>IFERROR(_xlfn.XLOOKUP($D175,'Modelling New'!$D:$D,'Modelling New'!P:P),"")</f>
        <v>4.91</v>
      </c>
      <c r="AD175" s="294">
        <f>IFERROR(_xlfn.XLOOKUP($D175,'Modelling New'!$D:$D,'Modelling New'!T:T)*1000,"")</f>
        <v>224556.07945408835</v>
      </c>
      <c r="AE175" s="304">
        <f>IFERROR(_xlfn.XLOOKUP($D175,'Modelling New'!$D:$D,'Modelling New'!$O:$O),"")</f>
        <v>0.84115108139007666</v>
      </c>
      <c r="AF175" s="304">
        <f>IFERROR(_xlfn.XLOOKUP($D175,'Modelling New'!$D:$D,'Modelling New'!$W:$W),"")</f>
        <v>0.17208549206771986</v>
      </c>
      <c r="AG175" s="304">
        <f>IFERROR(_xlfn.XLOOKUP($D175,'Modelling New'!$D:$D,'Modelling New'!$AE:$AE),"")</f>
        <v>0.995</v>
      </c>
      <c r="AH175" s="304">
        <f>IFERROR(_xlfn.XLOOKUP($D175,'Modelling New'!$D:$D,'Modelling New'!$AF:$AF),"")</f>
        <v>0.995</v>
      </c>
      <c r="AI175" s="295"/>
      <c r="AJ175" s="295"/>
      <c r="AK175" s="295"/>
      <c r="AL175" s="295"/>
      <c r="AM175" s="295"/>
      <c r="AN175" s="305"/>
      <c r="AO175" s="302"/>
      <c r="AP175" s="302"/>
      <c r="AQ175" s="302"/>
      <c r="AR175" s="294">
        <f>_xlfn.XLOOKUP($D175,'Modelling New'!$D:$D,'Modelling New'!$N:$N)</f>
        <v>54.371250000000003</v>
      </c>
      <c r="AS175" s="294">
        <f t="shared" si="18"/>
        <v>0</v>
      </c>
    </row>
    <row r="176" spans="1:45">
      <c r="A176" s="293">
        <f t="shared" si="19"/>
        <v>45919</v>
      </c>
      <c r="B176" s="294">
        <f>YEAR(Daily_KPI[[#This Row],[Date]])+IF(MONTH(Daily_KPI[[#This Row],[Date]])&gt;=4,1,0)</f>
        <v>2026</v>
      </c>
      <c r="C176" s="295">
        <f>YEAR(Daily_KPI[[#This Row],[Date]])</f>
        <v>2025</v>
      </c>
      <c r="D176" s="296">
        <f>Daily_KPI[[#This Row],[Date]]-DAY(Daily_KPI[[#This Row],[Date]])+1</f>
        <v>45901</v>
      </c>
      <c r="E176" s="295">
        <f t="shared" si="15"/>
        <v>30</v>
      </c>
      <c r="F176" s="297">
        <f>IFERROR(_xlfn.XLOOKUP($A176,Input_Raw!$A:$A,Input_Raw!$AR:$AR),"")</f>
        <v>0</v>
      </c>
      <c r="G176" s="298">
        <f>IFERROR(_xlfn.XLOOKUP($A176,Input_Raw!$A:$A,Input_Raw!$R:$R),"")</f>
        <v>0</v>
      </c>
      <c r="H176" s="298"/>
      <c r="I176" s="298">
        <f>IFERROR(_xlfn.XLOOKUP($A176,Input_Raw!$A:$A,Input_Raw!$Q:$Q),"")</f>
        <v>0</v>
      </c>
      <c r="J176" s="298"/>
      <c r="K176" s="298">
        <f>IFERROR(_xlfn.XLOOKUP($A176,Input_Raw!$A:$A,Input_Raw!S:S),"")</f>
        <v>0</v>
      </c>
      <c r="L176" s="298">
        <f>IFERROR(_xlfn.XLOOKUP($A176,Input_Raw!$A:$A,Input_Raw!T:T),"")</f>
        <v>0</v>
      </c>
      <c r="M176" s="298">
        <f>IFERROR(_xlfn.XLOOKUP($A176,Input_Raw!$A:$A,Input_Raw!W:W),"")</f>
        <v>0</v>
      </c>
      <c r="N176" s="298">
        <f>IFERROR(_xlfn.XLOOKUP($A176,Input_Raw!$A:$A,Input_Raw!X:X),"")</f>
        <v>0</v>
      </c>
      <c r="O176" s="299" t="str">
        <f>IFERROR(1-(SUMIF(Plant_BD!$B:$B,$A176,Plant_BD!$AL:$AL)/($AA176+SUMIF(Plant_BD!$B:$B,$A176,Plant_BD!$AL:$AL))),"")</f>
        <v/>
      </c>
      <c r="P176" s="299"/>
      <c r="Q176" s="300"/>
      <c r="R176" s="299" t="str">
        <f>IFERROR(1-(SUMIF(Grid_BD!$B:$B,$A176,Grid_BD!$V:$V)/($AA176+SUMIF(Grid_BD!$B:$B,$A176,Grid_BD!$V:$V))),"")</f>
        <v/>
      </c>
      <c r="S176" s="295"/>
      <c r="T176" s="300"/>
      <c r="U176" s="301" t="str">
        <f t="shared" si="16"/>
        <v/>
      </c>
      <c r="V176" s="301" t="str">
        <f>IFERROR(_xlfn.XLOOKUP($A176,Input_Raw!$A:$A,Input_Raw!$AX:$AX),"")</f>
        <v/>
      </c>
      <c r="W176" s="302">
        <f t="shared" si="17"/>
        <v>0</v>
      </c>
      <c r="X176" s="294">
        <f>IFERROR(_xlfn.XLOOKUP($A176,Input_Raw!$A:$A,Input_Raw!$AA:$AA),"")</f>
        <v>0</v>
      </c>
      <c r="Y176" s="294">
        <f>IFERROR(_xlfn.XLOOKUP($A176,Input_Raw!$A:$A,Input_Raw!$AS:$AS),"")</f>
        <v>0</v>
      </c>
      <c r="Z176" s="294"/>
      <c r="AA176" s="294">
        <f>IFERROR(_xlfn.XLOOKUP($A176,Input_Raw!$A:$A,Input_Raw!$AT:$AT),"")</f>
        <v>0</v>
      </c>
      <c r="AB176" s="294">
        <f>IFERROR(_xlfn.XLOOKUP($A176,Input_Raw!$A:$A,Input_Raw!$AU:$AU),"")</f>
        <v>0</v>
      </c>
      <c r="AC176" s="303">
        <f>IFERROR(_xlfn.XLOOKUP($D176,'Modelling New'!$D:$D,'Modelling New'!P:P),"")</f>
        <v>4.91</v>
      </c>
      <c r="AD176" s="294">
        <f>IFERROR(_xlfn.XLOOKUP($D176,'Modelling New'!$D:$D,'Modelling New'!T:T)*1000,"")</f>
        <v>224556.07945408835</v>
      </c>
      <c r="AE176" s="304">
        <f>IFERROR(_xlfn.XLOOKUP($D176,'Modelling New'!$D:$D,'Modelling New'!$O:$O),"")</f>
        <v>0.84115108139007666</v>
      </c>
      <c r="AF176" s="304">
        <f>IFERROR(_xlfn.XLOOKUP($D176,'Modelling New'!$D:$D,'Modelling New'!$W:$W),"")</f>
        <v>0.17208549206771986</v>
      </c>
      <c r="AG176" s="304">
        <f>IFERROR(_xlfn.XLOOKUP($D176,'Modelling New'!$D:$D,'Modelling New'!$AE:$AE),"")</f>
        <v>0.995</v>
      </c>
      <c r="AH176" s="304">
        <f>IFERROR(_xlfn.XLOOKUP($D176,'Modelling New'!$D:$D,'Modelling New'!$AF:$AF),"")</f>
        <v>0.995</v>
      </c>
      <c r="AI176" s="295"/>
      <c r="AJ176" s="295"/>
      <c r="AK176" s="295"/>
      <c r="AL176" s="295"/>
      <c r="AM176" s="295"/>
      <c r="AN176" s="305"/>
      <c r="AO176" s="302"/>
      <c r="AP176" s="302"/>
      <c r="AQ176" s="302"/>
      <c r="AR176" s="294">
        <f>_xlfn.XLOOKUP($D176,'Modelling New'!$D:$D,'Modelling New'!$N:$N)</f>
        <v>54.371250000000003</v>
      </c>
      <c r="AS176" s="294">
        <f t="shared" si="18"/>
        <v>0</v>
      </c>
    </row>
    <row r="177" spans="1:45">
      <c r="A177" s="293">
        <f t="shared" si="19"/>
        <v>45920</v>
      </c>
      <c r="B177" s="294">
        <f>YEAR(Daily_KPI[[#This Row],[Date]])+IF(MONTH(Daily_KPI[[#This Row],[Date]])&gt;=4,1,0)</f>
        <v>2026</v>
      </c>
      <c r="C177" s="295">
        <f>YEAR(Daily_KPI[[#This Row],[Date]])</f>
        <v>2025</v>
      </c>
      <c r="D177" s="296">
        <f>Daily_KPI[[#This Row],[Date]]-DAY(Daily_KPI[[#This Row],[Date]])+1</f>
        <v>45901</v>
      </c>
      <c r="E177" s="295">
        <f t="shared" si="15"/>
        <v>30</v>
      </c>
      <c r="F177" s="297">
        <f>IFERROR(_xlfn.XLOOKUP($A177,Input_Raw!$A:$A,Input_Raw!$AR:$AR),"")</f>
        <v>0</v>
      </c>
      <c r="G177" s="298">
        <f>IFERROR(_xlfn.XLOOKUP($A177,Input_Raw!$A:$A,Input_Raw!$R:$R),"")</f>
        <v>0</v>
      </c>
      <c r="H177" s="298"/>
      <c r="I177" s="298">
        <f>IFERROR(_xlfn.XLOOKUP($A177,Input_Raw!$A:$A,Input_Raw!$Q:$Q),"")</f>
        <v>0</v>
      </c>
      <c r="J177" s="298"/>
      <c r="K177" s="298">
        <f>IFERROR(_xlfn.XLOOKUP($A177,Input_Raw!$A:$A,Input_Raw!S:S),"")</f>
        <v>0</v>
      </c>
      <c r="L177" s="298">
        <f>IFERROR(_xlfn.XLOOKUP($A177,Input_Raw!$A:$A,Input_Raw!T:T),"")</f>
        <v>0</v>
      </c>
      <c r="M177" s="298">
        <f>IFERROR(_xlfn.XLOOKUP($A177,Input_Raw!$A:$A,Input_Raw!W:W),"")</f>
        <v>0</v>
      </c>
      <c r="N177" s="298">
        <f>IFERROR(_xlfn.XLOOKUP($A177,Input_Raw!$A:$A,Input_Raw!X:X),"")</f>
        <v>0</v>
      </c>
      <c r="O177" s="299" t="str">
        <f>IFERROR(1-(SUMIF(Plant_BD!$B:$B,$A177,Plant_BD!$AL:$AL)/($AA177+SUMIF(Plant_BD!$B:$B,$A177,Plant_BD!$AL:$AL))),"")</f>
        <v/>
      </c>
      <c r="P177" s="299"/>
      <c r="Q177" s="300"/>
      <c r="R177" s="299" t="str">
        <f>IFERROR(1-(SUMIF(Grid_BD!$B:$B,$A177,Grid_BD!$V:$V)/($AA177+SUMIF(Grid_BD!$B:$B,$A177,Grid_BD!$V:$V))),"")</f>
        <v/>
      </c>
      <c r="S177" s="295"/>
      <c r="T177" s="300"/>
      <c r="U177" s="301" t="str">
        <f t="shared" si="16"/>
        <v/>
      </c>
      <c r="V177" s="301" t="str">
        <f>IFERROR(_xlfn.XLOOKUP($A177,Input_Raw!$A:$A,Input_Raw!$AX:$AX),"")</f>
        <v/>
      </c>
      <c r="W177" s="302">
        <f t="shared" si="17"/>
        <v>0</v>
      </c>
      <c r="X177" s="294">
        <f>IFERROR(_xlfn.XLOOKUP($A177,Input_Raw!$A:$A,Input_Raw!$AA:$AA),"")</f>
        <v>0</v>
      </c>
      <c r="Y177" s="294">
        <f>IFERROR(_xlfn.XLOOKUP($A177,Input_Raw!$A:$A,Input_Raw!$AS:$AS),"")</f>
        <v>0</v>
      </c>
      <c r="Z177" s="294"/>
      <c r="AA177" s="294">
        <f>IFERROR(_xlfn.XLOOKUP($A177,Input_Raw!$A:$A,Input_Raw!$AT:$AT),"")</f>
        <v>0</v>
      </c>
      <c r="AB177" s="294">
        <f>IFERROR(_xlfn.XLOOKUP($A177,Input_Raw!$A:$A,Input_Raw!$AU:$AU),"")</f>
        <v>0</v>
      </c>
      <c r="AC177" s="303">
        <f>IFERROR(_xlfn.XLOOKUP($D177,'Modelling New'!$D:$D,'Modelling New'!P:P),"")</f>
        <v>4.91</v>
      </c>
      <c r="AD177" s="294">
        <f>IFERROR(_xlfn.XLOOKUP($D177,'Modelling New'!$D:$D,'Modelling New'!T:T)*1000,"")</f>
        <v>224556.07945408835</v>
      </c>
      <c r="AE177" s="304">
        <f>IFERROR(_xlfn.XLOOKUP($D177,'Modelling New'!$D:$D,'Modelling New'!$O:$O),"")</f>
        <v>0.84115108139007666</v>
      </c>
      <c r="AF177" s="304">
        <f>IFERROR(_xlfn.XLOOKUP($D177,'Modelling New'!$D:$D,'Modelling New'!$W:$W),"")</f>
        <v>0.17208549206771986</v>
      </c>
      <c r="AG177" s="304">
        <f>IFERROR(_xlfn.XLOOKUP($D177,'Modelling New'!$D:$D,'Modelling New'!$AE:$AE),"")</f>
        <v>0.995</v>
      </c>
      <c r="AH177" s="304">
        <f>IFERROR(_xlfn.XLOOKUP($D177,'Modelling New'!$D:$D,'Modelling New'!$AF:$AF),"")</f>
        <v>0.995</v>
      </c>
      <c r="AI177" s="295"/>
      <c r="AJ177" s="295"/>
      <c r="AK177" s="295"/>
      <c r="AL177" s="295"/>
      <c r="AM177" s="295"/>
      <c r="AN177" s="305"/>
      <c r="AO177" s="302"/>
      <c r="AP177" s="302"/>
      <c r="AQ177" s="302"/>
      <c r="AR177" s="294">
        <f>_xlfn.XLOOKUP($D177,'Modelling New'!$D:$D,'Modelling New'!$N:$N)</f>
        <v>54.371250000000003</v>
      </c>
      <c r="AS177" s="294">
        <f t="shared" si="18"/>
        <v>0</v>
      </c>
    </row>
    <row r="178" spans="1:45">
      <c r="A178" s="293">
        <f t="shared" si="19"/>
        <v>45921</v>
      </c>
      <c r="B178" s="294">
        <f>YEAR(Daily_KPI[[#This Row],[Date]])+IF(MONTH(Daily_KPI[[#This Row],[Date]])&gt;=4,1,0)</f>
        <v>2026</v>
      </c>
      <c r="C178" s="295">
        <f>YEAR(Daily_KPI[[#This Row],[Date]])</f>
        <v>2025</v>
      </c>
      <c r="D178" s="296">
        <f>Daily_KPI[[#This Row],[Date]]-DAY(Daily_KPI[[#This Row],[Date]])+1</f>
        <v>45901</v>
      </c>
      <c r="E178" s="295">
        <f t="shared" si="15"/>
        <v>30</v>
      </c>
      <c r="F178" s="297">
        <f>IFERROR(_xlfn.XLOOKUP($A178,Input_Raw!$A:$A,Input_Raw!$AR:$AR),"")</f>
        <v>0</v>
      </c>
      <c r="G178" s="298">
        <f>IFERROR(_xlfn.XLOOKUP($A178,Input_Raw!$A:$A,Input_Raw!$R:$R),"")</f>
        <v>0</v>
      </c>
      <c r="H178" s="298"/>
      <c r="I178" s="298">
        <f>IFERROR(_xlfn.XLOOKUP($A178,Input_Raw!$A:$A,Input_Raw!$Q:$Q),"")</f>
        <v>0</v>
      </c>
      <c r="J178" s="298"/>
      <c r="K178" s="298">
        <f>IFERROR(_xlfn.XLOOKUP($A178,Input_Raw!$A:$A,Input_Raw!S:S),"")</f>
        <v>0</v>
      </c>
      <c r="L178" s="298">
        <f>IFERROR(_xlfn.XLOOKUP($A178,Input_Raw!$A:$A,Input_Raw!T:T),"")</f>
        <v>0</v>
      </c>
      <c r="M178" s="298">
        <f>IFERROR(_xlfn.XLOOKUP($A178,Input_Raw!$A:$A,Input_Raw!W:W),"")</f>
        <v>0</v>
      </c>
      <c r="N178" s="298">
        <f>IFERROR(_xlfn.XLOOKUP($A178,Input_Raw!$A:$A,Input_Raw!X:X),"")</f>
        <v>0</v>
      </c>
      <c r="O178" s="299" t="str">
        <f>IFERROR(1-(SUMIF(Plant_BD!$B:$B,$A178,Plant_BD!$AL:$AL)/($AA178+SUMIF(Plant_BD!$B:$B,$A178,Plant_BD!$AL:$AL))),"")</f>
        <v/>
      </c>
      <c r="P178" s="299"/>
      <c r="Q178" s="300"/>
      <c r="R178" s="299" t="str">
        <f>IFERROR(1-(SUMIF(Grid_BD!$B:$B,$A178,Grid_BD!$V:$V)/($AA178+SUMIF(Grid_BD!$B:$B,$A178,Grid_BD!$V:$V))),"")</f>
        <v/>
      </c>
      <c r="S178" s="295"/>
      <c r="T178" s="300"/>
      <c r="U178" s="301" t="str">
        <f t="shared" si="16"/>
        <v/>
      </c>
      <c r="V178" s="301" t="str">
        <f>IFERROR(_xlfn.XLOOKUP($A178,Input_Raw!$A:$A,Input_Raw!$AX:$AX),"")</f>
        <v/>
      </c>
      <c r="W178" s="302">
        <f t="shared" si="17"/>
        <v>0</v>
      </c>
      <c r="X178" s="294">
        <f>IFERROR(_xlfn.XLOOKUP($A178,Input_Raw!$A:$A,Input_Raw!$AA:$AA),"")</f>
        <v>0</v>
      </c>
      <c r="Y178" s="294">
        <f>IFERROR(_xlfn.XLOOKUP($A178,Input_Raw!$A:$A,Input_Raw!$AS:$AS),"")</f>
        <v>0</v>
      </c>
      <c r="Z178" s="294"/>
      <c r="AA178" s="294">
        <f>IFERROR(_xlfn.XLOOKUP($A178,Input_Raw!$A:$A,Input_Raw!$AT:$AT),"")</f>
        <v>0</v>
      </c>
      <c r="AB178" s="294">
        <f>IFERROR(_xlfn.XLOOKUP($A178,Input_Raw!$A:$A,Input_Raw!$AU:$AU),"")</f>
        <v>0</v>
      </c>
      <c r="AC178" s="303">
        <f>IFERROR(_xlfn.XLOOKUP($D178,'Modelling New'!$D:$D,'Modelling New'!P:P),"")</f>
        <v>4.91</v>
      </c>
      <c r="AD178" s="294">
        <f>IFERROR(_xlfn.XLOOKUP($D178,'Modelling New'!$D:$D,'Modelling New'!T:T)*1000,"")</f>
        <v>224556.07945408835</v>
      </c>
      <c r="AE178" s="304">
        <f>IFERROR(_xlfn.XLOOKUP($D178,'Modelling New'!$D:$D,'Modelling New'!$O:$O),"")</f>
        <v>0.84115108139007666</v>
      </c>
      <c r="AF178" s="304">
        <f>IFERROR(_xlfn.XLOOKUP($D178,'Modelling New'!$D:$D,'Modelling New'!$W:$W),"")</f>
        <v>0.17208549206771986</v>
      </c>
      <c r="AG178" s="304">
        <f>IFERROR(_xlfn.XLOOKUP($D178,'Modelling New'!$D:$D,'Modelling New'!$AE:$AE),"")</f>
        <v>0.995</v>
      </c>
      <c r="AH178" s="304">
        <f>IFERROR(_xlfn.XLOOKUP($D178,'Modelling New'!$D:$D,'Modelling New'!$AF:$AF),"")</f>
        <v>0.995</v>
      </c>
      <c r="AI178" s="295"/>
      <c r="AJ178" s="295"/>
      <c r="AK178" s="295"/>
      <c r="AL178" s="295"/>
      <c r="AM178" s="295"/>
      <c r="AN178" s="305"/>
      <c r="AO178" s="302"/>
      <c r="AP178" s="302"/>
      <c r="AQ178" s="302"/>
      <c r="AR178" s="294">
        <f>_xlfn.XLOOKUP($D178,'Modelling New'!$D:$D,'Modelling New'!$N:$N)</f>
        <v>54.371250000000003</v>
      </c>
      <c r="AS178" s="294">
        <f t="shared" si="18"/>
        <v>0</v>
      </c>
    </row>
    <row r="179" spans="1:45">
      <c r="A179" s="293">
        <f t="shared" si="19"/>
        <v>45922</v>
      </c>
      <c r="B179" s="294">
        <f>YEAR(Daily_KPI[[#This Row],[Date]])+IF(MONTH(Daily_KPI[[#This Row],[Date]])&gt;=4,1,0)</f>
        <v>2026</v>
      </c>
      <c r="C179" s="295">
        <f>YEAR(Daily_KPI[[#This Row],[Date]])</f>
        <v>2025</v>
      </c>
      <c r="D179" s="296">
        <f>Daily_KPI[[#This Row],[Date]]-DAY(Daily_KPI[[#This Row],[Date]])+1</f>
        <v>45901</v>
      </c>
      <c r="E179" s="295">
        <f t="shared" si="15"/>
        <v>30</v>
      </c>
      <c r="F179" s="297">
        <f>IFERROR(_xlfn.XLOOKUP($A179,Input_Raw!$A:$A,Input_Raw!$AR:$AR),"")</f>
        <v>0</v>
      </c>
      <c r="G179" s="298">
        <f>IFERROR(_xlfn.XLOOKUP($A179,Input_Raw!$A:$A,Input_Raw!$R:$R),"")</f>
        <v>0</v>
      </c>
      <c r="H179" s="298"/>
      <c r="I179" s="298">
        <f>IFERROR(_xlfn.XLOOKUP($A179,Input_Raw!$A:$A,Input_Raw!$Q:$Q),"")</f>
        <v>0</v>
      </c>
      <c r="J179" s="298"/>
      <c r="K179" s="298">
        <f>IFERROR(_xlfn.XLOOKUP($A179,Input_Raw!$A:$A,Input_Raw!S:S),"")</f>
        <v>0</v>
      </c>
      <c r="L179" s="298">
        <f>IFERROR(_xlfn.XLOOKUP($A179,Input_Raw!$A:$A,Input_Raw!T:T),"")</f>
        <v>0</v>
      </c>
      <c r="M179" s="298">
        <f>IFERROR(_xlfn.XLOOKUP($A179,Input_Raw!$A:$A,Input_Raw!W:W),"")</f>
        <v>0</v>
      </c>
      <c r="N179" s="298">
        <f>IFERROR(_xlfn.XLOOKUP($A179,Input_Raw!$A:$A,Input_Raw!X:X),"")</f>
        <v>0</v>
      </c>
      <c r="O179" s="299" t="str">
        <f>IFERROR(1-(SUMIF(Plant_BD!$B:$B,$A179,Plant_BD!$AL:$AL)/($AA179+SUMIF(Plant_BD!$B:$B,$A179,Plant_BD!$AL:$AL))),"")</f>
        <v/>
      </c>
      <c r="P179" s="299"/>
      <c r="Q179" s="300"/>
      <c r="R179" s="299" t="str">
        <f>IFERROR(1-(SUMIF(Grid_BD!$B:$B,$A179,Grid_BD!$V:$V)/($AA179+SUMIF(Grid_BD!$B:$B,$A179,Grid_BD!$V:$V))),"")</f>
        <v/>
      </c>
      <c r="S179" s="295"/>
      <c r="T179" s="300"/>
      <c r="U179" s="301" t="str">
        <f t="shared" si="16"/>
        <v/>
      </c>
      <c r="V179" s="301" t="str">
        <f>IFERROR(_xlfn.XLOOKUP($A179,Input_Raw!$A:$A,Input_Raw!$AX:$AX),"")</f>
        <v/>
      </c>
      <c r="W179" s="302">
        <f t="shared" si="17"/>
        <v>0</v>
      </c>
      <c r="X179" s="294">
        <f>IFERROR(_xlfn.XLOOKUP($A179,Input_Raw!$A:$A,Input_Raw!$AA:$AA),"")</f>
        <v>0</v>
      </c>
      <c r="Y179" s="294">
        <f>IFERROR(_xlfn.XLOOKUP($A179,Input_Raw!$A:$A,Input_Raw!$AS:$AS),"")</f>
        <v>0</v>
      </c>
      <c r="Z179" s="294"/>
      <c r="AA179" s="294">
        <f>IFERROR(_xlfn.XLOOKUP($A179,Input_Raw!$A:$A,Input_Raw!$AT:$AT),"")</f>
        <v>0</v>
      </c>
      <c r="AB179" s="294">
        <f>IFERROR(_xlfn.XLOOKUP($A179,Input_Raw!$A:$A,Input_Raw!$AU:$AU),"")</f>
        <v>0</v>
      </c>
      <c r="AC179" s="303">
        <f>IFERROR(_xlfn.XLOOKUP($D179,'Modelling New'!$D:$D,'Modelling New'!P:P),"")</f>
        <v>4.91</v>
      </c>
      <c r="AD179" s="294">
        <f>IFERROR(_xlfn.XLOOKUP($D179,'Modelling New'!$D:$D,'Modelling New'!T:T)*1000,"")</f>
        <v>224556.07945408835</v>
      </c>
      <c r="AE179" s="304">
        <f>IFERROR(_xlfn.XLOOKUP($D179,'Modelling New'!$D:$D,'Modelling New'!$O:$O),"")</f>
        <v>0.84115108139007666</v>
      </c>
      <c r="AF179" s="304">
        <f>IFERROR(_xlfn.XLOOKUP($D179,'Modelling New'!$D:$D,'Modelling New'!$W:$W),"")</f>
        <v>0.17208549206771986</v>
      </c>
      <c r="AG179" s="304">
        <f>IFERROR(_xlfn.XLOOKUP($D179,'Modelling New'!$D:$D,'Modelling New'!$AE:$AE),"")</f>
        <v>0.995</v>
      </c>
      <c r="AH179" s="304">
        <f>IFERROR(_xlfn.XLOOKUP($D179,'Modelling New'!$D:$D,'Modelling New'!$AF:$AF),"")</f>
        <v>0.995</v>
      </c>
      <c r="AI179" s="295"/>
      <c r="AJ179" s="295"/>
      <c r="AK179" s="295"/>
      <c r="AL179" s="295"/>
      <c r="AM179" s="295"/>
      <c r="AN179" s="305"/>
      <c r="AO179" s="302"/>
      <c r="AP179" s="302"/>
      <c r="AQ179" s="302"/>
      <c r="AR179" s="294">
        <f>_xlfn.XLOOKUP($D179,'Modelling New'!$D:$D,'Modelling New'!$N:$N)</f>
        <v>54.371250000000003</v>
      </c>
      <c r="AS179" s="294">
        <f t="shared" si="18"/>
        <v>0</v>
      </c>
    </row>
    <row r="180" spans="1:45">
      <c r="A180" s="293">
        <f t="shared" si="19"/>
        <v>45923</v>
      </c>
      <c r="B180" s="294">
        <f>YEAR(Daily_KPI[[#This Row],[Date]])+IF(MONTH(Daily_KPI[[#This Row],[Date]])&gt;=4,1,0)</f>
        <v>2026</v>
      </c>
      <c r="C180" s="295">
        <f>YEAR(Daily_KPI[[#This Row],[Date]])</f>
        <v>2025</v>
      </c>
      <c r="D180" s="296">
        <f>Daily_KPI[[#This Row],[Date]]-DAY(Daily_KPI[[#This Row],[Date]])+1</f>
        <v>45901</v>
      </c>
      <c r="E180" s="295">
        <f t="shared" si="15"/>
        <v>30</v>
      </c>
      <c r="F180" s="297">
        <f>IFERROR(_xlfn.XLOOKUP($A180,Input_Raw!$A:$A,Input_Raw!$AR:$AR),"")</f>
        <v>0</v>
      </c>
      <c r="G180" s="298">
        <f>IFERROR(_xlfn.XLOOKUP($A180,Input_Raw!$A:$A,Input_Raw!$R:$R),"")</f>
        <v>0</v>
      </c>
      <c r="H180" s="298"/>
      <c r="I180" s="298">
        <f>IFERROR(_xlfn.XLOOKUP($A180,Input_Raw!$A:$A,Input_Raw!$Q:$Q),"")</f>
        <v>0</v>
      </c>
      <c r="J180" s="298"/>
      <c r="K180" s="298">
        <f>IFERROR(_xlfn.XLOOKUP($A180,Input_Raw!$A:$A,Input_Raw!S:S),"")</f>
        <v>0</v>
      </c>
      <c r="L180" s="298">
        <f>IFERROR(_xlfn.XLOOKUP($A180,Input_Raw!$A:$A,Input_Raw!T:T),"")</f>
        <v>0</v>
      </c>
      <c r="M180" s="298">
        <f>IFERROR(_xlfn.XLOOKUP($A180,Input_Raw!$A:$A,Input_Raw!W:W),"")</f>
        <v>0</v>
      </c>
      <c r="N180" s="298">
        <f>IFERROR(_xlfn.XLOOKUP($A180,Input_Raw!$A:$A,Input_Raw!X:X),"")</f>
        <v>0</v>
      </c>
      <c r="O180" s="299" t="str">
        <f>IFERROR(1-(SUMIF(Plant_BD!$B:$B,$A180,Plant_BD!$AL:$AL)/($AA180+SUMIF(Plant_BD!$B:$B,$A180,Plant_BD!$AL:$AL))),"")</f>
        <v/>
      </c>
      <c r="P180" s="299"/>
      <c r="Q180" s="300"/>
      <c r="R180" s="299" t="str">
        <f>IFERROR(1-(SUMIF(Grid_BD!$B:$B,$A180,Grid_BD!$V:$V)/($AA180+SUMIF(Grid_BD!$B:$B,$A180,Grid_BD!$V:$V))),"")</f>
        <v/>
      </c>
      <c r="S180" s="295"/>
      <c r="T180" s="300"/>
      <c r="U180" s="301" t="str">
        <f t="shared" si="16"/>
        <v/>
      </c>
      <c r="V180" s="301" t="str">
        <f>IFERROR(_xlfn.XLOOKUP($A180,Input_Raw!$A:$A,Input_Raw!$AX:$AX),"")</f>
        <v/>
      </c>
      <c r="W180" s="302">
        <f t="shared" si="17"/>
        <v>0</v>
      </c>
      <c r="X180" s="294">
        <f>IFERROR(_xlfn.XLOOKUP($A180,Input_Raw!$A:$A,Input_Raw!$AA:$AA),"")</f>
        <v>0</v>
      </c>
      <c r="Y180" s="294">
        <f>IFERROR(_xlfn.XLOOKUP($A180,Input_Raw!$A:$A,Input_Raw!$AS:$AS),"")</f>
        <v>0</v>
      </c>
      <c r="Z180" s="294"/>
      <c r="AA180" s="294">
        <f>IFERROR(_xlfn.XLOOKUP($A180,Input_Raw!$A:$A,Input_Raw!$AT:$AT),"")</f>
        <v>0</v>
      </c>
      <c r="AB180" s="294">
        <f>IFERROR(_xlfn.XLOOKUP($A180,Input_Raw!$A:$A,Input_Raw!$AU:$AU),"")</f>
        <v>0</v>
      </c>
      <c r="AC180" s="303">
        <f>IFERROR(_xlfn.XLOOKUP($D180,'Modelling New'!$D:$D,'Modelling New'!P:P),"")</f>
        <v>4.91</v>
      </c>
      <c r="AD180" s="294">
        <f>IFERROR(_xlfn.XLOOKUP($D180,'Modelling New'!$D:$D,'Modelling New'!T:T)*1000,"")</f>
        <v>224556.07945408835</v>
      </c>
      <c r="AE180" s="304">
        <f>IFERROR(_xlfn.XLOOKUP($D180,'Modelling New'!$D:$D,'Modelling New'!$O:$O),"")</f>
        <v>0.84115108139007666</v>
      </c>
      <c r="AF180" s="304">
        <f>IFERROR(_xlfn.XLOOKUP($D180,'Modelling New'!$D:$D,'Modelling New'!$W:$W),"")</f>
        <v>0.17208549206771986</v>
      </c>
      <c r="AG180" s="304">
        <f>IFERROR(_xlfn.XLOOKUP($D180,'Modelling New'!$D:$D,'Modelling New'!$AE:$AE),"")</f>
        <v>0.995</v>
      </c>
      <c r="AH180" s="304">
        <f>IFERROR(_xlfn.XLOOKUP($D180,'Modelling New'!$D:$D,'Modelling New'!$AF:$AF),"")</f>
        <v>0.995</v>
      </c>
      <c r="AI180" s="295"/>
      <c r="AJ180" s="295"/>
      <c r="AK180" s="295"/>
      <c r="AL180" s="295"/>
      <c r="AM180" s="295"/>
      <c r="AN180" s="305"/>
      <c r="AO180" s="302"/>
      <c r="AP180" s="302"/>
      <c r="AQ180" s="302"/>
      <c r="AR180" s="294">
        <f>_xlfn.XLOOKUP($D180,'Modelling New'!$D:$D,'Modelling New'!$N:$N)</f>
        <v>54.371250000000003</v>
      </c>
      <c r="AS180" s="294">
        <f t="shared" si="18"/>
        <v>0</v>
      </c>
    </row>
    <row r="181" spans="1:45">
      <c r="A181" s="293">
        <f t="shared" si="19"/>
        <v>45924</v>
      </c>
      <c r="B181" s="294">
        <f>YEAR(Daily_KPI[[#This Row],[Date]])+IF(MONTH(Daily_KPI[[#This Row],[Date]])&gt;=4,1,0)</f>
        <v>2026</v>
      </c>
      <c r="C181" s="295">
        <f>YEAR(Daily_KPI[[#This Row],[Date]])</f>
        <v>2025</v>
      </c>
      <c r="D181" s="296">
        <f>Daily_KPI[[#This Row],[Date]]-DAY(Daily_KPI[[#This Row],[Date]])+1</f>
        <v>45901</v>
      </c>
      <c r="E181" s="295">
        <f t="shared" si="15"/>
        <v>30</v>
      </c>
      <c r="F181" s="297">
        <f>IFERROR(_xlfn.XLOOKUP($A181,Input_Raw!$A:$A,Input_Raw!$AR:$AR),"")</f>
        <v>0</v>
      </c>
      <c r="G181" s="298">
        <f>IFERROR(_xlfn.XLOOKUP($A181,Input_Raw!$A:$A,Input_Raw!$R:$R),"")</f>
        <v>0</v>
      </c>
      <c r="H181" s="298"/>
      <c r="I181" s="298">
        <f>IFERROR(_xlfn.XLOOKUP($A181,Input_Raw!$A:$A,Input_Raw!$Q:$Q),"")</f>
        <v>0</v>
      </c>
      <c r="J181" s="298"/>
      <c r="K181" s="298">
        <f>IFERROR(_xlfn.XLOOKUP($A181,Input_Raw!$A:$A,Input_Raw!S:S),"")</f>
        <v>0</v>
      </c>
      <c r="L181" s="298">
        <f>IFERROR(_xlfn.XLOOKUP($A181,Input_Raw!$A:$A,Input_Raw!T:T),"")</f>
        <v>0</v>
      </c>
      <c r="M181" s="298">
        <f>IFERROR(_xlfn.XLOOKUP($A181,Input_Raw!$A:$A,Input_Raw!W:W),"")</f>
        <v>0</v>
      </c>
      <c r="N181" s="298">
        <f>IFERROR(_xlfn.XLOOKUP($A181,Input_Raw!$A:$A,Input_Raw!X:X),"")</f>
        <v>0</v>
      </c>
      <c r="O181" s="299" t="str">
        <f>IFERROR(1-(SUMIF(Plant_BD!$B:$B,$A181,Plant_BD!$AL:$AL)/($AA181+SUMIF(Plant_BD!$B:$B,$A181,Plant_BD!$AL:$AL))),"")</f>
        <v/>
      </c>
      <c r="P181" s="299"/>
      <c r="Q181" s="300"/>
      <c r="R181" s="299" t="str">
        <f>IFERROR(1-(SUMIF(Grid_BD!$B:$B,$A181,Grid_BD!$V:$V)/($AA181+SUMIF(Grid_BD!$B:$B,$A181,Grid_BD!$V:$V))),"")</f>
        <v/>
      </c>
      <c r="S181" s="295"/>
      <c r="T181" s="300"/>
      <c r="U181" s="301" t="str">
        <f t="shared" si="16"/>
        <v/>
      </c>
      <c r="V181" s="301" t="str">
        <f>IFERROR(_xlfn.XLOOKUP($A181,Input_Raw!$A:$A,Input_Raw!$AX:$AX),"")</f>
        <v/>
      </c>
      <c r="W181" s="302">
        <f t="shared" si="17"/>
        <v>0</v>
      </c>
      <c r="X181" s="294">
        <f>IFERROR(_xlfn.XLOOKUP($A181,Input_Raw!$A:$A,Input_Raw!$AA:$AA),"")</f>
        <v>0</v>
      </c>
      <c r="Y181" s="294">
        <f>IFERROR(_xlfn.XLOOKUP($A181,Input_Raw!$A:$A,Input_Raw!$AS:$AS),"")</f>
        <v>0</v>
      </c>
      <c r="Z181" s="294"/>
      <c r="AA181" s="294">
        <f>IFERROR(_xlfn.XLOOKUP($A181,Input_Raw!$A:$A,Input_Raw!$AT:$AT),"")</f>
        <v>0</v>
      </c>
      <c r="AB181" s="294">
        <f>IFERROR(_xlfn.XLOOKUP($A181,Input_Raw!$A:$A,Input_Raw!$AU:$AU),"")</f>
        <v>0</v>
      </c>
      <c r="AC181" s="303">
        <f>IFERROR(_xlfn.XLOOKUP($D181,'Modelling New'!$D:$D,'Modelling New'!P:P),"")</f>
        <v>4.91</v>
      </c>
      <c r="AD181" s="294">
        <f>IFERROR(_xlfn.XLOOKUP($D181,'Modelling New'!$D:$D,'Modelling New'!T:T)*1000,"")</f>
        <v>224556.07945408835</v>
      </c>
      <c r="AE181" s="304">
        <f>IFERROR(_xlfn.XLOOKUP($D181,'Modelling New'!$D:$D,'Modelling New'!$O:$O),"")</f>
        <v>0.84115108139007666</v>
      </c>
      <c r="AF181" s="304">
        <f>IFERROR(_xlfn.XLOOKUP($D181,'Modelling New'!$D:$D,'Modelling New'!$W:$W),"")</f>
        <v>0.17208549206771986</v>
      </c>
      <c r="AG181" s="304">
        <f>IFERROR(_xlfn.XLOOKUP($D181,'Modelling New'!$D:$D,'Modelling New'!$AE:$AE),"")</f>
        <v>0.995</v>
      </c>
      <c r="AH181" s="304">
        <f>IFERROR(_xlfn.XLOOKUP($D181,'Modelling New'!$D:$D,'Modelling New'!$AF:$AF),"")</f>
        <v>0.995</v>
      </c>
      <c r="AI181" s="295"/>
      <c r="AJ181" s="295"/>
      <c r="AK181" s="295"/>
      <c r="AL181" s="295"/>
      <c r="AM181" s="295"/>
      <c r="AN181" s="305"/>
      <c r="AO181" s="302"/>
      <c r="AP181" s="302"/>
      <c r="AQ181" s="302"/>
      <c r="AR181" s="294">
        <f>_xlfn.XLOOKUP($D181,'Modelling New'!$D:$D,'Modelling New'!$N:$N)</f>
        <v>54.371250000000003</v>
      </c>
      <c r="AS181" s="294">
        <f t="shared" si="18"/>
        <v>0</v>
      </c>
    </row>
    <row r="182" spans="1:45">
      <c r="A182" s="293">
        <f t="shared" si="19"/>
        <v>45925</v>
      </c>
      <c r="B182" s="294">
        <f>YEAR(Daily_KPI[[#This Row],[Date]])+IF(MONTH(Daily_KPI[[#This Row],[Date]])&gt;=4,1,0)</f>
        <v>2026</v>
      </c>
      <c r="C182" s="295">
        <f>YEAR(Daily_KPI[[#This Row],[Date]])</f>
        <v>2025</v>
      </c>
      <c r="D182" s="296">
        <f>Daily_KPI[[#This Row],[Date]]-DAY(Daily_KPI[[#This Row],[Date]])+1</f>
        <v>45901</v>
      </c>
      <c r="E182" s="295">
        <f t="shared" si="15"/>
        <v>30</v>
      </c>
      <c r="F182" s="297">
        <f>IFERROR(_xlfn.XLOOKUP($A182,Input_Raw!$A:$A,Input_Raw!$AR:$AR),"")</f>
        <v>0</v>
      </c>
      <c r="G182" s="298">
        <f>IFERROR(_xlfn.XLOOKUP($A182,Input_Raw!$A:$A,Input_Raw!$R:$R),"")</f>
        <v>0</v>
      </c>
      <c r="H182" s="298"/>
      <c r="I182" s="298">
        <f>IFERROR(_xlfn.XLOOKUP($A182,Input_Raw!$A:$A,Input_Raw!$Q:$Q),"")</f>
        <v>0</v>
      </c>
      <c r="J182" s="298"/>
      <c r="K182" s="298">
        <f>IFERROR(_xlfn.XLOOKUP($A182,Input_Raw!$A:$A,Input_Raw!S:S),"")</f>
        <v>0</v>
      </c>
      <c r="L182" s="298">
        <f>IFERROR(_xlfn.XLOOKUP($A182,Input_Raw!$A:$A,Input_Raw!T:T),"")</f>
        <v>0</v>
      </c>
      <c r="M182" s="298">
        <f>IFERROR(_xlfn.XLOOKUP($A182,Input_Raw!$A:$A,Input_Raw!W:W),"")</f>
        <v>0</v>
      </c>
      <c r="N182" s="298">
        <f>IFERROR(_xlfn.XLOOKUP($A182,Input_Raw!$A:$A,Input_Raw!X:X),"")</f>
        <v>0</v>
      </c>
      <c r="O182" s="299" t="str">
        <f>IFERROR(1-(SUMIF(Plant_BD!$B:$B,$A182,Plant_BD!$AL:$AL)/($AA182+SUMIF(Plant_BD!$B:$B,$A182,Plant_BD!$AL:$AL))),"")</f>
        <v/>
      </c>
      <c r="P182" s="299"/>
      <c r="Q182" s="300"/>
      <c r="R182" s="299" t="str">
        <f>IFERROR(1-(SUMIF(Grid_BD!$B:$B,$A182,Grid_BD!$V:$V)/($AA182+SUMIF(Grid_BD!$B:$B,$A182,Grid_BD!$V:$V))),"")</f>
        <v/>
      </c>
      <c r="S182" s="295"/>
      <c r="T182" s="300"/>
      <c r="U182" s="301" t="str">
        <f t="shared" si="16"/>
        <v/>
      </c>
      <c r="V182" s="301" t="str">
        <f>IFERROR(_xlfn.XLOOKUP($A182,Input_Raw!$A:$A,Input_Raw!$AX:$AX),"")</f>
        <v/>
      </c>
      <c r="W182" s="302">
        <f t="shared" si="17"/>
        <v>0</v>
      </c>
      <c r="X182" s="294">
        <f>IFERROR(_xlfn.XLOOKUP($A182,Input_Raw!$A:$A,Input_Raw!$AA:$AA),"")</f>
        <v>0</v>
      </c>
      <c r="Y182" s="294">
        <f>IFERROR(_xlfn.XLOOKUP($A182,Input_Raw!$A:$A,Input_Raw!$AS:$AS),"")</f>
        <v>0</v>
      </c>
      <c r="Z182" s="294"/>
      <c r="AA182" s="294">
        <f>IFERROR(_xlfn.XLOOKUP($A182,Input_Raw!$A:$A,Input_Raw!$AT:$AT),"")</f>
        <v>0</v>
      </c>
      <c r="AB182" s="294">
        <f>IFERROR(_xlfn.XLOOKUP($A182,Input_Raw!$A:$A,Input_Raw!$AU:$AU),"")</f>
        <v>0</v>
      </c>
      <c r="AC182" s="303">
        <f>IFERROR(_xlfn.XLOOKUP($D182,'Modelling New'!$D:$D,'Modelling New'!P:P),"")</f>
        <v>4.91</v>
      </c>
      <c r="AD182" s="294">
        <f>IFERROR(_xlfn.XLOOKUP($D182,'Modelling New'!$D:$D,'Modelling New'!T:T)*1000,"")</f>
        <v>224556.07945408835</v>
      </c>
      <c r="AE182" s="304">
        <f>IFERROR(_xlfn.XLOOKUP($D182,'Modelling New'!$D:$D,'Modelling New'!$O:$O),"")</f>
        <v>0.84115108139007666</v>
      </c>
      <c r="AF182" s="304">
        <f>IFERROR(_xlfn.XLOOKUP($D182,'Modelling New'!$D:$D,'Modelling New'!$W:$W),"")</f>
        <v>0.17208549206771986</v>
      </c>
      <c r="AG182" s="304">
        <f>IFERROR(_xlfn.XLOOKUP($D182,'Modelling New'!$D:$D,'Modelling New'!$AE:$AE),"")</f>
        <v>0.995</v>
      </c>
      <c r="AH182" s="304">
        <f>IFERROR(_xlfn.XLOOKUP($D182,'Modelling New'!$D:$D,'Modelling New'!$AF:$AF),"")</f>
        <v>0.995</v>
      </c>
      <c r="AI182" s="295"/>
      <c r="AJ182" s="295"/>
      <c r="AK182" s="295"/>
      <c r="AL182" s="295"/>
      <c r="AM182" s="295"/>
      <c r="AN182" s="305"/>
      <c r="AO182" s="302"/>
      <c r="AP182" s="302"/>
      <c r="AQ182" s="302"/>
      <c r="AR182" s="294">
        <f>_xlfn.XLOOKUP($D182,'Modelling New'!$D:$D,'Modelling New'!$N:$N)</f>
        <v>54.371250000000003</v>
      </c>
      <c r="AS182" s="294">
        <f t="shared" si="18"/>
        <v>0</v>
      </c>
    </row>
    <row r="183" spans="1:45">
      <c r="A183" s="293">
        <f t="shared" si="19"/>
        <v>45926</v>
      </c>
      <c r="B183" s="294">
        <f>YEAR(Daily_KPI[[#This Row],[Date]])+IF(MONTH(Daily_KPI[[#This Row],[Date]])&gt;=4,1,0)</f>
        <v>2026</v>
      </c>
      <c r="C183" s="295">
        <f>YEAR(Daily_KPI[[#This Row],[Date]])</f>
        <v>2025</v>
      </c>
      <c r="D183" s="296">
        <f>Daily_KPI[[#This Row],[Date]]-DAY(Daily_KPI[[#This Row],[Date]])+1</f>
        <v>45901</v>
      </c>
      <c r="E183" s="295">
        <f t="shared" si="15"/>
        <v>30</v>
      </c>
      <c r="F183" s="297">
        <f>IFERROR(_xlfn.XLOOKUP($A183,Input_Raw!$A:$A,Input_Raw!$AR:$AR),"")</f>
        <v>0</v>
      </c>
      <c r="G183" s="298">
        <f>IFERROR(_xlfn.XLOOKUP($A183,Input_Raw!$A:$A,Input_Raw!$R:$R),"")</f>
        <v>0</v>
      </c>
      <c r="H183" s="298"/>
      <c r="I183" s="298">
        <f>IFERROR(_xlfn.XLOOKUP($A183,Input_Raw!$A:$A,Input_Raw!$Q:$Q),"")</f>
        <v>0</v>
      </c>
      <c r="J183" s="298"/>
      <c r="K183" s="298">
        <f>IFERROR(_xlfn.XLOOKUP($A183,Input_Raw!$A:$A,Input_Raw!S:S),"")</f>
        <v>0</v>
      </c>
      <c r="L183" s="298">
        <f>IFERROR(_xlfn.XLOOKUP($A183,Input_Raw!$A:$A,Input_Raw!T:T),"")</f>
        <v>0</v>
      </c>
      <c r="M183" s="298">
        <f>IFERROR(_xlfn.XLOOKUP($A183,Input_Raw!$A:$A,Input_Raw!W:W),"")</f>
        <v>0</v>
      </c>
      <c r="N183" s="298">
        <f>IFERROR(_xlfn.XLOOKUP($A183,Input_Raw!$A:$A,Input_Raw!X:X),"")</f>
        <v>0</v>
      </c>
      <c r="O183" s="299" t="str">
        <f>IFERROR(1-(SUMIF(Plant_BD!$B:$B,$A183,Plant_BD!$AL:$AL)/($AA183+SUMIF(Plant_BD!$B:$B,$A183,Plant_BD!$AL:$AL))),"")</f>
        <v/>
      </c>
      <c r="P183" s="299"/>
      <c r="Q183" s="300"/>
      <c r="R183" s="299" t="str">
        <f>IFERROR(1-(SUMIF(Grid_BD!$B:$B,$A183,Grid_BD!$V:$V)/($AA183+SUMIF(Grid_BD!$B:$B,$A183,Grid_BD!$V:$V))),"")</f>
        <v/>
      </c>
      <c r="S183" s="295"/>
      <c r="T183" s="300"/>
      <c r="U183" s="301" t="str">
        <f t="shared" si="16"/>
        <v/>
      </c>
      <c r="V183" s="301" t="str">
        <f>IFERROR(_xlfn.XLOOKUP($A183,Input_Raw!$A:$A,Input_Raw!$AX:$AX),"")</f>
        <v/>
      </c>
      <c r="W183" s="302">
        <f t="shared" si="17"/>
        <v>0</v>
      </c>
      <c r="X183" s="294">
        <f>IFERROR(_xlfn.XLOOKUP($A183,Input_Raw!$A:$A,Input_Raw!$AA:$AA),"")</f>
        <v>0</v>
      </c>
      <c r="Y183" s="294">
        <f>IFERROR(_xlfn.XLOOKUP($A183,Input_Raw!$A:$A,Input_Raw!$AS:$AS),"")</f>
        <v>0</v>
      </c>
      <c r="Z183" s="294"/>
      <c r="AA183" s="294">
        <f>IFERROR(_xlfn.XLOOKUP($A183,Input_Raw!$A:$A,Input_Raw!$AT:$AT),"")</f>
        <v>0</v>
      </c>
      <c r="AB183" s="294">
        <f>IFERROR(_xlfn.XLOOKUP($A183,Input_Raw!$A:$A,Input_Raw!$AU:$AU),"")</f>
        <v>0</v>
      </c>
      <c r="AC183" s="303">
        <f>IFERROR(_xlfn.XLOOKUP($D183,'Modelling New'!$D:$D,'Modelling New'!P:P),"")</f>
        <v>4.91</v>
      </c>
      <c r="AD183" s="294">
        <f>IFERROR(_xlfn.XLOOKUP($D183,'Modelling New'!$D:$D,'Modelling New'!T:T)*1000,"")</f>
        <v>224556.07945408835</v>
      </c>
      <c r="AE183" s="304">
        <f>IFERROR(_xlfn.XLOOKUP($D183,'Modelling New'!$D:$D,'Modelling New'!$O:$O),"")</f>
        <v>0.84115108139007666</v>
      </c>
      <c r="AF183" s="304">
        <f>IFERROR(_xlfn.XLOOKUP($D183,'Modelling New'!$D:$D,'Modelling New'!$W:$W),"")</f>
        <v>0.17208549206771986</v>
      </c>
      <c r="AG183" s="304">
        <f>IFERROR(_xlfn.XLOOKUP($D183,'Modelling New'!$D:$D,'Modelling New'!$AE:$AE),"")</f>
        <v>0.995</v>
      </c>
      <c r="AH183" s="304">
        <f>IFERROR(_xlfn.XLOOKUP($D183,'Modelling New'!$D:$D,'Modelling New'!$AF:$AF),"")</f>
        <v>0.995</v>
      </c>
      <c r="AI183" s="295"/>
      <c r="AJ183" s="295"/>
      <c r="AK183" s="295"/>
      <c r="AL183" s="295"/>
      <c r="AM183" s="295"/>
      <c r="AN183" s="305"/>
      <c r="AO183" s="302"/>
      <c r="AP183" s="302"/>
      <c r="AQ183" s="302"/>
      <c r="AR183" s="294">
        <f>_xlfn.XLOOKUP($D183,'Modelling New'!$D:$D,'Modelling New'!$N:$N)</f>
        <v>54.371250000000003</v>
      </c>
      <c r="AS183" s="294">
        <f t="shared" si="18"/>
        <v>0</v>
      </c>
    </row>
    <row r="184" spans="1:45">
      <c r="A184" s="293">
        <f t="shared" si="19"/>
        <v>45927</v>
      </c>
      <c r="B184" s="294">
        <f>YEAR(Daily_KPI[[#This Row],[Date]])+IF(MONTH(Daily_KPI[[#This Row],[Date]])&gt;=4,1,0)</f>
        <v>2026</v>
      </c>
      <c r="C184" s="295">
        <f>YEAR(Daily_KPI[[#This Row],[Date]])</f>
        <v>2025</v>
      </c>
      <c r="D184" s="296">
        <f>Daily_KPI[[#This Row],[Date]]-DAY(Daily_KPI[[#This Row],[Date]])+1</f>
        <v>45901</v>
      </c>
      <c r="E184" s="295">
        <f t="shared" si="15"/>
        <v>30</v>
      </c>
      <c r="F184" s="297">
        <f>IFERROR(_xlfn.XLOOKUP($A184,Input_Raw!$A:$A,Input_Raw!$AR:$AR),"")</f>
        <v>0</v>
      </c>
      <c r="G184" s="298">
        <f>IFERROR(_xlfn.XLOOKUP($A184,Input_Raw!$A:$A,Input_Raw!$R:$R),"")</f>
        <v>0</v>
      </c>
      <c r="H184" s="298"/>
      <c r="I184" s="298">
        <f>IFERROR(_xlfn.XLOOKUP($A184,Input_Raw!$A:$A,Input_Raw!$Q:$Q),"")</f>
        <v>0</v>
      </c>
      <c r="J184" s="298"/>
      <c r="K184" s="298">
        <f>IFERROR(_xlfn.XLOOKUP($A184,Input_Raw!$A:$A,Input_Raw!S:S),"")</f>
        <v>0</v>
      </c>
      <c r="L184" s="298">
        <f>IFERROR(_xlfn.XLOOKUP($A184,Input_Raw!$A:$A,Input_Raw!T:T),"")</f>
        <v>0</v>
      </c>
      <c r="M184" s="298">
        <f>IFERROR(_xlfn.XLOOKUP($A184,Input_Raw!$A:$A,Input_Raw!W:W),"")</f>
        <v>0</v>
      </c>
      <c r="N184" s="298">
        <f>IFERROR(_xlfn.XLOOKUP($A184,Input_Raw!$A:$A,Input_Raw!X:X),"")</f>
        <v>0</v>
      </c>
      <c r="O184" s="299" t="str">
        <f>IFERROR(1-(SUMIF(Plant_BD!$B:$B,$A184,Plant_BD!$AL:$AL)/($AA184+SUMIF(Plant_BD!$B:$B,$A184,Plant_BD!$AL:$AL))),"")</f>
        <v/>
      </c>
      <c r="P184" s="299"/>
      <c r="Q184" s="300"/>
      <c r="R184" s="299" t="str">
        <f>IFERROR(1-(SUMIF(Grid_BD!$B:$B,$A184,Grid_BD!$V:$V)/($AA184+SUMIF(Grid_BD!$B:$B,$A184,Grid_BD!$V:$V))),"")</f>
        <v/>
      </c>
      <c r="S184" s="295"/>
      <c r="T184" s="300"/>
      <c r="U184" s="301" t="str">
        <f t="shared" si="16"/>
        <v/>
      </c>
      <c r="V184" s="301" t="str">
        <f>IFERROR(_xlfn.XLOOKUP($A184,Input_Raw!$A:$A,Input_Raw!$AX:$AX),"")</f>
        <v/>
      </c>
      <c r="W184" s="302">
        <f t="shared" si="17"/>
        <v>0</v>
      </c>
      <c r="X184" s="294">
        <f>IFERROR(_xlfn.XLOOKUP($A184,Input_Raw!$A:$A,Input_Raw!$AA:$AA),"")</f>
        <v>0</v>
      </c>
      <c r="Y184" s="294">
        <f>IFERROR(_xlfn.XLOOKUP($A184,Input_Raw!$A:$A,Input_Raw!$AS:$AS),"")</f>
        <v>0</v>
      </c>
      <c r="Z184" s="294"/>
      <c r="AA184" s="294">
        <f>IFERROR(_xlfn.XLOOKUP($A184,Input_Raw!$A:$A,Input_Raw!$AT:$AT),"")</f>
        <v>0</v>
      </c>
      <c r="AB184" s="294">
        <f>IFERROR(_xlfn.XLOOKUP($A184,Input_Raw!$A:$A,Input_Raw!$AU:$AU),"")</f>
        <v>0</v>
      </c>
      <c r="AC184" s="303">
        <f>IFERROR(_xlfn.XLOOKUP($D184,'Modelling New'!$D:$D,'Modelling New'!P:P),"")</f>
        <v>4.91</v>
      </c>
      <c r="AD184" s="294">
        <f>IFERROR(_xlfn.XLOOKUP($D184,'Modelling New'!$D:$D,'Modelling New'!T:T)*1000,"")</f>
        <v>224556.07945408835</v>
      </c>
      <c r="AE184" s="304">
        <f>IFERROR(_xlfn.XLOOKUP($D184,'Modelling New'!$D:$D,'Modelling New'!$O:$O),"")</f>
        <v>0.84115108139007666</v>
      </c>
      <c r="AF184" s="304">
        <f>IFERROR(_xlfn.XLOOKUP($D184,'Modelling New'!$D:$D,'Modelling New'!$W:$W),"")</f>
        <v>0.17208549206771986</v>
      </c>
      <c r="AG184" s="304">
        <f>IFERROR(_xlfn.XLOOKUP($D184,'Modelling New'!$D:$D,'Modelling New'!$AE:$AE),"")</f>
        <v>0.995</v>
      </c>
      <c r="AH184" s="304">
        <f>IFERROR(_xlfn.XLOOKUP($D184,'Modelling New'!$D:$D,'Modelling New'!$AF:$AF),"")</f>
        <v>0.995</v>
      </c>
      <c r="AI184" s="295"/>
      <c r="AJ184" s="295"/>
      <c r="AK184" s="295"/>
      <c r="AL184" s="295"/>
      <c r="AM184" s="295"/>
      <c r="AN184" s="305"/>
      <c r="AO184" s="302"/>
      <c r="AP184" s="302"/>
      <c r="AQ184" s="302"/>
      <c r="AR184" s="294">
        <f>_xlfn.XLOOKUP($D184,'Modelling New'!$D:$D,'Modelling New'!$N:$N)</f>
        <v>54.371250000000003</v>
      </c>
      <c r="AS184" s="294">
        <f t="shared" si="18"/>
        <v>0</v>
      </c>
    </row>
    <row r="185" spans="1:45">
      <c r="A185" s="293">
        <f t="shared" si="19"/>
        <v>45928</v>
      </c>
      <c r="B185" s="294">
        <f>YEAR(Daily_KPI[[#This Row],[Date]])+IF(MONTH(Daily_KPI[[#This Row],[Date]])&gt;=4,1,0)</f>
        <v>2026</v>
      </c>
      <c r="C185" s="295">
        <f>YEAR(Daily_KPI[[#This Row],[Date]])</f>
        <v>2025</v>
      </c>
      <c r="D185" s="296">
        <f>Daily_KPI[[#This Row],[Date]]-DAY(Daily_KPI[[#This Row],[Date]])+1</f>
        <v>45901</v>
      </c>
      <c r="E185" s="295">
        <f t="shared" si="15"/>
        <v>30</v>
      </c>
      <c r="F185" s="297">
        <f>IFERROR(_xlfn.XLOOKUP($A185,Input_Raw!$A:$A,Input_Raw!$AR:$AR),"")</f>
        <v>0</v>
      </c>
      <c r="G185" s="298">
        <f>IFERROR(_xlfn.XLOOKUP($A185,Input_Raw!$A:$A,Input_Raw!$R:$R),"")</f>
        <v>0</v>
      </c>
      <c r="H185" s="298"/>
      <c r="I185" s="298">
        <f>IFERROR(_xlfn.XLOOKUP($A185,Input_Raw!$A:$A,Input_Raw!$Q:$Q),"")</f>
        <v>0</v>
      </c>
      <c r="J185" s="298"/>
      <c r="K185" s="298">
        <f>IFERROR(_xlfn.XLOOKUP($A185,Input_Raw!$A:$A,Input_Raw!S:S),"")</f>
        <v>0</v>
      </c>
      <c r="L185" s="298">
        <f>IFERROR(_xlfn.XLOOKUP($A185,Input_Raw!$A:$A,Input_Raw!T:T),"")</f>
        <v>0</v>
      </c>
      <c r="M185" s="298">
        <f>IFERROR(_xlfn.XLOOKUP($A185,Input_Raw!$A:$A,Input_Raw!W:W),"")</f>
        <v>0</v>
      </c>
      <c r="N185" s="298">
        <f>IFERROR(_xlfn.XLOOKUP($A185,Input_Raw!$A:$A,Input_Raw!X:X),"")</f>
        <v>0</v>
      </c>
      <c r="O185" s="299" t="str">
        <f>IFERROR(1-(SUMIF(Plant_BD!$B:$B,$A185,Plant_BD!$AL:$AL)/($AA185+SUMIF(Plant_BD!$B:$B,$A185,Plant_BD!$AL:$AL))),"")</f>
        <v/>
      </c>
      <c r="P185" s="299"/>
      <c r="Q185" s="300"/>
      <c r="R185" s="299" t="str">
        <f>IFERROR(1-(SUMIF(Grid_BD!$B:$B,$A185,Grid_BD!$V:$V)/($AA185+SUMIF(Grid_BD!$B:$B,$A185,Grid_BD!$V:$V))),"")</f>
        <v/>
      </c>
      <c r="S185" s="295"/>
      <c r="T185" s="300"/>
      <c r="U185" s="301" t="str">
        <f t="shared" si="16"/>
        <v/>
      </c>
      <c r="V185" s="301" t="str">
        <f>IFERROR(_xlfn.XLOOKUP($A185,Input_Raw!$A:$A,Input_Raw!$AX:$AX),"")</f>
        <v/>
      </c>
      <c r="W185" s="302">
        <f t="shared" si="17"/>
        <v>0</v>
      </c>
      <c r="X185" s="294">
        <f>IFERROR(_xlfn.XLOOKUP($A185,Input_Raw!$A:$A,Input_Raw!$AA:$AA),"")</f>
        <v>0</v>
      </c>
      <c r="Y185" s="294">
        <f>IFERROR(_xlfn.XLOOKUP($A185,Input_Raw!$A:$A,Input_Raw!$AS:$AS),"")</f>
        <v>0</v>
      </c>
      <c r="Z185" s="294"/>
      <c r="AA185" s="294">
        <f>IFERROR(_xlfn.XLOOKUP($A185,Input_Raw!$A:$A,Input_Raw!$AT:$AT),"")</f>
        <v>0</v>
      </c>
      <c r="AB185" s="294">
        <f>IFERROR(_xlfn.XLOOKUP($A185,Input_Raw!$A:$A,Input_Raw!$AU:$AU),"")</f>
        <v>0</v>
      </c>
      <c r="AC185" s="303">
        <f>IFERROR(_xlfn.XLOOKUP($D185,'Modelling New'!$D:$D,'Modelling New'!P:P),"")</f>
        <v>4.91</v>
      </c>
      <c r="AD185" s="294">
        <f>IFERROR(_xlfn.XLOOKUP($D185,'Modelling New'!$D:$D,'Modelling New'!T:T)*1000,"")</f>
        <v>224556.07945408835</v>
      </c>
      <c r="AE185" s="304">
        <f>IFERROR(_xlfn.XLOOKUP($D185,'Modelling New'!$D:$D,'Modelling New'!$O:$O),"")</f>
        <v>0.84115108139007666</v>
      </c>
      <c r="AF185" s="304">
        <f>IFERROR(_xlfn.XLOOKUP($D185,'Modelling New'!$D:$D,'Modelling New'!$W:$W),"")</f>
        <v>0.17208549206771986</v>
      </c>
      <c r="AG185" s="304">
        <f>IFERROR(_xlfn.XLOOKUP($D185,'Modelling New'!$D:$D,'Modelling New'!$AE:$AE),"")</f>
        <v>0.995</v>
      </c>
      <c r="AH185" s="304">
        <f>IFERROR(_xlfn.XLOOKUP($D185,'Modelling New'!$D:$D,'Modelling New'!$AF:$AF),"")</f>
        <v>0.995</v>
      </c>
      <c r="AI185" s="295"/>
      <c r="AJ185" s="295"/>
      <c r="AK185" s="295"/>
      <c r="AL185" s="295"/>
      <c r="AM185" s="295"/>
      <c r="AN185" s="305"/>
      <c r="AO185" s="302"/>
      <c r="AP185" s="302"/>
      <c r="AQ185" s="302"/>
      <c r="AR185" s="294">
        <f>_xlfn.XLOOKUP($D185,'Modelling New'!$D:$D,'Modelling New'!$N:$N)</f>
        <v>54.371250000000003</v>
      </c>
      <c r="AS185" s="294">
        <f t="shared" si="18"/>
        <v>0</v>
      </c>
    </row>
    <row r="186" spans="1:45">
      <c r="A186" s="293">
        <f t="shared" si="19"/>
        <v>45929</v>
      </c>
      <c r="B186" s="294">
        <f>YEAR(Daily_KPI[[#This Row],[Date]])+IF(MONTH(Daily_KPI[[#This Row],[Date]])&gt;=4,1,0)</f>
        <v>2026</v>
      </c>
      <c r="C186" s="295">
        <f>YEAR(Daily_KPI[[#This Row],[Date]])</f>
        <v>2025</v>
      </c>
      <c r="D186" s="296">
        <f>Daily_KPI[[#This Row],[Date]]-DAY(Daily_KPI[[#This Row],[Date]])+1</f>
        <v>45901</v>
      </c>
      <c r="E186" s="295">
        <f t="shared" si="15"/>
        <v>30</v>
      </c>
      <c r="F186" s="297">
        <f>IFERROR(_xlfn.XLOOKUP($A186,Input_Raw!$A:$A,Input_Raw!$AR:$AR),"")</f>
        <v>0</v>
      </c>
      <c r="G186" s="298">
        <f>IFERROR(_xlfn.XLOOKUP($A186,Input_Raw!$A:$A,Input_Raw!$R:$R),"")</f>
        <v>0</v>
      </c>
      <c r="H186" s="298"/>
      <c r="I186" s="298">
        <f>IFERROR(_xlfn.XLOOKUP($A186,Input_Raw!$A:$A,Input_Raw!$Q:$Q),"")</f>
        <v>0</v>
      </c>
      <c r="J186" s="298"/>
      <c r="K186" s="298">
        <f>IFERROR(_xlfn.XLOOKUP($A186,Input_Raw!$A:$A,Input_Raw!S:S),"")</f>
        <v>0</v>
      </c>
      <c r="L186" s="298">
        <f>IFERROR(_xlfn.XLOOKUP($A186,Input_Raw!$A:$A,Input_Raw!T:T),"")</f>
        <v>0</v>
      </c>
      <c r="M186" s="298">
        <f>IFERROR(_xlfn.XLOOKUP($A186,Input_Raw!$A:$A,Input_Raw!W:W),"")</f>
        <v>0</v>
      </c>
      <c r="N186" s="298">
        <f>IFERROR(_xlfn.XLOOKUP($A186,Input_Raw!$A:$A,Input_Raw!X:X),"")</f>
        <v>0</v>
      </c>
      <c r="O186" s="299" t="str">
        <f>IFERROR(1-(SUMIF(Plant_BD!$B:$B,$A186,Plant_BD!$AL:$AL)/($AA186+SUMIF(Plant_BD!$B:$B,$A186,Plant_BD!$AL:$AL))),"")</f>
        <v/>
      </c>
      <c r="P186" s="299"/>
      <c r="Q186" s="300"/>
      <c r="R186" s="299" t="str">
        <f>IFERROR(1-(SUMIF(Grid_BD!$B:$B,$A186,Grid_BD!$V:$V)/($AA186+SUMIF(Grid_BD!$B:$B,$A186,Grid_BD!$V:$V))),"")</f>
        <v/>
      </c>
      <c r="S186" s="295"/>
      <c r="T186" s="300"/>
      <c r="U186" s="301" t="str">
        <f t="shared" si="16"/>
        <v/>
      </c>
      <c r="V186" s="301" t="str">
        <f>IFERROR(_xlfn.XLOOKUP($A186,Input_Raw!$A:$A,Input_Raw!$AX:$AX),"")</f>
        <v/>
      </c>
      <c r="W186" s="302">
        <f t="shared" si="17"/>
        <v>0</v>
      </c>
      <c r="X186" s="294">
        <f>IFERROR(_xlfn.XLOOKUP($A186,Input_Raw!$A:$A,Input_Raw!$AA:$AA),"")</f>
        <v>0</v>
      </c>
      <c r="Y186" s="294">
        <f>IFERROR(_xlfn.XLOOKUP($A186,Input_Raw!$A:$A,Input_Raw!$AS:$AS),"")</f>
        <v>0</v>
      </c>
      <c r="Z186" s="294"/>
      <c r="AA186" s="294">
        <f>IFERROR(_xlfn.XLOOKUP($A186,Input_Raw!$A:$A,Input_Raw!$AT:$AT),"")</f>
        <v>0</v>
      </c>
      <c r="AB186" s="294">
        <f>IFERROR(_xlfn.XLOOKUP($A186,Input_Raw!$A:$A,Input_Raw!$AU:$AU),"")</f>
        <v>0</v>
      </c>
      <c r="AC186" s="303">
        <f>IFERROR(_xlfn.XLOOKUP($D186,'Modelling New'!$D:$D,'Modelling New'!P:P),"")</f>
        <v>4.91</v>
      </c>
      <c r="AD186" s="294">
        <f>IFERROR(_xlfn.XLOOKUP($D186,'Modelling New'!$D:$D,'Modelling New'!T:T)*1000,"")</f>
        <v>224556.07945408835</v>
      </c>
      <c r="AE186" s="304">
        <f>IFERROR(_xlfn.XLOOKUP($D186,'Modelling New'!$D:$D,'Modelling New'!$O:$O),"")</f>
        <v>0.84115108139007666</v>
      </c>
      <c r="AF186" s="304">
        <f>IFERROR(_xlfn.XLOOKUP($D186,'Modelling New'!$D:$D,'Modelling New'!$W:$W),"")</f>
        <v>0.17208549206771986</v>
      </c>
      <c r="AG186" s="304">
        <f>IFERROR(_xlfn.XLOOKUP($D186,'Modelling New'!$D:$D,'Modelling New'!$AE:$AE),"")</f>
        <v>0.995</v>
      </c>
      <c r="AH186" s="304">
        <f>IFERROR(_xlfn.XLOOKUP($D186,'Modelling New'!$D:$D,'Modelling New'!$AF:$AF),"")</f>
        <v>0.995</v>
      </c>
      <c r="AI186" s="295"/>
      <c r="AJ186" s="295"/>
      <c r="AK186" s="295"/>
      <c r="AL186" s="295"/>
      <c r="AM186" s="295"/>
      <c r="AN186" s="305"/>
      <c r="AO186" s="302"/>
      <c r="AP186" s="302"/>
      <c r="AQ186" s="302"/>
      <c r="AR186" s="294">
        <f>_xlfn.XLOOKUP($D186,'Modelling New'!$D:$D,'Modelling New'!$N:$N)</f>
        <v>54.371250000000003</v>
      </c>
      <c r="AS186" s="294">
        <f t="shared" si="18"/>
        <v>0</v>
      </c>
    </row>
    <row r="187" spans="1:45">
      <c r="A187" s="293">
        <f t="shared" si="19"/>
        <v>45930</v>
      </c>
      <c r="B187" s="294">
        <f>YEAR(Daily_KPI[[#This Row],[Date]])+IF(MONTH(Daily_KPI[[#This Row],[Date]])&gt;=4,1,0)</f>
        <v>2026</v>
      </c>
      <c r="C187" s="295">
        <f>YEAR(Daily_KPI[[#This Row],[Date]])</f>
        <v>2025</v>
      </c>
      <c r="D187" s="296">
        <f>Daily_KPI[[#This Row],[Date]]-DAY(Daily_KPI[[#This Row],[Date]])+1</f>
        <v>45901</v>
      </c>
      <c r="E187" s="295">
        <f t="shared" si="15"/>
        <v>30</v>
      </c>
      <c r="F187" s="297">
        <f>IFERROR(_xlfn.XLOOKUP($A187,Input_Raw!$A:$A,Input_Raw!$AR:$AR),"")</f>
        <v>0</v>
      </c>
      <c r="G187" s="298">
        <f>IFERROR(_xlfn.XLOOKUP($A187,Input_Raw!$A:$A,Input_Raw!$R:$R),"")</f>
        <v>0</v>
      </c>
      <c r="H187" s="298"/>
      <c r="I187" s="298">
        <f>IFERROR(_xlfn.XLOOKUP($A187,Input_Raw!$A:$A,Input_Raw!$Q:$Q),"")</f>
        <v>0</v>
      </c>
      <c r="J187" s="298"/>
      <c r="K187" s="298">
        <f>IFERROR(_xlfn.XLOOKUP($A187,Input_Raw!$A:$A,Input_Raw!S:S),"")</f>
        <v>0</v>
      </c>
      <c r="L187" s="298">
        <f>IFERROR(_xlfn.XLOOKUP($A187,Input_Raw!$A:$A,Input_Raw!T:T),"")</f>
        <v>0</v>
      </c>
      <c r="M187" s="298">
        <f>IFERROR(_xlfn.XLOOKUP($A187,Input_Raw!$A:$A,Input_Raw!W:W),"")</f>
        <v>0</v>
      </c>
      <c r="N187" s="298">
        <f>IFERROR(_xlfn.XLOOKUP($A187,Input_Raw!$A:$A,Input_Raw!X:X),"")</f>
        <v>0</v>
      </c>
      <c r="O187" s="299" t="str">
        <f>IFERROR(1-(SUMIF(Plant_BD!$B:$B,$A187,Plant_BD!$AL:$AL)/($AA187+SUMIF(Plant_BD!$B:$B,$A187,Plant_BD!$AL:$AL))),"")</f>
        <v/>
      </c>
      <c r="P187" s="299"/>
      <c r="Q187" s="300"/>
      <c r="R187" s="299" t="str">
        <f>IFERROR(1-(SUMIF(Grid_BD!$B:$B,$A187,Grid_BD!$V:$V)/($AA187+SUMIF(Grid_BD!$B:$B,$A187,Grid_BD!$V:$V))),"")</f>
        <v/>
      </c>
      <c r="S187" s="295"/>
      <c r="T187" s="300"/>
      <c r="U187" s="301" t="str">
        <f t="shared" si="16"/>
        <v/>
      </c>
      <c r="V187" s="301" t="str">
        <f>IFERROR(_xlfn.XLOOKUP($A187,Input_Raw!$A:$A,Input_Raw!$AX:$AX),"")</f>
        <v/>
      </c>
      <c r="W187" s="302">
        <f t="shared" si="17"/>
        <v>0</v>
      </c>
      <c r="X187" s="294">
        <f>IFERROR(_xlfn.XLOOKUP($A187,Input_Raw!$A:$A,Input_Raw!$AA:$AA),"")</f>
        <v>0</v>
      </c>
      <c r="Y187" s="294">
        <f>IFERROR(_xlfn.XLOOKUP($A187,Input_Raw!$A:$A,Input_Raw!$AS:$AS),"")</f>
        <v>0</v>
      </c>
      <c r="Z187" s="294"/>
      <c r="AA187" s="294">
        <f>IFERROR(_xlfn.XLOOKUP($A187,Input_Raw!$A:$A,Input_Raw!$AT:$AT),"")</f>
        <v>0</v>
      </c>
      <c r="AB187" s="294">
        <f>IFERROR(_xlfn.XLOOKUP($A187,Input_Raw!$A:$A,Input_Raw!$AU:$AU),"")</f>
        <v>0</v>
      </c>
      <c r="AC187" s="303">
        <f>IFERROR(_xlfn.XLOOKUP($D187,'Modelling New'!$D:$D,'Modelling New'!P:P),"")</f>
        <v>4.91</v>
      </c>
      <c r="AD187" s="294">
        <f>IFERROR(_xlfn.XLOOKUP($D187,'Modelling New'!$D:$D,'Modelling New'!T:T)*1000,"")</f>
        <v>224556.07945408835</v>
      </c>
      <c r="AE187" s="304">
        <f>IFERROR(_xlfn.XLOOKUP($D187,'Modelling New'!$D:$D,'Modelling New'!$O:$O),"")</f>
        <v>0.84115108139007666</v>
      </c>
      <c r="AF187" s="304">
        <f>IFERROR(_xlfn.XLOOKUP($D187,'Modelling New'!$D:$D,'Modelling New'!$W:$W),"")</f>
        <v>0.17208549206771986</v>
      </c>
      <c r="AG187" s="304">
        <f>IFERROR(_xlfn.XLOOKUP($D187,'Modelling New'!$D:$D,'Modelling New'!$AE:$AE),"")</f>
        <v>0.995</v>
      </c>
      <c r="AH187" s="304">
        <f>IFERROR(_xlfn.XLOOKUP($D187,'Modelling New'!$D:$D,'Modelling New'!$AF:$AF),"")</f>
        <v>0.995</v>
      </c>
      <c r="AI187" s="295"/>
      <c r="AJ187" s="295"/>
      <c r="AK187" s="295"/>
      <c r="AL187" s="295"/>
      <c r="AM187" s="295"/>
      <c r="AN187" s="305"/>
      <c r="AO187" s="302"/>
      <c r="AP187" s="302"/>
      <c r="AQ187" s="302"/>
      <c r="AR187" s="294">
        <f>_xlfn.XLOOKUP($D187,'Modelling New'!$D:$D,'Modelling New'!$N:$N)</f>
        <v>54.371250000000003</v>
      </c>
      <c r="AS187" s="294">
        <f t="shared" si="18"/>
        <v>0</v>
      </c>
    </row>
    <row r="188" spans="1:45">
      <c r="A188" s="293">
        <f t="shared" si="19"/>
        <v>45931</v>
      </c>
      <c r="B188" s="294">
        <f>YEAR(Daily_KPI[[#This Row],[Date]])+IF(MONTH(Daily_KPI[[#This Row],[Date]])&gt;=4,1,0)</f>
        <v>2026</v>
      </c>
      <c r="C188" s="295">
        <f>YEAR(Daily_KPI[[#This Row],[Date]])</f>
        <v>2025</v>
      </c>
      <c r="D188" s="296">
        <f>Daily_KPI[[#This Row],[Date]]-DAY(Daily_KPI[[#This Row],[Date]])+1</f>
        <v>45931</v>
      </c>
      <c r="E188" s="295">
        <f t="shared" si="15"/>
        <v>31</v>
      </c>
      <c r="F188" s="297">
        <f>IFERROR(_xlfn.XLOOKUP($A188,Input_Raw!$A:$A,Input_Raw!$AR:$AR),"")</f>
        <v>0</v>
      </c>
      <c r="G188" s="298">
        <f>IFERROR(_xlfn.XLOOKUP($A188,Input_Raw!$A:$A,Input_Raw!$R:$R),"")</f>
        <v>0</v>
      </c>
      <c r="H188" s="298"/>
      <c r="I188" s="298">
        <f>IFERROR(_xlfn.XLOOKUP($A188,Input_Raw!$A:$A,Input_Raw!$Q:$Q),"")</f>
        <v>0</v>
      </c>
      <c r="J188" s="298"/>
      <c r="K188" s="298">
        <f>IFERROR(_xlfn.XLOOKUP($A188,Input_Raw!$A:$A,Input_Raw!S:S),"")</f>
        <v>0</v>
      </c>
      <c r="L188" s="298">
        <f>IFERROR(_xlfn.XLOOKUP($A188,Input_Raw!$A:$A,Input_Raw!T:T),"")</f>
        <v>0</v>
      </c>
      <c r="M188" s="298">
        <f>IFERROR(_xlfn.XLOOKUP($A188,Input_Raw!$A:$A,Input_Raw!W:W),"")</f>
        <v>0</v>
      </c>
      <c r="N188" s="298">
        <f>IFERROR(_xlfn.XLOOKUP($A188,Input_Raw!$A:$A,Input_Raw!X:X),"")</f>
        <v>0</v>
      </c>
      <c r="O188" s="299" t="str">
        <f>IFERROR(1-(SUMIF(Plant_BD!$B:$B,$A188,Plant_BD!$AL:$AL)/($AA188+SUMIF(Plant_BD!$B:$B,$A188,Plant_BD!$AL:$AL))),"")</f>
        <v/>
      </c>
      <c r="P188" s="299"/>
      <c r="Q188" s="300"/>
      <c r="R188" s="299" t="str">
        <f>IFERROR(1-(SUMIF(Grid_BD!$B:$B,$A188,Grid_BD!$V:$V)/($AA188+SUMIF(Grid_BD!$B:$B,$A188,Grid_BD!$V:$V))),"")</f>
        <v/>
      </c>
      <c r="S188" s="295"/>
      <c r="T188" s="300"/>
      <c r="U188" s="301" t="str">
        <f t="shared" si="16"/>
        <v/>
      </c>
      <c r="V188" s="301" t="str">
        <f>IFERROR(_xlfn.XLOOKUP($A188,Input_Raw!$A:$A,Input_Raw!$AX:$AX),"")</f>
        <v/>
      </c>
      <c r="W188" s="302">
        <f t="shared" si="17"/>
        <v>0</v>
      </c>
      <c r="X188" s="294">
        <f>IFERROR(_xlfn.XLOOKUP($A188,Input_Raw!$A:$A,Input_Raw!$AA:$AA),"")</f>
        <v>0</v>
      </c>
      <c r="Y188" s="294">
        <f>IFERROR(_xlfn.XLOOKUP($A188,Input_Raw!$A:$A,Input_Raw!$AS:$AS),"")</f>
        <v>0</v>
      </c>
      <c r="Z188" s="294"/>
      <c r="AA188" s="294">
        <f>IFERROR(_xlfn.XLOOKUP($A188,Input_Raw!$A:$A,Input_Raw!$AT:$AT),"")</f>
        <v>0</v>
      </c>
      <c r="AB188" s="294">
        <f>IFERROR(_xlfn.XLOOKUP($A188,Input_Raw!$A:$A,Input_Raw!$AU:$AU),"")</f>
        <v>0</v>
      </c>
      <c r="AC188" s="303">
        <f>IFERROR(_xlfn.XLOOKUP($D188,'Modelling New'!$D:$D,'Modelling New'!P:P),"")</f>
        <v>5.7677419354838717</v>
      </c>
      <c r="AD188" s="294">
        <f>IFERROR(_xlfn.XLOOKUP($D188,'Modelling New'!$D:$D,'Modelling New'!T:T)*1000,"")</f>
        <v>551238.53953940247</v>
      </c>
      <c r="AE188" s="304">
        <f>IFERROR(_xlfn.XLOOKUP($D188,'Modelling New'!$D:$D,'Modelling New'!$O:$O),"")</f>
        <v>0.7079457587920075</v>
      </c>
      <c r="AF188" s="304">
        <f>IFERROR(_xlfn.XLOOKUP($D188,'Modelling New'!$D:$D,'Modelling New'!$W:$W),"")</f>
        <v>0.17013535170969213</v>
      </c>
      <c r="AG188" s="304">
        <f>IFERROR(_xlfn.XLOOKUP($D188,'Modelling New'!$D:$D,'Modelling New'!$AE:$AE),"")</f>
        <v>0.995</v>
      </c>
      <c r="AH188" s="304">
        <f>IFERROR(_xlfn.XLOOKUP($D188,'Modelling New'!$D:$D,'Modelling New'!$AF:$AF),"")</f>
        <v>0.995</v>
      </c>
      <c r="AI188" s="295"/>
      <c r="AJ188" s="295"/>
      <c r="AK188" s="295"/>
      <c r="AL188" s="295"/>
      <c r="AM188" s="295"/>
      <c r="AN188" s="305"/>
      <c r="AO188" s="302"/>
      <c r="AP188" s="302"/>
      <c r="AQ188" s="302"/>
      <c r="AR188" s="294">
        <f>_xlfn.XLOOKUP($D188,'Modelling New'!$D:$D,'Modelling New'!$N:$N)</f>
        <v>135</v>
      </c>
      <c r="AS188" s="294">
        <f t="shared" si="18"/>
        <v>0</v>
      </c>
    </row>
    <row r="189" spans="1:45">
      <c r="A189" s="293">
        <f t="shared" si="19"/>
        <v>45932</v>
      </c>
      <c r="B189" s="294">
        <f>YEAR(Daily_KPI[[#This Row],[Date]])+IF(MONTH(Daily_KPI[[#This Row],[Date]])&gt;=4,1,0)</f>
        <v>2026</v>
      </c>
      <c r="C189" s="295">
        <f>YEAR(Daily_KPI[[#This Row],[Date]])</f>
        <v>2025</v>
      </c>
      <c r="D189" s="296">
        <f>Daily_KPI[[#This Row],[Date]]-DAY(Daily_KPI[[#This Row],[Date]])+1</f>
        <v>45931</v>
      </c>
      <c r="E189" s="295">
        <f t="shared" si="15"/>
        <v>31</v>
      </c>
      <c r="F189" s="297">
        <f>IFERROR(_xlfn.XLOOKUP($A189,Input_Raw!$A:$A,Input_Raw!$AR:$AR),"")</f>
        <v>0</v>
      </c>
      <c r="G189" s="298">
        <f>IFERROR(_xlfn.XLOOKUP($A189,Input_Raw!$A:$A,Input_Raw!$R:$R),"")</f>
        <v>0</v>
      </c>
      <c r="H189" s="298"/>
      <c r="I189" s="298">
        <f>IFERROR(_xlfn.XLOOKUP($A189,Input_Raw!$A:$A,Input_Raw!$Q:$Q),"")</f>
        <v>0</v>
      </c>
      <c r="J189" s="298"/>
      <c r="K189" s="298">
        <f>IFERROR(_xlfn.XLOOKUP($A189,Input_Raw!$A:$A,Input_Raw!S:S),"")</f>
        <v>0</v>
      </c>
      <c r="L189" s="298">
        <f>IFERROR(_xlfn.XLOOKUP($A189,Input_Raw!$A:$A,Input_Raw!T:T),"")</f>
        <v>0</v>
      </c>
      <c r="M189" s="298">
        <f>IFERROR(_xlfn.XLOOKUP($A189,Input_Raw!$A:$A,Input_Raw!W:W),"")</f>
        <v>0</v>
      </c>
      <c r="N189" s="298">
        <f>IFERROR(_xlfn.XLOOKUP($A189,Input_Raw!$A:$A,Input_Raw!X:X),"")</f>
        <v>0</v>
      </c>
      <c r="O189" s="299" t="str">
        <f>IFERROR(1-(SUMIF(Plant_BD!$B:$B,$A189,Plant_BD!$AL:$AL)/($AA189+SUMIF(Plant_BD!$B:$B,$A189,Plant_BD!$AL:$AL))),"")</f>
        <v/>
      </c>
      <c r="P189" s="299"/>
      <c r="Q189" s="300"/>
      <c r="R189" s="299" t="str">
        <f>IFERROR(1-(SUMIF(Grid_BD!$B:$B,$A189,Grid_BD!$V:$V)/($AA189+SUMIF(Grid_BD!$B:$B,$A189,Grid_BD!$V:$V))),"")</f>
        <v/>
      </c>
      <c r="S189" s="295"/>
      <c r="T189" s="300"/>
      <c r="U189" s="301" t="str">
        <f t="shared" si="16"/>
        <v/>
      </c>
      <c r="V189" s="301" t="str">
        <f>IFERROR(_xlfn.XLOOKUP($A189,Input_Raw!$A:$A,Input_Raw!$AX:$AX),"")</f>
        <v/>
      </c>
      <c r="W189" s="302">
        <f t="shared" si="17"/>
        <v>0</v>
      </c>
      <c r="X189" s="294">
        <f>IFERROR(_xlfn.XLOOKUP($A189,Input_Raw!$A:$A,Input_Raw!$AA:$AA),"")</f>
        <v>0</v>
      </c>
      <c r="Y189" s="294">
        <f>IFERROR(_xlfn.XLOOKUP($A189,Input_Raw!$A:$A,Input_Raw!$AS:$AS),"")</f>
        <v>0</v>
      </c>
      <c r="Z189" s="294"/>
      <c r="AA189" s="294">
        <f>IFERROR(_xlfn.XLOOKUP($A189,Input_Raw!$A:$A,Input_Raw!$AT:$AT),"")</f>
        <v>0</v>
      </c>
      <c r="AB189" s="294">
        <f>IFERROR(_xlfn.XLOOKUP($A189,Input_Raw!$A:$A,Input_Raw!$AU:$AU),"")</f>
        <v>0</v>
      </c>
      <c r="AC189" s="303">
        <f>IFERROR(_xlfn.XLOOKUP($D189,'Modelling New'!$D:$D,'Modelling New'!P:P),"")</f>
        <v>5.7677419354838717</v>
      </c>
      <c r="AD189" s="294">
        <f>IFERROR(_xlfn.XLOOKUP($D189,'Modelling New'!$D:$D,'Modelling New'!T:T)*1000,"")</f>
        <v>551238.53953940247</v>
      </c>
      <c r="AE189" s="304">
        <f>IFERROR(_xlfn.XLOOKUP($D189,'Modelling New'!$D:$D,'Modelling New'!$O:$O),"")</f>
        <v>0.7079457587920075</v>
      </c>
      <c r="AF189" s="304">
        <f>IFERROR(_xlfn.XLOOKUP($D189,'Modelling New'!$D:$D,'Modelling New'!$W:$W),"")</f>
        <v>0.17013535170969213</v>
      </c>
      <c r="AG189" s="304">
        <f>IFERROR(_xlfn.XLOOKUP($D189,'Modelling New'!$D:$D,'Modelling New'!$AE:$AE),"")</f>
        <v>0.995</v>
      </c>
      <c r="AH189" s="304">
        <f>IFERROR(_xlfn.XLOOKUP($D189,'Modelling New'!$D:$D,'Modelling New'!$AF:$AF),"")</f>
        <v>0.995</v>
      </c>
      <c r="AI189" s="295"/>
      <c r="AJ189" s="295"/>
      <c r="AK189" s="295"/>
      <c r="AL189" s="295"/>
      <c r="AM189" s="295"/>
      <c r="AN189" s="305"/>
      <c r="AO189" s="302"/>
      <c r="AP189" s="302"/>
      <c r="AQ189" s="302"/>
      <c r="AR189" s="294">
        <f>_xlfn.XLOOKUP($D189,'Modelling New'!$D:$D,'Modelling New'!$N:$N)</f>
        <v>135</v>
      </c>
      <c r="AS189" s="294">
        <f t="shared" si="18"/>
        <v>0</v>
      </c>
    </row>
    <row r="190" spans="1:45">
      <c r="A190" s="293">
        <f t="shared" si="19"/>
        <v>45933</v>
      </c>
      <c r="B190" s="294">
        <f>YEAR(Daily_KPI[[#This Row],[Date]])+IF(MONTH(Daily_KPI[[#This Row],[Date]])&gt;=4,1,0)</f>
        <v>2026</v>
      </c>
      <c r="C190" s="295">
        <f>YEAR(Daily_KPI[[#This Row],[Date]])</f>
        <v>2025</v>
      </c>
      <c r="D190" s="296">
        <f>Daily_KPI[[#This Row],[Date]]-DAY(Daily_KPI[[#This Row],[Date]])+1</f>
        <v>45931</v>
      </c>
      <c r="E190" s="295">
        <f t="shared" si="15"/>
        <v>31</v>
      </c>
      <c r="F190" s="297">
        <f>IFERROR(_xlfn.XLOOKUP($A190,Input_Raw!$A:$A,Input_Raw!$AR:$AR),"")</f>
        <v>0</v>
      </c>
      <c r="G190" s="298">
        <f>IFERROR(_xlfn.XLOOKUP($A190,Input_Raw!$A:$A,Input_Raw!$R:$R),"")</f>
        <v>0</v>
      </c>
      <c r="H190" s="298"/>
      <c r="I190" s="298">
        <f>IFERROR(_xlfn.XLOOKUP($A190,Input_Raw!$A:$A,Input_Raw!$Q:$Q),"")</f>
        <v>0</v>
      </c>
      <c r="J190" s="298"/>
      <c r="K190" s="298">
        <f>IFERROR(_xlfn.XLOOKUP($A190,Input_Raw!$A:$A,Input_Raw!S:S),"")</f>
        <v>0</v>
      </c>
      <c r="L190" s="298">
        <f>IFERROR(_xlfn.XLOOKUP($A190,Input_Raw!$A:$A,Input_Raw!T:T),"")</f>
        <v>0</v>
      </c>
      <c r="M190" s="298">
        <f>IFERROR(_xlfn.XLOOKUP($A190,Input_Raw!$A:$A,Input_Raw!W:W),"")</f>
        <v>0</v>
      </c>
      <c r="N190" s="298">
        <f>IFERROR(_xlfn.XLOOKUP($A190,Input_Raw!$A:$A,Input_Raw!X:X),"")</f>
        <v>0</v>
      </c>
      <c r="O190" s="299" t="str">
        <f>IFERROR(1-(SUMIF(Plant_BD!$B:$B,$A190,Plant_BD!$AL:$AL)/($AA190+SUMIF(Plant_BD!$B:$B,$A190,Plant_BD!$AL:$AL))),"")</f>
        <v/>
      </c>
      <c r="P190" s="299"/>
      <c r="Q190" s="300"/>
      <c r="R190" s="299" t="str">
        <f>IFERROR(1-(SUMIF(Grid_BD!$B:$B,$A190,Grid_BD!$V:$V)/($AA190+SUMIF(Grid_BD!$B:$B,$A190,Grid_BD!$V:$V))),"")</f>
        <v/>
      </c>
      <c r="S190" s="295"/>
      <c r="T190" s="300"/>
      <c r="U190" s="301" t="str">
        <f t="shared" si="16"/>
        <v/>
      </c>
      <c r="V190" s="301" t="str">
        <f>IFERROR(_xlfn.XLOOKUP($A190,Input_Raw!$A:$A,Input_Raw!$AX:$AX),"")</f>
        <v/>
      </c>
      <c r="W190" s="302">
        <f t="shared" si="17"/>
        <v>0</v>
      </c>
      <c r="X190" s="294">
        <f>IFERROR(_xlfn.XLOOKUP($A190,Input_Raw!$A:$A,Input_Raw!$AA:$AA),"")</f>
        <v>0</v>
      </c>
      <c r="Y190" s="294">
        <f>IFERROR(_xlfn.XLOOKUP($A190,Input_Raw!$A:$A,Input_Raw!$AS:$AS),"")</f>
        <v>0</v>
      </c>
      <c r="Z190" s="294"/>
      <c r="AA190" s="294">
        <f>IFERROR(_xlfn.XLOOKUP($A190,Input_Raw!$A:$A,Input_Raw!$AT:$AT),"")</f>
        <v>0</v>
      </c>
      <c r="AB190" s="294">
        <f>IFERROR(_xlfn.XLOOKUP($A190,Input_Raw!$A:$A,Input_Raw!$AU:$AU),"")</f>
        <v>0</v>
      </c>
      <c r="AC190" s="303">
        <f>IFERROR(_xlfn.XLOOKUP($D190,'Modelling New'!$D:$D,'Modelling New'!P:P),"")</f>
        <v>5.7677419354838717</v>
      </c>
      <c r="AD190" s="294">
        <f>IFERROR(_xlfn.XLOOKUP($D190,'Modelling New'!$D:$D,'Modelling New'!T:T)*1000,"")</f>
        <v>551238.53953940247</v>
      </c>
      <c r="AE190" s="304">
        <f>IFERROR(_xlfn.XLOOKUP($D190,'Modelling New'!$D:$D,'Modelling New'!$O:$O),"")</f>
        <v>0.7079457587920075</v>
      </c>
      <c r="AF190" s="304">
        <f>IFERROR(_xlfn.XLOOKUP($D190,'Modelling New'!$D:$D,'Modelling New'!$W:$W),"")</f>
        <v>0.17013535170969213</v>
      </c>
      <c r="AG190" s="304">
        <f>IFERROR(_xlfn.XLOOKUP($D190,'Modelling New'!$D:$D,'Modelling New'!$AE:$AE),"")</f>
        <v>0.995</v>
      </c>
      <c r="AH190" s="304">
        <f>IFERROR(_xlfn.XLOOKUP($D190,'Modelling New'!$D:$D,'Modelling New'!$AF:$AF),"")</f>
        <v>0.995</v>
      </c>
      <c r="AI190" s="295"/>
      <c r="AJ190" s="295"/>
      <c r="AK190" s="295"/>
      <c r="AL190" s="295"/>
      <c r="AM190" s="295"/>
      <c r="AN190" s="305"/>
      <c r="AO190" s="302"/>
      <c r="AP190" s="302"/>
      <c r="AQ190" s="302"/>
      <c r="AR190" s="294">
        <f>_xlfn.XLOOKUP($D190,'Modelling New'!$D:$D,'Modelling New'!$N:$N)</f>
        <v>135</v>
      </c>
      <c r="AS190" s="294">
        <f t="shared" si="18"/>
        <v>0</v>
      </c>
    </row>
    <row r="191" spans="1:45">
      <c r="A191" s="293">
        <f t="shared" si="19"/>
        <v>45934</v>
      </c>
      <c r="B191" s="294">
        <f>YEAR(Daily_KPI[[#This Row],[Date]])+IF(MONTH(Daily_KPI[[#This Row],[Date]])&gt;=4,1,0)</f>
        <v>2026</v>
      </c>
      <c r="C191" s="295">
        <f>YEAR(Daily_KPI[[#This Row],[Date]])</f>
        <v>2025</v>
      </c>
      <c r="D191" s="296">
        <f>Daily_KPI[[#This Row],[Date]]-DAY(Daily_KPI[[#This Row],[Date]])+1</f>
        <v>45931</v>
      </c>
      <c r="E191" s="295">
        <f t="shared" si="15"/>
        <v>31</v>
      </c>
      <c r="F191" s="297">
        <f>IFERROR(_xlfn.XLOOKUP($A191,Input_Raw!$A:$A,Input_Raw!$AR:$AR),"")</f>
        <v>0</v>
      </c>
      <c r="G191" s="298">
        <f>IFERROR(_xlfn.XLOOKUP($A191,Input_Raw!$A:$A,Input_Raw!$R:$R),"")</f>
        <v>0</v>
      </c>
      <c r="H191" s="298"/>
      <c r="I191" s="298">
        <f>IFERROR(_xlfn.XLOOKUP($A191,Input_Raw!$A:$A,Input_Raw!$Q:$Q),"")</f>
        <v>0</v>
      </c>
      <c r="J191" s="298"/>
      <c r="K191" s="298">
        <f>IFERROR(_xlfn.XLOOKUP($A191,Input_Raw!$A:$A,Input_Raw!S:S),"")</f>
        <v>0</v>
      </c>
      <c r="L191" s="298">
        <f>IFERROR(_xlfn.XLOOKUP($A191,Input_Raw!$A:$A,Input_Raw!T:T),"")</f>
        <v>0</v>
      </c>
      <c r="M191" s="298">
        <f>IFERROR(_xlfn.XLOOKUP($A191,Input_Raw!$A:$A,Input_Raw!W:W),"")</f>
        <v>0</v>
      </c>
      <c r="N191" s="298">
        <f>IFERROR(_xlfn.XLOOKUP($A191,Input_Raw!$A:$A,Input_Raw!X:X),"")</f>
        <v>0</v>
      </c>
      <c r="O191" s="299" t="str">
        <f>IFERROR(1-(SUMIF(Plant_BD!$B:$B,$A191,Plant_BD!$AL:$AL)/($AA191+SUMIF(Plant_BD!$B:$B,$A191,Plant_BD!$AL:$AL))),"")</f>
        <v/>
      </c>
      <c r="P191" s="299"/>
      <c r="Q191" s="300"/>
      <c r="R191" s="299" t="str">
        <f>IFERROR(1-(SUMIF(Grid_BD!$B:$B,$A191,Grid_BD!$V:$V)/($AA191+SUMIF(Grid_BD!$B:$B,$A191,Grid_BD!$V:$V))),"")</f>
        <v/>
      </c>
      <c r="S191" s="295"/>
      <c r="T191" s="300"/>
      <c r="U191" s="301" t="str">
        <f t="shared" si="16"/>
        <v/>
      </c>
      <c r="V191" s="301" t="str">
        <f>IFERROR(_xlfn.XLOOKUP($A191,Input_Raw!$A:$A,Input_Raw!$AX:$AX),"")</f>
        <v/>
      </c>
      <c r="W191" s="302">
        <f t="shared" si="17"/>
        <v>0</v>
      </c>
      <c r="X191" s="294">
        <f>IFERROR(_xlfn.XLOOKUP($A191,Input_Raw!$A:$A,Input_Raw!$AA:$AA),"")</f>
        <v>0</v>
      </c>
      <c r="Y191" s="294">
        <f>IFERROR(_xlfn.XLOOKUP($A191,Input_Raw!$A:$A,Input_Raw!$AS:$AS),"")</f>
        <v>0</v>
      </c>
      <c r="Z191" s="294"/>
      <c r="AA191" s="294">
        <f>IFERROR(_xlfn.XLOOKUP($A191,Input_Raw!$A:$A,Input_Raw!$AT:$AT),"")</f>
        <v>0</v>
      </c>
      <c r="AB191" s="294">
        <f>IFERROR(_xlfn.XLOOKUP($A191,Input_Raw!$A:$A,Input_Raw!$AU:$AU),"")</f>
        <v>0</v>
      </c>
      <c r="AC191" s="303">
        <f>IFERROR(_xlfn.XLOOKUP($D191,'Modelling New'!$D:$D,'Modelling New'!P:P),"")</f>
        <v>5.7677419354838717</v>
      </c>
      <c r="AD191" s="294">
        <f>IFERROR(_xlfn.XLOOKUP($D191,'Modelling New'!$D:$D,'Modelling New'!T:T)*1000,"")</f>
        <v>551238.53953940247</v>
      </c>
      <c r="AE191" s="304">
        <f>IFERROR(_xlfn.XLOOKUP($D191,'Modelling New'!$D:$D,'Modelling New'!$O:$O),"")</f>
        <v>0.7079457587920075</v>
      </c>
      <c r="AF191" s="304">
        <f>IFERROR(_xlfn.XLOOKUP($D191,'Modelling New'!$D:$D,'Modelling New'!$W:$W),"")</f>
        <v>0.17013535170969213</v>
      </c>
      <c r="AG191" s="304">
        <f>IFERROR(_xlfn.XLOOKUP($D191,'Modelling New'!$D:$D,'Modelling New'!$AE:$AE),"")</f>
        <v>0.995</v>
      </c>
      <c r="AH191" s="304">
        <f>IFERROR(_xlfn.XLOOKUP($D191,'Modelling New'!$D:$D,'Modelling New'!$AF:$AF),"")</f>
        <v>0.995</v>
      </c>
      <c r="AI191" s="295"/>
      <c r="AJ191" s="295"/>
      <c r="AK191" s="295"/>
      <c r="AL191" s="295"/>
      <c r="AM191" s="295"/>
      <c r="AN191" s="305"/>
      <c r="AO191" s="302"/>
      <c r="AP191" s="302"/>
      <c r="AQ191" s="302"/>
      <c r="AR191" s="294">
        <f>_xlfn.XLOOKUP($D191,'Modelling New'!$D:$D,'Modelling New'!$N:$N)</f>
        <v>135</v>
      </c>
      <c r="AS191" s="294">
        <f t="shared" si="18"/>
        <v>0</v>
      </c>
    </row>
    <row r="192" spans="1:45">
      <c r="A192" s="293">
        <f t="shared" si="19"/>
        <v>45935</v>
      </c>
      <c r="B192" s="294">
        <f>YEAR(Daily_KPI[[#This Row],[Date]])+IF(MONTH(Daily_KPI[[#This Row],[Date]])&gt;=4,1,0)</f>
        <v>2026</v>
      </c>
      <c r="C192" s="295">
        <f>YEAR(Daily_KPI[[#This Row],[Date]])</f>
        <v>2025</v>
      </c>
      <c r="D192" s="296">
        <f>Daily_KPI[[#This Row],[Date]]-DAY(Daily_KPI[[#This Row],[Date]])+1</f>
        <v>45931</v>
      </c>
      <c r="E192" s="295">
        <f t="shared" si="15"/>
        <v>31</v>
      </c>
      <c r="F192" s="297">
        <f>IFERROR(_xlfn.XLOOKUP($A192,Input_Raw!$A:$A,Input_Raw!$AR:$AR),"")</f>
        <v>0</v>
      </c>
      <c r="G192" s="298">
        <f>IFERROR(_xlfn.XLOOKUP($A192,Input_Raw!$A:$A,Input_Raw!$R:$R),"")</f>
        <v>0</v>
      </c>
      <c r="H192" s="298"/>
      <c r="I192" s="298">
        <f>IFERROR(_xlfn.XLOOKUP($A192,Input_Raw!$A:$A,Input_Raw!$Q:$Q),"")</f>
        <v>0</v>
      </c>
      <c r="J192" s="298"/>
      <c r="K192" s="298">
        <f>IFERROR(_xlfn.XLOOKUP($A192,Input_Raw!$A:$A,Input_Raw!S:S),"")</f>
        <v>0</v>
      </c>
      <c r="L192" s="298">
        <f>IFERROR(_xlfn.XLOOKUP($A192,Input_Raw!$A:$A,Input_Raw!T:T),"")</f>
        <v>0</v>
      </c>
      <c r="M192" s="298">
        <f>IFERROR(_xlfn.XLOOKUP($A192,Input_Raw!$A:$A,Input_Raw!W:W),"")</f>
        <v>0</v>
      </c>
      <c r="N192" s="298">
        <f>IFERROR(_xlfn.XLOOKUP($A192,Input_Raw!$A:$A,Input_Raw!X:X),"")</f>
        <v>0</v>
      </c>
      <c r="O192" s="299" t="str">
        <f>IFERROR(1-(SUMIF(Plant_BD!$B:$B,$A192,Plant_BD!$AL:$AL)/($AA192+SUMIF(Plant_BD!$B:$B,$A192,Plant_BD!$AL:$AL))),"")</f>
        <v/>
      </c>
      <c r="P192" s="299"/>
      <c r="Q192" s="300"/>
      <c r="R192" s="299" t="str">
        <f>IFERROR(1-(SUMIF(Grid_BD!$B:$B,$A192,Grid_BD!$V:$V)/($AA192+SUMIF(Grid_BD!$B:$B,$A192,Grid_BD!$V:$V))),"")</f>
        <v/>
      </c>
      <c r="S192" s="295"/>
      <c r="T192" s="300"/>
      <c r="U192" s="301" t="str">
        <f t="shared" si="16"/>
        <v/>
      </c>
      <c r="V192" s="301" t="str">
        <f>IFERROR(_xlfn.XLOOKUP($A192,Input_Raw!$A:$A,Input_Raw!$AX:$AX),"")</f>
        <v/>
      </c>
      <c r="W192" s="302">
        <f t="shared" si="17"/>
        <v>0</v>
      </c>
      <c r="X192" s="294">
        <f>IFERROR(_xlfn.XLOOKUP($A192,Input_Raw!$A:$A,Input_Raw!$AA:$AA),"")</f>
        <v>0</v>
      </c>
      <c r="Y192" s="294">
        <f>IFERROR(_xlfn.XLOOKUP($A192,Input_Raw!$A:$A,Input_Raw!$AS:$AS),"")</f>
        <v>0</v>
      </c>
      <c r="Z192" s="294"/>
      <c r="AA192" s="294">
        <f>IFERROR(_xlfn.XLOOKUP($A192,Input_Raw!$A:$A,Input_Raw!$AT:$AT),"")</f>
        <v>0</v>
      </c>
      <c r="AB192" s="294">
        <f>IFERROR(_xlfn.XLOOKUP($A192,Input_Raw!$A:$A,Input_Raw!$AU:$AU),"")</f>
        <v>0</v>
      </c>
      <c r="AC192" s="303">
        <f>IFERROR(_xlfn.XLOOKUP($D192,'Modelling New'!$D:$D,'Modelling New'!P:P),"")</f>
        <v>5.7677419354838717</v>
      </c>
      <c r="AD192" s="294">
        <f>IFERROR(_xlfn.XLOOKUP($D192,'Modelling New'!$D:$D,'Modelling New'!T:T)*1000,"")</f>
        <v>551238.53953940247</v>
      </c>
      <c r="AE192" s="304">
        <f>IFERROR(_xlfn.XLOOKUP($D192,'Modelling New'!$D:$D,'Modelling New'!$O:$O),"")</f>
        <v>0.7079457587920075</v>
      </c>
      <c r="AF192" s="304">
        <f>IFERROR(_xlfn.XLOOKUP($D192,'Modelling New'!$D:$D,'Modelling New'!$W:$W),"")</f>
        <v>0.17013535170969213</v>
      </c>
      <c r="AG192" s="304">
        <f>IFERROR(_xlfn.XLOOKUP($D192,'Modelling New'!$D:$D,'Modelling New'!$AE:$AE),"")</f>
        <v>0.995</v>
      </c>
      <c r="AH192" s="304">
        <f>IFERROR(_xlfn.XLOOKUP($D192,'Modelling New'!$D:$D,'Modelling New'!$AF:$AF),"")</f>
        <v>0.995</v>
      </c>
      <c r="AI192" s="295"/>
      <c r="AJ192" s="295"/>
      <c r="AK192" s="295"/>
      <c r="AL192" s="295"/>
      <c r="AM192" s="295"/>
      <c r="AN192" s="305"/>
      <c r="AO192" s="302"/>
      <c r="AP192" s="302"/>
      <c r="AQ192" s="302"/>
      <c r="AR192" s="294">
        <f>_xlfn.XLOOKUP($D192,'Modelling New'!$D:$D,'Modelling New'!$N:$N)</f>
        <v>135</v>
      </c>
      <c r="AS192" s="294">
        <f t="shared" si="18"/>
        <v>0</v>
      </c>
    </row>
    <row r="193" spans="1:45">
      <c r="A193" s="293">
        <f t="shared" si="19"/>
        <v>45936</v>
      </c>
      <c r="B193" s="294">
        <f>YEAR(Daily_KPI[[#This Row],[Date]])+IF(MONTH(Daily_KPI[[#This Row],[Date]])&gt;=4,1,0)</f>
        <v>2026</v>
      </c>
      <c r="C193" s="295">
        <f>YEAR(Daily_KPI[[#This Row],[Date]])</f>
        <v>2025</v>
      </c>
      <c r="D193" s="296">
        <f>Daily_KPI[[#This Row],[Date]]-DAY(Daily_KPI[[#This Row],[Date]])+1</f>
        <v>45931</v>
      </c>
      <c r="E193" s="295">
        <f t="shared" si="15"/>
        <v>31</v>
      </c>
      <c r="F193" s="297">
        <f>IFERROR(_xlfn.XLOOKUP($A193,Input_Raw!$A:$A,Input_Raw!$AR:$AR),"")</f>
        <v>0</v>
      </c>
      <c r="G193" s="298">
        <f>IFERROR(_xlfn.XLOOKUP($A193,Input_Raw!$A:$A,Input_Raw!$R:$R),"")</f>
        <v>0</v>
      </c>
      <c r="H193" s="298"/>
      <c r="I193" s="298">
        <f>IFERROR(_xlfn.XLOOKUP($A193,Input_Raw!$A:$A,Input_Raw!$Q:$Q),"")</f>
        <v>0</v>
      </c>
      <c r="J193" s="298"/>
      <c r="K193" s="298">
        <f>IFERROR(_xlfn.XLOOKUP($A193,Input_Raw!$A:$A,Input_Raw!S:S),"")</f>
        <v>0</v>
      </c>
      <c r="L193" s="298">
        <f>IFERROR(_xlfn.XLOOKUP($A193,Input_Raw!$A:$A,Input_Raw!T:T),"")</f>
        <v>0</v>
      </c>
      <c r="M193" s="298">
        <f>IFERROR(_xlfn.XLOOKUP($A193,Input_Raw!$A:$A,Input_Raw!W:W),"")</f>
        <v>0</v>
      </c>
      <c r="N193" s="298">
        <f>IFERROR(_xlfn.XLOOKUP($A193,Input_Raw!$A:$A,Input_Raw!X:X),"")</f>
        <v>0</v>
      </c>
      <c r="O193" s="299" t="str">
        <f>IFERROR(1-(SUMIF(Plant_BD!$B:$B,$A193,Plant_BD!$AL:$AL)/($AA193+SUMIF(Plant_BD!$B:$B,$A193,Plant_BD!$AL:$AL))),"")</f>
        <v/>
      </c>
      <c r="P193" s="299"/>
      <c r="Q193" s="300"/>
      <c r="R193" s="299" t="str">
        <f>IFERROR(1-(SUMIF(Grid_BD!$B:$B,$A193,Grid_BD!$V:$V)/($AA193+SUMIF(Grid_BD!$B:$B,$A193,Grid_BD!$V:$V))),"")</f>
        <v/>
      </c>
      <c r="S193" s="295"/>
      <c r="T193" s="300"/>
      <c r="U193" s="301" t="str">
        <f t="shared" si="16"/>
        <v/>
      </c>
      <c r="V193" s="301" t="str">
        <f>IFERROR(_xlfn.XLOOKUP($A193,Input_Raw!$A:$A,Input_Raw!$AX:$AX),"")</f>
        <v/>
      </c>
      <c r="W193" s="302">
        <f t="shared" si="17"/>
        <v>0</v>
      </c>
      <c r="X193" s="294">
        <f>IFERROR(_xlfn.XLOOKUP($A193,Input_Raw!$A:$A,Input_Raw!$AA:$AA),"")</f>
        <v>0</v>
      </c>
      <c r="Y193" s="294">
        <f>IFERROR(_xlfn.XLOOKUP($A193,Input_Raw!$A:$A,Input_Raw!$AS:$AS),"")</f>
        <v>0</v>
      </c>
      <c r="Z193" s="294"/>
      <c r="AA193" s="294">
        <f>IFERROR(_xlfn.XLOOKUP($A193,Input_Raw!$A:$A,Input_Raw!$AT:$AT),"")</f>
        <v>0</v>
      </c>
      <c r="AB193" s="294">
        <f>IFERROR(_xlfn.XLOOKUP($A193,Input_Raw!$A:$A,Input_Raw!$AU:$AU),"")</f>
        <v>0</v>
      </c>
      <c r="AC193" s="303">
        <f>IFERROR(_xlfn.XLOOKUP($D193,'Modelling New'!$D:$D,'Modelling New'!P:P),"")</f>
        <v>5.7677419354838717</v>
      </c>
      <c r="AD193" s="294">
        <f>IFERROR(_xlfn.XLOOKUP($D193,'Modelling New'!$D:$D,'Modelling New'!T:T)*1000,"")</f>
        <v>551238.53953940247</v>
      </c>
      <c r="AE193" s="304">
        <f>IFERROR(_xlfn.XLOOKUP($D193,'Modelling New'!$D:$D,'Modelling New'!$O:$O),"")</f>
        <v>0.7079457587920075</v>
      </c>
      <c r="AF193" s="304">
        <f>IFERROR(_xlfn.XLOOKUP($D193,'Modelling New'!$D:$D,'Modelling New'!$W:$W),"")</f>
        <v>0.17013535170969213</v>
      </c>
      <c r="AG193" s="304">
        <f>IFERROR(_xlfn.XLOOKUP($D193,'Modelling New'!$D:$D,'Modelling New'!$AE:$AE),"")</f>
        <v>0.995</v>
      </c>
      <c r="AH193" s="304">
        <f>IFERROR(_xlfn.XLOOKUP($D193,'Modelling New'!$D:$D,'Modelling New'!$AF:$AF),"")</f>
        <v>0.995</v>
      </c>
      <c r="AI193" s="295"/>
      <c r="AJ193" s="295"/>
      <c r="AK193" s="295"/>
      <c r="AL193" s="295"/>
      <c r="AM193" s="295"/>
      <c r="AN193" s="305"/>
      <c r="AO193" s="302"/>
      <c r="AP193" s="302"/>
      <c r="AQ193" s="302"/>
      <c r="AR193" s="294">
        <f>_xlfn.XLOOKUP($D193,'Modelling New'!$D:$D,'Modelling New'!$N:$N)</f>
        <v>135</v>
      </c>
      <c r="AS193" s="294">
        <f t="shared" si="18"/>
        <v>0</v>
      </c>
    </row>
    <row r="194" spans="1:45">
      <c r="A194" s="293">
        <f t="shared" si="19"/>
        <v>45937</v>
      </c>
      <c r="B194" s="294">
        <f>YEAR(Daily_KPI[[#This Row],[Date]])+IF(MONTH(Daily_KPI[[#This Row],[Date]])&gt;=4,1,0)</f>
        <v>2026</v>
      </c>
      <c r="C194" s="295">
        <f>YEAR(Daily_KPI[[#This Row],[Date]])</f>
        <v>2025</v>
      </c>
      <c r="D194" s="296">
        <f>Daily_KPI[[#This Row],[Date]]-DAY(Daily_KPI[[#This Row],[Date]])+1</f>
        <v>45931</v>
      </c>
      <c r="E194" s="295">
        <f t="shared" si="15"/>
        <v>31</v>
      </c>
      <c r="F194" s="297">
        <f>IFERROR(_xlfn.XLOOKUP($A194,Input_Raw!$A:$A,Input_Raw!$AR:$AR),"")</f>
        <v>0</v>
      </c>
      <c r="G194" s="298">
        <f>IFERROR(_xlfn.XLOOKUP($A194,Input_Raw!$A:$A,Input_Raw!$R:$R),"")</f>
        <v>0</v>
      </c>
      <c r="H194" s="298"/>
      <c r="I194" s="298">
        <f>IFERROR(_xlfn.XLOOKUP($A194,Input_Raw!$A:$A,Input_Raw!$Q:$Q),"")</f>
        <v>0</v>
      </c>
      <c r="J194" s="298"/>
      <c r="K194" s="298">
        <f>IFERROR(_xlfn.XLOOKUP($A194,Input_Raw!$A:$A,Input_Raw!S:S),"")</f>
        <v>0</v>
      </c>
      <c r="L194" s="298">
        <f>IFERROR(_xlfn.XLOOKUP($A194,Input_Raw!$A:$A,Input_Raw!T:T),"")</f>
        <v>0</v>
      </c>
      <c r="M194" s="298">
        <f>IFERROR(_xlfn.XLOOKUP($A194,Input_Raw!$A:$A,Input_Raw!W:W),"")</f>
        <v>0</v>
      </c>
      <c r="N194" s="298">
        <f>IFERROR(_xlfn.XLOOKUP($A194,Input_Raw!$A:$A,Input_Raw!X:X),"")</f>
        <v>0</v>
      </c>
      <c r="O194" s="299" t="str">
        <f>IFERROR(1-(SUMIF(Plant_BD!$B:$B,$A194,Plant_BD!$AL:$AL)/($AA194+SUMIF(Plant_BD!$B:$B,$A194,Plant_BD!$AL:$AL))),"")</f>
        <v/>
      </c>
      <c r="P194" s="299"/>
      <c r="Q194" s="300"/>
      <c r="R194" s="299" t="str">
        <f>IFERROR(1-(SUMIF(Grid_BD!$B:$B,$A194,Grid_BD!$V:$V)/($AA194+SUMIF(Grid_BD!$B:$B,$A194,Grid_BD!$V:$V))),"")</f>
        <v/>
      </c>
      <c r="S194" s="295"/>
      <c r="T194" s="300"/>
      <c r="U194" s="301" t="str">
        <f t="shared" si="16"/>
        <v/>
      </c>
      <c r="V194" s="301" t="str">
        <f>IFERROR(_xlfn.XLOOKUP($A194,Input_Raw!$A:$A,Input_Raw!$AX:$AX),"")</f>
        <v/>
      </c>
      <c r="W194" s="302">
        <f t="shared" si="17"/>
        <v>0</v>
      </c>
      <c r="X194" s="294">
        <f>IFERROR(_xlfn.XLOOKUP($A194,Input_Raw!$A:$A,Input_Raw!$AA:$AA),"")</f>
        <v>0</v>
      </c>
      <c r="Y194" s="294">
        <f>IFERROR(_xlfn.XLOOKUP($A194,Input_Raw!$A:$A,Input_Raw!$AS:$AS),"")</f>
        <v>0</v>
      </c>
      <c r="Z194" s="294"/>
      <c r="AA194" s="294">
        <f>IFERROR(_xlfn.XLOOKUP($A194,Input_Raw!$A:$A,Input_Raw!$AT:$AT),"")</f>
        <v>0</v>
      </c>
      <c r="AB194" s="294">
        <f>IFERROR(_xlfn.XLOOKUP($A194,Input_Raw!$A:$A,Input_Raw!$AU:$AU),"")</f>
        <v>0</v>
      </c>
      <c r="AC194" s="303">
        <f>IFERROR(_xlfn.XLOOKUP($D194,'Modelling New'!$D:$D,'Modelling New'!P:P),"")</f>
        <v>5.7677419354838717</v>
      </c>
      <c r="AD194" s="294">
        <f>IFERROR(_xlfn.XLOOKUP($D194,'Modelling New'!$D:$D,'Modelling New'!T:T)*1000,"")</f>
        <v>551238.53953940247</v>
      </c>
      <c r="AE194" s="304">
        <f>IFERROR(_xlfn.XLOOKUP($D194,'Modelling New'!$D:$D,'Modelling New'!$O:$O),"")</f>
        <v>0.7079457587920075</v>
      </c>
      <c r="AF194" s="304">
        <f>IFERROR(_xlfn.XLOOKUP($D194,'Modelling New'!$D:$D,'Modelling New'!$W:$W),"")</f>
        <v>0.17013535170969213</v>
      </c>
      <c r="AG194" s="304">
        <f>IFERROR(_xlfn.XLOOKUP($D194,'Modelling New'!$D:$D,'Modelling New'!$AE:$AE),"")</f>
        <v>0.995</v>
      </c>
      <c r="AH194" s="304">
        <f>IFERROR(_xlfn.XLOOKUP($D194,'Modelling New'!$D:$D,'Modelling New'!$AF:$AF),"")</f>
        <v>0.995</v>
      </c>
      <c r="AI194" s="295"/>
      <c r="AJ194" s="295"/>
      <c r="AK194" s="295"/>
      <c r="AL194" s="295"/>
      <c r="AM194" s="295"/>
      <c r="AN194" s="305"/>
      <c r="AO194" s="302"/>
      <c r="AP194" s="302"/>
      <c r="AQ194" s="302"/>
      <c r="AR194" s="294">
        <f>_xlfn.XLOOKUP($D194,'Modelling New'!$D:$D,'Modelling New'!$N:$N)</f>
        <v>135</v>
      </c>
      <c r="AS194" s="294">
        <f t="shared" si="18"/>
        <v>0</v>
      </c>
    </row>
    <row r="195" spans="1:45">
      <c r="A195" s="293">
        <f t="shared" si="19"/>
        <v>45938</v>
      </c>
      <c r="B195" s="294">
        <f>YEAR(Daily_KPI[[#This Row],[Date]])+IF(MONTH(Daily_KPI[[#This Row],[Date]])&gt;=4,1,0)</f>
        <v>2026</v>
      </c>
      <c r="C195" s="295">
        <f>YEAR(Daily_KPI[[#This Row],[Date]])</f>
        <v>2025</v>
      </c>
      <c r="D195" s="296">
        <f>Daily_KPI[[#This Row],[Date]]-DAY(Daily_KPI[[#This Row],[Date]])+1</f>
        <v>45931</v>
      </c>
      <c r="E195" s="295">
        <f t="shared" si="15"/>
        <v>31</v>
      </c>
      <c r="F195" s="297">
        <f>IFERROR(_xlfn.XLOOKUP($A195,Input_Raw!$A:$A,Input_Raw!$AR:$AR),"")</f>
        <v>0</v>
      </c>
      <c r="G195" s="298">
        <f>IFERROR(_xlfn.XLOOKUP($A195,Input_Raw!$A:$A,Input_Raw!$R:$R),"")</f>
        <v>0</v>
      </c>
      <c r="H195" s="298"/>
      <c r="I195" s="298">
        <f>IFERROR(_xlfn.XLOOKUP($A195,Input_Raw!$A:$A,Input_Raw!$Q:$Q),"")</f>
        <v>0</v>
      </c>
      <c r="J195" s="298"/>
      <c r="K195" s="298">
        <f>IFERROR(_xlfn.XLOOKUP($A195,Input_Raw!$A:$A,Input_Raw!S:S),"")</f>
        <v>0</v>
      </c>
      <c r="L195" s="298">
        <f>IFERROR(_xlfn.XLOOKUP($A195,Input_Raw!$A:$A,Input_Raw!T:T),"")</f>
        <v>0</v>
      </c>
      <c r="M195" s="298">
        <f>IFERROR(_xlfn.XLOOKUP($A195,Input_Raw!$A:$A,Input_Raw!W:W),"")</f>
        <v>0</v>
      </c>
      <c r="N195" s="298">
        <f>IFERROR(_xlfn.XLOOKUP($A195,Input_Raw!$A:$A,Input_Raw!X:X),"")</f>
        <v>0</v>
      </c>
      <c r="O195" s="299" t="str">
        <f>IFERROR(1-(SUMIF(Plant_BD!$B:$B,$A195,Plant_BD!$AL:$AL)/($AA195+SUMIF(Plant_BD!$B:$B,$A195,Plant_BD!$AL:$AL))),"")</f>
        <v/>
      </c>
      <c r="P195" s="299"/>
      <c r="Q195" s="300"/>
      <c r="R195" s="299" t="str">
        <f>IFERROR(1-(SUMIF(Grid_BD!$B:$B,$A195,Grid_BD!$V:$V)/($AA195+SUMIF(Grid_BD!$B:$B,$A195,Grid_BD!$V:$V))),"")</f>
        <v/>
      </c>
      <c r="S195" s="295"/>
      <c r="T195" s="300"/>
      <c r="U195" s="301" t="str">
        <f t="shared" si="16"/>
        <v/>
      </c>
      <c r="V195" s="301" t="str">
        <f>IFERROR(_xlfn.XLOOKUP($A195,Input_Raw!$A:$A,Input_Raw!$AX:$AX),"")</f>
        <v/>
      </c>
      <c r="W195" s="302">
        <f t="shared" si="17"/>
        <v>0</v>
      </c>
      <c r="X195" s="294">
        <f>IFERROR(_xlfn.XLOOKUP($A195,Input_Raw!$A:$A,Input_Raw!$AA:$AA),"")</f>
        <v>0</v>
      </c>
      <c r="Y195" s="294">
        <f>IFERROR(_xlfn.XLOOKUP($A195,Input_Raw!$A:$A,Input_Raw!$AS:$AS),"")</f>
        <v>0</v>
      </c>
      <c r="Z195" s="294"/>
      <c r="AA195" s="294">
        <f>IFERROR(_xlfn.XLOOKUP($A195,Input_Raw!$A:$A,Input_Raw!$AT:$AT),"")</f>
        <v>0</v>
      </c>
      <c r="AB195" s="294">
        <f>IFERROR(_xlfn.XLOOKUP($A195,Input_Raw!$A:$A,Input_Raw!$AU:$AU),"")</f>
        <v>0</v>
      </c>
      <c r="AC195" s="303">
        <f>IFERROR(_xlfn.XLOOKUP($D195,'Modelling New'!$D:$D,'Modelling New'!P:P),"")</f>
        <v>5.7677419354838717</v>
      </c>
      <c r="AD195" s="294">
        <f>IFERROR(_xlfn.XLOOKUP($D195,'Modelling New'!$D:$D,'Modelling New'!T:T)*1000,"")</f>
        <v>551238.53953940247</v>
      </c>
      <c r="AE195" s="304">
        <f>IFERROR(_xlfn.XLOOKUP($D195,'Modelling New'!$D:$D,'Modelling New'!$O:$O),"")</f>
        <v>0.7079457587920075</v>
      </c>
      <c r="AF195" s="304">
        <f>IFERROR(_xlfn.XLOOKUP($D195,'Modelling New'!$D:$D,'Modelling New'!$W:$W),"")</f>
        <v>0.17013535170969213</v>
      </c>
      <c r="AG195" s="304">
        <f>IFERROR(_xlfn.XLOOKUP($D195,'Modelling New'!$D:$D,'Modelling New'!$AE:$AE),"")</f>
        <v>0.995</v>
      </c>
      <c r="AH195" s="304">
        <f>IFERROR(_xlfn.XLOOKUP($D195,'Modelling New'!$D:$D,'Modelling New'!$AF:$AF),"")</f>
        <v>0.995</v>
      </c>
      <c r="AI195" s="295"/>
      <c r="AJ195" s="295"/>
      <c r="AK195" s="295"/>
      <c r="AL195" s="295"/>
      <c r="AM195" s="295"/>
      <c r="AN195" s="305"/>
      <c r="AO195" s="302"/>
      <c r="AP195" s="302"/>
      <c r="AQ195" s="302"/>
      <c r="AR195" s="294">
        <f>_xlfn.XLOOKUP($D195,'Modelling New'!$D:$D,'Modelling New'!$N:$N)</f>
        <v>135</v>
      </c>
      <c r="AS195" s="294">
        <f t="shared" si="18"/>
        <v>0</v>
      </c>
    </row>
    <row r="196" spans="1:45">
      <c r="A196" s="293">
        <f t="shared" si="19"/>
        <v>45939</v>
      </c>
      <c r="B196" s="294">
        <f>YEAR(Daily_KPI[[#This Row],[Date]])+IF(MONTH(Daily_KPI[[#This Row],[Date]])&gt;=4,1,0)</f>
        <v>2026</v>
      </c>
      <c r="C196" s="295">
        <f>YEAR(Daily_KPI[[#This Row],[Date]])</f>
        <v>2025</v>
      </c>
      <c r="D196" s="296">
        <f>Daily_KPI[[#This Row],[Date]]-DAY(Daily_KPI[[#This Row],[Date]])+1</f>
        <v>45931</v>
      </c>
      <c r="E196" s="295">
        <f t="shared" si="15"/>
        <v>31</v>
      </c>
      <c r="F196" s="297">
        <f>IFERROR(_xlfn.XLOOKUP($A196,Input_Raw!$A:$A,Input_Raw!$AR:$AR),"")</f>
        <v>0</v>
      </c>
      <c r="G196" s="298">
        <f>IFERROR(_xlfn.XLOOKUP($A196,Input_Raw!$A:$A,Input_Raw!$R:$R),"")</f>
        <v>0</v>
      </c>
      <c r="H196" s="298"/>
      <c r="I196" s="298">
        <f>IFERROR(_xlfn.XLOOKUP($A196,Input_Raw!$A:$A,Input_Raw!$Q:$Q),"")</f>
        <v>0</v>
      </c>
      <c r="J196" s="298"/>
      <c r="K196" s="298">
        <f>IFERROR(_xlfn.XLOOKUP($A196,Input_Raw!$A:$A,Input_Raw!S:S),"")</f>
        <v>0</v>
      </c>
      <c r="L196" s="298">
        <f>IFERROR(_xlfn.XLOOKUP($A196,Input_Raw!$A:$A,Input_Raw!T:T),"")</f>
        <v>0</v>
      </c>
      <c r="M196" s="298">
        <f>IFERROR(_xlfn.XLOOKUP($A196,Input_Raw!$A:$A,Input_Raw!W:W),"")</f>
        <v>0</v>
      </c>
      <c r="N196" s="298">
        <f>IFERROR(_xlfn.XLOOKUP($A196,Input_Raw!$A:$A,Input_Raw!X:X),"")</f>
        <v>0</v>
      </c>
      <c r="O196" s="299" t="str">
        <f>IFERROR(1-(SUMIF(Plant_BD!$B:$B,$A196,Plant_BD!$AL:$AL)/($AA196+SUMIF(Plant_BD!$B:$B,$A196,Plant_BD!$AL:$AL))),"")</f>
        <v/>
      </c>
      <c r="P196" s="299"/>
      <c r="Q196" s="300"/>
      <c r="R196" s="299" t="str">
        <f>IFERROR(1-(SUMIF(Grid_BD!$B:$B,$A196,Grid_BD!$V:$V)/($AA196+SUMIF(Grid_BD!$B:$B,$A196,Grid_BD!$V:$V))),"")</f>
        <v/>
      </c>
      <c r="S196" s="295"/>
      <c r="T196" s="300"/>
      <c r="U196" s="301" t="str">
        <f t="shared" si="16"/>
        <v/>
      </c>
      <c r="V196" s="301" t="str">
        <f>IFERROR(_xlfn.XLOOKUP($A196,Input_Raw!$A:$A,Input_Raw!$AX:$AX),"")</f>
        <v/>
      </c>
      <c r="W196" s="302">
        <f t="shared" si="17"/>
        <v>0</v>
      </c>
      <c r="X196" s="294">
        <f>IFERROR(_xlfn.XLOOKUP($A196,Input_Raw!$A:$A,Input_Raw!$AA:$AA),"")</f>
        <v>0</v>
      </c>
      <c r="Y196" s="294">
        <f>IFERROR(_xlfn.XLOOKUP($A196,Input_Raw!$A:$A,Input_Raw!$AS:$AS),"")</f>
        <v>0</v>
      </c>
      <c r="Z196" s="294"/>
      <c r="AA196" s="294">
        <f>IFERROR(_xlfn.XLOOKUP($A196,Input_Raw!$A:$A,Input_Raw!$AT:$AT),"")</f>
        <v>0</v>
      </c>
      <c r="AB196" s="294">
        <f>IFERROR(_xlfn.XLOOKUP($A196,Input_Raw!$A:$A,Input_Raw!$AU:$AU),"")</f>
        <v>0</v>
      </c>
      <c r="AC196" s="303">
        <f>IFERROR(_xlfn.XLOOKUP($D196,'Modelling New'!$D:$D,'Modelling New'!P:P),"")</f>
        <v>5.7677419354838717</v>
      </c>
      <c r="AD196" s="294">
        <f>IFERROR(_xlfn.XLOOKUP($D196,'Modelling New'!$D:$D,'Modelling New'!T:T)*1000,"")</f>
        <v>551238.53953940247</v>
      </c>
      <c r="AE196" s="304">
        <f>IFERROR(_xlfn.XLOOKUP($D196,'Modelling New'!$D:$D,'Modelling New'!$O:$O),"")</f>
        <v>0.7079457587920075</v>
      </c>
      <c r="AF196" s="304">
        <f>IFERROR(_xlfn.XLOOKUP($D196,'Modelling New'!$D:$D,'Modelling New'!$W:$W),"")</f>
        <v>0.17013535170969213</v>
      </c>
      <c r="AG196" s="304">
        <f>IFERROR(_xlfn.XLOOKUP($D196,'Modelling New'!$D:$D,'Modelling New'!$AE:$AE),"")</f>
        <v>0.995</v>
      </c>
      <c r="AH196" s="304">
        <f>IFERROR(_xlfn.XLOOKUP($D196,'Modelling New'!$D:$D,'Modelling New'!$AF:$AF),"")</f>
        <v>0.995</v>
      </c>
      <c r="AI196" s="295"/>
      <c r="AJ196" s="295"/>
      <c r="AK196" s="295"/>
      <c r="AL196" s="295"/>
      <c r="AM196" s="295"/>
      <c r="AN196" s="305"/>
      <c r="AO196" s="302"/>
      <c r="AP196" s="302"/>
      <c r="AQ196" s="302"/>
      <c r="AR196" s="294">
        <f>_xlfn.XLOOKUP($D196,'Modelling New'!$D:$D,'Modelling New'!$N:$N)</f>
        <v>135</v>
      </c>
      <c r="AS196" s="294">
        <f t="shared" si="18"/>
        <v>0</v>
      </c>
    </row>
    <row r="197" spans="1:45">
      <c r="A197" s="293">
        <f t="shared" si="19"/>
        <v>45940</v>
      </c>
      <c r="B197" s="294">
        <f>YEAR(Daily_KPI[[#This Row],[Date]])+IF(MONTH(Daily_KPI[[#This Row],[Date]])&gt;=4,1,0)</f>
        <v>2026</v>
      </c>
      <c r="C197" s="295">
        <f>YEAR(Daily_KPI[[#This Row],[Date]])</f>
        <v>2025</v>
      </c>
      <c r="D197" s="296">
        <f>Daily_KPI[[#This Row],[Date]]-DAY(Daily_KPI[[#This Row],[Date]])+1</f>
        <v>45931</v>
      </c>
      <c r="E197" s="295">
        <f t="shared" si="15"/>
        <v>31</v>
      </c>
      <c r="F197" s="297">
        <f>IFERROR(_xlfn.XLOOKUP($A197,Input_Raw!$A:$A,Input_Raw!$AR:$AR),"")</f>
        <v>0</v>
      </c>
      <c r="G197" s="298">
        <f>IFERROR(_xlfn.XLOOKUP($A197,Input_Raw!$A:$A,Input_Raw!$R:$R),"")</f>
        <v>0</v>
      </c>
      <c r="H197" s="298"/>
      <c r="I197" s="298">
        <f>IFERROR(_xlfn.XLOOKUP($A197,Input_Raw!$A:$A,Input_Raw!$Q:$Q),"")</f>
        <v>0</v>
      </c>
      <c r="J197" s="298"/>
      <c r="K197" s="298">
        <f>IFERROR(_xlfn.XLOOKUP($A197,Input_Raw!$A:$A,Input_Raw!S:S),"")</f>
        <v>0</v>
      </c>
      <c r="L197" s="298">
        <f>IFERROR(_xlfn.XLOOKUP($A197,Input_Raw!$A:$A,Input_Raw!T:T),"")</f>
        <v>0</v>
      </c>
      <c r="M197" s="298">
        <f>IFERROR(_xlfn.XLOOKUP($A197,Input_Raw!$A:$A,Input_Raw!W:W),"")</f>
        <v>0</v>
      </c>
      <c r="N197" s="298">
        <f>IFERROR(_xlfn.XLOOKUP($A197,Input_Raw!$A:$A,Input_Raw!X:X),"")</f>
        <v>0</v>
      </c>
      <c r="O197" s="299" t="str">
        <f>IFERROR(1-(SUMIF(Plant_BD!$B:$B,$A197,Plant_BD!$AL:$AL)/($AA197+SUMIF(Plant_BD!$B:$B,$A197,Plant_BD!$AL:$AL))),"")</f>
        <v/>
      </c>
      <c r="P197" s="299"/>
      <c r="Q197" s="300"/>
      <c r="R197" s="299" t="str">
        <f>IFERROR(1-(SUMIF(Grid_BD!$B:$B,$A197,Grid_BD!$V:$V)/($AA197+SUMIF(Grid_BD!$B:$B,$A197,Grid_BD!$V:$V))),"")</f>
        <v/>
      </c>
      <c r="S197" s="295"/>
      <c r="T197" s="300"/>
      <c r="U197" s="301" t="str">
        <f t="shared" si="16"/>
        <v/>
      </c>
      <c r="V197" s="301" t="str">
        <f>IFERROR(_xlfn.XLOOKUP($A197,Input_Raw!$A:$A,Input_Raw!$AX:$AX),"")</f>
        <v/>
      </c>
      <c r="W197" s="302">
        <f t="shared" si="17"/>
        <v>0</v>
      </c>
      <c r="X197" s="294">
        <f>IFERROR(_xlfn.XLOOKUP($A197,Input_Raw!$A:$A,Input_Raw!$AA:$AA),"")</f>
        <v>0</v>
      </c>
      <c r="Y197" s="294">
        <f>IFERROR(_xlfn.XLOOKUP($A197,Input_Raw!$A:$A,Input_Raw!$AS:$AS),"")</f>
        <v>0</v>
      </c>
      <c r="Z197" s="294"/>
      <c r="AA197" s="294">
        <f>IFERROR(_xlfn.XLOOKUP($A197,Input_Raw!$A:$A,Input_Raw!$AT:$AT),"")</f>
        <v>0</v>
      </c>
      <c r="AB197" s="294">
        <f>IFERROR(_xlfn.XLOOKUP($A197,Input_Raw!$A:$A,Input_Raw!$AU:$AU),"")</f>
        <v>0</v>
      </c>
      <c r="AC197" s="303">
        <f>IFERROR(_xlfn.XLOOKUP($D197,'Modelling New'!$D:$D,'Modelling New'!P:P),"")</f>
        <v>5.7677419354838717</v>
      </c>
      <c r="AD197" s="294">
        <f>IFERROR(_xlfn.XLOOKUP($D197,'Modelling New'!$D:$D,'Modelling New'!T:T)*1000,"")</f>
        <v>551238.53953940247</v>
      </c>
      <c r="AE197" s="304">
        <f>IFERROR(_xlfn.XLOOKUP($D197,'Modelling New'!$D:$D,'Modelling New'!$O:$O),"")</f>
        <v>0.7079457587920075</v>
      </c>
      <c r="AF197" s="304">
        <f>IFERROR(_xlfn.XLOOKUP($D197,'Modelling New'!$D:$D,'Modelling New'!$W:$W),"")</f>
        <v>0.17013535170969213</v>
      </c>
      <c r="AG197" s="304">
        <f>IFERROR(_xlfn.XLOOKUP($D197,'Modelling New'!$D:$D,'Modelling New'!$AE:$AE),"")</f>
        <v>0.995</v>
      </c>
      <c r="AH197" s="304">
        <f>IFERROR(_xlfn.XLOOKUP($D197,'Modelling New'!$D:$D,'Modelling New'!$AF:$AF),"")</f>
        <v>0.995</v>
      </c>
      <c r="AI197" s="295"/>
      <c r="AJ197" s="295"/>
      <c r="AK197" s="295"/>
      <c r="AL197" s="295"/>
      <c r="AM197" s="295"/>
      <c r="AN197" s="305"/>
      <c r="AO197" s="302"/>
      <c r="AP197" s="302"/>
      <c r="AQ197" s="302"/>
      <c r="AR197" s="294">
        <f>_xlfn.XLOOKUP($D197,'Modelling New'!$D:$D,'Modelling New'!$N:$N)</f>
        <v>135</v>
      </c>
      <c r="AS197" s="294">
        <f t="shared" si="18"/>
        <v>0</v>
      </c>
    </row>
    <row r="198" spans="1:45">
      <c r="A198" s="293">
        <f t="shared" si="19"/>
        <v>45941</v>
      </c>
      <c r="B198" s="294">
        <f>YEAR(Daily_KPI[[#This Row],[Date]])+IF(MONTH(Daily_KPI[[#This Row],[Date]])&gt;=4,1,0)</f>
        <v>2026</v>
      </c>
      <c r="C198" s="295">
        <f>YEAR(Daily_KPI[[#This Row],[Date]])</f>
        <v>2025</v>
      </c>
      <c r="D198" s="296">
        <f>Daily_KPI[[#This Row],[Date]]-DAY(Daily_KPI[[#This Row],[Date]])+1</f>
        <v>45931</v>
      </c>
      <c r="E198" s="295">
        <f t="shared" si="15"/>
        <v>31</v>
      </c>
      <c r="F198" s="297">
        <f>IFERROR(_xlfn.XLOOKUP($A198,Input_Raw!$A:$A,Input_Raw!$AR:$AR),"")</f>
        <v>0</v>
      </c>
      <c r="G198" s="298">
        <f>IFERROR(_xlfn.XLOOKUP($A198,Input_Raw!$A:$A,Input_Raw!$R:$R),"")</f>
        <v>0</v>
      </c>
      <c r="H198" s="298"/>
      <c r="I198" s="298">
        <f>IFERROR(_xlfn.XLOOKUP($A198,Input_Raw!$A:$A,Input_Raw!$Q:$Q),"")</f>
        <v>0</v>
      </c>
      <c r="J198" s="298"/>
      <c r="K198" s="298">
        <f>IFERROR(_xlfn.XLOOKUP($A198,Input_Raw!$A:$A,Input_Raw!S:S),"")</f>
        <v>0</v>
      </c>
      <c r="L198" s="298">
        <f>IFERROR(_xlfn.XLOOKUP($A198,Input_Raw!$A:$A,Input_Raw!T:T),"")</f>
        <v>0</v>
      </c>
      <c r="M198" s="298">
        <f>IFERROR(_xlfn.XLOOKUP($A198,Input_Raw!$A:$A,Input_Raw!W:W),"")</f>
        <v>0</v>
      </c>
      <c r="N198" s="298">
        <f>IFERROR(_xlfn.XLOOKUP($A198,Input_Raw!$A:$A,Input_Raw!X:X),"")</f>
        <v>0</v>
      </c>
      <c r="O198" s="299" t="str">
        <f>IFERROR(1-(SUMIF(Plant_BD!$B:$B,$A198,Plant_BD!$AL:$AL)/($AA198+SUMIF(Plant_BD!$B:$B,$A198,Plant_BD!$AL:$AL))),"")</f>
        <v/>
      </c>
      <c r="P198" s="299"/>
      <c r="Q198" s="300"/>
      <c r="R198" s="299" t="str">
        <f>IFERROR(1-(SUMIF(Grid_BD!$B:$B,$A198,Grid_BD!$V:$V)/($AA198+SUMIF(Grid_BD!$B:$B,$A198,Grid_BD!$V:$V))),"")</f>
        <v/>
      </c>
      <c r="S198" s="295"/>
      <c r="T198" s="300"/>
      <c r="U198" s="301" t="str">
        <f t="shared" si="16"/>
        <v/>
      </c>
      <c r="V198" s="301" t="str">
        <f>IFERROR(_xlfn.XLOOKUP($A198,Input_Raw!$A:$A,Input_Raw!$AX:$AX),"")</f>
        <v/>
      </c>
      <c r="W198" s="302">
        <f t="shared" si="17"/>
        <v>0</v>
      </c>
      <c r="X198" s="294">
        <f>IFERROR(_xlfn.XLOOKUP($A198,Input_Raw!$A:$A,Input_Raw!$AA:$AA),"")</f>
        <v>0</v>
      </c>
      <c r="Y198" s="294">
        <f>IFERROR(_xlfn.XLOOKUP($A198,Input_Raw!$A:$A,Input_Raw!$AS:$AS),"")</f>
        <v>0</v>
      </c>
      <c r="Z198" s="294"/>
      <c r="AA198" s="294">
        <f>IFERROR(_xlfn.XLOOKUP($A198,Input_Raw!$A:$A,Input_Raw!$AT:$AT),"")</f>
        <v>0</v>
      </c>
      <c r="AB198" s="294">
        <f>IFERROR(_xlfn.XLOOKUP($A198,Input_Raw!$A:$A,Input_Raw!$AU:$AU),"")</f>
        <v>0</v>
      </c>
      <c r="AC198" s="303">
        <f>IFERROR(_xlfn.XLOOKUP($D198,'Modelling New'!$D:$D,'Modelling New'!P:P),"")</f>
        <v>5.7677419354838717</v>
      </c>
      <c r="AD198" s="294">
        <f>IFERROR(_xlfn.XLOOKUP($D198,'Modelling New'!$D:$D,'Modelling New'!T:T)*1000,"")</f>
        <v>551238.53953940247</v>
      </c>
      <c r="AE198" s="304">
        <f>IFERROR(_xlfn.XLOOKUP($D198,'Modelling New'!$D:$D,'Modelling New'!$O:$O),"")</f>
        <v>0.7079457587920075</v>
      </c>
      <c r="AF198" s="304">
        <f>IFERROR(_xlfn.XLOOKUP($D198,'Modelling New'!$D:$D,'Modelling New'!$W:$W),"")</f>
        <v>0.17013535170969213</v>
      </c>
      <c r="AG198" s="304">
        <f>IFERROR(_xlfn.XLOOKUP($D198,'Modelling New'!$D:$D,'Modelling New'!$AE:$AE),"")</f>
        <v>0.995</v>
      </c>
      <c r="AH198" s="304">
        <f>IFERROR(_xlfn.XLOOKUP($D198,'Modelling New'!$D:$D,'Modelling New'!$AF:$AF),"")</f>
        <v>0.995</v>
      </c>
      <c r="AI198" s="295"/>
      <c r="AJ198" s="295"/>
      <c r="AK198" s="295"/>
      <c r="AL198" s="295"/>
      <c r="AM198" s="295"/>
      <c r="AN198" s="305"/>
      <c r="AO198" s="302"/>
      <c r="AP198" s="302"/>
      <c r="AQ198" s="302"/>
      <c r="AR198" s="294">
        <f>_xlfn.XLOOKUP($D198,'Modelling New'!$D:$D,'Modelling New'!$N:$N)</f>
        <v>135</v>
      </c>
      <c r="AS198" s="294">
        <f t="shared" si="18"/>
        <v>0</v>
      </c>
    </row>
    <row r="199" spans="1:45">
      <c r="A199" s="293">
        <f t="shared" si="19"/>
        <v>45942</v>
      </c>
      <c r="B199" s="294">
        <f>YEAR(Daily_KPI[[#This Row],[Date]])+IF(MONTH(Daily_KPI[[#This Row],[Date]])&gt;=4,1,0)</f>
        <v>2026</v>
      </c>
      <c r="C199" s="295">
        <f>YEAR(Daily_KPI[[#This Row],[Date]])</f>
        <v>2025</v>
      </c>
      <c r="D199" s="296">
        <f>Daily_KPI[[#This Row],[Date]]-DAY(Daily_KPI[[#This Row],[Date]])+1</f>
        <v>45931</v>
      </c>
      <c r="E199" s="295">
        <f t="shared" si="15"/>
        <v>31</v>
      </c>
      <c r="F199" s="297">
        <f>IFERROR(_xlfn.XLOOKUP($A199,Input_Raw!$A:$A,Input_Raw!$AR:$AR),"")</f>
        <v>0</v>
      </c>
      <c r="G199" s="298">
        <f>IFERROR(_xlfn.XLOOKUP($A199,Input_Raw!$A:$A,Input_Raw!$R:$R),"")</f>
        <v>0</v>
      </c>
      <c r="H199" s="298"/>
      <c r="I199" s="298">
        <f>IFERROR(_xlfn.XLOOKUP($A199,Input_Raw!$A:$A,Input_Raw!$Q:$Q),"")</f>
        <v>0</v>
      </c>
      <c r="J199" s="298"/>
      <c r="K199" s="298">
        <f>IFERROR(_xlfn.XLOOKUP($A199,Input_Raw!$A:$A,Input_Raw!S:S),"")</f>
        <v>0</v>
      </c>
      <c r="L199" s="298">
        <f>IFERROR(_xlfn.XLOOKUP($A199,Input_Raw!$A:$A,Input_Raw!T:T),"")</f>
        <v>0</v>
      </c>
      <c r="M199" s="298">
        <f>IFERROR(_xlfn.XLOOKUP($A199,Input_Raw!$A:$A,Input_Raw!W:W),"")</f>
        <v>0</v>
      </c>
      <c r="N199" s="298">
        <f>IFERROR(_xlfn.XLOOKUP($A199,Input_Raw!$A:$A,Input_Raw!X:X),"")</f>
        <v>0</v>
      </c>
      <c r="O199" s="299" t="str">
        <f>IFERROR(1-(SUMIF(Plant_BD!$B:$B,$A199,Plant_BD!$AL:$AL)/($AA199+SUMIF(Plant_BD!$B:$B,$A199,Plant_BD!$AL:$AL))),"")</f>
        <v/>
      </c>
      <c r="P199" s="299"/>
      <c r="Q199" s="300"/>
      <c r="R199" s="299" t="str">
        <f>IFERROR(1-(SUMIF(Grid_BD!$B:$B,$A199,Grid_BD!$V:$V)/($AA199+SUMIF(Grid_BD!$B:$B,$A199,Grid_BD!$V:$V))),"")</f>
        <v/>
      </c>
      <c r="S199" s="295"/>
      <c r="T199" s="300"/>
      <c r="U199" s="301" t="str">
        <f t="shared" si="16"/>
        <v/>
      </c>
      <c r="V199" s="301" t="str">
        <f>IFERROR(_xlfn.XLOOKUP($A199,Input_Raw!$A:$A,Input_Raw!$AX:$AX),"")</f>
        <v/>
      </c>
      <c r="W199" s="302">
        <f t="shared" si="17"/>
        <v>0</v>
      </c>
      <c r="X199" s="294">
        <f>IFERROR(_xlfn.XLOOKUP($A199,Input_Raw!$A:$A,Input_Raw!$AA:$AA),"")</f>
        <v>0</v>
      </c>
      <c r="Y199" s="294">
        <f>IFERROR(_xlfn.XLOOKUP($A199,Input_Raw!$A:$A,Input_Raw!$AS:$AS),"")</f>
        <v>0</v>
      </c>
      <c r="Z199" s="294"/>
      <c r="AA199" s="294">
        <f>IFERROR(_xlfn.XLOOKUP($A199,Input_Raw!$A:$A,Input_Raw!$AT:$AT),"")</f>
        <v>0</v>
      </c>
      <c r="AB199" s="294">
        <f>IFERROR(_xlfn.XLOOKUP($A199,Input_Raw!$A:$A,Input_Raw!$AU:$AU),"")</f>
        <v>0</v>
      </c>
      <c r="AC199" s="303">
        <f>IFERROR(_xlfn.XLOOKUP($D199,'Modelling New'!$D:$D,'Modelling New'!P:P),"")</f>
        <v>5.7677419354838717</v>
      </c>
      <c r="AD199" s="294">
        <f>IFERROR(_xlfn.XLOOKUP($D199,'Modelling New'!$D:$D,'Modelling New'!T:T)*1000,"")</f>
        <v>551238.53953940247</v>
      </c>
      <c r="AE199" s="304">
        <f>IFERROR(_xlfn.XLOOKUP($D199,'Modelling New'!$D:$D,'Modelling New'!$O:$O),"")</f>
        <v>0.7079457587920075</v>
      </c>
      <c r="AF199" s="304">
        <f>IFERROR(_xlfn.XLOOKUP($D199,'Modelling New'!$D:$D,'Modelling New'!$W:$W),"")</f>
        <v>0.17013535170969213</v>
      </c>
      <c r="AG199" s="304">
        <f>IFERROR(_xlfn.XLOOKUP($D199,'Modelling New'!$D:$D,'Modelling New'!$AE:$AE),"")</f>
        <v>0.995</v>
      </c>
      <c r="AH199" s="304">
        <f>IFERROR(_xlfn.XLOOKUP($D199,'Modelling New'!$D:$D,'Modelling New'!$AF:$AF),"")</f>
        <v>0.995</v>
      </c>
      <c r="AI199" s="295"/>
      <c r="AJ199" s="295"/>
      <c r="AK199" s="295"/>
      <c r="AL199" s="295"/>
      <c r="AM199" s="295"/>
      <c r="AN199" s="305"/>
      <c r="AO199" s="302"/>
      <c r="AP199" s="302"/>
      <c r="AQ199" s="302"/>
      <c r="AR199" s="294">
        <f>_xlfn.XLOOKUP($D199,'Modelling New'!$D:$D,'Modelling New'!$N:$N)</f>
        <v>135</v>
      </c>
      <c r="AS199" s="294">
        <f t="shared" si="18"/>
        <v>0</v>
      </c>
    </row>
    <row r="200" spans="1:45">
      <c r="A200" s="293">
        <f t="shared" si="19"/>
        <v>45943</v>
      </c>
      <c r="B200" s="294">
        <f>YEAR(Daily_KPI[[#This Row],[Date]])+IF(MONTH(Daily_KPI[[#This Row],[Date]])&gt;=4,1,0)</f>
        <v>2026</v>
      </c>
      <c r="C200" s="295">
        <f>YEAR(Daily_KPI[[#This Row],[Date]])</f>
        <v>2025</v>
      </c>
      <c r="D200" s="296">
        <f>Daily_KPI[[#This Row],[Date]]-DAY(Daily_KPI[[#This Row],[Date]])+1</f>
        <v>45931</v>
      </c>
      <c r="E200" s="295">
        <f t="shared" si="15"/>
        <v>31</v>
      </c>
      <c r="F200" s="297">
        <f>IFERROR(_xlfn.XLOOKUP($A200,Input_Raw!$A:$A,Input_Raw!$AR:$AR),"")</f>
        <v>0</v>
      </c>
      <c r="G200" s="298">
        <f>IFERROR(_xlfn.XLOOKUP($A200,Input_Raw!$A:$A,Input_Raw!$R:$R),"")</f>
        <v>0</v>
      </c>
      <c r="H200" s="298"/>
      <c r="I200" s="298">
        <f>IFERROR(_xlfn.XLOOKUP($A200,Input_Raw!$A:$A,Input_Raw!$Q:$Q),"")</f>
        <v>0</v>
      </c>
      <c r="J200" s="298"/>
      <c r="K200" s="298">
        <f>IFERROR(_xlfn.XLOOKUP($A200,Input_Raw!$A:$A,Input_Raw!S:S),"")</f>
        <v>0</v>
      </c>
      <c r="L200" s="298">
        <f>IFERROR(_xlfn.XLOOKUP($A200,Input_Raw!$A:$A,Input_Raw!T:T),"")</f>
        <v>0</v>
      </c>
      <c r="M200" s="298">
        <f>IFERROR(_xlfn.XLOOKUP($A200,Input_Raw!$A:$A,Input_Raw!W:W),"")</f>
        <v>0</v>
      </c>
      <c r="N200" s="298">
        <f>IFERROR(_xlfn.XLOOKUP($A200,Input_Raw!$A:$A,Input_Raw!X:X),"")</f>
        <v>0</v>
      </c>
      <c r="O200" s="299" t="str">
        <f>IFERROR(1-(SUMIF(Plant_BD!$B:$B,$A200,Plant_BD!$AL:$AL)/($AA200+SUMIF(Plant_BD!$B:$B,$A200,Plant_BD!$AL:$AL))),"")</f>
        <v/>
      </c>
      <c r="P200" s="299"/>
      <c r="Q200" s="300"/>
      <c r="R200" s="299" t="str">
        <f>IFERROR(1-(SUMIF(Grid_BD!$B:$B,$A200,Grid_BD!$V:$V)/($AA200+SUMIF(Grid_BD!$B:$B,$A200,Grid_BD!$V:$V))),"")</f>
        <v/>
      </c>
      <c r="S200" s="295"/>
      <c r="T200" s="300"/>
      <c r="U200" s="301" t="str">
        <f t="shared" si="16"/>
        <v/>
      </c>
      <c r="V200" s="301" t="str">
        <f>IFERROR(_xlfn.XLOOKUP($A200,Input_Raw!$A:$A,Input_Raw!$AX:$AX),"")</f>
        <v/>
      </c>
      <c r="W200" s="302">
        <f t="shared" si="17"/>
        <v>0</v>
      </c>
      <c r="X200" s="294">
        <f>IFERROR(_xlfn.XLOOKUP($A200,Input_Raw!$A:$A,Input_Raw!$AA:$AA),"")</f>
        <v>0</v>
      </c>
      <c r="Y200" s="294">
        <f>IFERROR(_xlfn.XLOOKUP($A200,Input_Raw!$A:$A,Input_Raw!$AS:$AS),"")</f>
        <v>0</v>
      </c>
      <c r="Z200" s="294"/>
      <c r="AA200" s="294">
        <f>IFERROR(_xlfn.XLOOKUP($A200,Input_Raw!$A:$A,Input_Raw!$AT:$AT),"")</f>
        <v>0</v>
      </c>
      <c r="AB200" s="294">
        <f>IFERROR(_xlfn.XLOOKUP($A200,Input_Raw!$A:$A,Input_Raw!$AU:$AU),"")</f>
        <v>0</v>
      </c>
      <c r="AC200" s="303">
        <f>IFERROR(_xlfn.XLOOKUP($D200,'Modelling New'!$D:$D,'Modelling New'!P:P),"")</f>
        <v>5.7677419354838717</v>
      </c>
      <c r="AD200" s="294">
        <f>IFERROR(_xlfn.XLOOKUP($D200,'Modelling New'!$D:$D,'Modelling New'!T:T)*1000,"")</f>
        <v>551238.53953940247</v>
      </c>
      <c r="AE200" s="304">
        <f>IFERROR(_xlfn.XLOOKUP($D200,'Modelling New'!$D:$D,'Modelling New'!$O:$O),"")</f>
        <v>0.7079457587920075</v>
      </c>
      <c r="AF200" s="304">
        <f>IFERROR(_xlfn.XLOOKUP($D200,'Modelling New'!$D:$D,'Modelling New'!$W:$W),"")</f>
        <v>0.17013535170969213</v>
      </c>
      <c r="AG200" s="304">
        <f>IFERROR(_xlfn.XLOOKUP($D200,'Modelling New'!$D:$D,'Modelling New'!$AE:$AE),"")</f>
        <v>0.995</v>
      </c>
      <c r="AH200" s="304">
        <f>IFERROR(_xlfn.XLOOKUP($D200,'Modelling New'!$D:$D,'Modelling New'!$AF:$AF),"")</f>
        <v>0.995</v>
      </c>
      <c r="AI200" s="295"/>
      <c r="AJ200" s="295"/>
      <c r="AK200" s="295"/>
      <c r="AL200" s="295"/>
      <c r="AM200" s="295"/>
      <c r="AN200" s="305"/>
      <c r="AO200" s="302"/>
      <c r="AP200" s="302"/>
      <c r="AQ200" s="302"/>
      <c r="AR200" s="294">
        <f>_xlfn.XLOOKUP($D200,'Modelling New'!$D:$D,'Modelling New'!$N:$N)</f>
        <v>135</v>
      </c>
      <c r="AS200" s="294">
        <f t="shared" si="18"/>
        <v>0</v>
      </c>
    </row>
    <row r="201" spans="1:45">
      <c r="A201" s="293">
        <f t="shared" si="19"/>
        <v>45944</v>
      </c>
      <c r="B201" s="294">
        <f>YEAR(Daily_KPI[[#This Row],[Date]])+IF(MONTH(Daily_KPI[[#This Row],[Date]])&gt;=4,1,0)</f>
        <v>2026</v>
      </c>
      <c r="C201" s="295">
        <f>YEAR(Daily_KPI[[#This Row],[Date]])</f>
        <v>2025</v>
      </c>
      <c r="D201" s="296">
        <f>Daily_KPI[[#This Row],[Date]]-DAY(Daily_KPI[[#This Row],[Date]])+1</f>
        <v>45931</v>
      </c>
      <c r="E201" s="295">
        <f t="shared" si="15"/>
        <v>31</v>
      </c>
      <c r="F201" s="297">
        <f>IFERROR(_xlfn.XLOOKUP($A201,Input_Raw!$A:$A,Input_Raw!$AR:$AR),"")</f>
        <v>0</v>
      </c>
      <c r="G201" s="298">
        <f>IFERROR(_xlfn.XLOOKUP($A201,Input_Raw!$A:$A,Input_Raw!$R:$R),"")</f>
        <v>0</v>
      </c>
      <c r="H201" s="298"/>
      <c r="I201" s="298">
        <f>IFERROR(_xlfn.XLOOKUP($A201,Input_Raw!$A:$A,Input_Raw!$Q:$Q),"")</f>
        <v>0</v>
      </c>
      <c r="J201" s="298"/>
      <c r="K201" s="298">
        <f>IFERROR(_xlfn.XLOOKUP($A201,Input_Raw!$A:$A,Input_Raw!S:S),"")</f>
        <v>0</v>
      </c>
      <c r="L201" s="298">
        <f>IFERROR(_xlfn.XLOOKUP($A201,Input_Raw!$A:$A,Input_Raw!T:T),"")</f>
        <v>0</v>
      </c>
      <c r="M201" s="298">
        <f>IFERROR(_xlfn.XLOOKUP($A201,Input_Raw!$A:$A,Input_Raw!W:W),"")</f>
        <v>0</v>
      </c>
      <c r="N201" s="298">
        <f>IFERROR(_xlfn.XLOOKUP($A201,Input_Raw!$A:$A,Input_Raw!X:X),"")</f>
        <v>0</v>
      </c>
      <c r="O201" s="299" t="str">
        <f>IFERROR(1-(SUMIF(Plant_BD!$B:$B,$A201,Plant_BD!$AL:$AL)/($AA201+SUMIF(Plant_BD!$B:$B,$A201,Plant_BD!$AL:$AL))),"")</f>
        <v/>
      </c>
      <c r="P201" s="299"/>
      <c r="Q201" s="300"/>
      <c r="R201" s="299" t="str">
        <f>IFERROR(1-(SUMIF(Grid_BD!$B:$B,$A201,Grid_BD!$V:$V)/($AA201+SUMIF(Grid_BD!$B:$B,$A201,Grid_BD!$V:$V))),"")</f>
        <v/>
      </c>
      <c r="S201" s="295"/>
      <c r="T201" s="300"/>
      <c r="U201" s="301" t="str">
        <f t="shared" si="16"/>
        <v/>
      </c>
      <c r="V201" s="301" t="str">
        <f>IFERROR(_xlfn.XLOOKUP($A201,Input_Raw!$A:$A,Input_Raw!$AX:$AX),"")</f>
        <v/>
      </c>
      <c r="W201" s="302">
        <f t="shared" si="17"/>
        <v>0</v>
      </c>
      <c r="X201" s="294">
        <f>IFERROR(_xlfn.XLOOKUP($A201,Input_Raw!$A:$A,Input_Raw!$AA:$AA),"")</f>
        <v>0</v>
      </c>
      <c r="Y201" s="294">
        <f>IFERROR(_xlfn.XLOOKUP($A201,Input_Raw!$A:$A,Input_Raw!$AS:$AS),"")</f>
        <v>0</v>
      </c>
      <c r="Z201" s="294"/>
      <c r="AA201" s="294">
        <f>IFERROR(_xlfn.XLOOKUP($A201,Input_Raw!$A:$A,Input_Raw!$AT:$AT),"")</f>
        <v>0</v>
      </c>
      <c r="AB201" s="294">
        <f>IFERROR(_xlfn.XLOOKUP($A201,Input_Raw!$A:$A,Input_Raw!$AU:$AU),"")</f>
        <v>0</v>
      </c>
      <c r="AC201" s="303">
        <f>IFERROR(_xlfn.XLOOKUP($D201,'Modelling New'!$D:$D,'Modelling New'!P:P),"")</f>
        <v>5.7677419354838717</v>
      </c>
      <c r="AD201" s="294">
        <f>IFERROR(_xlfn.XLOOKUP($D201,'Modelling New'!$D:$D,'Modelling New'!T:T)*1000,"")</f>
        <v>551238.53953940247</v>
      </c>
      <c r="AE201" s="304">
        <f>IFERROR(_xlfn.XLOOKUP($D201,'Modelling New'!$D:$D,'Modelling New'!$O:$O),"")</f>
        <v>0.7079457587920075</v>
      </c>
      <c r="AF201" s="304">
        <f>IFERROR(_xlfn.XLOOKUP($D201,'Modelling New'!$D:$D,'Modelling New'!$W:$W),"")</f>
        <v>0.17013535170969213</v>
      </c>
      <c r="AG201" s="304">
        <f>IFERROR(_xlfn.XLOOKUP($D201,'Modelling New'!$D:$D,'Modelling New'!$AE:$AE),"")</f>
        <v>0.995</v>
      </c>
      <c r="AH201" s="304">
        <f>IFERROR(_xlfn.XLOOKUP($D201,'Modelling New'!$D:$D,'Modelling New'!$AF:$AF),"")</f>
        <v>0.995</v>
      </c>
      <c r="AI201" s="295"/>
      <c r="AJ201" s="295"/>
      <c r="AK201" s="295"/>
      <c r="AL201" s="295"/>
      <c r="AM201" s="295"/>
      <c r="AN201" s="305"/>
      <c r="AO201" s="302"/>
      <c r="AP201" s="302"/>
      <c r="AQ201" s="302"/>
      <c r="AR201" s="294">
        <f>_xlfn.XLOOKUP($D201,'Modelling New'!$D:$D,'Modelling New'!$N:$N)</f>
        <v>135</v>
      </c>
      <c r="AS201" s="294">
        <f t="shared" si="18"/>
        <v>0</v>
      </c>
    </row>
    <row r="202" spans="1:45">
      <c r="A202" s="293">
        <f t="shared" si="19"/>
        <v>45945</v>
      </c>
      <c r="B202" s="294">
        <f>YEAR(Daily_KPI[[#This Row],[Date]])+IF(MONTH(Daily_KPI[[#This Row],[Date]])&gt;=4,1,0)</f>
        <v>2026</v>
      </c>
      <c r="C202" s="295">
        <f>YEAR(Daily_KPI[[#This Row],[Date]])</f>
        <v>2025</v>
      </c>
      <c r="D202" s="296">
        <f>Daily_KPI[[#This Row],[Date]]-DAY(Daily_KPI[[#This Row],[Date]])+1</f>
        <v>45931</v>
      </c>
      <c r="E202" s="295">
        <f t="shared" ref="E202:E265" si="20">DAY(EOMONTH(A202,0))</f>
        <v>31</v>
      </c>
      <c r="F202" s="297">
        <f>IFERROR(_xlfn.XLOOKUP($A202,Input_Raw!$A:$A,Input_Raw!$AR:$AR),"")</f>
        <v>0</v>
      </c>
      <c r="G202" s="298">
        <f>IFERROR(_xlfn.XLOOKUP($A202,Input_Raw!$A:$A,Input_Raw!$R:$R),"")</f>
        <v>0</v>
      </c>
      <c r="H202" s="298"/>
      <c r="I202" s="298">
        <f>IFERROR(_xlfn.XLOOKUP($A202,Input_Raw!$A:$A,Input_Raw!$Q:$Q),"")</f>
        <v>0</v>
      </c>
      <c r="J202" s="298"/>
      <c r="K202" s="298">
        <f>IFERROR(_xlfn.XLOOKUP($A202,Input_Raw!$A:$A,Input_Raw!S:S),"")</f>
        <v>0</v>
      </c>
      <c r="L202" s="298">
        <f>IFERROR(_xlfn.XLOOKUP($A202,Input_Raw!$A:$A,Input_Raw!T:T),"")</f>
        <v>0</v>
      </c>
      <c r="M202" s="298">
        <f>IFERROR(_xlfn.XLOOKUP($A202,Input_Raw!$A:$A,Input_Raw!W:W),"")</f>
        <v>0</v>
      </c>
      <c r="N202" s="298">
        <f>IFERROR(_xlfn.XLOOKUP($A202,Input_Raw!$A:$A,Input_Raw!X:X),"")</f>
        <v>0</v>
      </c>
      <c r="O202" s="299" t="str">
        <f>IFERROR(1-(SUMIF(Plant_BD!$B:$B,$A202,Plant_BD!$AL:$AL)/($AA202+SUMIF(Plant_BD!$B:$B,$A202,Plant_BD!$AL:$AL))),"")</f>
        <v/>
      </c>
      <c r="P202" s="299"/>
      <c r="Q202" s="300"/>
      <c r="R202" s="299" t="str">
        <f>IFERROR(1-(SUMIF(Grid_BD!$B:$B,$A202,Grid_BD!$V:$V)/($AA202+SUMIF(Grid_BD!$B:$B,$A202,Grid_BD!$V:$V))),"")</f>
        <v/>
      </c>
      <c r="S202" s="295"/>
      <c r="T202" s="300"/>
      <c r="U202" s="301" t="str">
        <f t="shared" ref="U202:U265" si="21">IFERROR(AA202/I202/AB202/1000,"")</f>
        <v/>
      </c>
      <c r="V202" s="301" t="str">
        <f>IFERROR(_xlfn.XLOOKUP($A202,Input_Raw!$A:$A,Input_Raw!$AX:$AX),"")</f>
        <v/>
      </c>
      <c r="W202" s="302">
        <f t="shared" ref="W202:W265" si="22">IFERROR(AA202/(24*AR202*1000),"")</f>
        <v>0</v>
      </c>
      <c r="X202" s="294">
        <f>IFERROR(_xlfn.XLOOKUP($A202,Input_Raw!$A:$A,Input_Raw!$AA:$AA),"")</f>
        <v>0</v>
      </c>
      <c r="Y202" s="294">
        <f>IFERROR(_xlfn.XLOOKUP($A202,Input_Raw!$A:$A,Input_Raw!$AS:$AS),"")</f>
        <v>0</v>
      </c>
      <c r="Z202" s="294"/>
      <c r="AA202" s="294">
        <f>IFERROR(_xlfn.XLOOKUP($A202,Input_Raw!$A:$A,Input_Raw!$AT:$AT),"")</f>
        <v>0</v>
      </c>
      <c r="AB202" s="294">
        <f>IFERROR(_xlfn.XLOOKUP($A202,Input_Raw!$A:$A,Input_Raw!$AU:$AU),"")</f>
        <v>0</v>
      </c>
      <c r="AC202" s="303">
        <f>IFERROR(_xlfn.XLOOKUP($D202,'Modelling New'!$D:$D,'Modelling New'!P:P),"")</f>
        <v>5.7677419354838717</v>
      </c>
      <c r="AD202" s="294">
        <f>IFERROR(_xlfn.XLOOKUP($D202,'Modelling New'!$D:$D,'Modelling New'!T:T)*1000,"")</f>
        <v>551238.53953940247</v>
      </c>
      <c r="AE202" s="304">
        <f>IFERROR(_xlfn.XLOOKUP($D202,'Modelling New'!$D:$D,'Modelling New'!$O:$O),"")</f>
        <v>0.7079457587920075</v>
      </c>
      <c r="AF202" s="304">
        <f>IFERROR(_xlfn.XLOOKUP($D202,'Modelling New'!$D:$D,'Modelling New'!$W:$W),"")</f>
        <v>0.17013535170969213</v>
      </c>
      <c r="AG202" s="304">
        <f>IFERROR(_xlfn.XLOOKUP($D202,'Modelling New'!$D:$D,'Modelling New'!$AE:$AE),"")</f>
        <v>0.995</v>
      </c>
      <c r="AH202" s="304">
        <f>IFERROR(_xlfn.XLOOKUP($D202,'Modelling New'!$D:$D,'Modelling New'!$AF:$AF),"")</f>
        <v>0.995</v>
      </c>
      <c r="AI202" s="295"/>
      <c r="AJ202" s="295"/>
      <c r="AK202" s="295"/>
      <c r="AL202" s="295"/>
      <c r="AM202" s="295"/>
      <c r="AN202" s="305"/>
      <c r="AO202" s="302"/>
      <c r="AP202" s="302"/>
      <c r="AQ202" s="302"/>
      <c r="AR202" s="294">
        <f>_xlfn.XLOOKUP($D202,'Modelling New'!$D:$D,'Modelling New'!$N:$N)</f>
        <v>135</v>
      </c>
      <c r="AS202" s="294">
        <f t="shared" ref="AS202:AS265" si="23">IFERROR((AD202/AR202)*AB202,"")</f>
        <v>0</v>
      </c>
    </row>
    <row r="203" spans="1:45">
      <c r="A203" s="293">
        <f t="shared" si="19"/>
        <v>45946</v>
      </c>
      <c r="B203" s="294">
        <f>YEAR(Daily_KPI[[#This Row],[Date]])+IF(MONTH(Daily_KPI[[#This Row],[Date]])&gt;=4,1,0)</f>
        <v>2026</v>
      </c>
      <c r="C203" s="295">
        <f>YEAR(Daily_KPI[[#This Row],[Date]])</f>
        <v>2025</v>
      </c>
      <c r="D203" s="296">
        <f>Daily_KPI[[#This Row],[Date]]-DAY(Daily_KPI[[#This Row],[Date]])+1</f>
        <v>45931</v>
      </c>
      <c r="E203" s="295">
        <f t="shared" si="20"/>
        <v>31</v>
      </c>
      <c r="F203" s="297">
        <f>IFERROR(_xlfn.XLOOKUP($A203,Input_Raw!$A:$A,Input_Raw!$AR:$AR),"")</f>
        <v>0</v>
      </c>
      <c r="G203" s="298">
        <f>IFERROR(_xlfn.XLOOKUP($A203,Input_Raw!$A:$A,Input_Raw!$R:$R),"")</f>
        <v>0</v>
      </c>
      <c r="H203" s="298"/>
      <c r="I203" s="298">
        <f>IFERROR(_xlfn.XLOOKUP($A203,Input_Raw!$A:$A,Input_Raw!$Q:$Q),"")</f>
        <v>0</v>
      </c>
      <c r="J203" s="298"/>
      <c r="K203" s="298">
        <f>IFERROR(_xlfn.XLOOKUP($A203,Input_Raw!$A:$A,Input_Raw!S:S),"")</f>
        <v>0</v>
      </c>
      <c r="L203" s="298">
        <f>IFERROR(_xlfn.XLOOKUP($A203,Input_Raw!$A:$A,Input_Raw!T:T),"")</f>
        <v>0</v>
      </c>
      <c r="M203" s="298">
        <f>IFERROR(_xlfn.XLOOKUP($A203,Input_Raw!$A:$A,Input_Raw!W:W),"")</f>
        <v>0</v>
      </c>
      <c r="N203" s="298">
        <f>IFERROR(_xlfn.XLOOKUP($A203,Input_Raw!$A:$A,Input_Raw!X:X),"")</f>
        <v>0</v>
      </c>
      <c r="O203" s="299" t="str">
        <f>IFERROR(1-(SUMIF(Plant_BD!$B:$B,$A203,Plant_BD!$AL:$AL)/($AA203+SUMIF(Plant_BD!$B:$B,$A203,Plant_BD!$AL:$AL))),"")</f>
        <v/>
      </c>
      <c r="P203" s="299"/>
      <c r="Q203" s="300"/>
      <c r="R203" s="299" t="str">
        <f>IFERROR(1-(SUMIF(Grid_BD!$B:$B,$A203,Grid_BD!$V:$V)/($AA203+SUMIF(Grid_BD!$B:$B,$A203,Grid_BD!$V:$V))),"")</f>
        <v/>
      </c>
      <c r="S203" s="295"/>
      <c r="T203" s="300"/>
      <c r="U203" s="301" t="str">
        <f t="shared" si="21"/>
        <v/>
      </c>
      <c r="V203" s="301" t="str">
        <f>IFERROR(_xlfn.XLOOKUP($A203,Input_Raw!$A:$A,Input_Raw!$AX:$AX),"")</f>
        <v/>
      </c>
      <c r="W203" s="302">
        <f t="shared" si="22"/>
        <v>0</v>
      </c>
      <c r="X203" s="294">
        <f>IFERROR(_xlfn.XLOOKUP($A203,Input_Raw!$A:$A,Input_Raw!$AA:$AA),"")</f>
        <v>0</v>
      </c>
      <c r="Y203" s="294">
        <f>IFERROR(_xlfn.XLOOKUP($A203,Input_Raw!$A:$A,Input_Raw!$AS:$AS),"")</f>
        <v>0</v>
      </c>
      <c r="Z203" s="294"/>
      <c r="AA203" s="294">
        <f>IFERROR(_xlfn.XLOOKUP($A203,Input_Raw!$A:$A,Input_Raw!$AT:$AT),"")</f>
        <v>0</v>
      </c>
      <c r="AB203" s="294">
        <f>IFERROR(_xlfn.XLOOKUP($A203,Input_Raw!$A:$A,Input_Raw!$AU:$AU),"")</f>
        <v>0</v>
      </c>
      <c r="AC203" s="303">
        <f>IFERROR(_xlfn.XLOOKUP($D203,'Modelling New'!$D:$D,'Modelling New'!P:P),"")</f>
        <v>5.7677419354838717</v>
      </c>
      <c r="AD203" s="294">
        <f>IFERROR(_xlfn.XLOOKUP($D203,'Modelling New'!$D:$D,'Modelling New'!T:T)*1000,"")</f>
        <v>551238.53953940247</v>
      </c>
      <c r="AE203" s="304">
        <f>IFERROR(_xlfn.XLOOKUP($D203,'Modelling New'!$D:$D,'Modelling New'!$O:$O),"")</f>
        <v>0.7079457587920075</v>
      </c>
      <c r="AF203" s="304">
        <f>IFERROR(_xlfn.XLOOKUP($D203,'Modelling New'!$D:$D,'Modelling New'!$W:$W),"")</f>
        <v>0.17013535170969213</v>
      </c>
      <c r="AG203" s="304">
        <f>IFERROR(_xlfn.XLOOKUP($D203,'Modelling New'!$D:$D,'Modelling New'!$AE:$AE),"")</f>
        <v>0.995</v>
      </c>
      <c r="AH203" s="304">
        <f>IFERROR(_xlfn.XLOOKUP($D203,'Modelling New'!$D:$D,'Modelling New'!$AF:$AF),"")</f>
        <v>0.995</v>
      </c>
      <c r="AI203" s="295"/>
      <c r="AJ203" s="295"/>
      <c r="AK203" s="295"/>
      <c r="AL203" s="295"/>
      <c r="AM203" s="295"/>
      <c r="AN203" s="305"/>
      <c r="AO203" s="302"/>
      <c r="AP203" s="302"/>
      <c r="AQ203" s="302"/>
      <c r="AR203" s="294">
        <f>_xlfn.XLOOKUP($D203,'Modelling New'!$D:$D,'Modelling New'!$N:$N)</f>
        <v>135</v>
      </c>
      <c r="AS203" s="294">
        <f t="shared" si="23"/>
        <v>0</v>
      </c>
    </row>
    <row r="204" spans="1:45">
      <c r="A204" s="293">
        <f t="shared" ref="A204:A267" si="24">A203+1</f>
        <v>45947</v>
      </c>
      <c r="B204" s="294">
        <f>YEAR(Daily_KPI[[#This Row],[Date]])+IF(MONTH(Daily_KPI[[#This Row],[Date]])&gt;=4,1,0)</f>
        <v>2026</v>
      </c>
      <c r="C204" s="295">
        <f>YEAR(Daily_KPI[[#This Row],[Date]])</f>
        <v>2025</v>
      </c>
      <c r="D204" s="296">
        <f>Daily_KPI[[#This Row],[Date]]-DAY(Daily_KPI[[#This Row],[Date]])+1</f>
        <v>45931</v>
      </c>
      <c r="E204" s="295">
        <f t="shared" si="20"/>
        <v>31</v>
      </c>
      <c r="F204" s="297">
        <f>IFERROR(_xlfn.XLOOKUP($A204,Input_Raw!$A:$A,Input_Raw!$AR:$AR),"")</f>
        <v>0</v>
      </c>
      <c r="G204" s="298">
        <f>IFERROR(_xlfn.XLOOKUP($A204,Input_Raw!$A:$A,Input_Raw!$R:$R),"")</f>
        <v>0</v>
      </c>
      <c r="H204" s="298"/>
      <c r="I204" s="298">
        <f>IFERROR(_xlfn.XLOOKUP($A204,Input_Raw!$A:$A,Input_Raw!$Q:$Q),"")</f>
        <v>0</v>
      </c>
      <c r="J204" s="298"/>
      <c r="K204" s="298">
        <f>IFERROR(_xlfn.XLOOKUP($A204,Input_Raw!$A:$A,Input_Raw!S:S),"")</f>
        <v>0</v>
      </c>
      <c r="L204" s="298">
        <f>IFERROR(_xlfn.XLOOKUP($A204,Input_Raw!$A:$A,Input_Raw!T:T),"")</f>
        <v>0</v>
      </c>
      <c r="M204" s="298">
        <f>IFERROR(_xlfn.XLOOKUP($A204,Input_Raw!$A:$A,Input_Raw!W:W),"")</f>
        <v>0</v>
      </c>
      <c r="N204" s="298">
        <f>IFERROR(_xlfn.XLOOKUP($A204,Input_Raw!$A:$A,Input_Raw!X:X),"")</f>
        <v>0</v>
      </c>
      <c r="O204" s="299" t="str">
        <f>IFERROR(1-(SUMIF(Plant_BD!$B:$B,$A204,Plant_BD!$AL:$AL)/($AA204+SUMIF(Plant_BD!$B:$B,$A204,Plant_BD!$AL:$AL))),"")</f>
        <v/>
      </c>
      <c r="P204" s="299"/>
      <c r="Q204" s="300"/>
      <c r="R204" s="299" t="str">
        <f>IFERROR(1-(SUMIF(Grid_BD!$B:$B,$A204,Grid_BD!$V:$V)/($AA204+SUMIF(Grid_BD!$B:$B,$A204,Grid_BD!$V:$V))),"")</f>
        <v/>
      </c>
      <c r="S204" s="295"/>
      <c r="T204" s="300"/>
      <c r="U204" s="301" t="str">
        <f t="shared" si="21"/>
        <v/>
      </c>
      <c r="V204" s="301" t="str">
        <f>IFERROR(_xlfn.XLOOKUP($A204,Input_Raw!$A:$A,Input_Raw!$AX:$AX),"")</f>
        <v/>
      </c>
      <c r="W204" s="302">
        <f t="shared" si="22"/>
        <v>0</v>
      </c>
      <c r="X204" s="294">
        <f>IFERROR(_xlfn.XLOOKUP($A204,Input_Raw!$A:$A,Input_Raw!$AA:$AA),"")</f>
        <v>0</v>
      </c>
      <c r="Y204" s="294">
        <f>IFERROR(_xlfn.XLOOKUP($A204,Input_Raw!$A:$A,Input_Raw!$AS:$AS),"")</f>
        <v>0</v>
      </c>
      <c r="Z204" s="294"/>
      <c r="AA204" s="294">
        <f>IFERROR(_xlfn.XLOOKUP($A204,Input_Raw!$A:$A,Input_Raw!$AT:$AT),"")</f>
        <v>0</v>
      </c>
      <c r="AB204" s="294">
        <f>IFERROR(_xlfn.XLOOKUP($A204,Input_Raw!$A:$A,Input_Raw!$AU:$AU),"")</f>
        <v>0</v>
      </c>
      <c r="AC204" s="303">
        <f>IFERROR(_xlfn.XLOOKUP($D204,'Modelling New'!$D:$D,'Modelling New'!P:P),"")</f>
        <v>5.7677419354838717</v>
      </c>
      <c r="AD204" s="294">
        <f>IFERROR(_xlfn.XLOOKUP($D204,'Modelling New'!$D:$D,'Modelling New'!T:T)*1000,"")</f>
        <v>551238.53953940247</v>
      </c>
      <c r="AE204" s="304">
        <f>IFERROR(_xlfn.XLOOKUP($D204,'Modelling New'!$D:$D,'Modelling New'!$O:$O),"")</f>
        <v>0.7079457587920075</v>
      </c>
      <c r="AF204" s="304">
        <f>IFERROR(_xlfn.XLOOKUP($D204,'Modelling New'!$D:$D,'Modelling New'!$W:$W),"")</f>
        <v>0.17013535170969213</v>
      </c>
      <c r="AG204" s="304">
        <f>IFERROR(_xlfn.XLOOKUP($D204,'Modelling New'!$D:$D,'Modelling New'!$AE:$AE),"")</f>
        <v>0.995</v>
      </c>
      <c r="AH204" s="304">
        <f>IFERROR(_xlfn.XLOOKUP($D204,'Modelling New'!$D:$D,'Modelling New'!$AF:$AF),"")</f>
        <v>0.995</v>
      </c>
      <c r="AI204" s="295"/>
      <c r="AJ204" s="295"/>
      <c r="AK204" s="295"/>
      <c r="AL204" s="295"/>
      <c r="AM204" s="295"/>
      <c r="AN204" s="305"/>
      <c r="AO204" s="302"/>
      <c r="AP204" s="302"/>
      <c r="AQ204" s="302"/>
      <c r="AR204" s="294">
        <f>_xlfn.XLOOKUP($D204,'Modelling New'!$D:$D,'Modelling New'!$N:$N)</f>
        <v>135</v>
      </c>
      <c r="AS204" s="294">
        <f t="shared" si="23"/>
        <v>0</v>
      </c>
    </row>
    <row r="205" spans="1:45">
      <c r="A205" s="293">
        <f t="shared" si="24"/>
        <v>45948</v>
      </c>
      <c r="B205" s="294">
        <f>YEAR(Daily_KPI[[#This Row],[Date]])+IF(MONTH(Daily_KPI[[#This Row],[Date]])&gt;=4,1,0)</f>
        <v>2026</v>
      </c>
      <c r="C205" s="295">
        <f>YEAR(Daily_KPI[[#This Row],[Date]])</f>
        <v>2025</v>
      </c>
      <c r="D205" s="296">
        <f>Daily_KPI[[#This Row],[Date]]-DAY(Daily_KPI[[#This Row],[Date]])+1</f>
        <v>45931</v>
      </c>
      <c r="E205" s="295">
        <f t="shared" si="20"/>
        <v>31</v>
      </c>
      <c r="F205" s="297">
        <f>IFERROR(_xlfn.XLOOKUP($A205,Input_Raw!$A:$A,Input_Raw!$AR:$AR),"")</f>
        <v>0</v>
      </c>
      <c r="G205" s="298">
        <f>IFERROR(_xlfn.XLOOKUP($A205,Input_Raw!$A:$A,Input_Raw!$R:$R),"")</f>
        <v>0</v>
      </c>
      <c r="H205" s="298"/>
      <c r="I205" s="298">
        <f>IFERROR(_xlfn.XLOOKUP($A205,Input_Raw!$A:$A,Input_Raw!$Q:$Q),"")</f>
        <v>0</v>
      </c>
      <c r="J205" s="298"/>
      <c r="K205" s="298">
        <f>IFERROR(_xlfn.XLOOKUP($A205,Input_Raw!$A:$A,Input_Raw!S:S),"")</f>
        <v>0</v>
      </c>
      <c r="L205" s="298">
        <f>IFERROR(_xlfn.XLOOKUP($A205,Input_Raw!$A:$A,Input_Raw!T:T),"")</f>
        <v>0</v>
      </c>
      <c r="M205" s="298">
        <f>IFERROR(_xlfn.XLOOKUP($A205,Input_Raw!$A:$A,Input_Raw!W:W),"")</f>
        <v>0</v>
      </c>
      <c r="N205" s="298">
        <f>IFERROR(_xlfn.XLOOKUP($A205,Input_Raw!$A:$A,Input_Raw!X:X),"")</f>
        <v>0</v>
      </c>
      <c r="O205" s="299" t="str">
        <f>IFERROR(1-(SUMIF(Plant_BD!$B:$B,$A205,Plant_BD!$AL:$AL)/($AA205+SUMIF(Plant_BD!$B:$B,$A205,Plant_BD!$AL:$AL))),"")</f>
        <v/>
      </c>
      <c r="P205" s="299"/>
      <c r="Q205" s="300"/>
      <c r="R205" s="299" t="str">
        <f>IFERROR(1-(SUMIF(Grid_BD!$B:$B,$A205,Grid_BD!$V:$V)/($AA205+SUMIF(Grid_BD!$B:$B,$A205,Grid_BD!$V:$V))),"")</f>
        <v/>
      </c>
      <c r="S205" s="295"/>
      <c r="T205" s="300"/>
      <c r="U205" s="301" t="str">
        <f t="shared" si="21"/>
        <v/>
      </c>
      <c r="V205" s="301" t="str">
        <f>IFERROR(_xlfn.XLOOKUP($A205,Input_Raw!$A:$A,Input_Raw!$AX:$AX),"")</f>
        <v/>
      </c>
      <c r="W205" s="302">
        <f t="shared" si="22"/>
        <v>0</v>
      </c>
      <c r="X205" s="294">
        <f>IFERROR(_xlfn.XLOOKUP($A205,Input_Raw!$A:$A,Input_Raw!$AA:$AA),"")</f>
        <v>0</v>
      </c>
      <c r="Y205" s="294">
        <f>IFERROR(_xlfn.XLOOKUP($A205,Input_Raw!$A:$A,Input_Raw!$AS:$AS),"")</f>
        <v>0</v>
      </c>
      <c r="Z205" s="294"/>
      <c r="AA205" s="294">
        <f>IFERROR(_xlfn.XLOOKUP($A205,Input_Raw!$A:$A,Input_Raw!$AT:$AT),"")</f>
        <v>0</v>
      </c>
      <c r="AB205" s="294">
        <f>IFERROR(_xlfn.XLOOKUP($A205,Input_Raw!$A:$A,Input_Raw!$AU:$AU),"")</f>
        <v>0</v>
      </c>
      <c r="AC205" s="303">
        <f>IFERROR(_xlfn.XLOOKUP($D205,'Modelling New'!$D:$D,'Modelling New'!P:P),"")</f>
        <v>5.7677419354838717</v>
      </c>
      <c r="AD205" s="294">
        <f>IFERROR(_xlfn.XLOOKUP($D205,'Modelling New'!$D:$D,'Modelling New'!T:T)*1000,"")</f>
        <v>551238.53953940247</v>
      </c>
      <c r="AE205" s="304">
        <f>IFERROR(_xlfn.XLOOKUP($D205,'Modelling New'!$D:$D,'Modelling New'!$O:$O),"")</f>
        <v>0.7079457587920075</v>
      </c>
      <c r="AF205" s="304">
        <f>IFERROR(_xlfn.XLOOKUP($D205,'Modelling New'!$D:$D,'Modelling New'!$W:$W),"")</f>
        <v>0.17013535170969213</v>
      </c>
      <c r="AG205" s="304">
        <f>IFERROR(_xlfn.XLOOKUP($D205,'Modelling New'!$D:$D,'Modelling New'!$AE:$AE),"")</f>
        <v>0.995</v>
      </c>
      <c r="AH205" s="304">
        <f>IFERROR(_xlfn.XLOOKUP($D205,'Modelling New'!$D:$D,'Modelling New'!$AF:$AF),"")</f>
        <v>0.995</v>
      </c>
      <c r="AI205" s="295"/>
      <c r="AJ205" s="295"/>
      <c r="AK205" s="295"/>
      <c r="AL205" s="295"/>
      <c r="AM205" s="295"/>
      <c r="AN205" s="305"/>
      <c r="AO205" s="302"/>
      <c r="AP205" s="302"/>
      <c r="AQ205" s="302"/>
      <c r="AR205" s="294">
        <f>_xlfn.XLOOKUP($D205,'Modelling New'!$D:$D,'Modelling New'!$N:$N)</f>
        <v>135</v>
      </c>
      <c r="AS205" s="294">
        <f t="shared" si="23"/>
        <v>0</v>
      </c>
    </row>
    <row r="206" spans="1:45">
      <c r="A206" s="293">
        <f t="shared" si="24"/>
        <v>45949</v>
      </c>
      <c r="B206" s="294">
        <f>YEAR(Daily_KPI[[#This Row],[Date]])+IF(MONTH(Daily_KPI[[#This Row],[Date]])&gt;=4,1,0)</f>
        <v>2026</v>
      </c>
      <c r="C206" s="295">
        <f>YEAR(Daily_KPI[[#This Row],[Date]])</f>
        <v>2025</v>
      </c>
      <c r="D206" s="296">
        <f>Daily_KPI[[#This Row],[Date]]-DAY(Daily_KPI[[#This Row],[Date]])+1</f>
        <v>45931</v>
      </c>
      <c r="E206" s="295">
        <f t="shared" si="20"/>
        <v>31</v>
      </c>
      <c r="F206" s="297">
        <f>IFERROR(_xlfn.XLOOKUP($A206,Input_Raw!$A:$A,Input_Raw!$AR:$AR),"")</f>
        <v>0</v>
      </c>
      <c r="G206" s="298">
        <f>IFERROR(_xlfn.XLOOKUP($A206,Input_Raw!$A:$A,Input_Raw!$R:$R),"")</f>
        <v>0</v>
      </c>
      <c r="H206" s="298"/>
      <c r="I206" s="298">
        <f>IFERROR(_xlfn.XLOOKUP($A206,Input_Raw!$A:$A,Input_Raw!$Q:$Q),"")</f>
        <v>0</v>
      </c>
      <c r="J206" s="298"/>
      <c r="K206" s="298">
        <f>IFERROR(_xlfn.XLOOKUP($A206,Input_Raw!$A:$A,Input_Raw!S:S),"")</f>
        <v>0</v>
      </c>
      <c r="L206" s="298">
        <f>IFERROR(_xlfn.XLOOKUP($A206,Input_Raw!$A:$A,Input_Raw!T:T),"")</f>
        <v>0</v>
      </c>
      <c r="M206" s="298">
        <f>IFERROR(_xlfn.XLOOKUP($A206,Input_Raw!$A:$A,Input_Raw!W:W),"")</f>
        <v>0</v>
      </c>
      <c r="N206" s="298">
        <f>IFERROR(_xlfn.XLOOKUP($A206,Input_Raw!$A:$A,Input_Raw!X:X),"")</f>
        <v>0</v>
      </c>
      <c r="O206" s="299" t="str">
        <f>IFERROR(1-(SUMIF(Plant_BD!$B:$B,$A206,Plant_BD!$AL:$AL)/($AA206+SUMIF(Plant_BD!$B:$B,$A206,Plant_BD!$AL:$AL))),"")</f>
        <v/>
      </c>
      <c r="P206" s="299"/>
      <c r="Q206" s="300"/>
      <c r="R206" s="299" t="str">
        <f>IFERROR(1-(SUMIF(Grid_BD!$B:$B,$A206,Grid_BD!$V:$V)/($AA206+SUMIF(Grid_BD!$B:$B,$A206,Grid_BD!$V:$V))),"")</f>
        <v/>
      </c>
      <c r="S206" s="295"/>
      <c r="T206" s="300"/>
      <c r="U206" s="301" t="str">
        <f t="shared" si="21"/>
        <v/>
      </c>
      <c r="V206" s="301" t="str">
        <f>IFERROR(_xlfn.XLOOKUP($A206,Input_Raw!$A:$A,Input_Raw!$AX:$AX),"")</f>
        <v/>
      </c>
      <c r="W206" s="302">
        <f t="shared" si="22"/>
        <v>0</v>
      </c>
      <c r="X206" s="294">
        <f>IFERROR(_xlfn.XLOOKUP($A206,Input_Raw!$A:$A,Input_Raw!$AA:$AA),"")</f>
        <v>0</v>
      </c>
      <c r="Y206" s="294">
        <f>IFERROR(_xlfn.XLOOKUP($A206,Input_Raw!$A:$A,Input_Raw!$AS:$AS),"")</f>
        <v>0</v>
      </c>
      <c r="Z206" s="294"/>
      <c r="AA206" s="294">
        <f>IFERROR(_xlfn.XLOOKUP($A206,Input_Raw!$A:$A,Input_Raw!$AT:$AT),"")</f>
        <v>0</v>
      </c>
      <c r="AB206" s="294">
        <f>IFERROR(_xlfn.XLOOKUP($A206,Input_Raw!$A:$A,Input_Raw!$AU:$AU),"")</f>
        <v>0</v>
      </c>
      <c r="AC206" s="303">
        <f>IFERROR(_xlfn.XLOOKUP($D206,'Modelling New'!$D:$D,'Modelling New'!P:P),"")</f>
        <v>5.7677419354838717</v>
      </c>
      <c r="AD206" s="294">
        <f>IFERROR(_xlfn.XLOOKUP($D206,'Modelling New'!$D:$D,'Modelling New'!T:T)*1000,"")</f>
        <v>551238.53953940247</v>
      </c>
      <c r="AE206" s="304">
        <f>IFERROR(_xlfn.XLOOKUP($D206,'Modelling New'!$D:$D,'Modelling New'!$O:$O),"")</f>
        <v>0.7079457587920075</v>
      </c>
      <c r="AF206" s="304">
        <f>IFERROR(_xlfn.XLOOKUP($D206,'Modelling New'!$D:$D,'Modelling New'!$W:$W),"")</f>
        <v>0.17013535170969213</v>
      </c>
      <c r="AG206" s="304">
        <f>IFERROR(_xlfn.XLOOKUP($D206,'Modelling New'!$D:$D,'Modelling New'!$AE:$AE),"")</f>
        <v>0.995</v>
      </c>
      <c r="AH206" s="304">
        <f>IFERROR(_xlfn.XLOOKUP($D206,'Modelling New'!$D:$D,'Modelling New'!$AF:$AF),"")</f>
        <v>0.995</v>
      </c>
      <c r="AI206" s="295"/>
      <c r="AJ206" s="295"/>
      <c r="AK206" s="295"/>
      <c r="AL206" s="295"/>
      <c r="AM206" s="295"/>
      <c r="AN206" s="305"/>
      <c r="AO206" s="302"/>
      <c r="AP206" s="302"/>
      <c r="AQ206" s="302"/>
      <c r="AR206" s="294">
        <f>_xlfn.XLOOKUP($D206,'Modelling New'!$D:$D,'Modelling New'!$N:$N)</f>
        <v>135</v>
      </c>
      <c r="AS206" s="294">
        <f t="shared" si="23"/>
        <v>0</v>
      </c>
    </row>
    <row r="207" spans="1:45">
      <c r="A207" s="293">
        <f t="shared" si="24"/>
        <v>45950</v>
      </c>
      <c r="B207" s="294">
        <f>YEAR(Daily_KPI[[#This Row],[Date]])+IF(MONTH(Daily_KPI[[#This Row],[Date]])&gt;=4,1,0)</f>
        <v>2026</v>
      </c>
      <c r="C207" s="295">
        <f>YEAR(Daily_KPI[[#This Row],[Date]])</f>
        <v>2025</v>
      </c>
      <c r="D207" s="296">
        <f>Daily_KPI[[#This Row],[Date]]-DAY(Daily_KPI[[#This Row],[Date]])+1</f>
        <v>45931</v>
      </c>
      <c r="E207" s="295">
        <f t="shared" si="20"/>
        <v>31</v>
      </c>
      <c r="F207" s="297">
        <f>IFERROR(_xlfn.XLOOKUP($A207,Input_Raw!$A:$A,Input_Raw!$AR:$AR),"")</f>
        <v>0</v>
      </c>
      <c r="G207" s="298">
        <f>IFERROR(_xlfn.XLOOKUP($A207,Input_Raw!$A:$A,Input_Raw!$R:$R),"")</f>
        <v>0</v>
      </c>
      <c r="H207" s="298"/>
      <c r="I207" s="298">
        <f>IFERROR(_xlfn.XLOOKUP($A207,Input_Raw!$A:$A,Input_Raw!$Q:$Q),"")</f>
        <v>0</v>
      </c>
      <c r="J207" s="298"/>
      <c r="K207" s="298">
        <f>IFERROR(_xlfn.XLOOKUP($A207,Input_Raw!$A:$A,Input_Raw!S:S),"")</f>
        <v>0</v>
      </c>
      <c r="L207" s="298">
        <f>IFERROR(_xlfn.XLOOKUP($A207,Input_Raw!$A:$A,Input_Raw!T:T),"")</f>
        <v>0</v>
      </c>
      <c r="M207" s="298">
        <f>IFERROR(_xlfn.XLOOKUP($A207,Input_Raw!$A:$A,Input_Raw!W:W),"")</f>
        <v>0</v>
      </c>
      <c r="N207" s="298">
        <f>IFERROR(_xlfn.XLOOKUP($A207,Input_Raw!$A:$A,Input_Raw!X:X),"")</f>
        <v>0</v>
      </c>
      <c r="O207" s="299" t="str">
        <f>IFERROR(1-(SUMIF(Plant_BD!$B:$B,$A207,Plant_BD!$AL:$AL)/($AA207+SUMIF(Plant_BD!$B:$B,$A207,Plant_BD!$AL:$AL))),"")</f>
        <v/>
      </c>
      <c r="P207" s="299"/>
      <c r="Q207" s="300"/>
      <c r="R207" s="299" t="str">
        <f>IFERROR(1-(SUMIF(Grid_BD!$B:$B,$A207,Grid_BD!$V:$V)/($AA207+SUMIF(Grid_BD!$B:$B,$A207,Grid_BD!$V:$V))),"")</f>
        <v/>
      </c>
      <c r="S207" s="295"/>
      <c r="T207" s="300"/>
      <c r="U207" s="301" t="str">
        <f t="shared" si="21"/>
        <v/>
      </c>
      <c r="V207" s="301" t="str">
        <f>IFERROR(_xlfn.XLOOKUP($A207,Input_Raw!$A:$A,Input_Raw!$AX:$AX),"")</f>
        <v/>
      </c>
      <c r="W207" s="302">
        <f t="shared" si="22"/>
        <v>0</v>
      </c>
      <c r="X207" s="294">
        <f>IFERROR(_xlfn.XLOOKUP($A207,Input_Raw!$A:$A,Input_Raw!$AA:$AA),"")</f>
        <v>0</v>
      </c>
      <c r="Y207" s="294">
        <f>IFERROR(_xlfn.XLOOKUP($A207,Input_Raw!$A:$A,Input_Raw!$AS:$AS),"")</f>
        <v>0</v>
      </c>
      <c r="Z207" s="294"/>
      <c r="AA207" s="294">
        <f>IFERROR(_xlfn.XLOOKUP($A207,Input_Raw!$A:$A,Input_Raw!$AT:$AT),"")</f>
        <v>0</v>
      </c>
      <c r="AB207" s="294">
        <f>IFERROR(_xlfn.XLOOKUP($A207,Input_Raw!$A:$A,Input_Raw!$AU:$AU),"")</f>
        <v>0</v>
      </c>
      <c r="AC207" s="303">
        <f>IFERROR(_xlfn.XLOOKUP($D207,'Modelling New'!$D:$D,'Modelling New'!P:P),"")</f>
        <v>5.7677419354838717</v>
      </c>
      <c r="AD207" s="294">
        <f>IFERROR(_xlfn.XLOOKUP($D207,'Modelling New'!$D:$D,'Modelling New'!T:T)*1000,"")</f>
        <v>551238.53953940247</v>
      </c>
      <c r="AE207" s="304">
        <f>IFERROR(_xlfn.XLOOKUP($D207,'Modelling New'!$D:$D,'Modelling New'!$O:$O),"")</f>
        <v>0.7079457587920075</v>
      </c>
      <c r="AF207" s="304">
        <f>IFERROR(_xlfn.XLOOKUP($D207,'Modelling New'!$D:$D,'Modelling New'!$W:$W),"")</f>
        <v>0.17013535170969213</v>
      </c>
      <c r="AG207" s="304">
        <f>IFERROR(_xlfn.XLOOKUP($D207,'Modelling New'!$D:$D,'Modelling New'!$AE:$AE),"")</f>
        <v>0.995</v>
      </c>
      <c r="AH207" s="304">
        <f>IFERROR(_xlfn.XLOOKUP($D207,'Modelling New'!$D:$D,'Modelling New'!$AF:$AF),"")</f>
        <v>0.995</v>
      </c>
      <c r="AI207" s="295"/>
      <c r="AJ207" s="295"/>
      <c r="AK207" s="295"/>
      <c r="AL207" s="295"/>
      <c r="AM207" s="295"/>
      <c r="AN207" s="305"/>
      <c r="AO207" s="302"/>
      <c r="AP207" s="302"/>
      <c r="AQ207" s="302"/>
      <c r="AR207" s="294">
        <f>_xlfn.XLOOKUP($D207,'Modelling New'!$D:$D,'Modelling New'!$N:$N)</f>
        <v>135</v>
      </c>
      <c r="AS207" s="294">
        <f t="shared" si="23"/>
        <v>0</v>
      </c>
    </row>
    <row r="208" spans="1:45">
      <c r="A208" s="293">
        <f t="shared" si="24"/>
        <v>45951</v>
      </c>
      <c r="B208" s="294">
        <f>YEAR(Daily_KPI[[#This Row],[Date]])+IF(MONTH(Daily_KPI[[#This Row],[Date]])&gt;=4,1,0)</f>
        <v>2026</v>
      </c>
      <c r="C208" s="295">
        <f>YEAR(Daily_KPI[[#This Row],[Date]])</f>
        <v>2025</v>
      </c>
      <c r="D208" s="296">
        <f>Daily_KPI[[#This Row],[Date]]-DAY(Daily_KPI[[#This Row],[Date]])+1</f>
        <v>45931</v>
      </c>
      <c r="E208" s="295">
        <f t="shared" si="20"/>
        <v>31</v>
      </c>
      <c r="F208" s="297">
        <f>IFERROR(_xlfn.XLOOKUP($A208,Input_Raw!$A:$A,Input_Raw!$AR:$AR),"")</f>
        <v>0</v>
      </c>
      <c r="G208" s="298">
        <f>IFERROR(_xlfn.XLOOKUP($A208,Input_Raw!$A:$A,Input_Raw!$R:$R),"")</f>
        <v>0</v>
      </c>
      <c r="H208" s="298"/>
      <c r="I208" s="298">
        <f>IFERROR(_xlfn.XLOOKUP($A208,Input_Raw!$A:$A,Input_Raw!$Q:$Q),"")</f>
        <v>0</v>
      </c>
      <c r="J208" s="298"/>
      <c r="K208" s="298">
        <f>IFERROR(_xlfn.XLOOKUP($A208,Input_Raw!$A:$A,Input_Raw!S:S),"")</f>
        <v>0</v>
      </c>
      <c r="L208" s="298">
        <f>IFERROR(_xlfn.XLOOKUP($A208,Input_Raw!$A:$A,Input_Raw!T:T),"")</f>
        <v>0</v>
      </c>
      <c r="M208" s="298">
        <f>IFERROR(_xlfn.XLOOKUP($A208,Input_Raw!$A:$A,Input_Raw!W:W),"")</f>
        <v>0</v>
      </c>
      <c r="N208" s="298">
        <f>IFERROR(_xlfn.XLOOKUP($A208,Input_Raw!$A:$A,Input_Raw!X:X),"")</f>
        <v>0</v>
      </c>
      <c r="O208" s="299" t="str">
        <f>IFERROR(1-(SUMIF(Plant_BD!$B:$B,$A208,Plant_BD!$AL:$AL)/($AA208+SUMIF(Plant_BD!$B:$B,$A208,Plant_BD!$AL:$AL))),"")</f>
        <v/>
      </c>
      <c r="P208" s="299"/>
      <c r="Q208" s="300"/>
      <c r="R208" s="299" t="str">
        <f>IFERROR(1-(SUMIF(Grid_BD!$B:$B,$A208,Grid_BD!$V:$V)/($AA208+SUMIF(Grid_BD!$B:$B,$A208,Grid_BD!$V:$V))),"")</f>
        <v/>
      </c>
      <c r="S208" s="295"/>
      <c r="T208" s="300"/>
      <c r="U208" s="301" t="str">
        <f t="shared" si="21"/>
        <v/>
      </c>
      <c r="V208" s="301" t="str">
        <f>IFERROR(_xlfn.XLOOKUP($A208,Input_Raw!$A:$A,Input_Raw!$AX:$AX),"")</f>
        <v/>
      </c>
      <c r="W208" s="302">
        <f t="shared" si="22"/>
        <v>0</v>
      </c>
      <c r="X208" s="294">
        <f>IFERROR(_xlfn.XLOOKUP($A208,Input_Raw!$A:$A,Input_Raw!$AA:$AA),"")</f>
        <v>0</v>
      </c>
      <c r="Y208" s="294">
        <f>IFERROR(_xlfn.XLOOKUP($A208,Input_Raw!$A:$A,Input_Raw!$AS:$AS),"")</f>
        <v>0</v>
      </c>
      <c r="Z208" s="294"/>
      <c r="AA208" s="294">
        <f>IFERROR(_xlfn.XLOOKUP($A208,Input_Raw!$A:$A,Input_Raw!$AT:$AT),"")</f>
        <v>0</v>
      </c>
      <c r="AB208" s="294">
        <f>IFERROR(_xlfn.XLOOKUP($A208,Input_Raw!$A:$A,Input_Raw!$AU:$AU),"")</f>
        <v>0</v>
      </c>
      <c r="AC208" s="303">
        <f>IFERROR(_xlfn.XLOOKUP($D208,'Modelling New'!$D:$D,'Modelling New'!P:P),"")</f>
        <v>5.7677419354838717</v>
      </c>
      <c r="AD208" s="294">
        <f>IFERROR(_xlfn.XLOOKUP($D208,'Modelling New'!$D:$D,'Modelling New'!T:T)*1000,"")</f>
        <v>551238.53953940247</v>
      </c>
      <c r="AE208" s="304">
        <f>IFERROR(_xlfn.XLOOKUP($D208,'Modelling New'!$D:$D,'Modelling New'!$O:$O),"")</f>
        <v>0.7079457587920075</v>
      </c>
      <c r="AF208" s="304">
        <f>IFERROR(_xlfn.XLOOKUP($D208,'Modelling New'!$D:$D,'Modelling New'!$W:$W),"")</f>
        <v>0.17013535170969213</v>
      </c>
      <c r="AG208" s="304">
        <f>IFERROR(_xlfn.XLOOKUP($D208,'Modelling New'!$D:$D,'Modelling New'!$AE:$AE),"")</f>
        <v>0.995</v>
      </c>
      <c r="AH208" s="304">
        <f>IFERROR(_xlfn.XLOOKUP($D208,'Modelling New'!$D:$D,'Modelling New'!$AF:$AF),"")</f>
        <v>0.995</v>
      </c>
      <c r="AI208" s="295"/>
      <c r="AJ208" s="295"/>
      <c r="AK208" s="295"/>
      <c r="AL208" s="295"/>
      <c r="AM208" s="295"/>
      <c r="AN208" s="305"/>
      <c r="AO208" s="302"/>
      <c r="AP208" s="302"/>
      <c r="AQ208" s="302"/>
      <c r="AR208" s="294">
        <f>_xlfn.XLOOKUP($D208,'Modelling New'!$D:$D,'Modelling New'!$N:$N)</f>
        <v>135</v>
      </c>
      <c r="AS208" s="294">
        <f t="shared" si="23"/>
        <v>0</v>
      </c>
    </row>
    <row r="209" spans="1:45">
      <c r="A209" s="293">
        <f t="shared" si="24"/>
        <v>45952</v>
      </c>
      <c r="B209" s="294">
        <f>YEAR(Daily_KPI[[#This Row],[Date]])+IF(MONTH(Daily_KPI[[#This Row],[Date]])&gt;=4,1,0)</f>
        <v>2026</v>
      </c>
      <c r="C209" s="295">
        <f>YEAR(Daily_KPI[[#This Row],[Date]])</f>
        <v>2025</v>
      </c>
      <c r="D209" s="296">
        <f>Daily_KPI[[#This Row],[Date]]-DAY(Daily_KPI[[#This Row],[Date]])+1</f>
        <v>45931</v>
      </c>
      <c r="E209" s="295">
        <f t="shared" si="20"/>
        <v>31</v>
      </c>
      <c r="F209" s="297">
        <f>IFERROR(_xlfn.XLOOKUP($A209,Input_Raw!$A:$A,Input_Raw!$AR:$AR),"")</f>
        <v>0</v>
      </c>
      <c r="G209" s="298">
        <f>IFERROR(_xlfn.XLOOKUP($A209,Input_Raw!$A:$A,Input_Raw!$R:$R),"")</f>
        <v>0</v>
      </c>
      <c r="H209" s="298"/>
      <c r="I209" s="298">
        <f>IFERROR(_xlfn.XLOOKUP($A209,Input_Raw!$A:$A,Input_Raw!$Q:$Q),"")</f>
        <v>0</v>
      </c>
      <c r="J209" s="298"/>
      <c r="K209" s="298">
        <f>IFERROR(_xlfn.XLOOKUP($A209,Input_Raw!$A:$A,Input_Raw!S:S),"")</f>
        <v>0</v>
      </c>
      <c r="L209" s="298">
        <f>IFERROR(_xlfn.XLOOKUP($A209,Input_Raw!$A:$A,Input_Raw!T:T),"")</f>
        <v>0</v>
      </c>
      <c r="M209" s="298">
        <f>IFERROR(_xlfn.XLOOKUP($A209,Input_Raw!$A:$A,Input_Raw!W:W),"")</f>
        <v>0</v>
      </c>
      <c r="N209" s="298">
        <f>IFERROR(_xlfn.XLOOKUP($A209,Input_Raw!$A:$A,Input_Raw!X:X),"")</f>
        <v>0</v>
      </c>
      <c r="O209" s="299" t="str">
        <f>IFERROR(1-(SUMIF(Plant_BD!$B:$B,$A209,Plant_BD!$AL:$AL)/($AA209+SUMIF(Plant_BD!$B:$B,$A209,Plant_BD!$AL:$AL))),"")</f>
        <v/>
      </c>
      <c r="P209" s="299"/>
      <c r="Q209" s="300"/>
      <c r="R209" s="299" t="str">
        <f>IFERROR(1-(SUMIF(Grid_BD!$B:$B,$A209,Grid_BD!$V:$V)/($AA209+SUMIF(Grid_BD!$B:$B,$A209,Grid_BD!$V:$V))),"")</f>
        <v/>
      </c>
      <c r="S209" s="295"/>
      <c r="T209" s="300"/>
      <c r="U209" s="301" t="str">
        <f t="shared" si="21"/>
        <v/>
      </c>
      <c r="V209" s="301" t="str">
        <f>IFERROR(_xlfn.XLOOKUP($A209,Input_Raw!$A:$A,Input_Raw!$AX:$AX),"")</f>
        <v/>
      </c>
      <c r="W209" s="302">
        <f t="shared" si="22"/>
        <v>0</v>
      </c>
      <c r="X209" s="294">
        <f>IFERROR(_xlfn.XLOOKUP($A209,Input_Raw!$A:$A,Input_Raw!$AA:$AA),"")</f>
        <v>0</v>
      </c>
      <c r="Y209" s="294">
        <f>IFERROR(_xlfn.XLOOKUP($A209,Input_Raw!$A:$A,Input_Raw!$AS:$AS),"")</f>
        <v>0</v>
      </c>
      <c r="Z209" s="294"/>
      <c r="AA209" s="294">
        <f>IFERROR(_xlfn.XLOOKUP($A209,Input_Raw!$A:$A,Input_Raw!$AT:$AT),"")</f>
        <v>0</v>
      </c>
      <c r="AB209" s="294">
        <f>IFERROR(_xlfn.XLOOKUP($A209,Input_Raw!$A:$A,Input_Raw!$AU:$AU),"")</f>
        <v>0</v>
      </c>
      <c r="AC209" s="303">
        <f>IFERROR(_xlfn.XLOOKUP($D209,'Modelling New'!$D:$D,'Modelling New'!P:P),"")</f>
        <v>5.7677419354838717</v>
      </c>
      <c r="AD209" s="294">
        <f>IFERROR(_xlfn.XLOOKUP($D209,'Modelling New'!$D:$D,'Modelling New'!T:T)*1000,"")</f>
        <v>551238.53953940247</v>
      </c>
      <c r="AE209" s="304">
        <f>IFERROR(_xlfn.XLOOKUP($D209,'Modelling New'!$D:$D,'Modelling New'!$O:$O),"")</f>
        <v>0.7079457587920075</v>
      </c>
      <c r="AF209" s="304">
        <f>IFERROR(_xlfn.XLOOKUP($D209,'Modelling New'!$D:$D,'Modelling New'!$W:$W),"")</f>
        <v>0.17013535170969213</v>
      </c>
      <c r="AG209" s="304">
        <f>IFERROR(_xlfn.XLOOKUP($D209,'Modelling New'!$D:$D,'Modelling New'!$AE:$AE),"")</f>
        <v>0.995</v>
      </c>
      <c r="AH209" s="304">
        <f>IFERROR(_xlfn.XLOOKUP($D209,'Modelling New'!$D:$D,'Modelling New'!$AF:$AF),"")</f>
        <v>0.995</v>
      </c>
      <c r="AI209" s="295"/>
      <c r="AJ209" s="295"/>
      <c r="AK209" s="295"/>
      <c r="AL209" s="295"/>
      <c r="AM209" s="295"/>
      <c r="AN209" s="305"/>
      <c r="AO209" s="302"/>
      <c r="AP209" s="302"/>
      <c r="AQ209" s="302"/>
      <c r="AR209" s="294">
        <f>_xlfn.XLOOKUP($D209,'Modelling New'!$D:$D,'Modelling New'!$N:$N)</f>
        <v>135</v>
      </c>
      <c r="AS209" s="294">
        <f t="shared" si="23"/>
        <v>0</v>
      </c>
    </row>
    <row r="210" spans="1:45">
      <c r="A210" s="293">
        <f t="shared" si="24"/>
        <v>45953</v>
      </c>
      <c r="B210" s="294">
        <f>YEAR(Daily_KPI[[#This Row],[Date]])+IF(MONTH(Daily_KPI[[#This Row],[Date]])&gt;=4,1,0)</f>
        <v>2026</v>
      </c>
      <c r="C210" s="295">
        <f>YEAR(Daily_KPI[[#This Row],[Date]])</f>
        <v>2025</v>
      </c>
      <c r="D210" s="296">
        <f>Daily_KPI[[#This Row],[Date]]-DAY(Daily_KPI[[#This Row],[Date]])+1</f>
        <v>45931</v>
      </c>
      <c r="E210" s="295">
        <f t="shared" si="20"/>
        <v>31</v>
      </c>
      <c r="F210" s="297">
        <f>IFERROR(_xlfn.XLOOKUP($A210,Input_Raw!$A:$A,Input_Raw!$AR:$AR),"")</f>
        <v>0</v>
      </c>
      <c r="G210" s="298">
        <f>IFERROR(_xlfn.XLOOKUP($A210,Input_Raw!$A:$A,Input_Raw!$R:$R),"")</f>
        <v>0</v>
      </c>
      <c r="H210" s="298"/>
      <c r="I210" s="298">
        <f>IFERROR(_xlfn.XLOOKUP($A210,Input_Raw!$A:$A,Input_Raw!$Q:$Q),"")</f>
        <v>0</v>
      </c>
      <c r="J210" s="298"/>
      <c r="K210" s="298">
        <f>IFERROR(_xlfn.XLOOKUP($A210,Input_Raw!$A:$A,Input_Raw!S:S),"")</f>
        <v>0</v>
      </c>
      <c r="L210" s="298">
        <f>IFERROR(_xlfn.XLOOKUP($A210,Input_Raw!$A:$A,Input_Raw!T:T),"")</f>
        <v>0</v>
      </c>
      <c r="M210" s="298">
        <f>IFERROR(_xlfn.XLOOKUP($A210,Input_Raw!$A:$A,Input_Raw!W:W),"")</f>
        <v>0</v>
      </c>
      <c r="N210" s="298">
        <f>IFERROR(_xlfn.XLOOKUP($A210,Input_Raw!$A:$A,Input_Raw!X:X),"")</f>
        <v>0</v>
      </c>
      <c r="O210" s="299" t="str">
        <f>IFERROR(1-(SUMIF(Plant_BD!$B:$B,$A210,Plant_BD!$AL:$AL)/($AA210+SUMIF(Plant_BD!$B:$B,$A210,Plant_BD!$AL:$AL))),"")</f>
        <v/>
      </c>
      <c r="P210" s="299"/>
      <c r="Q210" s="300"/>
      <c r="R210" s="299" t="str">
        <f>IFERROR(1-(SUMIF(Grid_BD!$B:$B,$A210,Grid_BD!$V:$V)/($AA210+SUMIF(Grid_BD!$B:$B,$A210,Grid_BD!$V:$V))),"")</f>
        <v/>
      </c>
      <c r="S210" s="295"/>
      <c r="T210" s="300"/>
      <c r="U210" s="301" t="str">
        <f t="shared" si="21"/>
        <v/>
      </c>
      <c r="V210" s="301" t="str">
        <f>IFERROR(_xlfn.XLOOKUP($A210,Input_Raw!$A:$A,Input_Raw!$AX:$AX),"")</f>
        <v/>
      </c>
      <c r="W210" s="302">
        <f t="shared" si="22"/>
        <v>0</v>
      </c>
      <c r="X210" s="294">
        <f>IFERROR(_xlfn.XLOOKUP($A210,Input_Raw!$A:$A,Input_Raw!$AA:$AA),"")</f>
        <v>0</v>
      </c>
      <c r="Y210" s="294">
        <f>IFERROR(_xlfn.XLOOKUP($A210,Input_Raw!$A:$A,Input_Raw!$AS:$AS),"")</f>
        <v>0</v>
      </c>
      <c r="Z210" s="294"/>
      <c r="AA210" s="294">
        <f>IFERROR(_xlfn.XLOOKUP($A210,Input_Raw!$A:$A,Input_Raw!$AT:$AT),"")</f>
        <v>0</v>
      </c>
      <c r="AB210" s="294">
        <f>IFERROR(_xlfn.XLOOKUP($A210,Input_Raw!$A:$A,Input_Raw!$AU:$AU),"")</f>
        <v>0</v>
      </c>
      <c r="AC210" s="303">
        <f>IFERROR(_xlfn.XLOOKUP($D210,'Modelling New'!$D:$D,'Modelling New'!P:P),"")</f>
        <v>5.7677419354838717</v>
      </c>
      <c r="AD210" s="294">
        <f>IFERROR(_xlfn.XLOOKUP($D210,'Modelling New'!$D:$D,'Modelling New'!T:T)*1000,"")</f>
        <v>551238.53953940247</v>
      </c>
      <c r="AE210" s="304">
        <f>IFERROR(_xlfn.XLOOKUP($D210,'Modelling New'!$D:$D,'Modelling New'!$O:$O),"")</f>
        <v>0.7079457587920075</v>
      </c>
      <c r="AF210" s="304">
        <f>IFERROR(_xlfn.XLOOKUP($D210,'Modelling New'!$D:$D,'Modelling New'!$W:$W),"")</f>
        <v>0.17013535170969213</v>
      </c>
      <c r="AG210" s="304">
        <f>IFERROR(_xlfn.XLOOKUP($D210,'Modelling New'!$D:$D,'Modelling New'!$AE:$AE),"")</f>
        <v>0.995</v>
      </c>
      <c r="AH210" s="304">
        <f>IFERROR(_xlfn.XLOOKUP($D210,'Modelling New'!$D:$D,'Modelling New'!$AF:$AF),"")</f>
        <v>0.995</v>
      </c>
      <c r="AI210" s="295"/>
      <c r="AJ210" s="295"/>
      <c r="AK210" s="295"/>
      <c r="AL210" s="295"/>
      <c r="AM210" s="295"/>
      <c r="AN210" s="305"/>
      <c r="AO210" s="302"/>
      <c r="AP210" s="302"/>
      <c r="AQ210" s="302"/>
      <c r="AR210" s="294">
        <f>_xlfn.XLOOKUP($D210,'Modelling New'!$D:$D,'Modelling New'!$N:$N)</f>
        <v>135</v>
      </c>
      <c r="AS210" s="294">
        <f t="shared" si="23"/>
        <v>0</v>
      </c>
    </row>
    <row r="211" spans="1:45">
      <c r="A211" s="293">
        <f t="shared" si="24"/>
        <v>45954</v>
      </c>
      <c r="B211" s="294">
        <f>YEAR(Daily_KPI[[#This Row],[Date]])+IF(MONTH(Daily_KPI[[#This Row],[Date]])&gt;=4,1,0)</f>
        <v>2026</v>
      </c>
      <c r="C211" s="295">
        <f>YEAR(Daily_KPI[[#This Row],[Date]])</f>
        <v>2025</v>
      </c>
      <c r="D211" s="296">
        <f>Daily_KPI[[#This Row],[Date]]-DAY(Daily_KPI[[#This Row],[Date]])+1</f>
        <v>45931</v>
      </c>
      <c r="E211" s="295">
        <f t="shared" si="20"/>
        <v>31</v>
      </c>
      <c r="F211" s="297">
        <f>IFERROR(_xlfn.XLOOKUP($A211,Input_Raw!$A:$A,Input_Raw!$AR:$AR),"")</f>
        <v>0</v>
      </c>
      <c r="G211" s="298">
        <f>IFERROR(_xlfn.XLOOKUP($A211,Input_Raw!$A:$A,Input_Raw!$R:$R),"")</f>
        <v>0</v>
      </c>
      <c r="H211" s="298"/>
      <c r="I211" s="298">
        <f>IFERROR(_xlfn.XLOOKUP($A211,Input_Raw!$A:$A,Input_Raw!$Q:$Q),"")</f>
        <v>0</v>
      </c>
      <c r="J211" s="298"/>
      <c r="K211" s="298">
        <f>IFERROR(_xlfn.XLOOKUP($A211,Input_Raw!$A:$A,Input_Raw!S:S),"")</f>
        <v>0</v>
      </c>
      <c r="L211" s="298">
        <f>IFERROR(_xlfn.XLOOKUP($A211,Input_Raw!$A:$A,Input_Raw!T:T),"")</f>
        <v>0</v>
      </c>
      <c r="M211" s="298">
        <f>IFERROR(_xlfn.XLOOKUP($A211,Input_Raw!$A:$A,Input_Raw!W:W),"")</f>
        <v>0</v>
      </c>
      <c r="N211" s="298">
        <f>IFERROR(_xlfn.XLOOKUP($A211,Input_Raw!$A:$A,Input_Raw!X:X),"")</f>
        <v>0</v>
      </c>
      <c r="O211" s="299" t="str">
        <f>IFERROR(1-(SUMIF(Plant_BD!$B:$B,$A211,Plant_BD!$AL:$AL)/($AA211+SUMIF(Plant_BD!$B:$B,$A211,Plant_BD!$AL:$AL))),"")</f>
        <v/>
      </c>
      <c r="P211" s="299"/>
      <c r="Q211" s="300"/>
      <c r="R211" s="299" t="str">
        <f>IFERROR(1-(SUMIF(Grid_BD!$B:$B,$A211,Grid_BD!$V:$V)/($AA211+SUMIF(Grid_BD!$B:$B,$A211,Grid_BD!$V:$V))),"")</f>
        <v/>
      </c>
      <c r="S211" s="295"/>
      <c r="T211" s="300"/>
      <c r="U211" s="301" t="str">
        <f t="shared" si="21"/>
        <v/>
      </c>
      <c r="V211" s="301" t="str">
        <f>IFERROR(_xlfn.XLOOKUP($A211,Input_Raw!$A:$A,Input_Raw!$AX:$AX),"")</f>
        <v/>
      </c>
      <c r="W211" s="302">
        <f t="shared" si="22"/>
        <v>0</v>
      </c>
      <c r="X211" s="294">
        <f>IFERROR(_xlfn.XLOOKUP($A211,Input_Raw!$A:$A,Input_Raw!$AA:$AA),"")</f>
        <v>0</v>
      </c>
      <c r="Y211" s="294">
        <f>IFERROR(_xlfn.XLOOKUP($A211,Input_Raw!$A:$A,Input_Raw!$AS:$AS),"")</f>
        <v>0</v>
      </c>
      <c r="Z211" s="294"/>
      <c r="AA211" s="294">
        <f>IFERROR(_xlfn.XLOOKUP($A211,Input_Raw!$A:$A,Input_Raw!$AT:$AT),"")</f>
        <v>0</v>
      </c>
      <c r="AB211" s="294">
        <f>IFERROR(_xlfn.XLOOKUP($A211,Input_Raw!$A:$A,Input_Raw!$AU:$AU),"")</f>
        <v>0</v>
      </c>
      <c r="AC211" s="303">
        <f>IFERROR(_xlfn.XLOOKUP($D211,'Modelling New'!$D:$D,'Modelling New'!P:P),"")</f>
        <v>5.7677419354838717</v>
      </c>
      <c r="AD211" s="294">
        <f>IFERROR(_xlfn.XLOOKUP($D211,'Modelling New'!$D:$D,'Modelling New'!T:T)*1000,"")</f>
        <v>551238.53953940247</v>
      </c>
      <c r="AE211" s="304">
        <f>IFERROR(_xlfn.XLOOKUP($D211,'Modelling New'!$D:$D,'Modelling New'!$O:$O),"")</f>
        <v>0.7079457587920075</v>
      </c>
      <c r="AF211" s="304">
        <f>IFERROR(_xlfn.XLOOKUP($D211,'Modelling New'!$D:$D,'Modelling New'!$W:$W),"")</f>
        <v>0.17013535170969213</v>
      </c>
      <c r="AG211" s="304">
        <f>IFERROR(_xlfn.XLOOKUP($D211,'Modelling New'!$D:$D,'Modelling New'!$AE:$AE),"")</f>
        <v>0.995</v>
      </c>
      <c r="AH211" s="304">
        <f>IFERROR(_xlfn.XLOOKUP($D211,'Modelling New'!$D:$D,'Modelling New'!$AF:$AF),"")</f>
        <v>0.995</v>
      </c>
      <c r="AI211" s="295"/>
      <c r="AJ211" s="295"/>
      <c r="AK211" s="295"/>
      <c r="AL211" s="295"/>
      <c r="AM211" s="295"/>
      <c r="AN211" s="305"/>
      <c r="AO211" s="302"/>
      <c r="AP211" s="302"/>
      <c r="AQ211" s="302"/>
      <c r="AR211" s="294">
        <f>_xlfn.XLOOKUP($D211,'Modelling New'!$D:$D,'Modelling New'!$N:$N)</f>
        <v>135</v>
      </c>
      <c r="AS211" s="294">
        <f t="shared" si="23"/>
        <v>0</v>
      </c>
    </row>
    <row r="212" spans="1:45">
      <c r="A212" s="293">
        <f t="shared" si="24"/>
        <v>45955</v>
      </c>
      <c r="B212" s="294">
        <f>YEAR(Daily_KPI[[#This Row],[Date]])+IF(MONTH(Daily_KPI[[#This Row],[Date]])&gt;=4,1,0)</f>
        <v>2026</v>
      </c>
      <c r="C212" s="295">
        <f>YEAR(Daily_KPI[[#This Row],[Date]])</f>
        <v>2025</v>
      </c>
      <c r="D212" s="296">
        <f>Daily_KPI[[#This Row],[Date]]-DAY(Daily_KPI[[#This Row],[Date]])+1</f>
        <v>45931</v>
      </c>
      <c r="E212" s="295">
        <f t="shared" si="20"/>
        <v>31</v>
      </c>
      <c r="F212" s="297">
        <f>IFERROR(_xlfn.XLOOKUP($A212,Input_Raw!$A:$A,Input_Raw!$AR:$AR),"")</f>
        <v>0</v>
      </c>
      <c r="G212" s="298">
        <f>IFERROR(_xlfn.XLOOKUP($A212,Input_Raw!$A:$A,Input_Raw!$R:$R),"")</f>
        <v>0</v>
      </c>
      <c r="H212" s="298"/>
      <c r="I212" s="298">
        <f>IFERROR(_xlfn.XLOOKUP($A212,Input_Raw!$A:$A,Input_Raw!$Q:$Q),"")</f>
        <v>0</v>
      </c>
      <c r="J212" s="298"/>
      <c r="K212" s="298">
        <f>IFERROR(_xlfn.XLOOKUP($A212,Input_Raw!$A:$A,Input_Raw!S:S),"")</f>
        <v>0</v>
      </c>
      <c r="L212" s="298">
        <f>IFERROR(_xlfn.XLOOKUP($A212,Input_Raw!$A:$A,Input_Raw!T:T),"")</f>
        <v>0</v>
      </c>
      <c r="M212" s="298">
        <f>IFERROR(_xlfn.XLOOKUP($A212,Input_Raw!$A:$A,Input_Raw!W:W),"")</f>
        <v>0</v>
      </c>
      <c r="N212" s="298">
        <f>IFERROR(_xlfn.XLOOKUP($A212,Input_Raw!$A:$A,Input_Raw!X:X),"")</f>
        <v>0</v>
      </c>
      <c r="O212" s="299" t="str">
        <f>IFERROR(1-(SUMIF(Plant_BD!$B:$B,$A212,Plant_BD!$AL:$AL)/($AA212+SUMIF(Plant_BD!$B:$B,$A212,Plant_BD!$AL:$AL))),"")</f>
        <v/>
      </c>
      <c r="P212" s="299"/>
      <c r="Q212" s="300"/>
      <c r="R212" s="299" t="str">
        <f>IFERROR(1-(SUMIF(Grid_BD!$B:$B,$A212,Grid_BD!$V:$V)/($AA212+SUMIF(Grid_BD!$B:$B,$A212,Grid_BD!$V:$V))),"")</f>
        <v/>
      </c>
      <c r="S212" s="295"/>
      <c r="T212" s="300"/>
      <c r="U212" s="301" t="str">
        <f t="shared" si="21"/>
        <v/>
      </c>
      <c r="V212" s="301" t="str">
        <f>IFERROR(_xlfn.XLOOKUP($A212,Input_Raw!$A:$A,Input_Raw!$AX:$AX),"")</f>
        <v/>
      </c>
      <c r="W212" s="302">
        <f t="shared" si="22"/>
        <v>0</v>
      </c>
      <c r="X212" s="294">
        <f>IFERROR(_xlfn.XLOOKUP($A212,Input_Raw!$A:$A,Input_Raw!$AA:$AA),"")</f>
        <v>0</v>
      </c>
      <c r="Y212" s="294">
        <f>IFERROR(_xlfn.XLOOKUP($A212,Input_Raw!$A:$A,Input_Raw!$AS:$AS),"")</f>
        <v>0</v>
      </c>
      <c r="Z212" s="294"/>
      <c r="AA212" s="294">
        <f>IFERROR(_xlfn.XLOOKUP($A212,Input_Raw!$A:$A,Input_Raw!$AT:$AT),"")</f>
        <v>0</v>
      </c>
      <c r="AB212" s="294">
        <f>IFERROR(_xlfn.XLOOKUP($A212,Input_Raw!$A:$A,Input_Raw!$AU:$AU),"")</f>
        <v>0</v>
      </c>
      <c r="AC212" s="303">
        <f>IFERROR(_xlfn.XLOOKUP($D212,'Modelling New'!$D:$D,'Modelling New'!P:P),"")</f>
        <v>5.7677419354838717</v>
      </c>
      <c r="AD212" s="294">
        <f>IFERROR(_xlfn.XLOOKUP($D212,'Modelling New'!$D:$D,'Modelling New'!T:T)*1000,"")</f>
        <v>551238.53953940247</v>
      </c>
      <c r="AE212" s="304">
        <f>IFERROR(_xlfn.XLOOKUP($D212,'Modelling New'!$D:$D,'Modelling New'!$O:$O),"")</f>
        <v>0.7079457587920075</v>
      </c>
      <c r="AF212" s="304">
        <f>IFERROR(_xlfn.XLOOKUP($D212,'Modelling New'!$D:$D,'Modelling New'!$W:$W),"")</f>
        <v>0.17013535170969213</v>
      </c>
      <c r="AG212" s="304">
        <f>IFERROR(_xlfn.XLOOKUP($D212,'Modelling New'!$D:$D,'Modelling New'!$AE:$AE),"")</f>
        <v>0.995</v>
      </c>
      <c r="AH212" s="304">
        <f>IFERROR(_xlfn.XLOOKUP($D212,'Modelling New'!$D:$D,'Modelling New'!$AF:$AF),"")</f>
        <v>0.995</v>
      </c>
      <c r="AI212" s="295"/>
      <c r="AJ212" s="295"/>
      <c r="AK212" s="295"/>
      <c r="AL212" s="295"/>
      <c r="AM212" s="295"/>
      <c r="AN212" s="305"/>
      <c r="AO212" s="302"/>
      <c r="AP212" s="302"/>
      <c r="AQ212" s="302"/>
      <c r="AR212" s="294">
        <f>_xlfn.XLOOKUP($D212,'Modelling New'!$D:$D,'Modelling New'!$N:$N)</f>
        <v>135</v>
      </c>
      <c r="AS212" s="294">
        <f t="shared" si="23"/>
        <v>0</v>
      </c>
    </row>
    <row r="213" spans="1:45">
      <c r="A213" s="293">
        <f t="shared" si="24"/>
        <v>45956</v>
      </c>
      <c r="B213" s="294">
        <f>YEAR(Daily_KPI[[#This Row],[Date]])+IF(MONTH(Daily_KPI[[#This Row],[Date]])&gt;=4,1,0)</f>
        <v>2026</v>
      </c>
      <c r="C213" s="295">
        <f>YEAR(Daily_KPI[[#This Row],[Date]])</f>
        <v>2025</v>
      </c>
      <c r="D213" s="296">
        <f>Daily_KPI[[#This Row],[Date]]-DAY(Daily_KPI[[#This Row],[Date]])+1</f>
        <v>45931</v>
      </c>
      <c r="E213" s="295">
        <f t="shared" si="20"/>
        <v>31</v>
      </c>
      <c r="F213" s="297">
        <f>IFERROR(_xlfn.XLOOKUP($A213,Input_Raw!$A:$A,Input_Raw!$AR:$AR),"")</f>
        <v>0</v>
      </c>
      <c r="G213" s="298">
        <f>IFERROR(_xlfn.XLOOKUP($A213,Input_Raw!$A:$A,Input_Raw!$R:$R),"")</f>
        <v>0</v>
      </c>
      <c r="H213" s="298"/>
      <c r="I213" s="298">
        <f>IFERROR(_xlfn.XLOOKUP($A213,Input_Raw!$A:$A,Input_Raw!$Q:$Q),"")</f>
        <v>0</v>
      </c>
      <c r="J213" s="298"/>
      <c r="K213" s="298">
        <f>IFERROR(_xlfn.XLOOKUP($A213,Input_Raw!$A:$A,Input_Raw!S:S),"")</f>
        <v>0</v>
      </c>
      <c r="L213" s="298">
        <f>IFERROR(_xlfn.XLOOKUP($A213,Input_Raw!$A:$A,Input_Raw!T:T),"")</f>
        <v>0</v>
      </c>
      <c r="M213" s="298">
        <f>IFERROR(_xlfn.XLOOKUP($A213,Input_Raw!$A:$A,Input_Raw!W:W),"")</f>
        <v>0</v>
      </c>
      <c r="N213" s="298">
        <f>IFERROR(_xlfn.XLOOKUP($A213,Input_Raw!$A:$A,Input_Raw!X:X),"")</f>
        <v>0</v>
      </c>
      <c r="O213" s="299" t="str">
        <f>IFERROR(1-(SUMIF(Plant_BD!$B:$B,$A213,Plant_BD!$AL:$AL)/($AA213+SUMIF(Plant_BD!$B:$B,$A213,Plant_BD!$AL:$AL))),"")</f>
        <v/>
      </c>
      <c r="P213" s="299"/>
      <c r="Q213" s="300"/>
      <c r="R213" s="299" t="str">
        <f>IFERROR(1-(SUMIF(Grid_BD!$B:$B,$A213,Grid_BD!$V:$V)/($AA213+SUMIF(Grid_BD!$B:$B,$A213,Grid_BD!$V:$V))),"")</f>
        <v/>
      </c>
      <c r="S213" s="295"/>
      <c r="T213" s="300"/>
      <c r="U213" s="301" t="str">
        <f t="shared" si="21"/>
        <v/>
      </c>
      <c r="V213" s="301" t="str">
        <f>IFERROR(_xlfn.XLOOKUP($A213,Input_Raw!$A:$A,Input_Raw!$AX:$AX),"")</f>
        <v/>
      </c>
      <c r="W213" s="302">
        <f t="shared" si="22"/>
        <v>0</v>
      </c>
      <c r="X213" s="294">
        <f>IFERROR(_xlfn.XLOOKUP($A213,Input_Raw!$A:$A,Input_Raw!$AA:$AA),"")</f>
        <v>0</v>
      </c>
      <c r="Y213" s="294">
        <f>IFERROR(_xlfn.XLOOKUP($A213,Input_Raw!$A:$A,Input_Raw!$AS:$AS),"")</f>
        <v>0</v>
      </c>
      <c r="Z213" s="294"/>
      <c r="AA213" s="294">
        <f>IFERROR(_xlfn.XLOOKUP($A213,Input_Raw!$A:$A,Input_Raw!$AT:$AT),"")</f>
        <v>0</v>
      </c>
      <c r="AB213" s="294">
        <f>IFERROR(_xlfn.XLOOKUP($A213,Input_Raw!$A:$A,Input_Raw!$AU:$AU),"")</f>
        <v>0</v>
      </c>
      <c r="AC213" s="303">
        <f>IFERROR(_xlfn.XLOOKUP($D213,'Modelling New'!$D:$D,'Modelling New'!P:P),"")</f>
        <v>5.7677419354838717</v>
      </c>
      <c r="AD213" s="294">
        <f>IFERROR(_xlfn.XLOOKUP($D213,'Modelling New'!$D:$D,'Modelling New'!T:T)*1000,"")</f>
        <v>551238.53953940247</v>
      </c>
      <c r="AE213" s="304">
        <f>IFERROR(_xlfn.XLOOKUP($D213,'Modelling New'!$D:$D,'Modelling New'!$O:$O),"")</f>
        <v>0.7079457587920075</v>
      </c>
      <c r="AF213" s="304">
        <f>IFERROR(_xlfn.XLOOKUP($D213,'Modelling New'!$D:$D,'Modelling New'!$W:$W),"")</f>
        <v>0.17013535170969213</v>
      </c>
      <c r="AG213" s="304">
        <f>IFERROR(_xlfn.XLOOKUP($D213,'Modelling New'!$D:$D,'Modelling New'!$AE:$AE),"")</f>
        <v>0.995</v>
      </c>
      <c r="AH213" s="304">
        <f>IFERROR(_xlfn.XLOOKUP($D213,'Modelling New'!$D:$D,'Modelling New'!$AF:$AF),"")</f>
        <v>0.995</v>
      </c>
      <c r="AI213" s="295"/>
      <c r="AJ213" s="295"/>
      <c r="AK213" s="295"/>
      <c r="AL213" s="295"/>
      <c r="AM213" s="295"/>
      <c r="AN213" s="305"/>
      <c r="AO213" s="302"/>
      <c r="AP213" s="302"/>
      <c r="AQ213" s="302"/>
      <c r="AR213" s="294">
        <f>_xlfn.XLOOKUP($D213,'Modelling New'!$D:$D,'Modelling New'!$N:$N)</f>
        <v>135</v>
      </c>
      <c r="AS213" s="294">
        <f t="shared" si="23"/>
        <v>0</v>
      </c>
    </row>
    <row r="214" spans="1:45">
      <c r="A214" s="293">
        <f t="shared" si="24"/>
        <v>45957</v>
      </c>
      <c r="B214" s="294">
        <f>YEAR(Daily_KPI[[#This Row],[Date]])+IF(MONTH(Daily_KPI[[#This Row],[Date]])&gt;=4,1,0)</f>
        <v>2026</v>
      </c>
      <c r="C214" s="295">
        <f>YEAR(Daily_KPI[[#This Row],[Date]])</f>
        <v>2025</v>
      </c>
      <c r="D214" s="296">
        <f>Daily_KPI[[#This Row],[Date]]-DAY(Daily_KPI[[#This Row],[Date]])+1</f>
        <v>45931</v>
      </c>
      <c r="E214" s="295">
        <f t="shared" si="20"/>
        <v>31</v>
      </c>
      <c r="F214" s="297">
        <f>IFERROR(_xlfn.XLOOKUP($A214,Input_Raw!$A:$A,Input_Raw!$AR:$AR),"")</f>
        <v>0</v>
      </c>
      <c r="G214" s="298">
        <f>IFERROR(_xlfn.XLOOKUP($A214,Input_Raw!$A:$A,Input_Raw!$R:$R),"")</f>
        <v>0</v>
      </c>
      <c r="H214" s="298"/>
      <c r="I214" s="298">
        <f>IFERROR(_xlfn.XLOOKUP($A214,Input_Raw!$A:$A,Input_Raw!$Q:$Q),"")</f>
        <v>0</v>
      </c>
      <c r="J214" s="298"/>
      <c r="K214" s="298">
        <f>IFERROR(_xlfn.XLOOKUP($A214,Input_Raw!$A:$A,Input_Raw!S:S),"")</f>
        <v>0</v>
      </c>
      <c r="L214" s="298">
        <f>IFERROR(_xlfn.XLOOKUP($A214,Input_Raw!$A:$A,Input_Raw!T:T),"")</f>
        <v>0</v>
      </c>
      <c r="M214" s="298">
        <f>IFERROR(_xlfn.XLOOKUP($A214,Input_Raw!$A:$A,Input_Raw!W:W),"")</f>
        <v>0</v>
      </c>
      <c r="N214" s="298">
        <f>IFERROR(_xlfn.XLOOKUP($A214,Input_Raw!$A:$A,Input_Raw!X:X),"")</f>
        <v>0</v>
      </c>
      <c r="O214" s="299" t="str">
        <f>IFERROR(1-(SUMIF(Plant_BD!$B:$B,$A214,Plant_BD!$AL:$AL)/($AA214+SUMIF(Plant_BD!$B:$B,$A214,Plant_BD!$AL:$AL))),"")</f>
        <v/>
      </c>
      <c r="P214" s="299"/>
      <c r="Q214" s="300"/>
      <c r="R214" s="299" t="str">
        <f>IFERROR(1-(SUMIF(Grid_BD!$B:$B,$A214,Grid_BD!$V:$V)/($AA214+SUMIF(Grid_BD!$B:$B,$A214,Grid_BD!$V:$V))),"")</f>
        <v/>
      </c>
      <c r="S214" s="295"/>
      <c r="T214" s="300"/>
      <c r="U214" s="301" t="str">
        <f t="shared" si="21"/>
        <v/>
      </c>
      <c r="V214" s="301" t="str">
        <f>IFERROR(_xlfn.XLOOKUP($A214,Input_Raw!$A:$A,Input_Raw!$AX:$AX),"")</f>
        <v/>
      </c>
      <c r="W214" s="302">
        <f t="shared" si="22"/>
        <v>0</v>
      </c>
      <c r="X214" s="294">
        <f>IFERROR(_xlfn.XLOOKUP($A214,Input_Raw!$A:$A,Input_Raw!$AA:$AA),"")</f>
        <v>0</v>
      </c>
      <c r="Y214" s="294">
        <f>IFERROR(_xlfn.XLOOKUP($A214,Input_Raw!$A:$A,Input_Raw!$AS:$AS),"")</f>
        <v>0</v>
      </c>
      <c r="Z214" s="294"/>
      <c r="AA214" s="294">
        <f>IFERROR(_xlfn.XLOOKUP($A214,Input_Raw!$A:$A,Input_Raw!$AT:$AT),"")</f>
        <v>0</v>
      </c>
      <c r="AB214" s="294">
        <f>IFERROR(_xlfn.XLOOKUP($A214,Input_Raw!$A:$A,Input_Raw!$AU:$AU),"")</f>
        <v>0</v>
      </c>
      <c r="AC214" s="303">
        <f>IFERROR(_xlfn.XLOOKUP($D214,'Modelling New'!$D:$D,'Modelling New'!P:P),"")</f>
        <v>5.7677419354838717</v>
      </c>
      <c r="AD214" s="294">
        <f>IFERROR(_xlfn.XLOOKUP($D214,'Modelling New'!$D:$D,'Modelling New'!T:T)*1000,"")</f>
        <v>551238.53953940247</v>
      </c>
      <c r="AE214" s="304">
        <f>IFERROR(_xlfn.XLOOKUP($D214,'Modelling New'!$D:$D,'Modelling New'!$O:$O),"")</f>
        <v>0.7079457587920075</v>
      </c>
      <c r="AF214" s="304">
        <f>IFERROR(_xlfn.XLOOKUP($D214,'Modelling New'!$D:$D,'Modelling New'!$W:$W),"")</f>
        <v>0.17013535170969213</v>
      </c>
      <c r="AG214" s="304">
        <f>IFERROR(_xlfn.XLOOKUP($D214,'Modelling New'!$D:$D,'Modelling New'!$AE:$AE),"")</f>
        <v>0.995</v>
      </c>
      <c r="AH214" s="304">
        <f>IFERROR(_xlfn.XLOOKUP($D214,'Modelling New'!$D:$D,'Modelling New'!$AF:$AF),"")</f>
        <v>0.995</v>
      </c>
      <c r="AI214" s="295"/>
      <c r="AJ214" s="295"/>
      <c r="AK214" s="295"/>
      <c r="AL214" s="295"/>
      <c r="AM214" s="295"/>
      <c r="AN214" s="305"/>
      <c r="AO214" s="302"/>
      <c r="AP214" s="302"/>
      <c r="AQ214" s="302"/>
      <c r="AR214" s="294">
        <f>_xlfn.XLOOKUP($D214,'Modelling New'!$D:$D,'Modelling New'!$N:$N)</f>
        <v>135</v>
      </c>
      <c r="AS214" s="294">
        <f t="shared" si="23"/>
        <v>0</v>
      </c>
    </row>
    <row r="215" spans="1:45">
      <c r="A215" s="293">
        <f t="shared" si="24"/>
        <v>45958</v>
      </c>
      <c r="B215" s="294">
        <f>YEAR(Daily_KPI[[#This Row],[Date]])+IF(MONTH(Daily_KPI[[#This Row],[Date]])&gt;=4,1,0)</f>
        <v>2026</v>
      </c>
      <c r="C215" s="295">
        <f>YEAR(Daily_KPI[[#This Row],[Date]])</f>
        <v>2025</v>
      </c>
      <c r="D215" s="296">
        <f>Daily_KPI[[#This Row],[Date]]-DAY(Daily_KPI[[#This Row],[Date]])+1</f>
        <v>45931</v>
      </c>
      <c r="E215" s="295">
        <f t="shared" si="20"/>
        <v>31</v>
      </c>
      <c r="F215" s="297">
        <f>IFERROR(_xlfn.XLOOKUP($A215,Input_Raw!$A:$A,Input_Raw!$AR:$AR),"")</f>
        <v>0</v>
      </c>
      <c r="G215" s="298">
        <f>IFERROR(_xlfn.XLOOKUP($A215,Input_Raw!$A:$A,Input_Raw!$R:$R),"")</f>
        <v>0</v>
      </c>
      <c r="H215" s="298"/>
      <c r="I215" s="298">
        <f>IFERROR(_xlfn.XLOOKUP($A215,Input_Raw!$A:$A,Input_Raw!$Q:$Q),"")</f>
        <v>0</v>
      </c>
      <c r="J215" s="298"/>
      <c r="K215" s="298">
        <f>IFERROR(_xlfn.XLOOKUP($A215,Input_Raw!$A:$A,Input_Raw!S:S),"")</f>
        <v>0</v>
      </c>
      <c r="L215" s="298">
        <f>IFERROR(_xlfn.XLOOKUP($A215,Input_Raw!$A:$A,Input_Raw!T:T),"")</f>
        <v>0</v>
      </c>
      <c r="M215" s="298">
        <f>IFERROR(_xlfn.XLOOKUP($A215,Input_Raw!$A:$A,Input_Raw!W:W),"")</f>
        <v>0</v>
      </c>
      <c r="N215" s="298">
        <f>IFERROR(_xlfn.XLOOKUP($A215,Input_Raw!$A:$A,Input_Raw!X:X),"")</f>
        <v>0</v>
      </c>
      <c r="O215" s="299" t="str">
        <f>IFERROR(1-(SUMIF(Plant_BD!$B:$B,$A215,Plant_BD!$AL:$AL)/($AA215+SUMIF(Plant_BD!$B:$B,$A215,Plant_BD!$AL:$AL))),"")</f>
        <v/>
      </c>
      <c r="P215" s="299"/>
      <c r="Q215" s="300"/>
      <c r="R215" s="299" t="str">
        <f>IFERROR(1-(SUMIF(Grid_BD!$B:$B,$A215,Grid_BD!$V:$V)/($AA215+SUMIF(Grid_BD!$B:$B,$A215,Grid_BD!$V:$V))),"")</f>
        <v/>
      </c>
      <c r="S215" s="295"/>
      <c r="T215" s="300"/>
      <c r="U215" s="301" t="str">
        <f t="shared" si="21"/>
        <v/>
      </c>
      <c r="V215" s="301" t="str">
        <f>IFERROR(_xlfn.XLOOKUP($A215,Input_Raw!$A:$A,Input_Raw!$AX:$AX),"")</f>
        <v/>
      </c>
      <c r="W215" s="302">
        <f t="shared" si="22"/>
        <v>0</v>
      </c>
      <c r="X215" s="294">
        <f>IFERROR(_xlfn.XLOOKUP($A215,Input_Raw!$A:$A,Input_Raw!$AA:$AA),"")</f>
        <v>0</v>
      </c>
      <c r="Y215" s="294">
        <f>IFERROR(_xlfn.XLOOKUP($A215,Input_Raw!$A:$A,Input_Raw!$AS:$AS),"")</f>
        <v>0</v>
      </c>
      <c r="Z215" s="294"/>
      <c r="AA215" s="294">
        <f>IFERROR(_xlfn.XLOOKUP($A215,Input_Raw!$A:$A,Input_Raw!$AT:$AT),"")</f>
        <v>0</v>
      </c>
      <c r="AB215" s="294">
        <f>IFERROR(_xlfn.XLOOKUP($A215,Input_Raw!$A:$A,Input_Raw!$AU:$AU),"")</f>
        <v>0</v>
      </c>
      <c r="AC215" s="303">
        <f>IFERROR(_xlfn.XLOOKUP($D215,'Modelling New'!$D:$D,'Modelling New'!P:P),"")</f>
        <v>5.7677419354838717</v>
      </c>
      <c r="AD215" s="294">
        <f>IFERROR(_xlfn.XLOOKUP($D215,'Modelling New'!$D:$D,'Modelling New'!T:T)*1000,"")</f>
        <v>551238.53953940247</v>
      </c>
      <c r="AE215" s="304">
        <f>IFERROR(_xlfn.XLOOKUP($D215,'Modelling New'!$D:$D,'Modelling New'!$O:$O),"")</f>
        <v>0.7079457587920075</v>
      </c>
      <c r="AF215" s="304">
        <f>IFERROR(_xlfn.XLOOKUP($D215,'Modelling New'!$D:$D,'Modelling New'!$W:$W),"")</f>
        <v>0.17013535170969213</v>
      </c>
      <c r="AG215" s="304">
        <f>IFERROR(_xlfn.XLOOKUP($D215,'Modelling New'!$D:$D,'Modelling New'!$AE:$AE),"")</f>
        <v>0.995</v>
      </c>
      <c r="AH215" s="304">
        <f>IFERROR(_xlfn.XLOOKUP($D215,'Modelling New'!$D:$D,'Modelling New'!$AF:$AF),"")</f>
        <v>0.995</v>
      </c>
      <c r="AI215" s="295"/>
      <c r="AJ215" s="295"/>
      <c r="AK215" s="295"/>
      <c r="AL215" s="295"/>
      <c r="AM215" s="295"/>
      <c r="AN215" s="305"/>
      <c r="AO215" s="302"/>
      <c r="AP215" s="302"/>
      <c r="AQ215" s="302"/>
      <c r="AR215" s="294">
        <f>_xlfn.XLOOKUP($D215,'Modelling New'!$D:$D,'Modelling New'!$N:$N)</f>
        <v>135</v>
      </c>
      <c r="AS215" s="294">
        <f t="shared" si="23"/>
        <v>0</v>
      </c>
    </row>
    <row r="216" spans="1:45">
      <c r="A216" s="293">
        <f t="shared" si="24"/>
        <v>45959</v>
      </c>
      <c r="B216" s="294">
        <f>YEAR(Daily_KPI[[#This Row],[Date]])+IF(MONTH(Daily_KPI[[#This Row],[Date]])&gt;=4,1,0)</f>
        <v>2026</v>
      </c>
      <c r="C216" s="295">
        <f>YEAR(Daily_KPI[[#This Row],[Date]])</f>
        <v>2025</v>
      </c>
      <c r="D216" s="296">
        <f>Daily_KPI[[#This Row],[Date]]-DAY(Daily_KPI[[#This Row],[Date]])+1</f>
        <v>45931</v>
      </c>
      <c r="E216" s="295">
        <f t="shared" si="20"/>
        <v>31</v>
      </c>
      <c r="F216" s="297">
        <f>IFERROR(_xlfn.XLOOKUP($A216,Input_Raw!$A:$A,Input_Raw!$AR:$AR),"")</f>
        <v>0</v>
      </c>
      <c r="G216" s="298">
        <f>IFERROR(_xlfn.XLOOKUP($A216,Input_Raw!$A:$A,Input_Raw!$R:$R),"")</f>
        <v>0</v>
      </c>
      <c r="H216" s="298"/>
      <c r="I216" s="298">
        <f>IFERROR(_xlfn.XLOOKUP($A216,Input_Raw!$A:$A,Input_Raw!$Q:$Q),"")</f>
        <v>0</v>
      </c>
      <c r="J216" s="298"/>
      <c r="K216" s="298">
        <f>IFERROR(_xlfn.XLOOKUP($A216,Input_Raw!$A:$A,Input_Raw!S:S),"")</f>
        <v>0</v>
      </c>
      <c r="L216" s="298">
        <f>IFERROR(_xlfn.XLOOKUP($A216,Input_Raw!$A:$A,Input_Raw!T:T),"")</f>
        <v>0</v>
      </c>
      <c r="M216" s="298">
        <f>IFERROR(_xlfn.XLOOKUP($A216,Input_Raw!$A:$A,Input_Raw!W:W),"")</f>
        <v>0</v>
      </c>
      <c r="N216" s="298">
        <f>IFERROR(_xlfn.XLOOKUP($A216,Input_Raw!$A:$A,Input_Raw!X:X),"")</f>
        <v>0</v>
      </c>
      <c r="O216" s="299" t="str">
        <f>IFERROR(1-(SUMIF(Plant_BD!$B:$B,$A216,Plant_BD!$AL:$AL)/($AA216+SUMIF(Plant_BD!$B:$B,$A216,Plant_BD!$AL:$AL))),"")</f>
        <v/>
      </c>
      <c r="P216" s="299"/>
      <c r="Q216" s="300"/>
      <c r="R216" s="299" t="str">
        <f>IFERROR(1-(SUMIF(Grid_BD!$B:$B,$A216,Grid_BD!$V:$V)/($AA216+SUMIF(Grid_BD!$B:$B,$A216,Grid_BD!$V:$V))),"")</f>
        <v/>
      </c>
      <c r="S216" s="295"/>
      <c r="T216" s="300"/>
      <c r="U216" s="301" t="str">
        <f t="shared" si="21"/>
        <v/>
      </c>
      <c r="V216" s="301" t="str">
        <f>IFERROR(_xlfn.XLOOKUP($A216,Input_Raw!$A:$A,Input_Raw!$AX:$AX),"")</f>
        <v/>
      </c>
      <c r="W216" s="302">
        <f t="shared" si="22"/>
        <v>0</v>
      </c>
      <c r="X216" s="294">
        <f>IFERROR(_xlfn.XLOOKUP($A216,Input_Raw!$A:$A,Input_Raw!$AA:$AA),"")</f>
        <v>0</v>
      </c>
      <c r="Y216" s="294">
        <f>IFERROR(_xlfn.XLOOKUP($A216,Input_Raw!$A:$A,Input_Raw!$AS:$AS),"")</f>
        <v>0</v>
      </c>
      <c r="Z216" s="294"/>
      <c r="AA216" s="294">
        <f>IFERROR(_xlfn.XLOOKUP($A216,Input_Raw!$A:$A,Input_Raw!$AT:$AT),"")</f>
        <v>0</v>
      </c>
      <c r="AB216" s="294">
        <f>IFERROR(_xlfn.XLOOKUP($A216,Input_Raw!$A:$A,Input_Raw!$AU:$AU),"")</f>
        <v>0</v>
      </c>
      <c r="AC216" s="303">
        <f>IFERROR(_xlfn.XLOOKUP($D216,'Modelling New'!$D:$D,'Modelling New'!P:P),"")</f>
        <v>5.7677419354838717</v>
      </c>
      <c r="AD216" s="294">
        <f>IFERROR(_xlfn.XLOOKUP($D216,'Modelling New'!$D:$D,'Modelling New'!T:T)*1000,"")</f>
        <v>551238.53953940247</v>
      </c>
      <c r="AE216" s="304">
        <f>IFERROR(_xlfn.XLOOKUP($D216,'Modelling New'!$D:$D,'Modelling New'!$O:$O),"")</f>
        <v>0.7079457587920075</v>
      </c>
      <c r="AF216" s="304">
        <f>IFERROR(_xlfn.XLOOKUP($D216,'Modelling New'!$D:$D,'Modelling New'!$W:$W),"")</f>
        <v>0.17013535170969213</v>
      </c>
      <c r="AG216" s="304">
        <f>IFERROR(_xlfn.XLOOKUP($D216,'Modelling New'!$D:$D,'Modelling New'!$AE:$AE),"")</f>
        <v>0.995</v>
      </c>
      <c r="AH216" s="304">
        <f>IFERROR(_xlfn.XLOOKUP($D216,'Modelling New'!$D:$D,'Modelling New'!$AF:$AF),"")</f>
        <v>0.995</v>
      </c>
      <c r="AI216" s="295"/>
      <c r="AJ216" s="295"/>
      <c r="AK216" s="295"/>
      <c r="AL216" s="295"/>
      <c r="AM216" s="295"/>
      <c r="AN216" s="305"/>
      <c r="AO216" s="302"/>
      <c r="AP216" s="302"/>
      <c r="AQ216" s="302"/>
      <c r="AR216" s="294">
        <f>_xlfn.XLOOKUP($D216,'Modelling New'!$D:$D,'Modelling New'!$N:$N)</f>
        <v>135</v>
      </c>
      <c r="AS216" s="294">
        <f t="shared" si="23"/>
        <v>0</v>
      </c>
    </row>
    <row r="217" spans="1:45">
      <c r="A217" s="293">
        <f t="shared" si="24"/>
        <v>45960</v>
      </c>
      <c r="B217" s="294">
        <f>YEAR(Daily_KPI[[#This Row],[Date]])+IF(MONTH(Daily_KPI[[#This Row],[Date]])&gt;=4,1,0)</f>
        <v>2026</v>
      </c>
      <c r="C217" s="295">
        <f>YEAR(Daily_KPI[[#This Row],[Date]])</f>
        <v>2025</v>
      </c>
      <c r="D217" s="296">
        <f>Daily_KPI[[#This Row],[Date]]-DAY(Daily_KPI[[#This Row],[Date]])+1</f>
        <v>45931</v>
      </c>
      <c r="E217" s="295">
        <f t="shared" si="20"/>
        <v>31</v>
      </c>
      <c r="F217" s="297">
        <f>IFERROR(_xlfn.XLOOKUP($A217,Input_Raw!$A:$A,Input_Raw!$AR:$AR),"")</f>
        <v>0</v>
      </c>
      <c r="G217" s="298">
        <f>IFERROR(_xlfn.XLOOKUP($A217,Input_Raw!$A:$A,Input_Raw!$R:$R),"")</f>
        <v>0</v>
      </c>
      <c r="H217" s="298"/>
      <c r="I217" s="298">
        <f>IFERROR(_xlfn.XLOOKUP($A217,Input_Raw!$A:$A,Input_Raw!$Q:$Q),"")</f>
        <v>0</v>
      </c>
      <c r="J217" s="298"/>
      <c r="K217" s="298">
        <f>IFERROR(_xlfn.XLOOKUP($A217,Input_Raw!$A:$A,Input_Raw!S:S),"")</f>
        <v>0</v>
      </c>
      <c r="L217" s="298">
        <f>IFERROR(_xlfn.XLOOKUP($A217,Input_Raw!$A:$A,Input_Raw!T:T),"")</f>
        <v>0</v>
      </c>
      <c r="M217" s="298">
        <f>IFERROR(_xlfn.XLOOKUP($A217,Input_Raw!$A:$A,Input_Raw!W:W),"")</f>
        <v>0</v>
      </c>
      <c r="N217" s="298">
        <f>IFERROR(_xlfn.XLOOKUP($A217,Input_Raw!$A:$A,Input_Raw!X:X),"")</f>
        <v>0</v>
      </c>
      <c r="O217" s="299" t="str">
        <f>IFERROR(1-(SUMIF(Plant_BD!$B:$B,$A217,Plant_BD!$AL:$AL)/($AA217+SUMIF(Plant_BD!$B:$B,$A217,Plant_BD!$AL:$AL))),"")</f>
        <v/>
      </c>
      <c r="P217" s="299"/>
      <c r="Q217" s="300"/>
      <c r="R217" s="299" t="str">
        <f>IFERROR(1-(SUMIF(Grid_BD!$B:$B,$A217,Grid_BD!$V:$V)/($AA217+SUMIF(Grid_BD!$B:$B,$A217,Grid_BD!$V:$V))),"")</f>
        <v/>
      </c>
      <c r="S217" s="295"/>
      <c r="T217" s="300"/>
      <c r="U217" s="301" t="str">
        <f t="shared" si="21"/>
        <v/>
      </c>
      <c r="V217" s="301" t="str">
        <f>IFERROR(_xlfn.XLOOKUP($A217,Input_Raw!$A:$A,Input_Raw!$AX:$AX),"")</f>
        <v/>
      </c>
      <c r="W217" s="302">
        <f t="shared" si="22"/>
        <v>0</v>
      </c>
      <c r="X217" s="294">
        <f>IFERROR(_xlfn.XLOOKUP($A217,Input_Raw!$A:$A,Input_Raw!$AA:$AA),"")</f>
        <v>0</v>
      </c>
      <c r="Y217" s="294">
        <f>IFERROR(_xlfn.XLOOKUP($A217,Input_Raw!$A:$A,Input_Raw!$AS:$AS),"")</f>
        <v>0</v>
      </c>
      <c r="Z217" s="294"/>
      <c r="AA217" s="294">
        <f>IFERROR(_xlfn.XLOOKUP($A217,Input_Raw!$A:$A,Input_Raw!$AT:$AT),"")</f>
        <v>0</v>
      </c>
      <c r="AB217" s="294">
        <f>IFERROR(_xlfn.XLOOKUP($A217,Input_Raw!$A:$A,Input_Raw!$AU:$AU),"")</f>
        <v>0</v>
      </c>
      <c r="AC217" s="303">
        <f>IFERROR(_xlfn.XLOOKUP($D217,'Modelling New'!$D:$D,'Modelling New'!P:P),"")</f>
        <v>5.7677419354838717</v>
      </c>
      <c r="AD217" s="294">
        <f>IFERROR(_xlfn.XLOOKUP($D217,'Modelling New'!$D:$D,'Modelling New'!T:T)*1000,"")</f>
        <v>551238.53953940247</v>
      </c>
      <c r="AE217" s="304">
        <f>IFERROR(_xlfn.XLOOKUP($D217,'Modelling New'!$D:$D,'Modelling New'!$O:$O),"")</f>
        <v>0.7079457587920075</v>
      </c>
      <c r="AF217" s="304">
        <f>IFERROR(_xlfn.XLOOKUP($D217,'Modelling New'!$D:$D,'Modelling New'!$W:$W),"")</f>
        <v>0.17013535170969213</v>
      </c>
      <c r="AG217" s="304">
        <f>IFERROR(_xlfn.XLOOKUP($D217,'Modelling New'!$D:$D,'Modelling New'!$AE:$AE),"")</f>
        <v>0.995</v>
      </c>
      <c r="AH217" s="304">
        <f>IFERROR(_xlfn.XLOOKUP($D217,'Modelling New'!$D:$D,'Modelling New'!$AF:$AF),"")</f>
        <v>0.995</v>
      </c>
      <c r="AI217" s="295"/>
      <c r="AJ217" s="295"/>
      <c r="AK217" s="295"/>
      <c r="AL217" s="295"/>
      <c r="AM217" s="295"/>
      <c r="AN217" s="305"/>
      <c r="AO217" s="302"/>
      <c r="AP217" s="302"/>
      <c r="AQ217" s="302"/>
      <c r="AR217" s="294">
        <f>_xlfn.XLOOKUP($D217,'Modelling New'!$D:$D,'Modelling New'!$N:$N)</f>
        <v>135</v>
      </c>
      <c r="AS217" s="294">
        <f t="shared" si="23"/>
        <v>0</v>
      </c>
    </row>
    <row r="218" spans="1:45">
      <c r="A218" s="293">
        <f t="shared" si="24"/>
        <v>45961</v>
      </c>
      <c r="B218" s="294">
        <f>YEAR(Daily_KPI[[#This Row],[Date]])+IF(MONTH(Daily_KPI[[#This Row],[Date]])&gt;=4,1,0)</f>
        <v>2026</v>
      </c>
      <c r="C218" s="295">
        <f>YEAR(Daily_KPI[[#This Row],[Date]])</f>
        <v>2025</v>
      </c>
      <c r="D218" s="296">
        <f>Daily_KPI[[#This Row],[Date]]-DAY(Daily_KPI[[#This Row],[Date]])+1</f>
        <v>45931</v>
      </c>
      <c r="E218" s="295">
        <f t="shared" si="20"/>
        <v>31</v>
      </c>
      <c r="F218" s="297">
        <f>IFERROR(_xlfn.XLOOKUP($A218,Input_Raw!$A:$A,Input_Raw!$AR:$AR),"")</f>
        <v>0</v>
      </c>
      <c r="G218" s="298">
        <f>IFERROR(_xlfn.XLOOKUP($A218,Input_Raw!$A:$A,Input_Raw!$R:$R),"")</f>
        <v>0</v>
      </c>
      <c r="H218" s="298"/>
      <c r="I218" s="298">
        <f>IFERROR(_xlfn.XLOOKUP($A218,Input_Raw!$A:$A,Input_Raw!$Q:$Q),"")</f>
        <v>0</v>
      </c>
      <c r="J218" s="298"/>
      <c r="K218" s="298">
        <f>IFERROR(_xlfn.XLOOKUP($A218,Input_Raw!$A:$A,Input_Raw!S:S),"")</f>
        <v>0</v>
      </c>
      <c r="L218" s="298">
        <f>IFERROR(_xlfn.XLOOKUP($A218,Input_Raw!$A:$A,Input_Raw!T:T),"")</f>
        <v>0</v>
      </c>
      <c r="M218" s="298">
        <f>IFERROR(_xlfn.XLOOKUP($A218,Input_Raw!$A:$A,Input_Raw!W:W),"")</f>
        <v>0</v>
      </c>
      <c r="N218" s="298">
        <f>IFERROR(_xlfn.XLOOKUP($A218,Input_Raw!$A:$A,Input_Raw!X:X),"")</f>
        <v>0</v>
      </c>
      <c r="O218" s="299" t="str">
        <f>IFERROR(1-(SUMIF(Plant_BD!$B:$B,$A218,Plant_BD!$AL:$AL)/($AA218+SUMIF(Plant_BD!$B:$B,$A218,Plant_BD!$AL:$AL))),"")</f>
        <v/>
      </c>
      <c r="P218" s="299"/>
      <c r="Q218" s="300"/>
      <c r="R218" s="299" t="str">
        <f>IFERROR(1-(SUMIF(Grid_BD!$B:$B,$A218,Grid_BD!$V:$V)/($AA218+SUMIF(Grid_BD!$B:$B,$A218,Grid_BD!$V:$V))),"")</f>
        <v/>
      </c>
      <c r="S218" s="295"/>
      <c r="T218" s="300"/>
      <c r="U218" s="301" t="str">
        <f t="shared" si="21"/>
        <v/>
      </c>
      <c r="V218" s="301" t="str">
        <f>IFERROR(_xlfn.XLOOKUP($A218,Input_Raw!$A:$A,Input_Raw!$AX:$AX),"")</f>
        <v/>
      </c>
      <c r="W218" s="302">
        <f t="shared" si="22"/>
        <v>0</v>
      </c>
      <c r="X218" s="294">
        <f>IFERROR(_xlfn.XLOOKUP($A218,Input_Raw!$A:$A,Input_Raw!$AA:$AA),"")</f>
        <v>0</v>
      </c>
      <c r="Y218" s="294">
        <f>IFERROR(_xlfn.XLOOKUP($A218,Input_Raw!$A:$A,Input_Raw!$AS:$AS),"")</f>
        <v>0</v>
      </c>
      <c r="Z218" s="294"/>
      <c r="AA218" s="294">
        <f>IFERROR(_xlfn.XLOOKUP($A218,Input_Raw!$A:$A,Input_Raw!$AT:$AT),"")</f>
        <v>0</v>
      </c>
      <c r="AB218" s="294">
        <f>IFERROR(_xlfn.XLOOKUP($A218,Input_Raw!$A:$A,Input_Raw!$AU:$AU),"")</f>
        <v>0</v>
      </c>
      <c r="AC218" s="303">
        <f>IFERROR(_xlfn.XLOOKUP($D218,'Modelling New'!$D:$D,'Modelling New'!P:P),"")</f>
        <v>5.7677419354838717</v>
      </c>
      <c r="AD218" s="294">
        <f>IFERROR(_xlfn.XLOOKUP($D218,'Modelling New'!$D:$D,'Modelling New'!T:T)*1000,"")</f>
        <v>551238.53953940247</v>
      </c>
      <c r="AE218" s="304">
        <f>IFERROR(_xlfn.XLOOKUP($D218,'Modelling New'!$D:$D,'Modelling New'!$O:$O),"")</f>
        <v>0.7079457587920075</v>
      </c>
      <c r="AF218" s="304">
        <f>IFERROR(_xlfn.XLOOKUP($D218,'Modelling New'!$D:$D,'Modelling New'!$W:$W),"")</f>
        <v>0.17013535170969213</v>
      </c>
      <c r="AG218" s="304">
        <f>IFERROR(_xlfn.XLOOKUP($D218,'Modelling New'!$D:$D,'Modelling New'!$AE:$AE),"")</f>
        <v>0.995</v>
      </c>
      <c r="AH218" s="304">
        <f>IFERROR(_xlfn.XLOOKUP($D218,'Modelling New'!$D:$D,'Modelling New'!$AF:$AF),"")</f>
        <v>0.995</v>
      </c>
      <c r="AI218" s="295"/>
      <c r="AJ218" s="295"/>
      <c r="AK218" s="295"/>
      <c r="AL218" s="295"/>
      <c r="AM218" s="295"/>
      <c r="AN218" s="305"/>
      <c r="AO218" s="302"/>
      <c r="AP218" s="302"/>
      <c r="AQ218" s="302"/>
      <c r="AR218" s="294">
        <f>_xlfn.XLOOKUP($D218,'Modelling New'!$D:$D,'Modelling New'!$N:$N)</f>
        <v>135</v>
      </c>
      <c r="AS218" s="294">
        <f t="shared" si="23"/>
        <v>0</v>
      </c>
    </row>
    <row r="219" spans="1:45">
      <c r="A219" s="293">
        <f t="shared" si="24"/>
        <v>45962</v>
      </c>
      <c r="B219" s="294">
        <f>YEAR(Daily_KPI[[#This Row],[Date]])+IF(MONTH(Daily_KPI[[#This Row],[Date]])&gt;=4,1,0)</f>
        <v>2026</v>
      </c>
      <c r="C219" s="295">
        <f>YEAR(Daily_KPI[[#This Row],[Date]])</f>
        <v>2025</v>
      </c>
      <c r="D219" s="296">
        <f>Daily_KPI[[#This Row],[Date]]-DAY(Daily_KPI[[#This Row],[Date]])+1</f>
        <v>45962</v>
      </c>
      <c r="E219" s="295">
        <f t="shared" si="20"/>
        <v>30</v>
      </c>
      <c r="F219" s="297">
        <f>IFERROR(_xlfn.XLOOKUP($A219,Input_Raw!$A:$A,Input_Raw!$AR:$AR),"")</f>
        <v>0</v>
      </c>
      <c r="G219" s="298">
        <f>IFERROR(_xlfn.XLOOKUP($A219,Input_Raw!$A:$A,Input_Raw!$R:$R),"")</f>
        <v>0</v>
      </c>
      <c r="H219" s="298"/>
      <c r="I219" s="298">
        <f>IFERROR(_xlfn.XLOOKUP($A219,Input_Raw!$A:$A,Input_Raw!$Q:$Q),"")</f>
        <v>0</v>
      </c>
      <c r="J219" s="298"/>
      <c r="K219" s="298">
        <f>IFERROR(_xlfn.XLOOKUP($A219,Input_Raw!$A:$A,Input_Raw!S:S),"")</f>
        <v>0</v>
      </c>
      <c r="L219" s="298">
        <f>IFERROR(_xlfn.XLOOKUP($A219,Input_Raw!$A:$A,Input_Raw!T:T),"")</f>
        <v>0</v>
      </c>
      <c r="M219" s="298">
        <f>IFERROR(_xlfn.XLOOKUP($A219,Input_Raw!$A:$A,Input_Raw!W:W),"")</f>
        <v>0</v>
      </c>
      <c r="N219" s="298">
        <f>IFERROR(_xlfn.XLOOKUP($A219,Input_Raw!$A:$A,Input_Raw!X:X),"")</f>
        <v>0</v>
      </c>
      <c r="O219" s="299" t="str">
        <f>IFERROR(1-(SUMIF(Plant_BD!$B:$B,$A219,Plant_BD!$AL:$AL)/($AA219+SUMIF(Plant_BD!$B:$B,$A219,Plant_BD!$AL:$AL))),"")</f>
        <v/>
      </c>
      <c r="P219" s="299"/>
      <c r="Q219" s="300"/>
      <c r="R219" s="299" t="str">
        <f>IFERROR(1-(SUMIF(Grid_BD!$B:$B,$A219,Grid_BD!$V:$V)/($AA219+SUMIF(Grid_BD!$B:$B,$A219,Grid_BD!$V:$V))),"")</f>
        <v/>
      </c>
      <c r="S219" s="295"/>
      <c r="T219" s="300"/>
      <c r="U219" s="301" t="str">
        <f t="shared" si="21"/>
        <v/>
      </c>
      <c r="V219" s="301" t="str">
        <f>IFERROR(_xlfn.XLOOKUP($A219,Input_Raw!$A:$A,Input_Raw!$AX:$AX),"")</f>
        <v/>
      </c>
      <c r="W219" s="302">
        <f t="shared" si="22"/>
        <v>0</v>
      </c>
      <c r="X219" s="294">
        <f>IFERROR(_xlfn.XLOOKUP($A219,Input_Raw!$A:$A,Input_Raw!$AA:$AA),"")</f>
        <v>0</v>
      </c>
      <c r="Y219" s="294">
        <f>IFERROR(_xlfn.XLOOKUP($A219,Input_Raw!$A:$A,Input_Raw!$AS:$AS),"")</f>
        <v>0</v>
      </c>
      <c r="Z219" s="294"/>
      <c r="AA219" s="294">
        <f>IFERROR(_xlfn.XLOOKUP($A219,Input_Raw!$A:$A,Input_Raw!$AT:$AT),"")</f>
        <v>0</v>
      </c>
      <c r="AB219" s="294">
        <f>IFERROR(_xlfn.XLOOKUP($A219,Input_Raw!$A:$A,Input_Raw!$AU:$AU),"")</f>
        <v>0</v>
      </c>
      <c r="AC219" s="303">
        <f>IFERROR(_xlfn.XLOOKUP($D219,'Modelling New'!$D:$D,'Modelling New'!P:P),"")</f>
        <v>5.6466666666666665</v>
      </c>
      <c r="AD219" s="294">
        <f>IFERROR(_xlfn.XLOOKUP($D219,'Modelling New'!$D:$D,'Modelling New'!T:T)*1000,"")</f>
        <v>573694.38484641397</v>
      </c>
      <c r="AE219" s="304">
        <f>IFERROR(_xlfn.XLOOKUP($D219,'Modelling New'!$D:$D,'Modelling New'!$O:$O),"")</f>
        <v>0.75258347743200049</v>
      </c>
      <c r="AF219" s="304">
        <f>IFERROR(_xlfn.XLOOKUP($D219,'Modelling New'!$D:$D,'Modelling New'!$W:$W),"")</f>
        <v>0.17706616816247345</v>
      </c>
      <c r="AG219" s="304">
        <f>IFERROR(_xlfn.XLOOKUP($D219,'Modelling New'!$D:$D,'Modelling New'!$AE:$AE),"")</f>
        <v>0.995</v>
      </c>
      <c r="AH219" s="304">
        <f>IFERROR(_xlfn.XLOOKUP($D219,'Modelling New'!$D:$D,'Modelling New'!$AF:$AF),"")</f>
        <v>0.995</v>
      </c>
      <c r="AI219" s="295"/>
      <c r="AJ219" s="295"/>
      <c r="AK219" s="295"/>
      <c r="AL219" s="295"/>
      <c r="AM219" s="295"/>
      <c r="AN219" s="305"/>
      <c r="AO219" s="302"/>
      <c r="AP219" s="302"/>
      <c r="AQ219" s="302"/>
      <c r="AR219" s="294">
        <f>_xlfn.XLOOKUP($D219,'Modelling New'!$D:$D,'Modelling New'!$N:$N)</f>
        <v>135</v>
      </c>
      <c r="AS219" s="294">
        <f t="shared" si="23"/>
        <v>0</v>
      </c>
    </row>
    <row r="220" spans="1:45">
      <c r="A220" s="293">
        <f t="shared" si="24"/>
        <v>45963</v>
      </c>
      <c r="B220" s="294">
        <f>YEAR(Daily_KPI[[#This Row],[Date]])+IF(MONTH(Daily_KPI[[#This Row],[Date]])&gt;=4,1,0)</f>
        <v>2026</v>
      </c>
      <c r="C220" s="295">
        <f>YEAR(Daily_KPI[[#This Row],[Date]])</f>
        <v>2025</v>
      </c>
      <c r="D220" s="296">
        <f>Daily_KPI[[#This Row],[Date]]-DAY(Daily_KPI[[#This Row],[Date]])+1</f>
        <v>45962</v>
      </c>
      <c r="E220" s="295">
        <f t="shared" si="20"/>
        <v>30</v>
      </c>
      <c r="F220" s="297">
        <f>IFERROR(_xlfn.XLOOKUP($A220,Input_Raw!$A:$A,Input_Raw!$AR:$AR),"")</f>
        <v>0</v>
      </c>
      <c r="G220" s="298">
        <f>IFERROR(_xlfn.XLOOKUP($A220,Input_Raw!$A:$A,Input_Raw!$R:$R),"")</f>
        <v>0</v>
      </c>
      <c r="H220" s="298"/>
      <c r="I220" s="298">
        <f>IFERROR(_xlfn.XLOOKUP($A220,Input_Raw!$A:$A,Input_Raw!$Q:$Q),"")</f>
        <v>0</v>
      </c>
      <c r="J220" s="298"/>
      <c r="K220" s="298">
        <f>IFERROR(_xlfn.XLOOKUP($A220,Input_Raw!$A:$A,Input_Raw!S:S),"")</f>
        <v>0</v>
      </c>
      <c r="L220" s="298">
        <f>IFERROR(_xlfn.XLOOKUP($A220,Input_Raw!$A:$A,Input_Raw!T:T),"")</f>
        <v>0</v>
      </c>
      <c r="M220" s="298">
        <f>IFERROR(_xlfn.XLOOKUP($A220,Input_Raw!$A:$A,Input_Raw!W:W),"")</f>
        <v>0</v>
      </c>
      <c r="N220" s="298">
        <f>IFERROR(_xlfn.XLOOKUP($A220,Input_Raw!$A:$A,Input_Raw!X:X),"")</f>
        <v>0</v>
      </c>
      <c r="O220" s="299" t="str">
        <f>IFERROR(1-(SUMIF(Plant_BD!$B:$B,$A220,Plant_BD!$AL:$AL)/($AA220+SUMIF(Plant_BD!$B:$B,$A220,Plant_BD!$AL:$AL))),"")</f>
        <v/>
      </c>
      <c r="P220" s="299"/>
      <c r="Q220" s="300"/>
      <c r="R220" s="299" t="str">
        <f>IFERROR(1-(SUMIF(Grid_BD!$B:$B,$A220,Grid_BD!$V:$V)/($AA220+SUMIF(Grid_BD!$B:$B,$A220,Grid_BD!$V:$V))),"")</f>
        <v/>
      </c>
      <c r="S220" s="295"/>
      <c r="T220" s="300"/>
      <c r="U220" s="301" t="str">
        <f t="shared" si="21"/>
        <v/>
      </c>
      <c r="V220" s="301" t="str">
        <f>IFERROR(_xlfn.XLOOKUP($A220,Input_Raw!$A:$A,Input_Raw!$AX:$AX),"")</f>
        <v/>
      </c>
      <c r="W220" s="302">
        <f t="shared" si="22"/>
        <v>0</v>
      </c>
      <c r="X220" s="294">
        <f>IFERROR(_xlfn.XLOOKUP($A220,Input_Raw!$A:$A,Input_Raw!$AA:$AA),"")</f>
        <v>0</v>
      </c>
      <c r="Y220" s="294">
        <f>IFERROR(_xlfn.XLOOKUP($A220,Input_Raw!$A:$A,Input_Raw!$AS:$AS),"")</f>
        <v>0</v>
      </c>
      <c r="Z220" s="294"/>
      <c r="AA220" s="294">
        <f>IFERROR(_xlfn.XLOOKUP($A220,Input_Raw!$A:$A,Input_Raw!$AT:$AT),"")</f>
        <v>0</v>
      </c>
      <c r="AB220" s="294">
        <f>IFERROR(_xlfn.XLOOKUP($A220,Input_Raw!$A:$A,Input_Raw!$AU:$AU),"")</f>
        <v>0</v>
      </c>
      <c r="AC220" s="303">
        <f>IFERROR(_xlfn.XLOOKUP($D220,'Modelling New'!$D:$D,'Modelling New'!P:P),"")</f>
        <v>5.6466666666666665</v>
      </c>
      <c r="AD220" s="294">
        <f>IFERROR(_xlfn.XLOOKUP($D220,'Modelling New'!$D:$D,'Modelling New'!T:T)*1000,"")</f>
        <v>573694.38484641397</v>
      </c>
      <c r="AE220" s="304">
        <f>IFERROR(_xlfn.XLOOKUP($D220,'Modelling New'!$D:$D,'Modelling New'!$O:$O),"")</f>
        <v>0.75258347743200049</v>
      </c>
      <c r="AF220" s="304">
        <f>IFERROR(_xlfn.XLOOKUP($D220,'Modelling New'!$D:$D,'Modelling New'!$W:$W),"")</f>
        <v>0.17706616816247345</v>
      </c>
      <c r="AG220" s="304">
        <f>IFERROR(_xlfn.XLOOKUP($D220,'Modelling New'!$D:$D,'Modelling New'!$AE:$AE),"")</f>
        <v>0.995</v>
      </c>
      <c r="AH220" s="304">
        <f>IFERROR(_xlfn.XLOOKUP($D220,'Modelling New'!$D:$D,'Modelling New'!$AF:$AF),"")</f>
        <v>0.995</v>
      </c>
      <c r="AI220" s="295"/>
      <c r="AJ220" s="295"/>
      <c r="AK220" s="295"/>
      <c r="AL220" s="295"/>
      <c r="AM220" s="295"/>
      <c r="AN220" s="305"/>
      <c r="AO220" s="302"/>
      <c r="AP220" s="302"/>
      <c r="AQ220" s="302"/>
      <c r="AR220" s="294">
        <f>_xlfn.XLOOKUP($D220,'Modelling New'!$D:$D,'Modelling New'!$N:$N)</f>
        <v>135</v>
      </c>
      <c r="AS220" s="294">
        <f t="shared" si="23"/>
        <v>0</v>
      </c>
    </row>
    <row r="221" spans="1:45">
      <c r="A221" s="293">
        <f t="shared" si="24"/>
        <v>45964</v>
      </c>
      <c r="B221" s="294">
        <f>YEAR(Daily_KPI[[#This Row],[Date]])+IF(MONTH(Daily_KPI[[#This Row],[Date]])&gt;=4,1,0)</f>
        <v>2026</v>
      </c>
      <c r="C221" s="295">
        <f>YEAR(Daily_KPI[[#This Row],[Date]])</f>
        <v>2025</v>
      </c>
      <c r="D221" s="296">
        <f>Daily_KPI[[#This Row],[Date]]-DAY(Daily_KPI[[#This Row],[Date]])+1</f>
        <v>45962</v>
      </c>
      <c r="E221" s="295">
        <f t="shared" si="20"/>
        <v>30</v>
      </c>
      <c r="F221" s="297">
        <f>IFERROR(_xlfn.XLOOKUP($A221,Input_Raw!$A:$A,Input_Raw!$AR:$AR),"")</f>
        <v>0</v>
      </c>
      <c r="G221" s="298">
        <f>IFERROR(_xlfn.XLOOKUP($A221,Input_Raw!$A:$A,Input_Raw!$R:$R),"")</f>
        <v>0</v>
      </c>
      <c r="H221" s="298"/>
      <c r="I221" s="298">
        <f>IFERROR(_xlfn.XLOOKUP($A221,Input_Raw!$A:$A,Input_Raw!$Q:$Q),"")</f>
        <v>0</v>
      </c>
      <c r="J221" s="298"/>
      <c r="K221" s="298">
        <f>IFERROR(_xlfn.XLOOKUP($A221,Input_Raw!$A:$A,Input_Raw!S:S),"")</f>
        <v>0</v>
      </c>
      <c r="L221" s="298">
        <f>IFERROR(_xlfn.XLOOKUP($A221,Input_Raw!$A:$A,Input_Raw!T:T),"")</f>
        <v>0</v>
      </c>
      <c r="M221" s="298">
        <f>IFERROR(_xlfn.XLOOKUP($A221,Input_Raw!$A:$A,Input_Raw!W:W),"")</f>
        <v>0</v>
      </c>
      <c r="N221" s="298">
        <f>IFERROR(_xlfn.XLOOKUP($A221,Input_Raw!$A:$A,Input_Raw!X:X),"")</f>
        <v>0</v>
      </c>
      <c r="O221" s="299" t="str">
        <f>IFERROR(1-(SUMIF(Plant_BD!$B:$B,$A221,Plant_BD!$AL:$AL)/($AA221+SUMIF(Plant_BD!$B:$B,$A221,Plant_BD!$AL:$AL))),"")</f>
        <v/>
      </c>
      <c r="P221" s="299"/>
      <c r="Q221" s="300"/>
      <c r="R221" s="299" t="str">
        <f>IFERROR(1-(SUMIF(Grid_BD!$B:$B,$A221,Grid_BD!$V:$V)/($AA221+SUMIF(Grid_BD!$B:$B,$A221,Grid_BD!$V:$V))),"")</f>
        <v/>
      </c>
      <c r="S221" s="295"/>
      <c r="T221" s="300"/>
      <c r="U221" s="301" t="str">
        <f t="shared" si="21"/>
        <v/>
      </c>
      <c r="V221" s="301" t="str">
        <f>IFERROR(_xlfn.XLOOKUP($A221,Input_Raw!$A:$A,Input_Raw!$AX:$AX),"")</f>
        <v/>
      </c>
      <c r="W221" s="302">
        <f t="shared" si="22"/>
        <v>0</v>
      </c>
      <c r="X221" s="294">
        <f>IFERROR(_xlfn.XLOOKUP($A221,Input_Raw!$A:$A,Input_Raw!$AA:$AA),"")</f>
        <v>0</v>
      </c>
      <c r="Y221" s="294">
        <f>IFERROR(_xlfn.XLOOKUP($A221,Input_Raw!$A:$A,Input_Raw!$AS:$AS),"")</f>
        <v>0</v>
      </c>
      <c r="Z221" s="294"/>
      <c r="AA221" s="294">
        <f>IFERROR(_xlfn.XLOOKUP($A221,Input_Raw!$A:$A,Input_Raw!$AT:$AT),"")</f>
        <v>0</v>
      </c>
      <c r="AB221" s="294">
        <f>IFERROR(_xlfn.XLOOKUP($A221,Input_Raw!$A:$A,Input_Raw!$AU:$AU),"")</f>
        <v>0</v>
      </c>
      <c r="AC221" s="303">
        <f>IFERROR(_xlfn.XLOOKUP($D221,'Modelling New'!$D:$D,'Modelling New'!P:P),"")</f>
        <v>5.6466666666666665</v>
      </c>
      <c r="AD221" s="294">
        <f>IFERROR(_xlfn.XLOOKUP($D221,'Modelling New'!$D:$D,'Modelling New'!T:T)*1000,"")</f>
        <v>573694.38484641397</v>
      </c>
      <c r="AE221" s="304">
        <f>IFERROR(_xlfn.XLOOKUP($D221,'Modelling New'!$D:$D,'Modelling New'!$O:$O),"")</f>
        <v>0.75258347743200049</v>
      </c>
      <c r="AF221" s="304">
        <f>IFERROR(_xlfn.XLOOKUP($D221,'Modelling New'!$D:$D,'Modelling New'!$W:$W),"")</f>
        <v>0.17706616816247345</v>
      </c>
      <c r="AG221" s="304">
        <f>IFERROR(_xlfn.XLOOKUP($D221,'Modelling New'!$D:$D,'Modelling New'!$AE:$AE),"")</f>
        <v>0.995</v>
      </c>
      <c r="AH221" s="304">
        <f>IFERROR(_xlfn.XLOOKUP($D221,'Modelling New'!$D:$D,'Modelling New'!$AF:$AF),"")</f>
        <v>0.995</v>
      </c>
      <c r="AI221" s="295"/>
      <c r="AJ221" s="295"/>
      <c r="AK221" s="295"/>
      <c r="AL221" s="295"/>
      <c r="AM221" s="295"/>
      <c r="AN221" s="305"/>
      <c r="AO221" s="302"/>
      <c r="AP221" s="302"/>
      <c r="AQ221" s="302"/>
      <c r="AR221" s="294">
        <f>_xlfn.XLOOKUP($D221,'Modelling New'!$D:$D,'Modelling New'!$N:$N)</f>
        <v>135</v>
      </c>
      <c r="AS221" s="294">
        <f t="shared" si="23"/>
        <v>0</v>
      </c>
    </row>
    <row r="222" spans="1:45">
      <c r="A222" s="293">
        <f t="shared" si="24"/>
        <v>45965</v>
      </c>
      <c r="B222" s="294">
        <f>YEAR(Daily_KPI[[#This Row],[Date]])+IF(MONTH(Daily_KPI[[#This Row],[Date]])&gt;=4,1,0)</f>
        <v>2026</v>
      </c>
      <c r="C222" s="295">
        <f>YEAR(Daily_KPI[[#This Row],[Date]])</f>
        <v>2025</v>
      </c>
      <c r="D222" s="296">
        <f>Daily_KPI[[#This Row],[Date]]-DAY(Daily_KPI[[#This Row],[Date]])+1</f>
        <v>45962</v>
      </c>
      <c r="E222" s="295">
        <f t="shared" si="20"/>
        <v>30</v>
      </c>
      <c r="F222" s="297">
        <f>IFERROR(_xlfn.XLOOKUP($A222,Input_Raw!$A:$A,Input_Raw!$AR:$AR),"")</f>
        <v>0</v>
      </c>
      <c r="G222" s="298">
        <f>IFERROR(_xlfn.XLOOKUP($A222,Input_Raw!$A:$A,Input_Raw!$R:$R),"")</f>
        <v>0</v>
      </c>
      <c r="H222" s="298"/>
      <c r="I222" s="298">
        <f>IFERROR(_xlfn.XLOOKUP($A222,Input_Raw!$A:$A,Input_Raw!$Q:$Q),"")</f>
        <v>0</v>
      </c>
      <c r="J222" s="298"/>
      <c r="K222" s="298">
        <f>IFERROR(_xlfn.XLOOKUP($A222,Input_Raw!$A:$A,Input_Raw!S:S),"")</f>
        <v>0</v>
      </c>
      <c r="L222" s="298">
        <f>IFERROR(_xlfn.XLOOKUP($A222,Input_Raw!$A:$A,Input_Raw!T:T),"")</f>
        <v>0</v>
      </c>
      <c r="M222" s="298">
        <f>IFERROR(_xlfn.XLOOKUP($A222,Input_Raw!$A:$A,Input_Raw!W:W),"")</f>
        <v>0</v>
      </c>
      <c r="N222" s="298">
        <f>IFERROR(_xlfn.XLOOKUP($A222,Input_Raw!$A:$A,Input_Raw!X:X),"")</f>
        <v>0</v>
      </c>
      <c r="O222" s="299" t="str">
        <f>IFERROR(1-(SUMIF(Plant_BD!$B:$B,$A222,Plant_BD!$AL:$AL)/($AA222+SUMIF(Plant_BD!$B:$B,$A222,Plant_BD!$AL:$AL))),"")</f>
        <v/>
      </c>
      <c r="P222" s="299"/>
      <c r="Q222" s="300"/>
      <c r="R222" s="299" t="str">
        <f>IFERROR(1-(SUMIF(Grid_BD!$B:$B,$A222,Grid_BD!$V:$V)/($AA222+SUMIF(Grid_BD!$B:$B,$A222,Grid_BD!$V:$V))),"")</f>
        <v/>
      </c>
      <c r="S222" s="295"/>
      <c r="T222" s="300"/>
      <c r="U222" s="301" t="str">
        <f t="shared" si="21"/>
        <v/>
      </c>
      <c r="V222" s="301" t="str">
        <f>IFERROR(_xlfn.XLOOKUP($A222,Input_Raw!$A:$A,Input_Raw!$AX:$AX),"")</f>
        <v/>
      </c>
      <c r="W222" s="302">
        <f t="shared" si="22"/>
        <v>0</v>
      </c>
      <c r="X222" s="294">
        <f>IFERROR(_xlfn.XLOOKUP($A222,Input_Raw!$A:$A,Input_Raw!$AA:$AA),"")</f>
        <v>0</v>
      </c>
      <c r="Y222" s="294">
        <f>IFERROR(_xlfn.XLOOKUP($A222,Input_Raw!$A:$A,Input_Raw!$AS:$AS),"")</f>
        <v>0</v>
      </c>
      <c r="Z222" s="294"/>
      <c r="AA222" s="294">
        <f>IFERROR(_xlfn.XLOOKUP($A222,Input_Raw!$A:$A,Input_Raw!$AT:$AT),"")</f>
        <v>0</v>
      </c>
      <c r="AB222" s="294">
        <f>IFERROR(_xlfn.XLOOKUP($A222,Input_Raw!$A:$A,Input_Raw!$AU:$AU),"")</f>
        <v>0</v>
      </c>
      <c r="AC222" s="303">
        <f>IFERROR(_xlfn.XLOOKUP($D222,'Modelling New'!$D:$D,'Modelling New'!P:P),"")</f>
        <v>5.6466666666666665</v>
      </c>
      <c r="AD222" s="294">
        <f>IFERROR(_xlfn.XLOOKUP($D222,'Modelling New'!$D:$D,'Modelling New'!T:T)*1000,"")</f>
        <v>573694.38484641397</v>
      </c>
      <c r="AE222" s="304">
        <f>IFERROR(_xlfn.XLOOKUP($D222,'Modelling New'!$D:$D,'Modelling New'!$O:$O),"")</f>
        <v>0.75258347743200049</v>
      </c>
      <c r="AF222" s="304">
        <f>IFERROR(_xlfn.XLOOKUP($D222,'Modelling New'!$D:$D,'Modelling New'!$W:$W),"")</f>
        <v>0.17706616816247345</v>
      </c>
      <c r="AG222" s="304">
        <f>IFERROR(_xlfn.XLOOKUP($D222,'Modelling New'!$D:$D,'Modelling New'!$AE:$AE),"")</f>
        <v>0.995</v>
      </c>
      <c r="AH222" s="304">
        <f>IFERROR(_xlfn.XLOOKUP($D222,'Modelling New'!$D:$D,'Modelling New'!$AF:$AF),"")</f>
        <v>0.995</v>
      </c>
      <c r="AI222" s="295"/>
      <c r="AJ222" s="295"/>
      <c r="AK222" s="295"/>
      <c r="AL222" s="295"/>
      <c r="AM222" s="295"/>
      <c r="AN222" s="305"/>
      <c r="AO222" s="302"/>
      <c r="AP222" s="302"/>
      <c r="AQ222" s="302"/>
      <c r="AR222" s="294">
        <f>_xlfn.XLOOKUP($D222,'Modelling New'!$D:$D,'Modelling New'!$N:$N)</f>
        <v>135</v>
      </c>
      <c r="AS222" s="294">
        <f t="shared" si="23"/>
        <v>0</v>
      </c>
    </row>
    <row r="223" spans="1:45">
      <c r="A223" s="293">
        <f t="shared" si="24"/>
        <v>45966</v>
      </c>
      <c r="B223" s="294">
        <f>YEAR(Daily_KPI[[#This Row],[Date]])+IF(MONTH(Daily_KPI[[#This Row],[Date]])&gt;=4,1,0)</f>
        <v>2026</v>
      </c>
      <c r="C223" s="295">
        <f>YEAR(Daily_KPI[[#This Row],[Date]])</f>
        <v>2025</v>
      </c>
      <c r="D223" s="296">
        <f>Daily_KPI[[#This Row],[Date]]-DAY(Daily_KPI[[#This Row],[Date]])+1</f>
        <v>45962</v>
      </c>
      <c r="E223" s="295">
        <f t="shared" si="20"/>
        <v>30</v>
      </c>
      <c r="F223" s="297">
        <f>IFERROR(_xlfn.XLOOKUP($A223,Input_Raw!$A:$A,Input_Raw!$AR:$AR),"")</f>
        <v>0</v>
      </c>
      <c r="G223" s="298">
        <f>IFERROR(_xlfn.XLOOKUP($A223,Input_Raw!$A:$A,Input_Raw!$R:$R),"")</f>
        <v>0</v>
      </c>
      <c r="H223" s="298"/>
      <c r="I223" s="298">
        <f>IFERROR(_xlfn.XLOOKUP($A223,Input_Raw!$A:$A,Input_Raw!$Q:$Q),"")</f>
        <v>0</v>
      </c>
      <c r="J223" s="298"/>
      <c r="K223" s="298">
        <f>IFERROR(_xlfn.XLOOKUP($A223,Input_Raw!$A:$A,Input_Raw!S:S),"")</f>
        <v>0</v>
      </c>
      <c r="L223" s="298">
        <f>IFERROR(_xlfn.XLOOKUP($A223,Input_Raw!$A:$A,Input_Raw!T:T),"")</f>
        <v>0</v>
      </c>
      <c r="M223" s="298">
        <f>IFERROR(_xlfn.XLOOKUP($A223,Input_Raw!$A:$A,Input_Raw!W:W),"")</f>
        <v>0</v>
      </c>
      <c r="N223" s="298">
        <f>IFERROR(_xlfn.XLOOKUP($A223,Input_Raw!$A:$A,Input_Raw!X:X),"")</f>
        <v>0</v>
      </c>
      <c r="O223" s="299" t="str">
        <f>IFERROR(1-(SUMIF(Plant_BD!$B:$B,$A223,Plant_BD!$AL:$AL)/($AA223+SUMIF(Plant_BD!$B:$B,$A223,Plant_BD!$AL:$AL))),"")</f>
        <v/>
      </c>
      <c r="P223" s="299"/>
      <c r="Q223" s="300"/>
      <c r="R223" s="299" t="str">
        <f>IFERROR(1-(SUMIF(Grid_BD!$B:$B,$A223,Grid_BD!$V:$V)/($AA223+SUMIF(Grid_BD!$B:$B,$A223,Grid_BD!$V:$V))),"")</f>
        <v/>
      </c>
      <c r="S223" s="295"/>
      <c r="T223" s="300"/>
      <c r="U223" s="301" t="str">
        <f t="shared" si="21"/>
        <v/>
      </c>
      <c r="V223" s="301" t="str">
        <f>IFERROR(_xlfn.XLOOKUP($A223,Input_Raw!$A:$A,Input_Raw!$AX:$AX),"")</f>
        <v/>
      </c>
      <c r="W223" s="302">
        <f t="shared" si="22"/>
        <v>0</v>
      </c>
      <c r="X223" s="294">
        <f>IFERROR(_xlfn.XLOOKUP($A223,Input_Raw!$A:$A,Input_Raw!$AA:$AA),"")</f>
        <v>0</v>
      </c>
      <c r="Y223" s="294">
        <f>IFERROR(_xlfn.XLOOKUP($A223,Input_Raw!$A:$A,Input_Raw!$AS:$AS),"")</f>
        <v>0</v>
      </c>
      <c r="Z223" s="294"/>
      <c r="AA223" s="294">
        <f>IFERROR(_xlfn.XLOOKUP($A223,Input_Raw!$A:$A,Input_Raw!$AT:$AT),"")</f>
        <v>0</v>
      </c>
      <c r="AB223" s="294">
        <f>IFERROR(_xlfn.XLOOKUP($A223,Input_Raw!$A:$A,Input_Raw!$AU:$AU),"")</f>
        <v>0</v>
      </c>
      <c r="AC223" s="303">
        <f>IFERROR(_xlfn.XLOOKUP($D223,'Modelling New'!$D:$D,'Modelling New'!P:P),"")</f>
        <v>5.6466666666666665</v>
      </c>
      <c r="AD223" s="294">
        <f>IFERROR(_xlfn.XLOOKUP($D223,'Modelling New'!$D:$D,'Modelling New'!T:T)*1000,"")</f>
        <v>573694.38484641397</v>
      </c>
      <c r="AE223" s="304">
        <f>IFERROR(_xlfn.XLOOKUP($D223,'Modelling New'!$D:$D,'Modelling New'!$O:$O),"")</f>
        <v>0.75258347743200049</v>
      </c>
      <c r="AF223" s="304">
        <f>IFERROR(_xlfn.XLOOKUP($D223,'Modelling New'!$D:$D,'Modelling New'!$W:$W),"")</f>
        <v>0.17706616816247345</v>
      </c>
      <c r="AG223" s="304">
        <f>IFERROR(_xlfn.XLOOKUP($D223,'Modelling New'!$D:$D,'Modelling New'!$AE:$AE),"")</f>
        <v>0.995</v>
      </c>
      <c r="AH223" s="304">
        <f>IFERROR(_xlfn.XLOOKUP($D223,'Modelling New'!$D:$D,'Modelling New'!$AF:$AF),"")</f>
        <v>0.995</v>
      </c>
      <c r="AI223" s="295"/>
      <c r="AJ223" s="295"/>
      <c r="AK223" s="295"/>
      <c r="AL223" s="295"/>
      <c r="AM223" s="295"/>
      <c r="AN223" s="305"/>
      <c r="AO223" s="302"/>
      <c r="AP223" s="302"/>
      <c r="AQ223" s="302"/>
      <c r="AR223" s="294">
        <f>_xlfn.XLOOKUP($D223,'Modelling New'!$D:$D,'Modelling New'!$N:$N)</f>
        <v>135</v>
      </c>
      <c r="AS223" s="294">
        <f t="shared" si="23"/>
        <v>0</v>
      </c>
    </row>
    <row r="224" spans="1:45">
      <c r="A224" s="293">
        <f t="shared" si="24"/>
        <v>45967</v>
      </c>
      <c r="B224" s="294">
        <f>YEAR(Daily_KPI[[#This Row],[Date]])+IF(MONTH(Daily_KPI[[#This Row],[Date]])&gt;=4,1,0)</f>
        <v>2026</v>
      </c>
      <c r="C224" s="295">
        <f>YEAR(Daily_KPI[[#This Row],[Date]])</f>
        <v>2025</v>
      </c>
      <c r="D224" s="296">
        <f>Daily_KPI[[#This Row],[Date]]-DAY(Daily_KPI[[#This Row],[Date]])+1</f>
        <v>45962</v>
      </c>
      <c r="E224" s="295">
        <f t="shared" si="20"/>
        <v>30</v>
      </c>
      <c r="F224" s="297">
        <f>IFERROR(_xlfn.XLOOKUP($A224,Input_Raw!$A:$A,Input_Raw!$AR:$AR),"")</f>
        <v>0</v>
      </c>
      <c r="G224" s="298">
        <f>IFERROR(_xlfn.XLOOKUP($A224,Input_Raw!$A:$A,Input_Raw!$R:$R),"")</f>
        <v>0</v>
      </c>
      <c r="H224" s="298"/>
      <c r="I224" s="298">
        <f>IFERROR(_xlfn.XLOOKUP($A224,Input_Raw!$A:$A,Input_Raw!$Q:$Q),"")</f>
        <v>0</v>
      </c>
      <c r="J224" s="298"/>
      <c r="K224" s="298">
        <f>IFERROR(_xlfn.XLOOKUP($A224,Input_Raw!$A:$A,Input_Raw!S:S),"")</f>
        <v>0</v>
      </c>
      <c r="L224" s="298">
        <f>IFERROR(_xlfn.XLOOKUP($A224,Input_Raw!$A:$A,Input_Raw!T:T),"")</f>
        <v>0</v>
      </c>
      <c r="M224" s="298">
        <f>IFERROR(_xlfn.XLOOKUP($A224,Input_Raw!$A:$A,Input_Raw!W:W),"")</f>
        <v>0</v>
      </c>
      <c r="N224" s="298">
        <f>IFERROR(_xlfn.XLOOKUP($A224,Input_Raw!$A:$A,Input_Raw!X:X),"")</f>
        <v>0</v>
      </c>
      <c r="O224" s="299" t="str">
        <f>IFERROR(1-(SUMIF(Plant_BD!$B:$B,$A224,Plant_BD!$AL:$AL)/($AA224+SUMIF(Plant_BD!$B:$B,$A224,Plant_BD!$AL:$AL))),"")</f>
        <v/>
      </c>
      <c r="P224" s="299"/>
      <c r="Q224" s="300"/>
      <c r="R224" s="299" t="str">
        <f>IFERROR(1-(SUMIF(Grid_BD!$B:$B,$A224,Grid_BD!$V:$V)/($AA224+SUMIF(Grid_BD!$B:$B,$A224,Grid_BD!$V:$V))),"")</f>
        <v/>
      </c>
      <c r="S224" s="295"/>
      <c r="T224" s="300"/>
      <c r="U224" s="301" t="str">
        <f t="shared" si="21"/>
        <v/>
      </c>
      <c r="V224" s="301" t="str">
        <f>IFERROR(_xlfn.XLOOKUP($A224,Input_Raw!$A:$A,Input_Raw!$AX:$AX),"")</f>
        <v/>
      </c>
      <c r="W224" s="302">
        <f t="shared" si="22"/>
        <v>0</v>
      </c>
      <c r="X224" s="294">
        <f>IFERROR(_xlfn.XLOOKUP($A224,Input_Raw!$A:$A,Input_Raw!$AA:$AA),"")</f>
        <v>0</v>
      </c>
      <c r="Y224" s="294">
        <f>IFERROR(_xlfn.XLOOKUP($A224,Input_Raw!$A:$A,Input_Raw!$AS:$AS),"")</f>
        <v>0</v>
      </c>
      <c r="Z224" s="294"/>
      <c r="AA224" s="294">
        <f>IFERROR(_xlfn.XLOOKUP($A224,Input_Raw!$A:$A,Input_Raw!$AT:$AT),"")</f>
        <v>0</v>
      </c>
      <c r="AB224" s="294">
        <f>IFERROR(_xlfn.XLOOKUP($A224,Input_Raw!$A:$A,Input_Raw!$AU:$AU),"")</f>
        <v>0</v>
      </c>
      <c r="AC224" s="303">
        <f>IFERROR(_xlfn.XLOOKUP($D224,'Modelling New'!$D:$D,'Modelling New'!P:P),"")</f>
        <v>5.6466666666666665</v>
      </c>
      <c r="AD224" s="294">
        <f>IFERROR(_xlfn.XLOOKUP($D224,'Modelling New'!$D:$D,'Modelling New'!T:T)*1000,"")</f>
        <v>573694.38484641397</v>
      </c>
      <c r="AE224" s="304">
        <f>IFERROR(_xlfn.XLOOKUP($D224,'Modelling New'!$D:$D,'Modelling New'!$O:$O),"")</f>
        <v>0.75258347743200049</v>
      </c>
      <c r="AF224" s="304">
        <f>IFERROR(_xlfn.XLOOKUP($D224,'Modelling New'!$D:$D,'Modelling New'!$W:$W),"")</f>
        <v>0.17706616816247345</v>
      </c>
      <c r="AG224" s="304">
        <f>IFERROR(_xlfn.XLOOKUP($D224,'Modelling New'!$D:$D,'Modelling New'!$AE:$AE),"")</f>
        <v>0.995</v>
      </c>
      <c r="AH224" s="304">
        <f>IFERROR(_xlfn.XLOOKUP($D224,'Modelling New'!$D:$D,'Modelling New'!$AF:$AF),"")</f>
        <v>0.995</v>
      </c>
      <c r="AI224" s="295"/>
      <c r="AJ224" s="295"/>
      <c r="AK224" s="295"/>
      <c r="AL224" s="295"/>
      <c r="AM224" s="295"/>
      <c r="AN224" s="305"/>
      <c r="AO224" s="302"/>
      <c r="AP224" s="302"/>
      <c r="AQ224" s="302"/>
      <c r="AR224" s="294">
        <f>_xlfn.XLOOKUP($D224,'Modelling New'!$D:$D,'Modelling New'!$N:$N)</f>
        <v>135</v>
      </c>
      <c r="AS224" s="294">
        <f t="shared" si="23"/>
        <v>0</v>
      </c>
    </row>
    <row r="225" spans="1:45">
      <c r="A225" s="293">
        <f t="shared" si="24"/>
        <v>45968</v>
      </c>
      <c r="B225" s="294">
        <f>YEAR(Daily_KPI[[#This Row],[Date]])+IF(MONTH(Daily_KPI[[#This Row],[Date]])&gt;=4,1,0)</f>
        <v>2026</v>
      </c>
      <c r="C225" s="295">
        <f>YEAR(Daily_KPI[[#This Row],[Date]])</f>
        <v>2025</v>
      </c>
      <c r="D225" s="296">
        <f>Daily_KPI[[#This Row],[Date]]-DAY(Daily_KPI[[#This Row],[Date]])+1</f>
        <v>45962</v>
      </c>
      <c r="E225" s="295">
        <f t="shared" si="20"/>
        <v>30</v>
      </c>
      <c r="F225" s="297">
        <f>IFERROR(_xlfn.XLOOKUP($A225,Input_Raw!$A:$A,Input_Raw!$AR:$AR),"")</f>
        <v>0</v>
      </c>
      <c r="G225" s="298">
        <f>IFERROR(_xlfn.XLOOKUP($A225,Input_Raw!$A:$A,Input_Raw!$R:$R),"")</f>
        <v>0</v>
      </c>
      <c r="H225" s="298"/>
      <c r="I225" s="298">
        <f>IFERROR(_xlfn.XLOOKUP($A225,Input_Raw!$A:$A,Input_Raw!$Q:$Q),"")</f>
        <v>0</v>
      </c>
      <c r="J225" s="298"/>
      <c r="K225" s="298">
        <f>IFERROR(_xlfn.XLOOKUP($A225,Input_Raw!$A:$A,Input_Raw!S:S),"")</f>
        <v>0</v>
      </c>
      <c r="L225" s="298">
        <f>IFERROR(_xlfn.XLOOKUP($A225,Input_Raw!$A:$A,Input_Raw!T:T),"")</f>
        <v>0</v>
      </c>
      <c r="M225" s="298">
        <f>IFERROR(_xlfn.XLOOKUP($A225,Input_Raw!$A:$A,Input_Raw!W:W),"")</f>
        <v>0</v>
      </c>
      <c r="N225" s="298">
        <f>IFERROR(_xlfn.XLOOKUP($A225,Input_Raw!$A:$A,Input_Raw!X:X),"")</f>
        <v>0</v>
      </c>
      <c r="O225" s="299" t="str">
        <f>IFERROR(1-(SUMIF(Plant_BD!$B:$B,$A225,Plant_BD!$AL:$AL)/($AA225+SUMIF(Plant_BD!$B:$B,$A225,Plant_BD!$AL:$AL))),"")</f>
        <v/>
      </c>
      <c r="P225" s="299"/>
      <c r="Q225" s="300"/>
      <c r="R225" s="299" t="str">
        <f>IFERROR(1-(SUMIF(Grid_BD!$B:$B,$A225,Grid_BD!$V:$V)/($AA225+SUMIF(Grid_BD!$B:$B,$A225,Grid_BD!$V:$V))),"")</f>
        <v/>
      </c>
      <c r="S225" s="295"/>
      <c r="T225" s="300"/>
      <c r="U225" s="301" t="str">
        <f t="shared" si="21"/>
        <v/>
      </c>
      <c r="V225" s="301" t="str">
        <f>IFERROR(_xlfn.XLOOKUP($A225,Input_Raw!$A:$A,Input_Raw!$AX:$AX),"")</f>
        <v/>
      </c>
      <c r="W225" s="302">
        <f t="shared" si="22"/>
        <v>0</v>
      </c>
      <c r="X225" s="294">
        <f>IFERROR(_xlfn.XLOOKUP($A225,Input_Raw!$A:$A,Input_Raw!$AA:$AA),"")</f>
        <v>0</v>
      </c>
      <c r="Y225" s="294">
        <f>IFERROR(_xlfn.XLOOKUP($A225,Input_Raw!$A:$A,Input_Raw!$AS:$AS),"")</f>
        <v>0</v>
      </c>
      <c r="Z225" s="294"/>
      <c r="AA225" s="294">
        <f>IFERROR(_xlfn.XLOOKUP($A225,Input_Raw!$A:$A,Input_Raw!$AT:$AT),"")</f>
        <v>0</v>
      </c>
      <c r="AB225" s="294">
        <f>IFERROR(_xlfn.XLOOKUP($A225,Input_Raw!$A:$A,Input_Raw!$AU:$AU),"")</f>
        <v>0</v>
      </c>
      <c r="AC225" s="303">
        <f>IFERROR(_xlfn.XLOOKUP($D225,'Modelling New'!$D:$D,'Modelling New'!P:P),"")</f>
        <v>5.6466666666666665</v>
      </c>
      <c r="AD225" s="294">
        <f>IFERROR(_xlfn.XLOOKUP($D225,'Modelling New'!$D:$D,'Modelling New'!T:T)*1000,"")</f>
        <v>573694.38484641397</v>
      </c>
      <c r="AE225" s="304">
        <f>IFERROR(_xlfn.XLOOKUP($D225,'Modelling New'!$D:$D,'Modelling New'!$O:$O),"")</f>
        <v>0.75258347743200049</v>
      </c>
      <c r="AF225" s="304">
        <f>IFERROR(_xlfn.XLOOKUP($D225,'Modelling New'!$D:$D,'Modelling New'!$W:$W),"")</f>
        <v>0.17706616816247345</v>
      </c>
      <c r="AG225" s="304">
        <f>IFERROR(_xlfn.XLOOKUP($D225,'Modelling New'!$D:$D,'Modelling New'!$AE:$AE),"")</f>
        <v>0.995</v>
      </c>
      <c r="AH225" s="304">
        <f>IFERROR(_xlfn.XLOOKUP($D225,'Modelling New'!$D:$D,'Modelling New'!$AF:$AF),"")</f>
        <v>0.995</v>
      </c>
      <c r="AI225" s="295"/>
      <c r="AJ225" s="295"/>
      <c r="AK225" s="295"/>
      <c r="AL225" s="295"/>
      <c r="AM225" s="295"/>
      <c r="AN225" s="305"/>
      <c r="AO225" s="302"/>
      <c r="AP225" s="302"/>
      <c r="AQ225" s="302"/>
      <c r="AR225" s="294">
        <f>_xlfn.XLOOKUP($D225,'Modelling New'!$D:$D,'Modelling New'!$N:$N)</f>
        <v>135</v>
      </c>
      <c r="AS225" s="294">
        <f t="shared" si="23"/>
        <v>0</v>
      </c>
    </row>
    <row r="226" spans="1:45">
      <c r="A226" s="293">
        <f t="shared" si="24"/>
        <v>45969</v>
      </c>
      <c r="B226" s="294">
        <f>YEAR(Daily_KPI[[#This Row],[Date]])+IF(MONTH(Daily_KPI[[#This Row],[Date]])&gt;=4,1,0)</f>
        <v>2026</v>
      </c>
      <c r="C226" s="295">
        <f>YEAR(Daily_KPI[[#This Row],[Date]])</f>
        <v>2025</v>
      </c>
      <c r="D226" s="296">
        <f>Daily_KPI[[#This Row],[Date]]-DAY(Daily_KPI[[#This Row],[Date]])+1</f>
        <v>45962</v>
      </c>
      <c r="E226" s="295">
        <f t="shared" si="20"/>
        <v>30</v>
      </c>
      <c r="F226" s="297">
        <f>IFERROR(_xlfn.XLOOKUP($A226,Input_Raw!$A:$A,Input_Raw!$AR:$AR),"")</f>
        <v>0</v>
      </c>
      <c r="G226" s="298">
        <f>IFERROR(_xlfn.XLOOKUP($A226,Input_Raw!$A:$A,Input_Raw!$R:$R),"")</f>
        <v>0</v>
      </c>
      <c r="H226" s="298"/>
      <c r="I226" s="298">
        <f>IFERROR(_xlfn.XLOOKUP($A226,Input_Raw!$A:$A,Input_Raw!$Q:$Q),"")</f>
        <v>0</v>
      </c>
      <c r="J226" s="298"/>
      <c r="K226" s="298">
        <f>IFERROR(_xlfn.XLOOKUP($A226,Input_Raw!$A:$A,Input_Raw!S:S),"")</f>
        <v>0</v>
      </c>
      <c r="L226" s="298">
        <f>IFERROR(_xlfn.XLOOKUP($A226,Input_Raw!$A:$A,Input_Raw!T:T),"")</f>
        <v>0</v>
      </c>
      <c r="M226" s="298">
        <f>IFERROR(_xlfn.XLOOKUP($A226,Input_Raw!$A:$A,Input_Raw!W:W),"")</f>
        <v>0</v>
      </c>
      <c r="N226" s="298">
        <f>IFERROR(_xlfn.XLOOKUP($A226,Input_Raw!$A:$A,Input_Raw!X:X),"")</f>
        <v>0</v>
      </c>
      <c r="O226" s="299" t="str">
        <f>IFERROR(1-(SUMIF(Plant_BD!$B:$B,$A226,Plant_BD!$AL:$AL)/($AA226+SUMIF(Plant_BD!$B:$B,$A226,Plant_BD!$AL:$AL))),"")</f>
        <v/>
      </c>
      <c r="P226" s="299"/>
      <c r="Q226" s="300"/>
      <c r="R226" s="299" t="str">
        <f>IFERROR(1-(SUMIF(Grid_BD!$B:$B,$A226,Grid_BD!$V:$V)/($AA226+SUMIF(Grid_BD!$B:$B,$A226,Grid_BD!$V:$V))),"")</f>
        <v/>
      </c>
      <c r="S226" s="295"/>
      <c r="T226" s="300"/>
      <c r="U226" s="301" t="str">
        <f t="shared" si="21"/>
        <v/>
      </c>
      <c r="V226" s="301" t="str">
        <f>IFERROR(_xlfn.XLOOKUP($A226,Input_Raw!$A:$A,Input_Raw!$AX:$AX),"")</f>
        <v/>
      </c>
      <c r="W226" s="302">
        <f t="shared" si="22"/>
        <v>0</v>
      </c>
      <c r="X226" s="294">
        <f>IFERROR(_xlfn.XLOOKUP($A226,Input_Raw!$A:$A,Input_Raw!$AA:$AA),"")</f>
        <v>0</v>
      </c>
      <c r="Y226" s="294">
        <f>IFERROR(_xlfn.XLOOKUP($A226,Input_Raw!$A:$A,Input_Raw!$AS:$AS),"")</f>
        <v>0</v>
      </c>
      <c r="Z226" s="294"/>
      <c r="AA226" s="294">
        <f>IFERROR(_xlfn.XLOOKUP($A226,Input_Raw!$A:$A,Input_Raw!$AT:$AT),"")</f>
        <v>0</v>
      </c>
      <c r="AB226" s="294">
        <f>IFERROR(_xlfn.XLOOKUP($A226,Input_Raw!$A:$A,Input_Raw!$AU:$AU),"")</f>
        <v>0</v>
      </c>
      <c r="AC226" s="303">
        <f>IFERROR(_xlfn.XLOOKUP($D226,'Modelling New'!$D:$D,'Modelling New'!P:P),"")</f>
        <v>5.6466666666666665</v>
      </c>
      <c r="AD226" s="294">
        <f>IFERROR(_xlfn.XLOOKUP($D226,'Modelling New'!$D:$D,'Modelling New'!T:T)*1000,"")</f>
        <v>573694.38484641397</v>
      </c>
      <c r="AE226" s="304">
        <f>IFERROR(_xlfn.XLOOKUP($D226,'Modelling New'!$D:$D,'Modelling New'!$O:$O),"")</f>
        <v>0.75258347743200049</v>
      </c>
      <c r="AF226" s="304">
        <f>IFERROR(_xlfn.XLOOKUP($D226,'Modelling New'!$D:$D,'Modelling New'!$W:$W),"")</f>
        <v>0.17706616816247345</v>
      </c>
      <c r="AG226" s="304">
        <f>IFERROR(_xlfn.XLOOKUP($D226,'Modelling New'!$D:$D,'Modelling New'!$AE:$AE),"")</f>
        <v>0.995</v>
      </c>
      <c r="AH226" s="304">
        <f>IFERROR(_xlfn.XLOOKUP($D226,'Modelling New'!$D:$D,'Modelling New'!$AF:$AF),"")</f>
        <v>0.995</v>
      </c>
      <c r="AI226" s="295"/>
      <c r="AJ226" s="295"/>
      <c r="AK226" s="295"/>
      <c r="AL226" s="295"/>
      <c r="AM226" s="295"/>
      <c r="AN226" s="305"/>
      <c r="AO226" s="302"/>
      <c r="AP226" s="302"/>
      <c r="AQ226" s="302"/>
      <c r="AR226" s="294">
        <f>_xlfn.XLOOKUP($D226,'Modelling New'!$D:$D,'Modelling New'!$N:$N)</f>
        <v>135</v>
      </c>
      <c r="AS226" s="294">
        <f t="shared" si="23"/>
        <v>0</v>
      </c>
    </row>
    <row r="227" spans="1:45">
      <c r="A227" s="293">
        <f t="shared" si="24"/>
        <v>45970</v>
      </c>
      <c r="B227" s="294">
        <f>YEAR(Daily_KPI[[#This Row],[Date]])+IF(MONTH(Daily_KPI[[#This Row],[Date]])&gt;=4,1,0)</f>
        <v>2026</v>
      </c>
      <c r="C227" s="295">
        <f>YEAR(Daily_KPI[[#This Row],[Date]])</f>
        <v>2025</v>
      </c>
      <c r="D227" s="296">
        <f>Daily_KPI[[#This Row],[Date]]-DAY(Daily_KPI[[#This Row],[Date]])+1</f>
        <v>45962</v>
      </c>
      <c r="E227" s="295">
        <f t="shared" si="20"/>
        <v>30</v>
      </c>
      <c r="F227" s="297">
        <f>IFERROR(_xlfn.XLOOKUP($A227,Input_Raw!$A:$A,Input_Raw!$AR:$AR),"")</f>
        <v>0</v>
      </c>
      <c r="G227" s="298">
        <f>IFERROR(_xlfn.XLOOKUP($A227,Input_Raw!$A:$A,Input_Raw!$R:$R),"")</f>
        <v>0</v>
      </c>
      <c r="H227" s="298"/>
      <c r="I227" s="298">
        <f>IFERROR(_xlfn.XLOOKUP($A227,Input_Raw!$A:$A,Input_Raw!$Q:$Q),"")</f>
        <v>0</v>
      </c>
      <c r="J227" s="298"/>
      <c r="K227" s="298">
        <f>IFERROR(_xlfn.XLOOKUP($A227,Input_Raw!$A:$A,Input_Raw!S:S),"")</f>
        <v>0</v>
      </c>
      <c r="L227" s="298">
        <f>IFERROR(_xlfn.XLOOKUP($A227,Input_Raw!$A:$A,Input_Raw!T:T),"")</f>
        <v>0</v>
      </c>
      <c r="M227" s="298">
        <f>IFERROR(_xlfn.XLOOKUP($A227,Input_Raw!$A:$A,Input_Raw!W:W),"")</f>
        <v>0</v>
      </c>
      <c r="N227" s="298">
        <f>IFERROR(_xlfn.XLOOKUP($A227,Input_Raw!$A:$A,Input_Raw!X:X),"")</f>
        <v>0</v>
      </c>
      <c r="O227" s="299" t="str">
        <f>IFERROR(1-(SUMIF(Plant_BD!$B:$B,$A227,Plant_BD!$AL:$AL)/($AA227+SUMIF(Plant_BD!$B:$B,$A227,Plant_BD!$AL:$AL))),"")</f>
        <v/>
      </c>
      <c r="P227" s="299"/>
      <c r="Q227" s="300"/>
      <c r="R227" s="299" t="str">
        <f>IFERROR(1-(SUMIF(Grid_BD!$B:$B,$A227,Grid_BD!$V:$V)/($AA227+SUMIF(Grid_BD!$B:$B,$A227,Grid_BD!$V:$V))),"")</f>
        <v/>
      </c>
      <c r="S227" s="295"/>
      <c r="T227" s="300"/>
      <c r="U227" s="301" t="str">
        <f t="shared" si="21"/>
        <v/>
      </c>
      <c r="V227" s="301" t="str">
        <f>IFERROR(_xlfn.XLOOKUP($A227,Input_Raw!$A:$A,Input_Raw!$AX:$AX),"")</f>
        <v/>
      </c>
      <c r="W227" s="302">
        <f t="shared" si="22"/>
        <v>0</v>
      </c>
      <c r="X227" s="294">
        <f>IFERROR(_xlfn.XLOOKUP($A227,Input_Raw!$A:$A,Input_Raw!$AA:$AA),"")</f>
        <v>0</v>
      </c>
      <c r="Y227" s="294">
        <f>IFERROR(_xlfn.XLOOKUP($A227,Input_Raw!$A:$A,Input_Raw!$AS:$AS),"")</f>
        <v>0</v>
      </c>
      <c r="Z227" s="294"/>
      <c r="AA227" s="294">
        <f>IFERROR(_xlfn.XLOOKUP($A227,Input_Raw!$A:$A,Input_Raw!$AT:$AT),"")</f>
        <v>0</v>
      </c>
      <c r="AB227" s="294">
        <f>IFERROR(_xlfn.XLOOKUP($A227,Input_Raw!$A:$A,Input_Raw!$AU:$AU),"")</f>
        <v>0</v>
      </c>
      <c r="AC227" s="303">
        <f>IFERROR(_xlfn.XLOOKUP($D227,'Modelling New'!$D:$D,'Modelling New'!P:P),"")</f>
        <v>5.6466666666666665</v>
      </c>
      <c r="AD227" s="294">
        <f>IFERROR(_xlfn.XLOOKUP($D227,'Modelling New'!$D:$D,'Modelling New'!T:T)*1000,"")</f>
        <v>573694.38484641397</v>
      </c>
      <c r="AE227" s="304">
        <f>IFERROR(_xlfn.XLOOKUP($D227,'Modelling New'!$D:$D,'Modelling New'!$O:$O),"")</f>
        <v>0.75258347743200049</v>
      </c>
      <c r="AF227" s="304">
        <f>IFERROR(_xlfn.XLOOKUP($D227,'Modelling New'!$D:$D,'Modelling New'!$W:$W),"")</f>
        <v>0.17706616816247345</v>
      </c>
      <c r="AG227" s="304">
        <f>IFERROR(_xlfn.XLOOKUP($D227,'Modelling New'!$D:$D,'Modelling New'!$AE:$AE),"")</f>
        <v>0.995</v>
      </c>
      <c r="AH227" s="304">
        <f>IFERROR(_xlfn.XLOOKUP($D227,'Modelling New'!$D:$D,'Modelling New'!$AF:$AF),"")</f>
        <v>0.995</v>
      </c>
      <c r="AI227" s="295"/>
      <c r="AJ227" s="295"/>
      <c r="AK227" s="295"/>
      <c r="AL227" s="295"/>
      <c r="AM227" s="295"/>
      <c r="AN227" s="305"/>
      <c r="AO227" s="302"/>
      <c r="AP227" s="302"/>
      <c r="AQ227" s="302"/>
      <c r="AR227" s="294">
        <f>_xlfn.XLOOKUP($D227,'Modelling New'!$D:$D,'Modelling New'!$N:$N)</f>
        <v>135</v>
      </c>
      <c r="AS227" s="294">
        <f t="shared" si="23"/>
        <v>0</v>
      </c>
    </row>
    <row r="228" spans="1:45">
      <c r="A228" s="293">
        <f t="shared" si="24"/>
        <v>45971</v>
      </c>
      <c r="B228" s="294">
        <f>YEAR(Daily_KPI[[#This Row],[Date]])+IF(MONTH(Daily_KPI[[#This Row],[Date]])&gt;=4,1,0)</f>
        <v>2026</v>
      </c>
      <c r="C228" s="295">
        <f>YEAR(Daily_KPI[[#This Row],[Date]])</f>
        <v>2025</v>
      </c>
      <c r="D228" s="296">
        <f>Daily_KPI[[#This Row],[Date]]-DAY(Daily_KPI[[#This Row],[Date]])+1</f>
        <v>45962</v>
      </c>
      <c r="E228" s="295">
        <f t="shared" si="20"/>
        <v>30</v>
      </c>
      <c r="F228" s="297">
        <f>IFERROR(_xlfn.XLOOKUP($A228,Input_Raw!$A:$A,Input_Raw!$AR:$AR),"")</f>
        <v>0</v>
      </c>
      <c r="G228" s="298">
        <f>IFERROR(_xlfn.XLOOKUP($A228,Input_Raw!$A:$A,Input_Raw!$R:$R),"")</f>
        <v>0</v>
      </c>
      <c r="H228" s="298"/>
      <c r="I228" s="298">
        <f>IFERROR(_xlfn.XLOOKUP($A228,Input_Raw!$A:$A,Input_Raw!$Q:$Q),"")</f>
        <v>0</v>
      </c>
      <c r="J228" s="298"/>
      <c r="K228" s="298">
        <f>IFERROR(_xlfn.XLOOKUP($A228,Input_Raw!$A:$A,Input_Raw!S:S),"")</f>
        <v>0</v>
      </c>
      <c r="L228" s="298">
        <f>IFERROR(_xlfn.XLOOKUP($A228,Input_Raw!$A:$A,Input_Raw!T:T),"")</f>
        <v>0</v>
      </c>
      <c r="M228" s="298">
        <f>IFERROR(_xlfn.XLOOKUP($A228,Input_Raw!$A:$A,Input_Raw!W:W),"")</f>
        <v>0</v>
      </c>
      <c r="N228" s="298">
        <f>IFERROR(_xlfn.XLOOKUP($A228,Input_Raw!$A:$A,Input_Raw!X:X),"")</f>
        <v>0</v>
      </c>
      <c r="O228" s="299" t="str">
        <f>IFERROR(1-(SUMIF(Plant_BD!$B:$B,$A228,Plant_BD!$AL:$AL)/($AA228+SUMIF(Plant_BD!$B:$B,$A228,Plant_BD!$AL:$AL))),"")</f>
        <v/>
      </c>
      <c r="P228" s="299"/>
      <c r="Q228" s="300"/>
      <c r="R228" s="299" t="str">
        <f>IFERROR(1-(SUMIF(Grid_BD!$B:$B,$A228,Grid_BD!$V:$V)/($AA228+SUMIF(Grid_BD!$B:$B,$A228,Grid_BD!$V:$V))),"")</f>
        <v/>
      </c>
      <c r="S228" s="295"/>
      <c r="T228" s="300"/>
      <c r="U228" s="301" t="str">
        <f t="shared" si="21"/>
        <v/>
      </c>
      <c r="V228" s="301" t="str">
        <f>IFERROR(_xlfn.XLOOKUP($A228,Input_Raw!$A:$A,Input_Raw!$AX:$AX),"")</f>
        <v/>
      </c>
      <c r="W228" s="302">
        <f t="shared" si="22"/>
        <v>0</v>
      </c>
      <c r="X228" s="294">
        <f>IFERROR(_xlfn.XLOOKUP($A228,Input_Raw!$A:$A,Input_Raw!$AA:$AA),"")</f>
        <v>0</v>
      </c>
      <c r="Y228" s="294">
        <f>IFERROR(_xlfn.XLOOKUP($A228,Input_Raw!$A:$A,Input_Raw!$AS:$AS),"")</f>
        <v>0</v>
      </c>
      <c r="Z228" s="294"/>
      <c r="AA228" s="294">
        <f>IFERROR(_xlfn.XLOOKUP($A228,Input_Raw!$A:$A,Input_Raw!$AT:$AT),"")</f>
        <v>0</v>
      </c>
      <c r="AB228" s="294">
        <f>IFERROR(_xlfn.XLOOKUP($A228,Input_Raw!$A:$A,Input_Raw!$AU:$AU),"")</f>
        <v>0</v>
      </c>
      <c r="AC228" s="303">
        <f>IFERROR(_xlfn.XLOOKUP($D228,'Modelling New'!$D:$D,'Modelling New'!P:P),"")</f>
        <v>5.6466666666666665</v>
      </c>
      <c r="AD228" s="294">
        <f>IFERROR(_xlfn.XLOOKUP($D228,'Modelling New'!$D:$D,'Modelling New'!T:T)*1000,"")</f>
        <v>573694.38484641397</v>
      </c>
      <c r="AE228" s="304">
        <f>IFERROR(_xlfn.XLOOKUP($D228,'Modelling New'!$D:$D,'Modelling New'!$O:$O),"")</f>
        <v>0.75258347743200049</v>
      </c>
      <c r="AF228" s="304">
        <f>IFERROR(_xlfn.XLOOKUP($D228,'Modelling New'!$D:$D,'Modelling New'!$W:$W),"")</f>
        <v>0.17706616816247345</v>
      </c>
      <c r="AG228" s="304">
        <f>IFERROR(_xlfn.XLOOKUP($D228,'Modelling New'!$D:$D,'Modelling New'!$AE:$AE),"")</f>
        <v>0.995</v>
      </c>
      <c r="AH228" s="304">
        <f>IFERROR(_xlfn.XLOOKUP($D228,'Modelling New'!$D:$D,'Modelling New'!$AF:$AF),"")</f>
        <v>0.995</v>
      </c>
      <c r="AI228" s="295"/>
      <c r="AJ228" s="295"/>
      <c r="AK228" s="295"/>
      <c r="AL228" s="295"/>
      <c r="AM228" s="295"/>
      <c r="AN228" s="305"/>
      <c r="AO228" s="302"/>
      <c r="AP228" s="302"/>
      <c r="AQ228" s="302"/>
      <c r="AR228" s="294">
        <f>_xlfn.XLOOKUP($D228,'Modelling New'!$D:$D,'Modelling New'!$N:$N)</f>
        <v>135</v>
      </c>
      <c r="AS228" s="294">
        <f t="shared" si="23"/>
        <v>0</v>
      </c>
    </row>
    <row r="229" spans="1:45">
      <c r="A229" s="293">
        <f t="shared" si="24"/>
        <v>45972</v>
      </c>
      <c r="B229" s="294">
        <f>YEAR(Daily_KPI[[#This Row],[Date]])+IF(MONTH(Daily_KPI[[#This Row],[Date]])&gt;=4,1,0)</f>
        <v>2026</v>
      </c>
      <c r="C229" s="295">
        <f>YEAR(Daily_KPI[[#This Row],[Date]])</f>
        <v>2025</v>
      </c>
      <c r="D229" s="296">
        <f>Daily_KPI[[#This Row],[Date]]-DAY(Daily_KPI[[#This Row],[Date]])+1</f>
        <v>45962</v>
      </c>
      <c r="E229" s="295">
        <f t="shared" si="20"/>
        <v>30</v>
      </c>
      <c r="F229" s="297">
        <f>IFERROR(_xlfn.XLOOKUP($A229,Input_Raw!$A:$A,Input_Raw!$AR:$AR),"")</f>
        <v>0</v>
      </c>
      <c r="G229" s="298">
        <f>IFERROR(_xlfn.XLOOKUP($A229,Input_Raw!$A:$A,Input_Raw!$R:$R),"")</f>
        <v>0</v>
      </c>
      <c r="H229" s="298"/>
      <c r="I229" s="298">
        <f>IFERROR(_xlfn.XLOOKUP($A229,Input_Raw!$A:$A,Input_Raw!$Q:$Q),"")</f>
        <v>0</v>
      </c>
      <c r="J229" s="298"/>
      <c r="K229" s="298">
        <f>IFERROR(_xlfn.XLOOKUP($A229,Input_Raw!$A:$A,Input_Raw!S:S),"")</f>
        <v>0</v>
      </c>
      <c r="L229" s="298">
        <f>IFERROR(_xlfn.XLOOKUP($A229,Input_Raw!$A:$A,Input_Raw!T:T),"")</f>
        <v>0</v>
      </c>
      <c r="M229" s="298">
        <f>IFERROR(_xlfn.XLOOKUP($A229,Input_Raw!$A:$A,Input_Raw!W:W),"")</f>
        <v>0</v>
      </c>
      <c r="N229" s="298">
        <f>IFERROR(_xlfn.XLOOKUP($A229,Input_Raw!$A:$A,Input_Raw!X:X),"")</f>
        <v>0</v>
      </c>
      <c r="O229" s="299" t="str">
        <f>IFERROR(1-(SUMIF(Plant_BD!$B:$B,$A229,Plant_BD!$AL:$AL)/($AA229+SUMIF(Plant_BD!$B:$B,$A229,Plant_BD!$AL:$AL))),"")</f>
        <v/>
      </c>
      <c r="P229" s="299"/>
      <c r="Q229" s="300"/>
      <c r="R229" s="299" t="str">
        <f>IFERROR(1-(SUMIF(Grid_BD!$B:$B,$A229,Grid_BD!$V:$V)/($AA229+SUMIF(Grid_BD!$B:$B,$A229,Grid_BD!$V:$V))),"")</f>
        <v/>
      </c>
      <c r="S229" s="295"/>
      <c r="T229" s="300"/>
      <c r="U229" s="301" t="str">
        <f t="shared" si="21"/>
        <v/>
      </c>
      <c r="V229" s="301" t="str">
        <f>IFERROR(_xlfn.XLOOKUP($A229,Input_Raw!$A:$A,Input_Raw!$AX:$AX),"")</f>
        <v/>
      </c>
      <c r="W229" s="302">
        <f t="shared" si="22"/>
        <v>0</v>
      </c>
      <c r="X229" s="294">
        <f>IFERROR(_xlfn.XLOOKUP($A229,Input_Raw!$A:$A,Input_Raw!$AA:$AA),"")</f>
        <v>0</v>
      </c>
      <c r="Y229" s="294">
        <f>IFERROR(_xlfn.XLOOKUP($A229,Input_Raw!$A:$A,Input_Raw!$AS:$AS),"")</f>
        <v>0</v>
      </c>
      <c r="Z229" s="294"/>
      <c r="AA229" s="294">
        <f>IFERROR(_xlfn.XLOOKUP($A229,Input_Raw!$A:$A,Input_Raw!$AT:$AT),"")</f>
        <v>0</v>
      </c>
      <c r="AB229" s="294">
        <f>IFERROR(_xlfn.XLOOKUP($A229,Input_Raw!$A:$A,Input_Raw!$AU:$AU),"")</f>
        <v>0</v>
      </c>
      <c r="AC229" s="303">
        <f>IFERROR(_xlfn.XLOOKUP($D229,'Modelling New'!$D:$D,'Modelling New'!P:P),"")</f>
        <v>5.6466666666666665</v>
      </c>
      <c r="AD229" s="294">
        <f>IFERROR(_xlfn.XLOOKUP($D229,'Modelling New'!$D:$D,'Modelling New'!T:T)*1000,"")</f>
        <v>573694.38484641397</v>
      </c>
      <c r="AE229" s="304">
        <f>IFERROR(_xlfn.XLOOKUP($D229,'Modelling New'!$D:$D,'Modelling New'!$O:$O),"")</f>
        <v>0.75258347743200049</v>
      </c>
      <c r="AF229" s="304">
        <f>IFERROR(_xlfn.XLOOKUP($D229,'Modelling New'!$D:$D,'Modelling New'!$W:$W),"")</f>
        <v>0.17706616816247345</v>
      </c>
      <c r="AG229" s="304">
        <f>IFERROR(_xlfn.XLOOKUP($D229,'Modelling New'!$D:$D,'Modelling New'!$AE:$AE),"")</f>
        <v>0.995</v>
      </c>
      <c r="AH229" s="304">
        <f>IFERROR(_xlfn.XLOOKUP($D229,'Modelling New'!$D:$D,'Modelling New'!$AF:$AF),"")</f>
        <v>0.995</v>
      </c>
      <c r="AI229" s="295"/>
      <c r="AJ229" s="295"/>
      <c r="AK229" s="295"/>
      <c r="AL229" s="295"/>
      <c r="AM229" s="295"/>
      <c r="AN229" s="305"/>
      <c r="AO229" s="302"/>
      <c r="AP229" s="302"/>
      <c r="AQ229" s="302"/>
      <c r="AR229" s="294">
        <f>_xlfn.XLOOKUP($D229,'Modelling New'!$D:$D,'Modelling New'!$N:$N)</f>
        <v>135</v>
      </c>
      <c r="AS229" s="294">
        <f t="shared" si="23"/>
        <v>0</v>
      </c>
    </row>
    <row r="230" spans="1:45">
      <c r="A230" s="293">
        <f t="shared" si="24"/>
        <v>45973</v>
      </c>
      <c r="B230" s="294">
        <f>YEAR(Daily_KPI[[#This Row],[Date]])+IF(MONTH(Daily_KPI[[#This Row],[Date]])&gt;=4,1,0)</f>
        <v>2026</v>
      </c>
      <c r="C230" s="295">
        <f>YEAR(Daily_KPI[[#This Row],[Date]])</f>
        <v>2025</v>
      </c>
      <c r="D230" s="296">
        <f>Daily_KPI[[#This Row],[Date]]-DAY(Daily_KPI[[#This Row],[Date]])+1</f>
        <v>45962</v>
      </c>
      <c r="E230" s="295">
        <f t="shared" si="20"/>
        <v>30</v>
      </c>
      <c r="F230" s="297">
        <f>IFERROR(_xlfn.XLOOKUP($A230,Input_Raw!$A:$A,Input_Raw!$AR:$AR),"")</f>
        <v>0</v>
      </c>
      <c r="G230" s="298">
        <f>IFERROR(_xlfn.XLOOKUP($A230,Input_Raw!$A:$A,Input_Raw!$R:$R),"")</f>
        <v>0</v>
      </c>
      <c r="H230" s="298"/>
      <c r="I230" s="298">
        <f>IFERROR(_xlfn.XLOOKUP($A230,Input_Raw!$A:$A,Input_Raw!$Q:$Q),"")</f>
        <v>0</v>
      </c>
      <c r="J230" s="298"/>
      <c r="K230" s="298">
        <f>IFERROR(_xlfn.XLOOKUP($A230,Input_Raw!$A:$A,Input_Raw!S:S),"")</f>
        <v>0</v>
      </c>
      <c r="L230" s="298">
        <f>IFERROR(_xlfn.XLOOKUP($A230,Input_Raw!$A:$A,Input_Raw!T:T),"")</f>
        <v>0</v>
      </c>
      <c r="M230" s="298">
        <f>IFERROR(_xlfn.XLOOKUP($A230,Input_Raw!$A:$A,Input_Raw!W:W),"")</f>
        <v>0</v>
      </c>
      <c r="N230" s="298">
        <f>IFERROR(_xlfn.XLOOKUP($A230,Input_Raw!$A:$A,Input_Raw!X:X),"")</f>
        <v>0</v>
      </c>
      <c r="O230" s="299" t="str">
        <f>IFERROR(1-(SUMIF(Plant_BD!$B:$B,$A230,Plant_BD!$AL:$AL)/($AA230+SUMIF(Plant_BD!$B:$B,$A230,Plant_BD!$AL:$AL))),"")</f>
        <v/>
      </c>
      <c r="P230" s="299"/>
      <c r="Q230" s="300"/>
      <c r="R230" s="299" t="str">
        <f>IFERROR(1-(SUMIF(Grid_BD!$B:$B,$A230,Grid_BD!$V:$V)/($AA230+SUMIF(Grid_BD!$B:$B,$A230,Grid_BD!$V:$V))),"")</f>
        <v/>
      </c>
      <c r="S230" s="295"/>
      <c r="T230" s="300"/>
      <c r="U230" s="301" t="str">
        <f t="shared" si="21"/>
        <v/>
      </c>
      <c r="V230" s="301" t="str">
        <f>IFERROR(_xlfn.XLOOKUP($A230,Input_Raw!$A:$A,Input_Raw!$AX:$AX),"")</f>
        <v/>
      </c>
      <c r="W230" s="302">
        <f t="shared" si="22"/>
        <v>0</v>
      </c>
      <c r="X230" s="294">
        <f>IFERROR(_xlfn.XLOOKUP($A230,Input_Raw!$A:$A,Input_Raw!$AA:$AA),"")</f>
        <v>0</v>
      </c>
      <c r="Y230" s="294">
        <f>IFERROR(_xlfn.XLOOKUP($A230,Input_Raw!$A:$A,Input_Raw!$AS:$AS),"")</f>
        <v>0</v>
      </c>
      <c r="Z230" s="294"/>
      <c r="AA230" s="294">
        <f>IFERROR(_xlfn.XLOOKUP($A230,Input_Raw!$A:$A,Input_Raw!$AT:$AT),"")</f>
        <v>0</v>
      </c>
      <c r="AB230" s="294">
        <f>IFERROR(_xlfn.XLOOKUP($A230,Input_Raw!$A:$A,Input_Raw!$AU:$AU),"")</f>
        <v>0</v>
      </c>
      <c r="AC230" s="303">
        <f>IFERROR(_xlfn.XLOOKUP($D230,'Modelling New'!$D:$D,'Modelling New'!P:P),"")</f>
        <v>5.6466666666666665</v>
      </c>
      <c r="AD230" s="294">
        <f>IFERROR(_xlfn.XLOOKUP($D230,'Modelling New'!$D:$D,'Modelling New'!T:T)*1000,"")</f>
        <v>573694.38484641397</v>
      </c>
      <c r="AE230" s="304">
        <f>IFERROR(_xlfn.XLOOKUP($D230,'Modelling New'!$D:$D,'Modelling New'!$O:$O),"")</f>
        <v>0.75258347743200049</v>
      </c>
      <c r="AF230" s="304">
        <f>IFERROR(_xlfn.XLOOKUP($D230,'Modelling New'!$D:$D,'Modelling New'!$W:$W),"")</f>
        <v>0.17706616816247345</v>
      </c>
      <c r="AG230" s="304">
        <f>IFERROR(_xlfn.XLOOKUP($D230,'Modelling New'!$D:$D,'Modelling New'!$AE:$AE),"")</f>
        <v>0.995</v>
      </c>
      <c r="AH230" s="304">
        <f>IFERROR(_xlfn.XLOOKUP($D230,'Modelling New'!$D:$D,'Modelling New'!$AF:$AF),"")</f>
        <v>0.995</v>
      </c>
      <c r="AI230" s="295"/>
      <c r="AJ230" s="295"/>
      <c r="AK230" s="295"/>
      <c r="AL230" s="295"/>
      <c r="AM230" s="295"/>
      <c r="AN230" s="305"/>
      <c r="AO230" s="302"/>
      <c r="AP230" s="302"/>
      <c r="AQ230" s="302"/>
      <c r="AR230" s="294">
        <f>_xlfn.XLOOKUP($D230,'Modelling New'!$D:$D,'Modelling New'!$N:$N)</f>
        <v>135</v>
      </c>
      <c r="AS230" s="294">
        <f t="shared" si="23"/>
        <v>0</v>
      </c>
    </row>
    <row r="231" spans="1:45">
      <c r="A231" s="293">
        <f t="shared" si="24"/>
        <v>45974</v>
      </c>
      <c r="B231" s="294">
        <f>YEAR(Daily_KPI[[#This Row],[Date]])+IF(MONTH(Daily_KPI[[#This Row],[Date]])&gt;=4,1,0)</f>
        <v>2026</v>
      </c>
      <c r="C231" s="295">
        <f>YEAR(Daily_KPI[[#This Row],[Date]])</f>
        <v>2025</v>
      </c>
      <c r="D231" s="296">
        <f>Daily_KPI[[#This Row],[Date]]-DAY(Daily_KPI[[#This Row],[Date]])+1</f>
        <v>45962</v>
      </c>
      <c r="E231" s="295">
        <f t="shared" si="20"/>
        <v>30</v>
      </c>
      <c r="F231" s="297">
        <f>IFERROR(_xlfn.XLOOKUP($A231,Input_Raw!$A:$A,Input_Raw!$AR:$AR),"")</f>
        <v>0</v>
      </c>
      <c r="G231" s="298">
        <f>IFERROR(_xlfn.XLOOKUP($A231,Input_Raw!$A:$A,Input_Raw!$R:$R),"")</f>
        <v>0</v>
      </c>
      <c r="H231" s="298"/>
      <c r="I231" s="298">
        <f>IFERROR(_xlfn.XLOOKUP($A231,Input_Raw!$A:$A,Input_Raw!$Q:$Q),"")</f>
        <v>0</v>
      </c>
      <c r="J231" s="298"/>
      <c r="K231" s="298">
        <f>IFERROR(_xlfn.XLOOKUP($A231,Input_Raw!$A:$A,Input_Raw!S:S),"")</f>
        <v>0</v>
      </c>
      <c r="L231" s="298">
        <f>IFERROR(_xlfn.XLOOKUP($A231,Input_Raw!$A:$A,Input_Raw!T:T),"")</f>
        <v>0</v>
      </c>
      <c r="M231" s="298">
        <f>IFERROR(_xlfn.XLOOKUP($A231,Input_Raw!$A:$A,Input_Raw!W:W),"")</f>
        <v>0</v>
      </c>
      <c r="N231" s="298">
        <f>IFERROR(_xlfn.XLOOKUP($A231,Input_Raw!$A:$A,Input_Raw!X:X),"")</f>
        <v>0</v>
      </c>
      <c r="O231" s="299" t="str">
        <f>IFERROR(1-(SUMIF(Plant_BD!$B:$B,$A231,Plant_BD!$AL:$AL)/($AA231+SUMIF(Plant_BD!$B:$B,$A231,Plant_BD!$AL:$AL))),"")</f>
        <v/>
      </c>
      <c r="P231" s="299"/>
      <c r="Q231" s="300"/>
      <c r="R231" s="299" t="str">
        <f>IFERROR(1-(SUMIF(Grid_BD!$B:$B,$A231,Grid_BD!$V:$V)/($AA231+SUMIF(Grid_BD!$B:$B,$A231,Grid_BD!$V:$V))),"")</f>
        <v/>
      </c>
      <c r="S231" s="295"/>
      <c r="T231" s="300"/>
      <c r="U231" s="301" t="str">
        <f t="shared" si="21"/>
        <v/>
      </c>
      <c r="V231" s="301" t="str">
        <f>IFERROR(_xlfn.XLOOKUP($A231,Input_Raw!$A:$A,Input_Raw!$AX:$AX),"")</f>
        <v/>
      </c>
      <c r="W231" s="302">
        <f t="shared" si="22"/>
        <v>0</v>
      </c>
      <c r="X231" s="294">
        <f>IFERROR(_xlfn.XLOOKUP($A231,Input_Raw!$A:$A,Input_Raw!$AA:$AA),"")</f>
        <v>0</v>
      </c>
      <c r="Y231" s="294">
        <f>IFERROR(_xlfn.XLOOKUP($A231,Input_Raw!$A:$A,Input_Raw!$AS:$AS),"")</f>
        <v>0</v>
      </c>
      <c r="Z231" s="294"/>
      <c r="AA231" s="294">
        <f>IFERROR(_xlfn.XLOOKUP($A231,Input_Raw!$A:$A,Input_Raw!$AT:$AT),"")</f>
        <v>0</v>
      </c>
      <c r="AB231" s="294">
        <f>IFERROR(_xlfn.XLOOKUP($A231,Input_Raw!$A:$A,Input_Raw!$AU:$AU),"")</f>
        <v>0</v>
      </c>
      <c r="AC231" s="303">
        <f>IFERROR(_xlfn.XLOOKUP($D231,'Modelling New'!$D:$D,'Modelling New'!P:P),"")</f>
        <v>5.6466666666666665</v>
      </c>
      <c r="AD231" s="294">
        <f>IFERROR(_xlfn.XLOOKUP($D231,'Modelling New'!$D:$D,'Modelling New'!T:T)*1000,"")</f>
        <v>573694.38484641397</v>
      </c>
      <c r="AE231" s="304">
        <f>IFERROR(_xlfn.XLOOKUP($D231,'Modelling New'!$D:$D,'Modelling New'!$O:$O),"")</f>
        <v>0.75258347743200049</v>
      </c>
      <c r="AF231" s="304">
        <f>IFERROR(_xlfn.XLOOKUP($D231,'Modelling New'!$D:$D,'Modelling New'!$W:$W),"")</f>
        <v>0.17706616816247345</v>
      </c>
      <c r="AG231" s="304">
        <f>IFERROR(_xlfn.XLOOKUP($D231,'Modelling New'!$D:$D,'Modelling New'!$AE:$AE),"")</f>
        <v>0.995</v>
      </c>
      <c r="AH231" s="304">
        <f>IFERROR(_xlfn.XLOOKUP($D231,'Modelling New'!$D:$D,'Modelling New'!$AF:$AF),"")</f>
        <v>0.995</v>
      </c>
      <c r="AI231" s="295"/>
      <c r="AJ231" s="295"/>
      <c r="AK231" s="295"/>
      <c r="AL231" s="295"/>
      <c r="AM231" s="295"/>
      <c r="AN231" s="305"/>
      <c r="AO231" s="302"/>
      <c r="AP231" s="302"/>
      <c r="AQ231" s="302"/>
      <c r="AR231" s="294">
        <f>_xlfn.XLOOKUP($D231,'Modelling New'!$D:$D,'Modelling New'!$N:$N)</f>
        <v>135</v>
      </c>
      <c r="AS231" s="294">
        <f t="shared" si="23"/>
        <v>0</v>
      </c>
    </row>
    <row r="232" spans="1:45">
      <c r="A232" s="293">
        <f t="shared" si="24"/>
        <v>45975</v>
      </c>
      <c r="B232" s="294">
        <f>YEAR(Daily_KPI[[#This Row],[Date]])+IF(MONTH(Daily_KPI[[#This Row],[Date]])&gt;=4,1,0)</f>
        <v>2026</v>
      </c>
      <c r="C232" s="295">
        <f>YEAR(Daily_KPI[[#This Row],[Date]])</f>
        <v>2025</v>
      </c>
      <c r="D232" s="296">
        <f>Daily_KPI[[#This Row],[Date]]-DAY(Daily_KPI[[#This Row],[Date]])+1</f>
        <v>45962</v>
      </c>
      <c r="E232" s="295">
        <f t="shared" si="20"/>
        <v>30</v>
      </c>
      <c r="F232" s="297">
        <f>IFERROR(_xlfn.XLOOKUP($A232,Input_Raw!$A:$A,Input_Raw!$AR:$AR),"")</f>
        <v>0</v>
      </c>
      <c r="G232" s="298">
        <f>IFERROR(_xlfn.XLOOKUP($A232,Input_Raw!$A:$A,Input_Raw!$R:$R),"")</f>
        <v>0</v>
      </c>
      <c r="H232" s="298"/>
      <c r="I232" s="298">
        <f>IFERROR(_xlfn.XLOOKUP($A232,Input_Raw!$A:$A,Input_Raw!$Q:$Q),"")</f>
        <v>0</v>
      </c>
      <c r="J232" s="298"/>
      <c r="K232" s="298">
        <f>IFERROR(_xlfn.XLOOKUP($A232,Input_Raw!$A:$A,Input_Raw!S:S),"")</f>
        <v>0</v>
      </c>
      <c r="L232" s="298">
        <f>IFERROR(_xlfn.XLOOKUP($A232,Input_Raw!$A:$A,Input_Raw!T:T),"")</f>
        <v>0</v>
      </c>
      <c r="M232" s="298">
        <f>IFERROR(_xlfn.XLOOKUP($A232,Input_Raw!$A:$A,Input_Raw!W:W),"")</f>
        <v>0</v>
      </c>
      <c r="N232" s="298">
        <f>IFERROR(_xlfn.XLOOKUP($A232,Input_Raw!$A:$A,Input_Raw!X:X),"")</f>
        <v>0</v>
      </c>
      <c r="O232" s="299" t="str">
        <f>IFERROR(1-(SUMIF(Plant_BD!$B:$B,$A232,Plant_BD!$AL:$AL)/($AA232+SUMIF(Plant_BD!$B:$B,$A232,Plant_BD!$AL:$AL))),"")</f>
        <v/>
      </c>
      <c r="P232" s="299"/>
      <c r="Q232" s="300"/>
      <c r="R232" s="299" t="str">
        <f>IFERROR(1-(SUMIF(Grid_BD!$B:$B,$A232,Grid_BD!$V:$V)/($AA232+SUMIF(Grid_BD!$B:$B,$A232,Grid_BD!$V:$V))),"")</f>
        <v/>
      </c>
      <c r="S232" s="295"/>
      <c r="T232" s="300"/>
      <c r="U232" s="301" t="str">
        <f t="shared" si="21"/>
        <v/>
      </c>
      <c r="V232" s="301" t="str">
        <f>IFERROR(_xlfn.XLOOKUP($A232,Input_Raw!$A:$A,Input_Raw!$AX:$AX),"")</f>
        <v/>
      </c>
      <c r="W232" s="302">
        <f t="shared" si="22"/>
        <v>0</v>
      </c>
      <c r="X232" s="294">
        <f>IFERROR(_xlfn.XLOOKUP($A232,Input_Raw!$A:$A,Input_Raw!$AA:$AA),"")</f>
        <v>0</v>
      </c>
      <c r="Y232" s="294">
        <f>IFERROR(_xlfn.XLOOKUP($A232,Input_Raw!$A:$A,Input_Raw!$AS:$AS),"")</f>
        <v>0</v>
      </c>
      <c r="Z232" s="294"/>
      <c r="AA232" s="294">
        <f>IFERROR(_xlfn.XLOOKUP($A232,Input_Raw!$A:$A,Input_Raw!$AT:$AT),"")</f>
        <v>0</v>
      </c>
      <c r="AB232" s="294">
        <f>IFERROR(_xlfn.XLOOKUP($A232,Input_Raw!$A:$A,Input_Raw!$AU:$AU),"")</f>
        <v>0</v>
      </c>
      <c r="AC232" s="303">
        <f>IFERROR(_xlfn.XLOOKUP($D232,'Modelling New'!$D:$D,'Modelling New'!P:P),"")</f>
        <v>5.6466666666666665</v>
      </c>
      <c r="AD232" s="294">
        <f>IFERROR(_xlfn.XLOOKUP($D232,'Modelling New'!$D:$D,'Modelling New'!T:T)*1000,"")</f>
        <v>573694.38484641397</v>
      </c>
      <c r="AE232" s="304">
        <f>IFERROR(_xlfn.XLOOKUP($D232,'Modelling New'!$D:$D,'Modelling New'!$O:$O),"")</f>
        <v>0.75258347743200049</v>
      </c>
      <c r="AF232" s="304">
        <f>IFERROR(_xlfn.XLOOKUP($D232,'Modelling New'!$D:$D,'Modelling New'!$W:$W),"")</f>
        <v>0.17706616816247345</v>
      </c>
      <c r="AG232" s="304">
        <f>IFERROR(_xlfn.XLOOKUP($D232,'Modelling New'!$D:$D,'Modelling New'!$AE:$AE),"")</f>
        <v>0.995</v>
      </c>
      <c r="AH232" s="304">
        <f>IFERROR(_xlfn.XLOOKUP($D232,'Modelling New'!$D:$D,'Modelling New'!$AF:$AF),"")</f>
        <v>0.995</v>
      </c>
      <c r="AI232" s="295"/>
      <c r="AJ232" s="295"/>
      <c r="AK232" s="295"/>
      <c r="AL232" s="295"/>
      <c r="AM232" s="295"/>
      <c r="AN232" s="305"/>
      <c r="AO232" s="302"/>
      <c r="AP232" s="302"/>
      <c r="AQ232" s="302"/>
      <c r="AR232" s="294">
        <f>_xlfn.XLOOKUP($D232,'Modelling New'!$D:$D,'Modelling New'!$N:$N)</f>
        <v>135</v>
      </c>
      <c r="AS232" s="294">
        <f t="shared" si="23"/>
        <v>0</v>
      </c>
    </row>
    <row r="233" spans="1:45">
      <c r="A233" s="293">
        <f t="shared" si="24"/>
        <v>45976</v>
      </c>
      <c r="B233" s="294">
        <f>YEAR(Daily_KPI[[#This Row],[Date]])+IF(MONTH(Daily_KPI[[#This Row],[Date]])&gt;=4,1,0)</f>
        <v>2026</v>
      </c>
      <c r="C233" s="295">
        <f>YEAR(Daily_KPI[[#This Row],[Date]])</f>
        <v>2025</v>
      </c>
      <c r="D233" s="296">
        <f>Daily_KPI[[#This Row],[Date]]-DAY(Daily_KPI[[#This Row],[Date]])+1</f>
        <v>45962</v>
      </c>
      <c r="E233" s="295">
        <f t="shared" si="20"/>
        <v>30</v>
      </c>
      <c r="F233" s="297">
        <f>IFERROR(_xlfn.XLOOKUP($A233,Input_Raw!$A:$A,Input_Raw!$AR:$AR),"")</f>
        <v>0</v>
      </c>
      <c r="G233" s="298">
        <f>IFERROR(_xlfn.XLOOKUP($A233,Input_Raw!$A:$A,Input_Raw!$R:$R),"")</f>
        <v>0</v>
      </c>
      <c r="H233" s="298"/>
      <c r="I233" s="298">
        <f>IFERROR(_xlfn.XLOOKUP($A233,Input_Raw!$A:$A,Input_Raw!$Q:$Q),"")</f>
        <v>0</v>
      </c>
      <c r="J233" s="298"/>
      <c r="K233" s="298">
        <f>IFERROR(_xlfn.XLOOKUP($A233,Input_Raw!$A:$A,Input_Raw!S:S),"")</f>
        <v>0</v>
      </c>
      <c r="L233" s="298">
        <f>IFERROR(_xlfn.XLOOKUP($A233,Input_Raw!$A:$A,Input_Raw!T:T),"")</f>
        <v>0</v>
      </c>
      <c r="M233" s="298">
        <f>IFERROR(_xlfn.XLOOKUP($A233,Input_Raw!$A:$A,Input_Raw!W:W),"")</f>
        <v>0</v>
      </c>
      <c r="N233" s="298">
        <f>IFERROR(_xlfn.XLOOKUP($A233,Input_Raw!$A:$A,Input_Raw!X:X),"")</f>
        <v>0</v>
      </c>
      <c r="O233" s="299" t="str">
        <f>IFERROR(1-(SUMIF(Plant_BD!$B:$B,$A233,Plant_BD!$AL:$AL)/($AA233+SUMIF(Plant_BD!$B:$B,$A233,Plant_BD!$AL:$AL))),"")</f>
        <v/>
      </c>
      <c r="P233" s="299"/>
      <c r="Q233" s="300"/>
      <c r="R233" s="299" t="str">
        <f>IFERROR(1-(SUMIF(Grid_BD!$B:$B,$A233,Grid_BD!$V:$V)/($AA233+SUMIF(Grid_BD!$B:$B,$A233,Grid_BD!$V:$V))),"")</f>
        <v/>
      </c>
      <c r="S233" s="295"/>
      <c r="T233" s="300"/>
      <c r="U233" s="301" t="str">
        <f t="shared" si="21"/>
        <v/>
      </c>
      <c r="V233" s="301" t="str">
        <f>IFERROR(_xlfn.XLOOKUP($A233,Input_Raw!$A:$A,Input_Raw!$AX:$AX),"")</f>
        <v/>
      </c>
      <c r="W233" s="302">
        <f t="shared" si="22"/>
        <v>0</v>
      </c>
      <c r="X233" s="294">
        <f>IFERROR(_xlfn.XLOOKUP($A233,Input_Raw!$A:$A,Input_Raw!$AA:$AA),"")</f>
        <v>0</v>
      </c>
      <c r="Y233" s="294">
        <f>IFERROR(_xlfn.XLOOKUP($A233,Input_Raw!$A:$A,Input_Raw!$AS:$AS),"")</f>
        <v>0</v>
      </c>
      <c r="Z233" s="294"/>
      <c r="AA233" s="294">
        <f>IFERROR(_xlfn.XLOOKUP($A233,Input_Raw!$A:$A,Input_Raw!$AT:$AT),"")</f>
        <v>0</v>
      </c>
      <c r="AB233" s="294">
        <f>IFERROR(_xlfn.XLOOKUP($A233,Input_Raw!$A:$A,Input_Raw!$AU:$AU),"")</f>
        <v>0</v>
      </c>
      <c r="AC233" s="303">
        <f>IFERROR(_xlfn.XLOOKUP($D233,'Modelling New'!$D:$D,'Modelling New'!P:P),"")</f>
        <v>5.6466666666666665</v>
      </c>
      <c r="AD233" s="294">
        <f>IFERROR(_xlfn.XLOOKUP($D233,'Modelling New'!$D:$D,'Modelling New'!T:T)*1000,"")</f>
        <v>573694.38484641397</v>
      </c>
      <c r="AE233" s="304">
        <f>IFERROR(_xlfn.XLOOKUP($D233,'Modelling New'!$D:$D,'Modelling New'!$O:$O),"")</f>
        <v>0.75258347743200049</v>
      </c>
      <c r="AF233" s="304">
        <f>IFERROR(_xlfn.XLOOKUP($D233,'Modelling New'!$D:$D,'Modelling New'!$W:$W),"")</f>
        <v>0.17706616816247345</v>
      </c>
      <c r="AG233" s="304">
        <f>IFERROR(_xlfn.XLOOKUP($D233,'Modelling New'!$D:$D,'Modelling New'!$AE:$AE),"")</f>
        <v>0.995</v>
      </c>
      <c r="AH233" s="304">
        <f>IFERROR(_xlfn.XLOOKUP($D233,'Modelling New'!$D:$D,'Modelling New'!$AF:$AF),"")</f>
        <v>0.995</v>
      </c>
      <c r="AI233" s="295"/>
      <c r="AJ233" s="295"/>
      <c r="AK233" s="295"/>
      <c r="AL233" s="295"/>
      <c r="AM233" s="295"/>
      <c r="AN233" s="305"/>
      <c r="AO233" s="302"/>
      <c r="AP233" s="302"/>
      <c r="AQ233" s="302"/>
      <c r="AR233" s="294">
        <f>_xlfn.XLOOKUP($D233,'Modelling New'!$D:$D,'Modelling New'!$N:$N)</f>
        <v>135</v>
      </c>
      <c r="AS233" s="294">
        <f t="shared" si="23"/>
        <v>0</v>
      </c>
    </row>
    <row r="234" spans="1:45">
      <c r="A234" s="293">
        <f t="shared" si="24"/>
        <v>45977</v>
      </c>
      <c r="B234" s="294">
        <f>YEAR(Daily_KPI[[#This Row],[Date]])+IF(MONTH(Daily_KPI[[#This Row],[Date]])&gt;=4,1,0)</f>
        <v>2026</v>
      </c>
      <c r="C234" s="295">
        <f>YEAR(Daily_KPI[[#This Row],[Date]])</f>
        <v>2025</v>
      </c>
      <c r="D234" s="296">
        <f>Daily_KPI[[#This Row],[Date]]-DAY(Daily_KPI[[#This Row],[Date]])+1</f>
        <v>45962</v>
      </c>
      <c r="E234" s="295">
        <f t="shared" si="20"/>
        <v>30</v>
      </c>
      <c r="F234" s="297">
        <f>IFERROR(_xlfn.XLOOKUP($A234,Input_Raw!$A:$A,Input_Raw!$AR:$AR),"")</f>
        <v>0</v>
      </c>
      <c r="G234" s="298">
        <f>IFERROR(_xlfn.XLOOKUP($A234,Input_Raw!$A:$A,Input_Raw!$R:$R),"")</f>
        <v>0</v>
      </c>
      <c r="H234" s="298"/>
      <c r="I234" s="298">
        <f>IFERROR(_xlfn.XLOOKUP($A234,Input_Raw!$A:$A,Input_Raw!$Q:$Q),"")</f>
        <v>0</v>
      </c>
      <c r="J234" s="298"/>
      <c r="K234" s="298">
        <f>IFERROR(_xlfn.XLOOKUP($A234,Input_Raw!$A:$A,Input_Raw!S:S),"")</f>
        <v>0</v>
      </c>
      <c r="L234" s="298">
        <f>IFERROR(_xlfn.XLOOKUP($A234,Input_Raw!$A:$A,Input_Raw!T:T),"")</f>
        <v>0</v>
      </c>
      <c r="M234" s="298">
        <f>IFERROR(_xlfn.XLOOKUP($A234,Input_Raw!$A:$A,Input_Raw!W:W),"")</f>
        <v>0</v>
      </c>
      <c r="N234" s="298">
        <f>IFERROR(_xlfn.XLOOKUP($A234,Input_Raw!$A:$A,Input_Raw!X:X),"")</f>
        <v>0</v>
      </c>
      <c r="O234" s="299" t="str">
        <f>IFERROR(1-(SUMIF(Plant_BD!$B:$B,$A234,Plant_BD!$AL:$AL)/($AA234+SUMIF(Plant_BD!$B:$B,$A234,Plant_BD!$AL:$AL))),"")</f>
        <v/>
      </c>
      <c r="P234" s="299"/>
      <c r="Q234" s="300"/>
      <c r="R234" s="299" t="str">
        <f>IFERROR(1-(SUMIF(Grid_BD!$B:$B,$A234,Grid_BD!$V:$V)/($AA234+SUMIF(Grid_BD!$B:$B,$A234,Grid_BD!$V:$V))),"")</f>
        <v/>
      </c>
      <c r="S234" s="295"/>
      <c r="T234" s="300"/>
      <c r="U234" s="301" t="str">
        <f t="shared" si="21"/>
        <v/>
      </c>
      <c r="V234" s="301" t="str">
        <f>IFERROR(_xlfn.XLOOKUP($A234,Input_Raw!$A:$A,Input_Raw!$AX:$AX),"")</f>
        <v/>
      </c>
      <c r="W234" s="302">
        <f t="shared" si="22"/>
        <v>0</v>
      </c>
      <c r="X234" s="294">
        <f>IFERROR(_xlfn.XLOOKUP($A234,Input_Raw!$A:$A,Input_Raw!$AA:$AA),"")</f>
        <v>0</v>
      </c>
      <c r="Y234" s="294">
        <f>IFERROR(_xlfn.XLOOKUP($A234,Input_Raw!$A:$A,Input_Raw!$AS:$AS),"")</f>
        <v>0</v>
      </c>
      <c r="Z234" s="294"/>
      <c r="AA234" s="294">
        <f>IFERROR(_xlfn.XLOOKUP($A234,Input_Raw!$A:$A,Input_Raw!$AT:$AT),"")</f>
        <v>0</v>
      </c>
      <c r="AB234" s="294">
        <f>IFERROR(_xlfn.XLOOKUP($A234,Input_Raw!$A:$A,Input_Raw!$AU:$AU),"")</f>
        <v>0</v>
      </c>
      <c r="AC234" s="303">
        <f>IFERROR(_xlfn.XLOOKUP($D234,'Modelling New'!$D:$D,'Modelling New'!P:P),"")</f>
        <v>5.6466666666666665</v>
      </c>
      <c r="AD234" s="294">
        <f>IFERROR(_xlfn.XLOOKUP($D234,'Modelling New'!$D:$D,'Modelling New'!T:T)*1000,"")</f>
        <v>573694.38484641397</v>
      </c>
      <c r="AE234" s="304">
        <f>IFERROR(_xlfn.XLOOKUP($D234,'Modelling New'!$D:$D,'Modelling New'!$O:$O),"")</f>
        <v>0.75258347743200049</v>
      </c>
      <c r="AF234" s="304">
        <f>IFERROR(_xlfn.XLOOKUP($D234,'Modelling New'!$D:$D,'Modelling New'!$W:$W),"")</f>
        <v>0.17706616816247345</v>
      </c>
      <c r="AG234" s="304">
        <f>IFERROR(_xlfn.XLOOKUP($D234,'Modelling New'!$D:$D,'Modelling New'!$AE:$AE),"")</f>
        <v>0.995</v>
      </c>
      <c r="AH234" s="304">
        <f>IFERROR(_xlfn.XLOOKUP($D234,'Modelling New'!$D:$D,'Modelling New'!$AF:$AF),"")</f>
        <v>0.995</v>
      </c>
      <c r="AI234" s="295"/>
      <c r="AJ234" s="295"/>
      <c r="AK234" s="295"/>
      <c r="AL234" s="295"/>
      <c r="AM234" s="295"/>
      <c r="AN234" s="305"/>
      <c r="AO234" s="302"/>
      <c r="AP234" s="302"/>
      <c r="AQ234" s="302"/>
      <c r="AR234" s="294">
        <f>_xlfn.XLOOKUP($D234,'Modelling New'!$D:$D,'Modelling New'!$N:$N)</f>
        <v>135</v>
      </c>
      <c r="AS234" s="294">
        <f t="shared" si="23"/>
        <v>0</v>
      </c>
    </row>
    <row r="235" spans="1:45">
      <c r="A235" s="293">
        <f t="shared" si="24"/>
        <v>45978</v>
      </c>
      <c r="B235" s="294">
        <f>YEAR(Daily_KPI[[#This Row],[Date]])+IF(MONTH(Daily_KPI[[#This Row],[Date]])&gt;=4,1,0)</f>
        <v>2026</v>
      </c>
      <c r="C235" s="295">
        <f>YEAR(Daily_KPI[[#This Row],[Date]])</f>
        <v>2025</v>
      </c>
      <c r="D235" s="296">
        <f>Daily_KPI[[#This Row],[Date]]-DAY(Daily_KPI[[#This Row],[Date]])+1</f>
        <v>45962</v>
      </c>
      <c r="E235" s="295">
        <f t="shared" si="20"/>
        <v>30</v>
      </c>
      <c r="F235" s="297">
        <f>IFERROR(_xlfn.XLOOKUP($A235,Input_Raw!$A:$A,Input_Raw!$AR:$AR),"")</f>
        <v>0</v>
      </c>
      <c r="G235" s="298">
        <f>IFERROR(_xlfn.XLOOKUP($A235,Input_Raw!$A:$A,Input_Raw!$R:$R),"")</f>
        <v>0</v>
      </c>
      <c r="H235" s="298"/>
      <c r="I235" s="298">
        <f>IFERROR(_xlfn.XLOOKUP($A235,Input_Raw!$A:$A,Input_Raw!$Q:$Q),"")</f>
        <v>0</v>
      </c>
      <c r="J235" s="298"/>
      <c r="K235" s="298">
        <f>IFERROR(_xlfn.XLOOKUP($A235,Input_Raw!$A:$A,Input_Raw!S:S),"")</f>
        <v>0</v>
      </c>
      <c r="L235" s="298">
        <f>IFERROR(_xlfn.XLOOKUP($A235,Input_Raw!$A:$A,Input_Raw!T:T),"")</f>
        <v>0</v>
      </c>
      <c r="M235" s="298">
        <f>IFERROR(_xlfn.XLOOKUP($A235,Input_Raw!$A:$A,Input_Raw!W:W),"")</f>
        <v>0</v>
      </c>
      <c r="N235" s="298">
        <f>IFERROR(_xlfn.XLOOKUP($A235,Input_Raw!$A:$A,Input_Raw!X:X),"")</f>
        <v>0</v>
      </c>
      <c r="O235" s="299" t="str">
        <f>IFERROR(1-(SUMIF(Plant_BD!$B:$B,$A235,Plant_BD!$AL:$AL)/($AA235+SUMIF(Plant_BD!$B:$B,$A235,Plant_BD!$AL:$AL))),"")</f>
        <v/>
      </c>
      <c r="P235" s="299"/>
      <c r="Q235" s="300"/>
      <c r="R235" s="299" t="str">
        <f>IFERROR(1-(SUMIF(Grid_BD!$B:$B,$A235,Grid_BD!$V:$V)/($AA235+SUMIF(Grid_BD!$B:$B,$A235,Grid_BD!$V:$V))),"")</f>
        <v/>
      </c>
      <c r="S235" s="295"/>
      <c r="T235" s="300"/>
      <c r="U235" s="301" t="str">
        <f t="shared" si="21"/>
        <v/>
      </c>
      <c r="V235" s="301" t="str">
        <f>IFERROR(_xlfn.XLOOKUP($A235,Input_Raw!$A:$A,Input_Raw!$AX:$AX),"")</f>
        <v/>
      </c>
      <c r="W235" s="302">
        <f t="shared" si="22"/>
        <v>0</v>
      </c>
      <c r="X235" s="294">
        <f>IFERROR(_xlfn.XLOOKUP($A235,Input_Raw!$A:$A,Input_Raw!$AA:$AA),"")</f>
        <v>0</v>
      </c>
      <c r="Y235" s="294">
        <f>IFERROR(_xlfn.XLOOKUP($A235,Input_Raw!$A:$A,Input_Raw!$AS:$AS),"")</f>
        <v>0</v>
      </c>
      <c r="Z235" s="294"/>
      <c r="AA235" s="294">
        <f>IFERROR(_xlfn.XLOOKUP($A235,Input_Raw!$A:$A,Input_Raw!$AT:$AT),"")</f>
        <v>0</v>
      </c>
      <c r="AB235" s="294">
        <f>IFERROR(_xlfn.XLOOKUP($A235,Input_Raw!$A:$A,Input_Raw!$AU:$AU),"")</f>
        <v>0</v>
      </c>
      <c r="AC235" s="303">
        <f>IFERROR(_xlfn.XLOOKUP($D235,'Modelling New'!$D:$D,'Modelling New'!P:P),"")</f>
        <v>5.6466666666666665</v>
      </c>
      <c r="AD235" s="294">
        <f>IFERROR(_xlfn.XLOOKUP($D235,'Modelling New'!$D:$D,'Modelling New'!T:T)*1000,"")</f>
        <v>573694.38484641397</v>
      </c>
      <c r="AE235" s="304">
        <f>IFERROR(_xlfn.XLOOKUP($D235,'Modelling New'!$D:$D,'Modelling New'!$O:$O),"")</f>
        <v>0.75258347743200049</v>
      </c>
      <c r="AF235" s="304">
        <f>IFERROR(_xlfn.XLOOKUP($D235,'Modelling New'!$D:$D,'Modelling New'!$W:$W),"")</f>
        <v>0.17706616816247345</v>
      </c>
      <c r="AG235" s="304">
        <f>IFERROR(_xlfn.XLOOKUP($D235,'Modelling New'!$D:$D,'Modelling New'!$AE:$AE),"")</f>
        <v>0.995</v>
      </c>
      <c r="AH235" s="304">
        <f>IFERROR(_xlfn.XLOOKUP($D235,'Modelling New'!$D:$D,'Modelling New'!$AF:$AF),"")</f>
        <v>0.995</v>
      </c>
      <c r="AI235" s="295"/>
      <c r="AJ235" s="295"/>
      <c r="AK235" s="295"/>
      <c r="AL235" s="295"/>
      <c r="AM235" s="295"/>
      <c r="AN235" s="305"/>
      <c r="AO235" s="302"/>
      <c r="AP235" s="302"/>
      <c r="AQ235" s="302"/>
      <c r="AR235" s="294">
        <f>_xlfn.XLOOKUP($D235,'Modelling New'!$D:$D,'Modelling New'!$N:$N)</f>
        <v>135</v>
      </c>
      <c r="AS235" s="294">
        <f t="shared" si="23"/>
        <v>0</v>
      </c>
    </row>
    <row r="236" spans="1:45">
      <c r="A236" s="293">
        <f t="shared" si="24"/>
        <v>45979</v>
      </c>
      <c r="B236" s="294">
        <f>YEAR(Daily_KPI[[#This Row],[Date]])+IF(MONTH(Daily_KPI[[#This Row],[Date]])&gt;=4,1,0)</f>
        <v>2026</v>
      </c>
      <c r="C236" s="295">
        <f>YEAR(Daily_KPI[[#This Row],[Date]])</f>
        <v>2025</v>
      </c>
      <c r="D236" s="296">
        <f>Daily_KPI[[#This Row],[Date]]-DAY(Daily_KPI[[#This Row],[Date]])+1</f>
        <v>45962</v>
      </c>
      <c r="E236" s="295">
        <f t="shared" si="20"/>
        <v>30</v>
      </c>
      <c r="F236" s="297">
        <f>IFERROR(_xlfn.XLOOKUP($A236,Input_Raw!$A:$A,Input_Raw!$AR:$AR),"")</f>
        <v>0</v>
      </c>
      <c r="G236" s="298">
        <f>IFERROR(_xlfn.XLOOKUP($A236,Input_Raw!$A:$A,Input_Raw!$R:$R),"")</f>
        <v>0</v>
      </c>
      <c r="H236" s="298"/>
      <c r="I236" s="298">
        <f>IFERROR(_xlfn.XLOOKUP($A236,Input_Raw!$A:$A,Input_Raw!$Q:$Q),"")</f>
        <v>0</v>
      </c>
      <c r="J236" s="298"/>
      <c r="K236" s="298">
        <f>IFERROR(_xlfn.XLOOKUP($A236,Input_Raw!$A:$A,Input_Raw!S:S),"")</f>
        <v>0</v>
      </c>
      <c r="L236" s="298">
        <f>IFERROR(_xlfn.XLOOKUP($A236,Input_Raw!$A:$A,Input_Raw!T:T),"")</f>
        <v>0</v>
      </c>
      <c r="M236" s="298">
        <f>IFERROR(_xlfn.XLOOKUP($A236,Input_Raw!$A:$A,Input_Raw!W:W),"")</f>
        <v>0</v>
      </c>
      <c r="N236" s="298">
        <f>IFERROR(_xlfn.XLOOKUP($A236,Input_Raw!$A:$A,Input_Raw!X:X),"")</f>
        <v>0</v>
      </c>
      <c r="O236" s="299" t="str">
        <f>IFERROR(1-(SUMIF(Plant_BD!$B:$B,$A236,Plant_BD!$AL:$AL)/($AA236+SUMIF(Plant_BD!$B:$B,$A236,Plant_BD!$AL:$AL))),"")</f>
        <v/>
      </c>
      <c r="P236" s="299"/>
      <c r="Q236" s="300"/>
      <c r="R236" s="299" t="str">
        <f>IFERROR(1-(SUMIF(Grid_BD!$B:$B,$A236,Grid_BD!$V:$V)/($AA236+SUMIF(Grid_BD!$B:$B,$A236,Grid_BD!$V:$V))),"")</f>
        <v/>
      </c>
      <c r="S236" s="295"/>
      <c r="T236" s="300"/>
      <c r="U236" s="301" t="str">
        <f t="shared" si="21"/>
        <v/>
      </c>
      <c r="V236" s="301" t="str">
        <f>IFERROR(_xlfn.XLOOKUP($A236,Input_Raw!$A:$A,Input_Raw!$AX:$AX),"")</f>
        <v/>
      </c>
      <c r="W236" s="302">
        <f t="shared" si="22"/>
        <v>0</v>
      </c>
      <c r="X236" s="294">
        <f>IFERROR(_xlfn.XLOOKUP($A236,Input_Raw!$A:$A,Input_Raw!$AA:$AA),"")</f>
        <v>0</v>
      </c>
      <c r="Y236" s="294">
        <f>IFERROR(_xlfn.XLOOKUP($A236,Input_Raw!$A:$A,Input_Raw!$AS:$AS),"")</f>
        <v>0</v>
      </c>
      <c r="Z236" s="294"/>
      <c r="AA236" s="294">
        <f>IFERROR(_xlfn.XLOOKUP($A236,Input_Raw!$A:$A,Input_Raw!$AT:$AT),"")</f>
        <v>0</v>
      </c>
      <c r="AB236" s="294">
        <f>IFERROR(_xlfn.XLOOKUP($A236,Input_Raw!$A:$A,Input_Raw!$AU:$AU),"")</f>
        <v>0</v>
      </c>
      <c r="AC236" s="303">
        <f>IFERROR(_xlfn.XLOOKUP($D236,'Modelling New'!$D:$D,'Modelling New'!P:P),"")</f>
        <v>5.6466666666666665</v>
      </c>
      <c r="AD236" s="294">
        <f>IFERROR(_xlfn.XLOOKUP($D236,'Modelling New'!$D:$D,'Modelling New'!T:T)*1000,"")</f>
        <v>573694.38484641397</v>
      </c>
      <c r="AE236" s="304">
        <f>IFERROR(_xlfn.XLOOKUP($D236,'Modelling New'!$D:$D,'Modelling New'!$O:$O),"")</f>
        <v>0.75258347743200049</v>
      </c>
      <c r="AF236" s="304">
        <f>IFERROR(_xlfn.XLOOKUP($D236,'Modelling New'!$D:$D,'Modelling New'!$W:$W),"")</f>
        <v>0.17706616816247345</v>
      </c>
      <c r="AG236" s="304">
        <f>IFERROR(_xlfn.XLOOKUP($D236,'Modelling New'!$D:$D,'Modelling New'!$AE:$AE),"")</f>
        <v>0.995</v>
      </c>
      <c r="AH236" s="304">
        <f>IFERROR(_xlfn.XLOOKUP($D236,'Modelling New'!$D:$D,'Modelling New'!$AF:$AF),"")</f>
        <v>0.995</v>
      </c>
      <c r="AI236" s="295"/>
      <c r="AJ236" s="295"/>
      <c r="AK236" s="295"/>
      <c r="AL236" s="295"/>
      <c r="AM236" s="295"/>
      <c r="AN236" s="305"/>
      <c r="AO236" s="302"/>
      <c r="AP236" s="302"/>
      <c r="AQ236" s="302"/>
      <c r="AR236" s="294">
        <f>_xlfn.XLOOKUP($D236,'Modelling New'!$D:$D,'Modelling New'!$N:$N)</f>
        <v>135</v>
      </c>
      <c r="AS236" s="294">
        <f t="shared" si="23"/>
        <v>0</v>
      </c>
    </row>
    <row r="237" spans="1:45">
      <c r="A237" s="293">
        <f t="shared" si="24"/>
        <v>45980</v>
      </c>
      <c r="B237" s="294">
        <f>YEAR(Daily_KPI[[#This Row],[Date]])+IF(MONTH(Daily_KPI[[#This Row],[Date]])&gt;=4,1,0)</f>
        <v>2026</v>
      </c>
      <c r="C237" s="295">
        <f>YEAR(Daily_KPI[[#This Row],[Date]])</f>
        <v>2025</v>
      </c>
      <c r="D237" s="296">
        <f>Daily_KPI[[#This Row],[Date]]-DAY(Daily_KPI[[#This Row],[Date]])+1</f>
        <v>45962</v>
      </c>
      <c r="E237" s="295">
        <f t="shared" si="20"/>
        <v>30</v>
      </c>
      <c r="F237" s="297">
        <f>IFERROR(_xlfn.XLOOKUP($A237,Input_Raw!$A:$A,Input_Raw!$AR:$AR),"")</f>
        <v>0</v>
      </c>
      <c r="G237" s="298">
        <f>IFERROR(_xlfn.XLOOKUP($A237,Input_Raw!$A:$A,Input_Raw!$R:$R),"")</f>
        <v>0</v>
      </c>
      <c r="H237" s="298"/>
      <c r="I237" s="298">
        <f>IFERROR(_xlfn.XLOOKUP($A237,Input_Raw!$A:$A,Input_Raw!$Q:$Q),"")</f>
        <v>0</v>
      </c>
      <c r="J237" s="298"/>
      <c r="K237" s="298">
        <f>IFERROR(_xlfn.XLOOKUP($A237,Input_Raw!$A:$A,Input_Raw!S:S),"")</f>
        <v>0</v>
      </c>
      <c r="L237" s="298">
        <f>IFERROR(_xlfn.XLOOKUP($A237,Input_Raw!$A:$A,Input_Raw!T:T),"")</f>
        <v>0</v>
      </c>
      <c r="M237" s="298">
        <f>IFERROR(_xlfn.XLOOKUP($A237,Input_Raw!$A:$A,Input_Raw!W:W),"")</f>
        <v>0</v>
      </c>
      <c r="N237" s="298">
        <f>IFERROR(_xlfn.XLOOKUP($A237,Input_Raw!$A:$A,Input_Raw!X:X),"")</f>
        <v>0</v>
      </c>
      <c r="O237" s="299" t="str">
        <f>IFERROR(1-(SUMIF(Plant_BD!$B:$B,$A237,Plant_BD!$AL:$AL)/($AA237+SUMIF(Plant_BD!$B:$B,$A237,Plant_BD!$AL:$AL))),"")</f>
        <v/>
      </c>
      <c r="P237" s="299"/>
      <c r="Q237" s="300"/>
      <c r="R237" s="299" t="str">
        <f>IFERROR(1-(SUMIF(Grid_BD!$B:$B,$A237,Grid_BD!$V:$V)/($AA237+SUMIF(Grid_BD!$B:$B,$A237,Grid_BD!$V:$V))),"")</f>
        <v/>
      </c>
      <c r="S237" s="295"/>
      <c r="T237" s="300"/>
      <c r="U237" s="301" t="str">
        <f t="shared" si="21"/>
        <v/>
      </c>
      <c r="V237" s="301" t="str">
        <f>IFERROR(_xlfn.XLOOKUP($A237,Input_Raw!$A:$A,Input_Raw!$AX:$AX),"")</f>
        <v/>
      </c>
      <c r="W237" s="302">
        <f t="shared" si="22"/>
        <v>0</v>
      </c>
      <c r="X237" s="294">
        <f>IFERROR(_xlfn.XLOOKUP($A237,Input_Raw!$A:$A,Input_Raw!$AA:$AA),"")</f>
        <v>0</v>
      </c>
      <c r="Y237" s="294">
        <f>IFERROR(_xlfn.XLOOKUP($A237,Input_Raw!$A:$A,Input_Raw!$AS:$AS),"")</f>
        <v>0</v>
      </c>
      <c r="Z237" s="294"/>
      <c r="AA237" s="294">
        <f>IFERROR(_xlfn.XLOOKUP($A237,Input_Raw!$A:$A,Input_Raw!$AT:$AT),"")</f>
        <v>0</v>
      </c>
      <c r="AB237" s="294">
        <f>IFERROR(_xlfn.XLOOKUP($A237,Input_Raw!$A:$A,Input_Raw!$AU:$AU),"")</f>
        <v>0</v>
      </c>
      <c r="AC237" s="303">
        <f>IFERROR(_xlfn.XLOOKUP($D237,'Modelling New'!$D:$D,'Modelling New'!P:P),"")</f>
        <v>5.6466666666666665</v>
      </c>
      <c r="AD237" s="294">
        <f>IFERROR(_xlfn.XLOOKUP($D237,'Modelling New'!$D:$D,'Modelling New'!T:T)*1000,"")</f>
        <v>573694.38484641397</v>
      </c>
      <c r="AE237" s="304">
        <f>IFERROR(_xlfn.XLOOKUP($D237,'Modelling New'!$D:$D,'Modelling New'!$O:$O),"")</f>
        <v>0.75258347743200049</v>
      </c>
      <c r="AF237" s="304">
        <f>IFERROR(_xlfn.XLOOKUP($D237,'Modelling New'!$D:$D,'Modelling New'!$W:$W),"")</f>
        <v>0.17706616816247345</v>
      </c>
      <c r="AG237" s="304">
        <f>IFERROR(_xlfn.XLOOKUP($D237,'Modelling New'!$D:$D,'Modelling New'!$AE:$AE),"")</f>
        <v>0.995</v>
      </c>
      <c r="AH237" s="304">
        <f>IFERROR(_xlfn.XLOOKUP($D237,'Modelling New'!$D:$D,'Modelling New'!$AF:$AF),"")</f>
        <v>0.995</v>
      </c>
      <c r="AI237" s="295"/>
      <c r="AJ237" s="295"/>
      <c r="AK237" s="295"/>
      <c r="AL237" s="295"/>
      <c r="AM237" s="295"/>
      <c r="AN237" s="305"/>
      <c r="AO237" s="302"/>
      <c r="AP237" s="302"/>
      <c r="AQ237" s="302"/>
      <c r="AR237" s="294">
        <f>_xlfn.XLOOKUP($D237,'Modelling New'!$D:$D,'Modelling New'!$N:$N)</f>
        <v>135</v>
      </c>
      <c r="AS237" s="294">
        <f t="shared" si="23"/>
        <v>0</v>
      </c>
    </row>
    <row r="238" spans="1:45">
      <c r="A238" s="293">
        <f t="shared" si="24"/>
        <v>45981</v>
      </c>
      <c r="B238" s="294">
        <f>YEAR(Daily_KPI[[#This Row],[Date]])+IF(MONTH(Daily_KPI[[#This Row],[Date]])&gt;=4,1,0)</f>
        <v>2026</v>
      </c>
      <c r="C238" s="295">
        <f>YEAR(Daily_KPI[[#This Row],[Date]])</f>
        <v>2025</v>
      </c>
      <c r="D238" s="296">
        <f>Daily_KPI[[#This Row],[Date]]-DAY(Daily_KPI[[#This Row],[Date]])+1</f>
        <v>45962</v>
      </c>
      <c r="E238" s="295">
        <f t="shared" si="20"/>
        <v>30</v>
      </c>
      <c r="F238" s="297">
        <f>IFERROR(_xlfn.XLOOKUP($A238,Input_Raw!$A:$A,Input_Raw!$AR:$AR),"")</f>
        <v>0</v>
      </c>
      <c r="G238" s="298">
        <f>IFERROR(_xlfn.XLOOKUP($A238,Input_Raw!$A:$A,Input_Raw!$R:$R),"")</f>
        <v>0</v>
      </c>
      <c r="H238" s="298"/>
      <c r="I238" s="298">
        <f>IFERROR(_xlfn.XLOOKUP($A238,Input_Raw!$A:$A,Input_Raw!$Q:$Q),"")</f>
        <v>0</v>
      </c>
      <c r="J238" s="298"/>
      <c r="K238" s="298">
        <f>IFERROR(_xlfn.XLOOKUP($A238,Input_Raw!$A:$A,Input_Raw!S:S),"")</f>
        <v>0</v>
      </c>
      <c r="L238" s="298">
        <f>IFERROR(_xlfn.XLOOKUP($A238,Input_Raw!$A:$A,Input_Raw!T:T),"")</f>
        <v>0</v>
      </c>
      <c r="M238" s="298">
        <f>IFERROR(_xlfn.XLOOKUP($A238,Input_Raw!$A:$A,Input_Raw!W:W),"")</f>
        <v>0</v>
      </c>
      <c r="N238" s="298">
        <f>IFERROR(_xlfn.XLOOKUP($A238,Input_Raw!$A:$A,Input_Raw!X:X),"")</f>
        <v>0</v>
      </c>
      <c r="O238" s="299" t="str">
        <f>IFERROR(1-(SUMIF(Plant_BD!$B:$B,$A238,Plant_BD!$AL:$AL)/($AA238+SUMIF(Plant_BD!$B:$B,$A238,Plant_BD!$AL:$AL))),"")</f>
        <v/>
      </c>
      <c r="P238" s="299"/>
      <c r="Q238" s="300"/>
      <c r="R238" s="299" t="str">
        <f>IFERROR(1-(SUMIF(Grid_BD!$B:$B,$A238,Grid_BD!$V:$V)/($AA238+SUMIF(Grid_BD!$B:$B,$A238,Grid_BD!$V:$V))),"")</f>
        <v/>
      </c>
      <c r="S238" s="295"/>
      <c r="T238" s="300"/>
      <c r="U238" s="301" t="str">
        <f t="shared" si="21"/>
        <v/>
      </c>
      <c r="V238" s="301" t="str">
        <f>IFERROR(_xlfn.XLOOKUP($A238,Input_Raw!$A:$A,Input_Raw!$AX:$AX),"")</f>
        <v/>
      </c>
      <c r="W238" s="302">
        <f t="shared" si="22"/>
        <v>0</v>
      </c>
      <c r="X238" s="294">
        <f>IFERROR(_xlfn.XLOOKUP($A238,Input_Raw!$A:$A,Input_Raw!$AA:$AA),"")</f>
        <v>0</v>
      </c>
      <c r="Y238" s="294">
        <f>IFERROR(_xlfn.XLOOKUP($A238,Input_Raw!$A:$A,Input_Raw!$AS:$AS),"")</f>
        <v>0</v>
      </c>
      <c r="Z238" s="294"/>
      <c r="AA238" s="294">
        <f>IFERROR(_xlfn.XLOOKUP($A238,Input_Raw!$A:$A,Input_Raw!$AT:$AT),"")</f>
        <v>0</v>
      </c>
      <c r="AB238" s="294">
        <f>IFERROR(_xlfn.XLOOKUP($A238,Input_Raw!$A:$A,Input_Raw!$AU:$AU),"")</f>
        <v>0</v>
      </c>
      <c r="AC238" s="303">
        <f>IFERROR(_xlfn.XLOOKUP($D238,'Modelling New'!$D:$D,'Modelling New'!P:P),"")</f>
        <v>5.6466666666666665</v>
      </c>
      <c r="AD238" s="294">
        <f>IFERROR(_xlfn.XLOOKUP($D238,'Modelling New'!$D:$D,'Modelling New'!T:T)*1000,"")</f>
        <v>573694.38484641397</v>
      </c>
      <c r="AE238" s="304">
        <f>IFERROR(_xlfn.XLOOKUP($D238,'Modelling New'!$D:$D,'Modelling New'!$O:$O),"")</f>
        <v>0.75258347743200049</v>
      </c>
      <c r="AF238" s="304">
        <f>IFERROR(_xlfn.XLOOKUP($D238,'Modelling New'!$D:$D,'Modelling New'!$W:$W),"")</f>
        <v>0.17706616816247345</v>
      </c>
      <c r="AG238" s="304">
        <f>IFERROR(_xlfn.XLOOKUP($D238,'Modelling New'!$D:$D,'Modelling New'!$AE:$AE),"")</f>
        <v>0.995</v>
      </c>
      <c r="AH238" s="304">
        <f>IFERROR(_xlfn.XLOOKUP($D238,'Modelling New'!$D:$D,'Modelling New'!$AF:$AF),"")</f>
        <v>0.995</v>
      </c>
      <c r="AI238" s="295"/>
      <c r="AJ238" s="295"/>
      <c r="AK238" s="295"/>
      <c r="AL238" s="295"/>
      <c r="AM238" s="295"/>
      <c r="AN238" s="305"/>
      <c r="AO238" s="302"/>
      <c r="AP238" s="302"/>
      <c r="AQ238" s="302"/>
      <c r="AR238" s="294">
        <f>_xlfn.XLOOKUP($D238,'Modelling New'!$D:$D,'Modelling New'!$N:$N)</f>
        <v>135</v>
      </c>
      <c r="AS238" s="294">
        <f t="shared" si="23"/>
        <v>0</v>
      </c>
    </row>
    <row r="239" spans="1:45">
      <c r="A239" s="293">
        <f t="shared" si="24"/>
        <v>45982</v>
      </c>
      <c r="B239" s="294">
        <f>YEAR(Daily_KPI[[#This Row],[Date]])+IF(MONTH(Daily_KPI[[#This Row],[Date]])&gt;=4,1,0)</f>
        <v>2026</v>
      </c>
      <c r="C239" s="295">
        <f>YEAR(Daily_KPI[[#This Row],[Date]])</f>
        <v>2025</v>
      </c>
      <c r="D239" s="296">
        <f>Daily_KPI[[#This Row],[Date]]-DAY(Daily_KPI[[#This Row],[Date]])+1</f>
        <v>45962</v>
      </c>
      <c r="E239" s="295">
        <f t="shared" si="20"/>
        <v>30</v>
      </c>
      <c r="F239" s="297">
        <f>IFERROR(_xlfn.XLOOKUP($A239,Input_Raw!$A:$A,Input_Raw!$AR:$AR),"")</f>
        <v>0</v>
      </c>
      <c r="G239" s="298">
        <f>IFERROR(_xlfn.XLOOKUP($A239,Input_Raw!$A:$A,Input_Raw!$R:$R),"")</f>
        <v>0</v>
      </c>
      <c r="H239" s="298"/>
      <c r="I239" s="298">
        <f>IFERROR(_xlfn.XLOOKUP($A239,Input_Raw!$A:$A,Input_Raw!$Q:$Q),"")</f>
        <v>0</v>
      </c>
      <c r="J239" s="298"/>
      <c r="K239" s="298">
        <f>IFERROR(_xlfn.XLOOKUP($A239,Input_Raw!$A:$A,Input_Raw!S:S),"")</f>
        <v>0</v>
      </c>
      <c r="L239" s="298">
        <f>IFERROR(_xlfn.XLOOKUP($A239,Input_Raw!$A:$A,Input_Raw!T:T),"")</f>
        <v>0</v>
      </c>
      <c r="M239" s="298">
        <f>IFERROR(_xlfn.XLOOKUP($A239,Input_Raw!$A:$A,Input_Raw!W:W),"")</f>
        <v>0</v>
      </c>
      <c r="N239" s="298">
        <f>IFERROR(_xlfn.XLOOKUP($A239,Input_Raw!$A:$A,Input_Raw!X:X),"")</f>
        <v>0</v>
      </c>
      <c r="O239" s="299" t="str">
        <f>IFERROR(1-(SUMIF(Plant_BD!$B:$B,$A239,Plant_BD!$AL:$AL)/($AA239+SUMIF(Plant_BD!$B:$B,$A239,Plant_BD!$AL:$AL))),"")</f>
        <v/>
      </c>
      <c r="P239" s="299"/>
      <c r="Q239" s="300"/>
      <c r="R239" s="299" t="str">
        <f>IFERROR(1-(SUMIF(Grid_BD!$B:$B,$A239,Grid_BD!$V:$V)/($AA239+SUMIF(Grid_BD!$B:$B,$A239,Grid_BD!$V:$V))),"")</f>
        <v/>
      </c>
      <c r="S239" s="295"/>
      <c r="T239" s="300"/>
      <c r="U239" s="301" t="str">
        <f t="shared" si="21"/>
        <v/>
      </c>
      <c r="V239" s="301" t="str">
        <f>IFERROR(_xlfn.XLOOKUP($A239,Input_Raw!$A:$A,Input_Raw!$AX:$AX),"")</f>
        <v/>
      </c>
      <c r="W239" s="302">
        <f t="shared" si="22"/>
        <v>0</v>
      </c>
      <c r="X239" s="294">
        <f>IFERROR(_xlfn.XLOOKUP($A239,Input_Raw!$A:$A,Input_Raw!$AA:$AA),"")</f>
        <v>0</v>
      </c>
      <c r="Y239" s="294">
        <f>IFERROR(_xlfn.XLOOKUP($A239,Input_Raw!$A:$A,Input_Raw!$AS:$AS),"")</f>
        <v>0</v>
      </c>
      <c r="Z239" s="294"/>
      <c r="AA239" s="294">
        <f>IFERROR(_xlfn.XLOOKUP($A239,Input_Raw!$A:$A,Input_Raw!$AT:$AT),"")</f>
        <v>0</v>
      </c>
      <c r="AB239" s="294">
        <f>IFERROR(_xlfn.XLOOKUP($A239,Input_Raw!$A:$A,Input_Raw!$AU:$AU),"")</f>
        <v>0</v>
      </c>
      <c r="AC239" s="303">
        <f>IFERROR(_xlfn.XLOOKUP($D239,'Modelling New'!$D:$D,'Modelling New'!P:P),"")</f>
        <v>5.6466666666666665</v>
      </c>
      <c r="AD239" s="294">
        <f>IFERROR(_xlfn.XLOOKUP($D239,'Modelling New'!$D:$D,'Modelling New'!T:T)*1000,"")</f>
        <v>573694.38484641397</v>
      </c>
      <c r="AE239" s="304">
        <f>IFERROR(_xlfn.XLOOKUP($D239,'Modelling New'!$D:$D,'Modelling New'!$O:$O),"")</f>
        <v>0.75258347743200049</v>
      </c>
      <c r="AF239" s="304">
        <f>IFERROR(_xlfn.XLOOKUP($D239,'Modelling New'!$D:$D,'Modelling New'!$W:$W),"")</f>
        <v>0.17706616816247345</v>
      </c>
      <c r="AG239" s="304">
        <f>IFERROR(_xlfn.XLOOKUP($D239,'Modelling New'!$D:$D,'Modelling New'!$AE:$AE),"")</f>
        <v>0.995</v>
      </c>
      <c r="AH239" s="304">
        <f>IFERROR(_xlfn.XLOOKUP($D239,'Modelling New'!$D:$D,'Modelling New'!$AF:$AF),"")</f>
        <v>0.995</v>
      </c>
      <c r="AI239" s="295"/>
      <c r="AJ239" s="295"/>
      <c r="AK239" s="295"/>
      <c r="AL239" s="295"/>
      <c r="AM239" s="295"/>
      <c r="AN239" s="305"/>
      <c r="AO239" s="302"/>
      <c r="AP239" s="302"/>
      <c r="AQ239" s="302"/>
      <c r="AR239" s="294">
        <f>_xlfn.XLOOKUP($D239,'Modelling New'!$D:$D,'Modelling New'!$N:$N)</f>
        <v>135</v>
      </c>
      <c r="AS239" s="294">
        <f t="shared" si="23"/>
        <v>0</v>
      </c>
    </row>
    <row r="240" spans="1:45">
      <c r="A240" s="293">
        <f t="shared" si="24"/>
        <v>45983</v>
      </c>
      <c r="B240" s="294">
        <f>YEAR(Daily_KPI[[#This Row],[Date]])+IF(MONTH(Daily_KPI[[#This Row],[Date]])&gt;=4,1,0)</f>
        <v>2026</v>
      </c>
      <c r="C240" s="295">
        <f>YEAR(Daily_KPI[[#This Row],[Date]])</f>
        <v>2025</v>
      </c>
      <c r="D240" s="296">
        <f>Daily_KPI[[#This Row],[Date]]-DAY(Daily_KPI[[#This Row],[Date]])+1</f>
        <v>45962</v>
      </c>
      <c r="E240" s="295">
        <f t="shared" si="20"/>
        <v>30</v>
      </c>
      <c r="F240" s="297">
        <f>IFERROR(_xlfn.XLOOKUP($A240,Input_Raw!$A:$A,Input_Raw!$AR:$AR),"")</f>
        <v>0</v>
      </c>
      <c r="G240" s="298">
        <f>IFERROR(_xlfn.XLOOKUP($A240,Input_Raw!$A:$A,Input_Raw!$R:$R),"")</f>
        <v>0</v>
      </c>
      <c r="H240" s="298"/>
      <c r="I240" s="298">
        <f>IFERROR(_xlfn.XLOOKUP($A240,Input_Raw!$A:$A,Input_Raw!$Q:$Q),"")</f>
        <v>0</v>
      </c>
      <c r="J240" s="298"/>
      <c r="K240" s="298">
        <f>IFERROR(_xlfn.XLOOKUP($A240,Input_Raw!$A:$A,Input_Raw!S:S),"")</f>
        <v>0</v>
      </c>
      <c r="L240" s="298">
        <f>IFERROR(_xlfn.XLOOKUP($A240,Input_Raw!$A:$A,Input_Raw!T:T),"")</f>
        <v>0</v>
      </c>
      <c r="M240" s="298">
        <f>IFERROR(_xlfn.XLOOKUP($A240,Input_Raw!$A:$A,Input_Raw!W:W),"")</f>
        <v>0</v>
      </c>
      <c r="N240" s="298">
        <f>IFERROR(_xlfn.XLOOKUP($A240,Input_Raw!$A:$A,Input_Raw!X:X),"")</f>
        <v>0</v>
      </c>
      <c r="O240" s="299" t="str">
        <f>IFERROR(1-(SUMIF(Plant_BD!$B:$B,$A240,Plant_BD!$AL:$AL)/($AA240+SUMIF(Plant_BD!$B:$B,$A240,Plant_BD!$AL:$AL))),"")</f>
        <v/>
      </c>
      <c r="P240" s="299"/>
      <c r="Q240" s="300"/>
      <c r="R240" s="299" t="str">
        <f>IFERROR(1-(SUMIF(Grid_BD!$B:$B,$A240,Grid_BD!$V:$V)/($AA240+SUMIF(Grid_BD!$B:$B,$A240,Grid_BD!$V:$V))),"")</f>
        <v/>
      </c>
      <c r="S240" s="295"/>
      <c r="T240" s="300"/>
      <c r="U240" s="301" t="str">
        <f t="shared" si="21"/>
        <v/>
      </c>
      <c r="V240" s="301" t="str">
        <f>IFERROR(_xlfn.XLOOKUP($A240,Input_Raw!$A:$A,Input_Raw!$AX:$AX),"")</f>
        <v/>
      </c>
      <c r="W240" s="302">
        <f t="shared" si="22"/>
        <v>0</v>
      </c>
      <c r="X240" s="294">
        <f>IFERROR(_xlfn.XLOOKUP($A240,Input_Raw!$A:$A,Input_Raw!$AA:$AA),"")</f>
        <v>0</v>
      </c>
      <c r="Y240" s="294">
        <f>IFERROR(_xlfn.XLOOKUP($A240,Input_Raw!$A:$A,Input_Raw!$AS:$AS),"")</f>
        <v>0</v>
      </c>
      <c r="Z240" s="294"/>
      <c r="AA240" s="294">
        <f>IFERROR(_xlfn.XLOOKUP($A240,Input_Raw!$A:$A,Input_Raw!$AT:$AT),"")</f>
        <v>0</v>
      </c>
      <c r="AB240" s="294">
        <f>IFERROR(_xlfn.XLOOKUP($A240,Input_Raw!$A:$A,Input_Raw!$AU:$AU),"")</f>
        <v>0</v>
      </c>
      <c r="AC240" s="303">
        <f>IFERROR(_xlfn.XLOOKUP($D240,'Modelling New'!$D:$D,'Modelling New'!P:P),"")</f>
        <v>5.6466666666666665</v>
      </c>
      <c r="AD240" s="294">
        <f>IFERROR(_xlfn.XLOOKUP($D240,'Modelling New'!$D:$D,'Modelling New'!T:T)*1000,"")</f>
        <v>573694.38484641397</v>
      </c>
      <c r="AE240" s="304">
        <f>IFERROR(_xlfn.XLOOKUP($D240,'Modelling New'!$D:$D,'Modelling New'!$O:$O),"")</f>
        <v>0.75258347743200049</v>
      </c>
      <c r="AF240" s="304">
        <f>IFERROR(_xlfn.XLOOKUP($D240,'Modelling New'!$D:$D,'Modelling New'!$W:$W),"")</f>
        <v>0.17706616816247345</v>
      </c>
      <c r="AG240" s="304">
        <f>IFERROR(_xlfn.XLOOKUP($D240,'Modelling New'!$D:$D,'Modelling New'!$AE:$AE),"")</f>
        <v>0.995</v>
      </c>
      <c r="AH240" s="304">
        <f>IFERROR(_xlfn.XLOOKUP($D240,'Modelling New'!$D:$D,'Modelling New'!$AF:$AF),"")</f>
        <v>0.995</v>
      </c>
      <c r="AI240" s="295"/>
      <c r="AJ240" s="295"/>
      <c r="AK240" s="295"/>
      <c r="AL240" s="295"/>
      <c r="AM240" s="295"/>
      <c r="AN240" s="305"/>
      <c r="AO240" s="302"/>
      <c r="AP240" s="302"/>
      <c r="AQ240" s="302"/>
      <c r="AR240" s="294">
        <f>_xlfn.XLOOKUP($D240,'Modelling New'!$D:$D,'Modelling New'!$N:$N)</f>
        <v>135</v>
      </c>
      <c r="AS240" s="294">
        <f t="shared" si="23"/>
        <v>0</v>
      </c>
    </row>
    <row r="241" spans="1:45">
      <c r="A241" s="293">
        <f t="shared" si="24"/>
        <v>45984</v>
      </c>
      <c r="B241" s="294">
        <f>YEAR(Daily_KPI[[#This Row],[Date]])+IF(MONTH(Daily_KPI[[#This Row],[Date]])&gt;=4,1,0)</f>
        <v>2026</v>
      </c>
      <c r="C241" s="295">
        <f>YEAR(Daily_KPI[[#This Row],[Date]])</f>
        <v>2025</v>
      </c>
      <c r="D241" s="296">
        <f>Daily_KPI[[#This Row],[Date]]-DAY(Daily_KPI[[#This Row],[Date]])+1</f>
        <v>45962</v>
      </c>
      <c r="E241" s="295">
        <f t="shared" si="20"/>
        <v>30</v>
      </c>
      <c r="F241" s="297">
        <f>IFERROR(_xlfn.XLOOKUP($A241,Input_Raw!$A:$A,Input_Raw!$AR:$AR),"")</f>
        <v>0</v>
      </c>
      <c r="G241" s="298">
        <f>IFERROR(_xlfn.XLOOKUP($A241,Input_Raw!$A:$A,Input_Raw!$R:$R),"")</f>
        <v>0</v>
      </c>
      <c r="H241" s="298"/>
      <c r="I241" s="298">
        <f>IFERROR(_xlfn.XLOOKUP($A241,Input_Raw!$A:$A,Input_Raw!$Q:$Q),"")</f>
        <v>0</v>
      </c>
      <c r="J241" s="298"/>
      <c r="K241" s="298">
        <f>IFERROR(_xlfn.XLOOKUP($A241,Input_Raw!$A:$A,Input_Raw!S:S),"")</f>
        <v>0</v>
      </c>
      <c r="L241" s="298">
        <f>IFERROR(_xlfn.XLOOKUP($A241,Input_Raw!$A:$A,Input_Raw!T:T),"")</f>
        <v>0</v>
      </c>
      <c r="M241" s="298">
        <f>IFERROR(_xlfn.XLOOKUP($A241,Input_Raw!$A:$A,Input_Raw!W:W),"")</f>
        <v>0</v>
      </c>
      <c r="N241" s="298">
        <f>IFERROR(_xlfn.XLOOKUP($A241,Input_Raw!$A:$A,Input_Raw!X:X),"")</f>
        <v>0</v>
      </c>
      <c r="O241" s="299" t="str">
        <f>IFERROR(1-(SUMIF(Plant_BD!$B:$B,$A241,Plant_BD!$AL:$AL)/($AA241+SUMIF(Plant_BD!$B:$B,$A241,Plant_BD!$AL:$AL))),"")</f>
        <v/>
      </c>
      <c r="P241" s="299"/>
      <c r="Q241" s="300"/>
      <c r="R241" s="299" t="str">
        <f>IFERROR(1-(SUMIF(Grid_BD!$B:$B,$A241,Grid_BD!$V:$V)/($AA241+SUMIF(Grid_BD!$B:$B,$A241,Grid_BD!$V:$V))),"")</f>
        <v/>
      </c>
      <c r="S241" s="295"/>
      <c r="T241" s="300"/>
      <c r="U241" s="301" t="str">
        <f t="shared" si="21"/>
        <v/>
      </c>
      <c r="V241" s="301" t="str">
        <f>IFERROR(_xlfn.XLOOKUP($A241,Input_Raw!$A:$A,Input_Raw!$AX:$AX),"")</f>
        <v/>
      </c>
      <c r="W241" s="302">
        <f t="shared" si="22"/>
        <v>0</v>
      </c>
      <c r="X241" s="294">
        <f>IFERROR(_xlfn.XLOOKUP($A241,Input_Raw!$A:$A,Input_Raw!$AA:$AA),"")</f>
        <v>0</v>
      </c>
      <c r="Y241" s="294">
        <f>IFERROR(_xlfn.XLOOKUP($A241,Input_Raw!$A:$A,Input_Raw!$AS:$AS),"")</f>
        <v>0</v>
      </c>
      <c r="Z241" s="294"/>
      <c r="AA241" s="294">
        <f>IFERROR(_xlfn.XLOOKUP($A241,Input_Raw!$A:$A,Input_Raw!$AT:$AT),"")</f>
        <v>0</v>
      </c>
      <c r="AB241" s="294">
        <f>IFERROR(_xlfn.XLOOKUP($A241,Input_Raw!$A:$A,Input_Raw!$AU:$AU),"")</f>
        <v>0</v>
      </c>
      <c r="AC241" s="303">
        <f>IFERROR(_xlfn.XLOOKUP($D241,'Modelling New'!$D:$D,'Modelling New'!P:P),"")</f>
        <v>5.6466666666666665</v>
      </c>
      <c r="AD241" s="294">
        <f>IFERROR(_xlfn.XLOOKUP($D241,'Modelling New'!$D:$D,'Modelling New'!T:T)*1000,"")</f>
        <v>573694.38484641397</v>
      </c>
      <c r="AE241" s="304">
        <f>IFERROR(_xlfn.XLOOKUP($D241,'Modelling New'!$D:$D,'Modelling New'!$O:$O),"")</f>
        <v>0.75258347743200049</v>
      </c>
      <c r="AF241" s="304">
        <f>IFERROR(_xlfn.XLOOKUP($D241,'Modelling New'!$D:$D,'Modelling New'!$W:$W),"")</f>
        <v>0.17706616816247345</v>
      </c>
      <c r="AG241" s="304">
        <f>IFERROR(_xlfn.XLOOKUP($D241,'Modelling New'!$D:$D,'Modelling New'!$AE:$AE),"")</f>
        <v>0.995</v>
      </c>
      <c r="AH241" s="304">
        <f>IFERROR(_xlfn.XLOOKUP($D241,'Modelling New'!$D:$D,'Modelling New'!$AF:$AF),"")</f>
        <v>0.995</v>
      </c>
      <c r="AI241" s="295"/>
      <c r="AJ241" s="295"/>
      <c r="AK241" s="295"/>
      <c r="AL241" s="295"/>
      <c r="AM241" s="295"/>
      <c r="AN241" s="305"/>
      <c r="AO241" s="302"/>
      <c r="AP241" s="302"/>
      <c r="AQ241" s="302"/>
      <c r="AR241" s="294">
        <f>_xlfn.XLOOKUP($D241,'Modelling New'!$D:$D,'Modelling New'!$N:$N)</f>
        <v>135</v>
      </c>
      <c r="AS241" s="294">
        <f t="shared" si="23"/>
        <v>0</v>
      </c>
    </row>
    <row r="242" spans="1:45">
      <c r="A242" s="293">
        <f t="shared" si="24"/>
        <v>45985</v>
      </c>
      <c r="B242" s="294">
        <f>YEAR(Daily_KPI[[#This Row],[Date]])+IF(MONTH(Daily_KPI[[#This Row],[Date]])&gt;=4,1,0)</f>
        <v>2026</v>
      </c>
      <c r="C242" s="295">
        <f>YEAR(Daily_KPI[[#This Row],[Date]])</f>
        <v>2025</v>
      </c>
      <c r="D242" s="296">
        <f>Daily_KPI[[#This Row],[Date]]-DAY(Daily_KPI[[#This Row],[Date]])+1</f>
        <v>45962</v>
      </c>
      <c r="E242" s="295">
        <f t="shared" si="20"/>
        <v>30</v>
      </c>
      <c r="F242" s="297">
        <f>IFERROR(_xlfn.XLOOKUP($A242,Input_Raw!$A:$A,Input_Raw!$AR:$AR),"")</f>
        <v>0</v>
      </c>
      <c r="G242" s="298">
        <f>IFERROR(_xlfn.XLOOKUP($A242,Input_Raw!$A:$A,Input_Raw!$R:$R),"")</f>
        <v>0</v>
      </c>
      <c r="H242" s="298"/>
      <c r="I242" s="298">
        <f>IFERROR(_xlfn.XLOOKUP($A242,Input_Raw!$A:$A,Input_Raw!$Q:$Q),"")</f>
        <v>0</v>
      </c>
      <c r="J242" s="298"/>
      <c r="K242" s="298">
        <f>IFERROR(_xlfn.XLOOKUP($A242,Input_Raw!$A:$A,Input_Raw!S:S),"")</f>
        <v>0</v>
      </c>
      <c r="L242" s="298">
        <f>IFERROR(_xlfn.XLOOKUP($A242,Input_Raw!$A:$A,Input_Raw!T:T),"")</f>
        <v>0</v>
      </c>
      <c r="M242" s="298">
        <f>IFERROR(_xlfn.XLOOKUP($A242,Input_Raw!$A:$A,Input_Raw!W:W),"")</f>
        <v>0</v>
      </c>
      <c r="N242" s="298">
        <f>IFERROR(_xlfn.XLOOKUP($A242,Input_Raw!$A:$A,Input_Raw!X:X),"")</f>
        <v>0</v>
      </c>
      <c r="O242" s="299" t="str">
        <f>IFERROR(1-(SUMIF(Plant_BD!$B:$B,$A242,Plant_BD!$AL:$AL)/($AA242+SUMIF(Plant_BD!$B:$B,$A242,Plant_BD!$AL:$AL))),"")</f>
        <v/>
      </c>
      <c r="P242" s="299"/>
      <c r="Q242" s="300"/>
      <c r="R242" s="299" t="str">
        <f>IFERROR(1-(SUMIF(Grid_BD!$B:$B,$A242,Grid_BD!$V:$V)/($AA242+SUMIF(Grid_BD!$B:$B,$A242,Grid_BD!$V:$V))),"")</f>
        <v/>
      </c>
      <c r="S242" s="295"/>
      <c r="T242" s="300"/>
      <c r="U242" s="301" t="str">
        <f t="shared" si="21"/>
        <v/>
      </c>
      <c r="V242" s="301" t="str">
        <f>IFERROR(_xlfn.XLOOKUP($A242,Input_Raw!$A:$A,Input_Raw!$AX:$AX),"")</f>
        <v/>
      </c>
      <c r="W242" s="302">
        <f t="shared" si="22"/>
        <v>0</v>
      </c>
      <c r="X242" s="294">
        <f>IFERROR(_xlfn.XLOOKUP($A242,Input_Raw!$A:$A,Input_Raw!$AA:$AA),"")</f>
        <v>0</v>
      </c>
      <c r="Y242" s="294">
        <f>IFERROR(_xlfn.XLOOKUP($A242,Input_Raw!$A:$A,Input_Raw!$AS:$AS),"")</f>
        <v>0</v>
      </c>
      <c r="Z242" s="294"/>
      <c r="AA242" s="294">
        <f>IFERROR(_xlfn.XLOOKUP($A242,Input_Raw!$A:$A,Input_Raw!$AT:$AT),"")</f>
        <v>0</v>
      </c>
      <c r="AB242" s="294">
        <f>IFERROR(_xlfn.XLOOKUP($A242,Input_Raw!$A:$A,Input_Raw!$AU:$AU),"")</f>
        <v>0</v>
      </c>
      <c r="AC242" s="303">
        <f>IFERROR(_xlfn.XLOOKUP($D242,'Modelling New'!$D:$D,'Modelling New'!P:P),"")</f>
        <v>5.6466666666666665</v>
      </c>
      <c r="AD242" s="294">
        <f>IFERROR(_xlfn.XLOOKUP($D242,'Modelling New'!$D:$D,'Modelling New'!T:T)*1000,"")</f>
        <v>573694.38484641397</v>
      </c>
      <c r="AE242" s="304">
        <f>IFERROR(_xlfn.XLOOKUP($D242,'Modelling New'!$D:$D,'Modelling New'!$O:$O),"")</f>
        <v>0.75258347743200049</v>
      </c>
      <c r="AF242" s="304">
        <f>IFERROR(_xlfn.XLOOKUP($D242,'Modelling New'!$D:$D,'Modelling New'!$W:$W),"")</f>
        <v>0.17706616816247345</v>
      </c>
      <c r="AG242" s="304">
        <f>IFERROR(_xlfn.XLOOKUP($D242,'Modelling New'!$D:$D,'Modelling New'!$AE:$AE),"")</f>
        <v>0.995</v>
      </c>
      <c r="AH242" s="304">
        <f>IFERROR(_xlfn.XLOOKUP($D242,'Modelling New'!$D:$D,'Modelling New'!$AF:$AF),"")</f>
        <v>0.995</v>
      </c>
      <c r="AI242" s="295"/>
      <c r="AJ242" s="295"/>
      <c r="AK242" s="295"/>
      <c r="AL242" s="295"/>
      <c r="AM242" s="295"/>
      <c r="AN242" s="305"/>
      <c r="AO242" s="302"/>
      <c r="AP242" s="302"/>
      <c r="AQ242" s="302"/>
      <c r="AR242" s="294">
        <f>_xlfn.XLOOKUP($D242,'Modelling New'!$D:$D,'Modelling New'!$N:$N)</f>
        <v>135</v>
      </c>
      <c r="AS242" s="294">
        <f t="shared" si="23"/>
        <v>0</v>
      </c>
    </row>
    <row r="243" spans="1:45">
      <c r="A243" s="293">
        <f t="shared" si="24"/>
        <v>45986</v>
      </c>
      <c r="B243" s="294">
        <f>YEAR(Daily_KPI[[#This Row],[Date]])+IF(MONTH(Daily_KPI[[#This Row],[Date]])&gt;=4,1,0)</f>
        <v>2026</v>
      </c>
      <c r="C243" s="295">
        <f>YEAR(Daily_KPI[[#This Row],[Date]])</f>
        <v>2025</v>
      </c>
      <c r="D243" s="296">
        <f>Daily_KPI[[#This Row],[Date]]-DAY(Daily_KPI[[#This Row],[Date]])+1</f>
        <v>45962</v>
      </c>
      <c r="E243" s="295">
        <f t="shared" si="20"/>
        <v>30</v>
      </c>
      <c r="F243" s="297">
        <f>IFERROR(_xlfn.XLOOKUP($A243,Input_Raw!$A:$A,Input_Raw!$AR:$AR),"")</f>
        <v>0</v>
      </c>
      <c r="G243" s="298">
        <f>IFERROR(_xlfn.XLOOKUP($A243,Input_Raw!$A:$A,Input_Raw!$R:$R),"")</f>
        <v>0</v>
      </c>
      <c r="H243" s="298"/>
      <c r="I243" s="298">
        <f>IFERROR(_xlfn.XLOOKUP($A243,Input_Raw!$A:$A,Input_Raw!$Q:$Q),"")</f>
        <v>0</v>
      </c>
      <c r="J243" s="298"/>
      <c r="K243" s="298">
        <f>IFERROR(_xlfn.XLOOKUP($A243,Input_Raw!$A:$A,Input_Raw!S:S),"")</f>
        <v>0</v>
      </c>
      <c r="L243" s="298">
        <f>IFERROR(_xlfn.XLOOKUP($A243,Input_Raw!$A:$A,Input_Raw!T:T),"")</f>
        <v>0</v>
      </c>
      <c r="M243" s="298">
        <f>IFERROR(_xlfn.XLOOKUP($A243,Input_Raw!$A:$A,Input_Raw!W:W),"")</f>
        <v>0</v>
      </c>
      <c r="N243" s="298">
        <f>IFERROR(_xlfn.XLOOKUP($A243,Input_Raw!$A:$A,Input_Raw!X:X),"")</f>
        <v>0</v>
      </c>
      <c r="O243" s="299" t="str">
        <f>IFERROR(1-(SUMIF(Plant_BD!$B:$B,$A243,Plant_BD!$AL:$AL)/($AA243+SUMIF(Plant_BD!$B:$B,$A243,Plant_BD!$AL:$AL))),"")</f>
        <v/>
      </c>
      <c r="P243" s="299"/>
      <c r="Q243" s="300"/>
      <c r="R243" s="299" t="str">
        <f>IFERROR(1-(SUMIF(Grid_BD!$B:$B,$A243,Grid_BD!$V:$V)/($AA243+SUMIF(Grid_BD!$B:$B,$A243,Grid_BD!$V:$V))),"")</f>
        <v/>
      </c>
      <c r="S243" s="295"/>
      <c r="T243" s="300"/>
      <c r="U243" s="301" t="str">
        <f t="shared" si="21"/>
        <v/>
      </c>
      <c r="V243" s="301" t="str">
        <f>IFERROR(_xlfn.XLOOKUP($A243,Input_Raw!$A:$A,Input_Raw!$AX:$AX),"")</f>
        <v/>
      </c>
      <c r="W243" s="302">
        <f t="shared" si="22"/>
        <v>0</v>
      </c>
      <c r="X243" s="294">
        <f>IFERROR(_xlfn.XLOOKUP($A243,Input_Raw!$A:$A,Input_Raw!$AA:$AA),"")</f>
        <v>0</v>
      </c>
      <c r="Y243" s="294">
        <f>IFERROR(_xlfn.XLOOKUP($A243,Input_Raw!$A:$A,Input_Raw!$AS:$AS),"")</f>
        <v>0</v>
      </c>
      <c r="Z243" s="294"/>
      <c r="AA243" s="294">
        <f>IFERROR(_xlfn.XLOOKUP($A243,Input_Raw!$A:$A,Input_Raw!$AT:$AT),"")</f>
        <v>0</v>
      </c>
      <c r="AB243" s="294">
        <f>IFERROR(_xlfn.XLOOKUP($A243,Input_Raw!$A:$A,Input_Raw!$AU:$AU),"")</f>
        <v>0</v>
      </c>
      <c r="AC243" s="303">
        <f>IFERROR(_xlfn.XLOOKUP($D243,'Modelling New'!$D:$D,'Modelling New'!P:P),"")</f>
        <v>5.6466666666666665</v>
      </c>
      <c r="AD243" s="294">
        <f>IFERROR(_xlfn.XLOOKUP($D243,'Modelling New'!$D:$D,'Modelling New'!T:T)*1000,"")</f>
        <v>573694.38484641397</v>
      </c>
      <c r="AE243" s="304">
        <f>IFERROR(_xlfn.XLOOKUP($D243,'Modelling New'!$D:$D,'Modelling New'!$O:$O),"")</f>
        <v>0.75258347743200049</v>
      </c>
      <c r="AF243" s="304">
        <f>IFERROR(_xlfn.XLOOKUP($D243,'Modelling New'!$D:$D,'Modelling New'!$W:$W),"")</f>
        <v>0.17706616816247345</v>
      </c>
      <c r="AG243" s="304">
        <f>IFERROR(_xlfn.XLOOKUP($D243,'Modelling New'!$D:$D,'Modelling New'!$AE:$AE),"")</f>
        <v>0.995</v>
      </c>
      <c r="AH243" s="304">
        <f>IFERROR(_xlfn.XLOOKUP($D243,'Modelling New'!$D:$D,'Modelling New'!$AF:$AF),"")</f>
        <v>0.995</v>
      </c>
      <c r="AI243" s="295"/>
      <c r="AJ243" s="295"/>
      <c r="AK243" s="295"/>
      <c r="AL243" s="295"/>
      <c r="AM243" s="295"/>
      <c r="AN243" s="305"/>
      <c r="AO243" s="302"/>
      <c r="AP243" s="302"/>
      <c r="AQ243" s="302"/>
      <c r="AR243" s="294">
        <f>_xlfn.XLOOKUP($D243,'Modelling New'!$D:$D,'Modelling New'!$N:$N)</f>
        <v>135</v>
      </c>
      <c r="AS243" s="294">
        <f t="shared" si="23"/>
        <v>0</v>
      </c>
    </row>
    <row r="244" spans="1:45">
      <c r="A244" s="293">
        <f t="shared" si="24"/>
        <v>45987</v>
      </c>
      <c r="B244" s="294">
        <f>YEAR(Daily_KPI[[#This Row],[Date]])+IF(MONTH(Daily_KPI[[#This Row],[Date]])&gt;=4,1,0)</f>
        <v>2026</v>
      </c>
      <c r="C244" s="295">
        <f>YEAR(Daily_KPI[[#This Row],[Date]])</f>
        <v>2025</v>
      </c>
      <c r="D244" s="296">
        <f>Daily_KPI[[#This Row],[Date]]-DAY(Daily_KPI[[#This Row],[Date]])+1</f>
        <v>45962</v>
      </c>
      <c r="E244" s="295">
        <f t="shared" si="20"/>
        <v>30</v>
      </c>
      <c r="F244" s="297">
        <f>IFERROR(_xlfn.XLOOKUP($A244,Input_Raw!$A:$A,Input_Raw!$AR:$AR),"")</f>
        <v>0</v>
      </c>
      <c r="G244" s="298">
        <f>IFERROR(_xlfn.XLOOKUP($A244,Input_Raw!$A:$A,Input_Raw!$R:$R),"")</f>
        <v>0</v>
      </c>
      <c r="H244" s="298"/>
      <c r="I244" s="298">
        <f>IFERROR(_xlfn.XLOOKUP($A244,Input_Raw!$A:$A,Input_Raw!$Q:$Q),"")</f>
        <v>0</v>
      </c>
      <c r="J244" s="298"/>
      <c r="K244" s="298">
        <f>IFERROR(_xlfn.XLOOKUP($A244,Input_Raw!$A:$A,Input_Raw!S:S),"")</f>
        <v>0</v>
      </c>
      <c r="L244" s="298">
        <f>IFERROR(_xlfn.XLOOKUP($A244,Input_Raw!$A:$A,Input_Raw!T:T),"")</f>
        <v>0</v>
      </c>
      <c r="M244" s="298">
        <f>IFERROR(_xlfn.XLOOKUP($A244,Input_Raw!$A:$A,Input_Raw!W:W),"")</f>
        <v>0</v>
      </c>
      <c r="N244" s="298">
        <f>IFERROR(_xlfn.XLOOKUP($A244,Input_Raw!$A:$A,Input_Raw!X:X),"")</f>
        <v>0</v>
      </c>
      <c r="O244" s="299" t="str">
        <f>IFERROR(1-(SUMIF(Plant_BD!$B:$B,$A244,Plant_BD!$AL:$AL)/($AA244+SUMIF(Plant_BD!$B:$B,$A244,Plant_BD!$AL:$AL))),"")</f>
        <v/>
      </c>
      <c r="P244" s="299"/>
      <c r="Q244" s="300"/>
      <c r="R244" s="299" t="str">
        <f>IFERROR(1-(SUMIF(Grid_BD!$B:$B,$A244,Grid_BD!$V:$V)/($AA244+SUMIF(Grid_BD!$B:$B,$A244,Grid_BD!$V:$V))),"")</f>
        <v/>
      </c>
      <c r="S244" s="295"/>
      <c r="T244" s="300"/>
      <c r="U244" s="301" t="str">
        <f t="shared" si="21"/>
        <v/>
      </c>
      <c r="V244" s="301" t="str">
        <f>IFERROR(_xlfn.XLOOKUP($A244,Input_Raw!$A:$A,Input_Raw!$AX:$AX),"")</f>
        <v/>
      </c>
      <c r="W244" s="302">
        <f t="shared" si="22"/>
        <v>0</v>
      </c>
      <c r="X244" s="294">
        <f>IFERROR(_xlfn.XLOOKUP($A244,Input_Raw!$A:$A,Input_Raw!$AA:$AA),"")</f>
        <v>0</v>
      </c>
      <c r="Y244" s="294">
        <f>IFERROR(_xlfn.XLOOKUP($A244,Input_Raw!$A:$A,Input_Raw!$AS:$AS),"")</f>
        <v>0</v>
      </c>
      <c r="Z244" s="294"/>
      <c r="AA244" s="294">
        <f>IFERROR(_xlfn.XLOOKUP($A244,Input_Raw!$A:$A,Input_Raw!$AT:$AT),"")</f>
        <v>0</v>
      </c>
      <c r="AB244" s="294">
        <f>IFERROR(_xlfn.XLOOKUP($A244,Input_Raw!$A:$A,Input_Raw!$AU:$AU),"")</f>
        <v>0</v>
      </c>
      <c r="AC244" s="303">
        <f>IFERROR(_xlfn.XLOOKUP($D244,'Modelling New'!$D:$D,'Modelling New'!P:P),"")</f>
        <v>5.6466666666666665</v>
      </c>
      <c r="AD244" s="294">
        <f>IFERROR(_xlfn.XLOOKUP($D244,'Modelling New'!$D:$D,'Modelling New'!T:T)*1000,"")</f>
        <v>573694.38484641397</v>
      </c>
      <c r="AE244" s="304">
        <f>IFERROR(_xlfn.XLOOKUP($D244,'Modelling New'!$D:$D,'Modelling New'!$O:$O),"")</f>
        <v>0.75258347743200049</v>
      </c>
      <c r="AF244" s="304">
        <f>IFERROR(_xlfn.XLOOKUP($D244,'Modelling New'!$D:$D,'Modelling New'!$W:$W),"")</f>
        <v>0.17706616816247345</v>
      </c>
      <c r="AG244" s="304">
        <f>IFERROR(_xlfn.XLOOKUP($D244,'Modelling New'!$D:$D,'Modelling New'!$AE:$AE),"")</f>
        <v>0.995</v>
      </c>
      <c r="AH244" s="304">
        <f>IFERROR(_xlfn.XLOOKUP($D244,'Modelling New'!$D:$D,'Modelling New'!$AF:$AF),"")</f>
        <v>0.995</v>
      </c>
      <c r="AI244" s="295"/>
      <c r="AJ244" s="295"/>
      <c r="AK244" s="295"/>
      <c r="AL244" s="295"/>
      <c r="AM244" s="295"/>
      <c r="AN244" s="305"/>
      <c r="AO244" s="302"/>
      <c r="AP244" s="302"/>
      <c r="AQ244" s="302"/>
      <c r="AR244" s="294">
        <f>_xlfn.XLOOKUP($D244,'Modelling New'!$D:$D,'Modelling New'!$N:$N)</f>
        <v>135</v>
      </c>
      <c r="AS244" s="294">
        <f t="shared" si="23"/>
        <v>0</v>
      </c>
    </row>
    <row r="245" spans="1:45">
      <c r="A245" s="293">
        <f t="shared" si="24"/>
        <v>45988</v>
      </c>
      <c r="B245" s="294">
        <f>YEAR(Daily_KPI[[#This Row],[Date]])+IF(MONTH(Daily_KPI[[#This Row],[Date]])&gt;=4,1,0)</f>
        <v>2026</v>
      </c>
      <c r="C245" s="295">
        <f>YEAR(Daily_KPI[[#This Row],[Date]])</f>
        <v>2025</v>
      </c>
      <c r="D245" s="296">
        <f>Daily_KPI[[#This Row],[Date]]-DAY(Daily_KPI[[#This Row],[Date]])+1</f>
        <v>45962</v>
      </c>
      <c r="E245" s="295">
        <f t="shared" si="20"/>
        <v>30</v>
      </c>
      <c r="F245" s="297">
        <f>IFERROR(_xlfn.XLOOKUP($A245,Input_Raw!$A:$A,Input_Raw!$AR:$AR),"")</f>
        <v>0</v>
      </c>
      <c r="G245" s="298">
        <f>IFERROR(_xlfn.XLOOKUP($A245,Input_Raw!$A:$A,Input_Raw!$R:$R),"")</f>
        <v>0</v>
      </c>
      <c r="H245" s="298"/>
      <c r="I245" s="298">
        <f>IFERROR(_xlfn.XLOOKUP($A245,Input_Raw!$A:$A,Input_Raw!$Q:$Q),"")</f>
        <v>0</v>
      </c>
      <c r="J245" s="298"/>
      <c r="K245" s="298">
        <f>IFERROR(_xlfn.XLOOKUP($A245,Input_Raw!$A:$A,Input_Raw!S:S),"")</f>
        <v>0</v>
      </c>
      <c r="L245" s="298">
        <f>IFERROR(_xlfn.XLOOKUP($A245,Input_Raw!$A:$A,Input_Raw!T:T),"")</f>
        <v>0</v>
      </c>
      <c r="M245" s="298">
        <f>IFERROR(_xlfn.XLOOKUP($A245,Input_Raw!$A:$A,Input_Raw!W:W),"")</f>
        <v>0</v>
      </c>
      <c r="N245" s="298">
        <f>IFERROR(_xlfn.XLOOKUP($A245,Input_Raw!$A:$A,Input_Raw!X:X),"")</f>
        <v>0</v>
      </c>
      <c r="O245" s="299" t="str">
        <f>IFERROR(1-(SUMIF(Plant_BD!$B:$B,$A245,Plant_BD!$AL:$AL)/($AA245+SUMIF(Plant_BD!$B:$B,$A245,Plant_BD!$AL:$AL))),"")</f>
        <v/>
      </c>
      <c r="P245" s="299"/>
      <c r="Q245" s="300"/>
      <c r="R245" s="299" t="str">
        <f>IFERROR(1-(SUMIF(Grid_BD!$B:$B,$A245,Grid_BD!$V:$V)/($AA245+SUMIF(Grid_BD!$B:$B,$A245,Grid_BD!$V:$V))),"")</f>
        <v/>
      </c>
      <c r="S245" s="295"/>
      <c r="T245" s="300"/>
      <c r="U245" s="301" t="str">
        <f t="shared" si="21"/>
        <v/>
      </c>
      <c r="V245" s="301" t="str">
        <f>IFERROR(_xlfn.XLOOKUP($A245,Input_Raw!$A:$A,Input_Raw!$AX:$AX),"")</f>
        <v/>
      </c>
      <c r="W245" s="302">
        <f t="shared" si="22"/>
        <v>0</v>
      </c>
      <c r="X245" s="294">
        <f>IFERROR(_xlfn.XLOOKUP($A245,Input_Raw!$A:$A,Input_Raw!$AA:$AA),"")</f>
        <v>0</v>
      </c>
      <c r="Y245" s="294">
        <f>IFERROR(_xlfn.XLOOKUP($A245,Input_Raw!$A:$A,Input_Raw!$AS:$AS),"")</f>
        <v>0</v>
      </c>
      <c r="Z245" s="294"/>
      <c r="AA245" s="294">
        <f>IFERROR(_xlfn.XLOOKUP($A245,Input_Raw!$A:$A,Input_Raw!$AT:$AT),"")</f>
        <v>0</v>
      </c>
      <c r="AB245" s="294">
        <f>IFERROR(_xlfn.XLOOKUP($A245,Input_Raw!$A:$A,Input_Raw!$AU:$AU),"")</f>
        <v>0</v>
      </c>
      <c r="AC245" s="303">
        <f>IFERROR(_xlfn.XLOOKUP($D245,'Modelling New'!$D:$D,'Modelling New'!P:P),"")</f>
        <v>5.6466666666666665</v>
      </c>
      <c r="AD245" s="294">
        <f>IFERROR(_xlfn.XLOOKUP($D245,'Modelling New'!$D:$D,'Modelling New'!T:T)*1000,"")</f>
        <v>573694.38484641397</v>
      </c>
      <c r="AE245" s="304">
        <f>IFERROR(_xlfn.XLOOKUP($D245,'Modelling New'!$D:$D,'Modelling New'!$O:$O),"")</f>
        <v>0.75258347743200049</v>
      </c>
      <c r="AF245" s="304">
        <f>IFERROR(_xlfn.XLOOKUP($D245,'Modelling New'!$D:$D,'Modelling New'!$W:$W),"")</f>
        <v>0.17706616816247345</v>
      </c>
      <c r="AG245" s="304">
        <f>IFERROR(_xlfn.XLOOKUP($D245,'Modelling New'!$D:$D,'Modelling New'!$AE:$AE),"")</f>
        <v>0.995</v>
      </c>
      <c r="AH245" s="304">
        <f>IFERROR(_xlfn.XLOOKUP($D245,'Modelling New'!$D:$D,'Modelling New'!$AF:$AF),"")</f>
        <v>0.995</v>
      </c>
      <c r="AI245" s="295"/>
      <c r="AJ245" s="295"/>
      <c r="AK245" s="295"/>
      <c r="AL245" s="295"/>
      <c r="AM245" s="295"/>
      <c r="AN245" s="305"/>
      <c r="AO245" s="302"/>
      <c r="AP245" s="302"/>
      <c r="AQ245" s="302"/>
      <c r="AR245" s="294">
        <f>_xlfn.XLOOKUP($D245,'Modelling New'!$D:$D,'Modelling New'!$N:$N)</f>
        <v>135</v>
      </c>
      <c r="AS245" s="294">
        <f t="shared" si="23"/>
        <v>0</v>
      </c>
    </row>
    <row r="246" spans="1:45">
      <c r="A246" s="293">
        <f t="shared" si="24"/>
        <v>45989</v>
      </c>
      <c r="B246" s="294">
        <f>YEAR(Daily_KPI[[#This Row],[Date]])+IF(MONTH(Daily_KPI[[#This Row],[Date]])&gt;=4,1,0)</f>
        <v>2026</v>
      </c>
      <c r="C246" s="295">
        <f>YEAR(Daily_KPI[[#This Row],[Date]])</f>
        <v>2025</v>
      </c>
      <c r="D246" s="296">
        <f>Daily_KPI[[#This Row],[Date]]-DAY(Daily_KPI[[#This Row],[Date]])+1</f>
        <v>45962</v>
      </c>
      <c r="E246" s="295">
        <f t="shared" si="20"/>
        <v>30</v>
      </c>
      <c r="F246" s="297">
        <f>IFERROR(_xlfn.XLOOKUP($A246,Input_Raw!$A:$A,Input_Raw!$AR:$AR),"")</f>
        <v>0</v>
      </c>
      <c r="G246" s="298">
        <f>IFERROR(_xlfn.XLOOKUP($A246,Input_Raw!$A:$A,Input_Raw!$R:$R),"")</f>
        <v>0</v>
      </c>
      <c r="H246" s="298"/>
      <c r="I246" s="298">
        <f>IFERROR(_xlfn.XLOOKUP($A246,Input_Raw!$A:$A,Input_Raw!$Q:$Q),"")</f>
        <v>0</v>
      </c>
      <c r="J246" s="298"/>
      <c r="K246" s="298">
        <f>IFERROR(_xlfn.XLOOKUP($A246,Input_Raw!$A:$A,Input_Raw!S:S),"")</f>
        <v>0</v>
      </c>
      <c r="L246" s="298">
        <f>IFERROR(_xlfn.XLOOKUP($A246,Input_Raw!$A:$A,Input_Raw!T:T),"")</f>
        <v>0</v>
      </c>
      <c r="M246" s="298">
        <f>IFERROR(_xlfn.XLOOKUP($A246,Input_Raw!$A:$A,Input_Raw!W:W),"")</f>
        <v>0</v>
      </c>
      <c r="N246" s="298">
        <f>IFERROR(_xlfn.XLOOKUP($A246,Input_Raw!$A:$A,Input_Raw!X:X),"")</f>
        <v>0</v>
      </c>
      <c r="O246" s="299" t="str">
        <f>IFERROR(1-(SUMIF(Plant_BD!$B:$B,$A246,Plant_BD!$AL:$AL)/($AA246+SUMIF(Plant_BD!$B:$B,$A246,Plant_BD!$AL:$AL))),"")</f>
        <v/>
      </c>
      <c r="P246" s="299"/>
      <c r="Q246" s="300"/>
      <c r="R246" s="299" t="str">
        <f>IFERROR(1-(SUMIF(Grid_BD!$B:$B,$A246,Grid_BD!$V:$V)/($AA246+SUMIF(Grid_BD!$B:$B,$A246,Grid_BD!$V:$V))),"")</f>
        <v/>
      </c>
      <c r="S246" s="295"/>
      <c r="T246" s="300"/>
      <c r="U246" s="301" t="str">
        <f t="shared" si="21"/>
        <v/>
      </c>
      <c r="V246" s="301" t="str">
        <f>IFERROR(_xlfn.XLOOKUP($A246,Input_Raw!$A:$A,Input_Raw!$AX:$AX),"")</f>
        <v/>
      </c>
      <c r="W246" s="302">
        <f t="shared" si="22"/>
        <v>0</v>
      </c>
      <c r="X246" s="294">
        <f>IFERROR(_xlfn.XLOOKUP($A246,Input_Raw!$A:$A,Input_Raw!$AA:$AA),"")</f>
        <v>0</v>
      </c>
      <c r="Y246" s="294">
        <f>IFERROR(_xlfn.XLOOKUP($A246,Input_Raw!$A:$A,Input_Raw!$AS:$AS),"")</f>
        <v>0</v>
      </c>
      <c r="Z246" s="294"/>
      <c r="AA246" s="294">
        <f>IFERROR(_xlfn.XLOOKUP($A246,Input_Raw!$A:$A,Input_Raw!$AT:$AT),"")</f>
        <v>0</v>
      </c>
      <c r="AB246" s="294">
        <f>IFERROR(_xlfn.XLOOKUP($A246,Input_Raw!$A:$A,Input_Raw!$AU:$AU),"")</f>
        <v>0</v>
      </c>
      <c r="AC246" s="303">
        <f>IFERROR(_xlfn.XLOOKUP($D246,'Modelling New'!$D:$D,'Modelling New'!P:P),"")</f>
        <v>5.6466666666666665</v>
      </c>
      <c r="AD246" s="294">
        <f>IFERROR(_xlfn.XLOOKUP($D246,'Modelling New'!$D:$D,'Modelling New'!T:T)*1000,"")</f>
        <v>573694.38484641397</v>
      </c>
      <c r="AE246" s="304">
        <f>IFERROR(_xlfn.XLOOKUP($D246,'Modelling New'!$D:$D,'Modelling New'!$O:$O),"")</f>
        <v>0.75258347743200049</v>
      </c>
      <c r="AF246" s="304">
        <f>IFERROR(_xlfn.XLOOKUP($D246,'Modelling New'!$D:$D,'Modelling New'!$W:$W),"")</f>
        <v>0.17706616816247345</v>
      </c>
      <c r="AG246" s="304">
        <f>IFERROR(_xlfn.XLOOKUP($D246,'Modelling New'!$D:$D,'Modelling New'!$AE:$AE),"")</f>
        <v>0.995</v>
      </c>
      <c r="AH246" s="304">
        <f>IFERROR(_xlfn.XLOOKUP($D246,'Modelling New'!$D:$D,'Modelling New'!$AF:$AF),"")</f>
        <v>0.995</v>
      </c>
      <c r="AI246" s="295"/>
      <c r="AJ246" s="295"/>
      <c r="AK246" s="295"/>
      <c r="AL246" s="295"/>
      <c r="AM246" s="295"/>
      <c r="AN246" s="305"/>
      <c r="AO246" s="302"/>
      <c r="AP246" s="302"/>
      <c r="AQ246" s="302"/>
      <c r="AR246" s="294">
        <f>_xlfn.XLOOKUP($D246,'Modelling New'!$D:$D,'Modelling New'!$N:$N)</f>
        <v>135</v>
      </c>
      <c r="AS246" s="294">
        <f t="shared" si="23"/>
        <v>0</v>
      </c>
    </row>
    <row r="247" spans="1:45">
      <c r="A247" s="293">
        <f t="shared" si="24"/>
        <v>45990</v>
      </c>
      <c r="B247" s="294">
        <f>YEAR(Daily_KPI[[#This Row],[Date]])+IF(MONTH(Daily_KPI[[#This Row],[Date]])&gt;=4,1,0)</f>
        <v>2026</v>
      </c>
      <c r="C247" s="295">
        <f>YEAR(Daily_KPI[[#This Row],[Date]])</f>
        <v>2025</v>
      </c>
      <c r="D247" s="296">
        <f>Daily_KPI[[#This Row],[Date]]-DAY(Daily_KPI[[#This Row],[Date]])+1</f>
        <v>45962</v>
      </c>
      <c r="E247" s="295">
        <f t="shared" si="20"/>
        <v>30</v>
      </c>
      <c r="F247" s="297">
        <f>IFERROR(_xlfn.XLOOKUP($A247,Input_Raw!$A:$A,Input_Raw!$AR:$AR),"")</f>
        <v>0</v>
      </c>
      <c r="G247" s="298">
        <f>IFERROR(_xlfn.XLOOKUP($A247,Input_Raw!$A:$A,Input_Raw!$R:$R),"")</f>
        <v>0</v>
      </c>
      <c r="H247" s="298"/>
      <c r="I247" s="298">
        <f>IFERROR(_xlfn.XLOOKUP($A247,Input_Raw!$A:$A,Input_Raw!$Q:$Q),"")</f>
        <v>0</v>
      </c>
      <c r="J247" s="298"/>
      <c r="K247" s="298">
        <f>IFERROR(_xlfn.XLOOKUP($A247,Input_Raw!$A:$A,Input_Raw!S:S),"")</f>
        <v>0</v>
      </c>
      <c r="L247" s="298">
        <f>IFERROR(_xlfn.XLOOKUP($A247,Input_Raw!$A:$A,Input_Raw!T:T),"")</f>
        <v>0</v>
      </c>
      <c r="M247" s="298">
        <f>IFERROR(_xlfn.XLOOKUP($A247,Input_Raw!$A:$A,Input_Raw!W:W),"")</f>
        <v>0</v>
      </c>
      <c r="N247" s="298">
        <f>IFERROR(_xlfn.XLOOKUP($A247,Input_Raw!$A:$A,Input_Raw!X:X),"")</f>
        <v>0</v>
      </c>
      <c r="O247" s="299" t="str">
        <f>IFERROR(1-(SUMIF(Plant_BD!$B:$B,$A247,Plant_BD!$AL:$AL)/($AA247+SUMIF(Plant_BD!$B:$B,$A247,Plant_BD!$AL:$AL))),"")</f>
        <v/>
      </c>
      <c r="P247" s="299"/>
      <c r="Q247" s="300"/>
      <c r="R247" s="299" t="str">
        <f>IFERROR(1-(SUMIF(Grid_BD!$B:$B,$A247,Grid_BD!$V:$V)/($AA247+SUMIF(Grid_BD!$B:$B,$A247,Grid_BD!$V:$V))),"")</f>
        <v/>
      </c>
      <c r="S247" s="295"/>
      <c r="T247" s="300"/>
      <c r="U247" s="301" t="str">
        <f t="shared" si="21"/>
        <v/>
      </c>
      <c r="V247" s="301" t="str">
        <f>IFERROR(_xlfn.XLOOKUP($A247,Input_Raw!$A:$A,Input_Raw!$AX:$AX),"")</f>
        <v/>
      </c>
      <c r="W247" s="302">
        <f t="shared" si="22"/>
        <v>0</v>
      </c>
      <c r="X247" s="294">
        <f>IFERROR(_xlfn.XLOOKUP($A247,Input_Raw!$A:$A,Input_Raw!$AA:$AA),"")</f>
        <v>0</v>
      </c>
      <c r="Y247" s="294">
        <f>IFERROR(_xlfn.XLOOKUP($A247,Input_Raw!$A:$A,Input_Raw!$AS:$AS),"")</f>
        <v>0</v>
      </c>
      <c r="Z247" s="294"/>
      <c r="AA247" s="294">
        <f>IFERROR(_xlfn.XLOOKUP($A247,Input_Raw!$A:$A,Input_Raw!$AT:$AT),"")</f>
        <v>0</v>
      </c>
      <c r="AB247" s="294">
        <f>IFERROR(_xlfn.XLOOKUP($A247,Input_Raw!$A:$A,Input_Raw!$AU:$AU),"")</f>
        <v>0</v>
      </c>
      <c r="AC247" s="303">
        <f>IFERROR(_xlfn.XLOOKUP($D247,'Modelling New'!$D:$D,'Modelling New'!P:P),"")</f>
        <v>5.6466666666666665</v>
      </c>
      <c r="AD247" s="294">
        <f>IFERROR(_xlfn.XLOOKUP($D247,'Modelling New'!$D:$D,'Modelling New'!T:T)*1000,"")</f>
        <v>573694.38484641397</v>
      </c>
      <c r="AE247" s="304">
        <f>IFERROR(_xlfn.XLOOKUP($D247,'Modelling New'!$D:$D,'Modelling New'!$O:$O),"")</f>
        <v>0.75258347743200049</v>
      </c>
      <c r="AF247" s="304">
        <f>IFERROR(_xlfn.XLOOKUP($D247,'Modelling New'!$D:$D,'Modelling New'!$W:$W),"")</f>
        <v>0.17706616816247345</v>
      </c>
      <c r="AG247" s="304">
        <f>IFERROR(_xlfn.XLOOKUP($D247,'Modelling New'!$D:$D,'Modelling New'!$AE:$AE),"")</f>
        <v>0.995</v>
      </c>
      <c r="AH247" s="304">
        <f>IFERROR(_xlfn.XLOOKUP($D247,'Modelling New'!$D:$D,'Modelling New'!$AF:$AF),"")</f>
        <v>0.995</v>
      </c>
      <c r="AI247" s="295"/>
      <c r="AJ247" s="295"/>
      <c r="AK247" s="295"/>
      <c r="AL247" s="295"/>
      <c r="AM247" s="295"/>
      <c r="AN247" s="305"/>
      <c r="AO247" s="302"/>
      <c r="AP247" s="302"/>
      <c r="AQ247" s="302"/>
      <c r="AR247" s="294">
        <f>_xlfn.XLOOKUP($D247,'Modelling New'!$D:$D,'Modelling New'!$N:$N)</f>
        <v>135</v>
      </c>
      <c r="AS247" s="294">
        <f t="shared" si="23"/>
        <v>0</v>
      </c>
    </row>
    <row r="248" spans="1:45">
      <c r="A248" s="293">
        <f t="shared" si="24"/>
        <v>45991</v>
      </c>
      <c r="B248" s="294">
        <f>YEAR(Daily_KPI[[#This Row],[Date]])+IF(MONTH(Daily_KPI[[#This Row],[Date]])&gt;=4,1,0)</f>
        <v>2026</v>
      </c>
      <c r="C248" s="295">
        <f>YEAR(Daily_KPI[[#This Row],[Date]])</f>
        <v>2025</v>
      </c>
      <c r="D248" s="296">
        <f>Daily_KPI[[#This Row],[Date]]-DAY(Daily_KPI[[#This Row],[Date]])+1</f>
        <v>45962</v>
      </c>
      <c r="E248" s="295">
        <f t="shared" si="20"/>
        <v>30</v>
      </c>
      <c r="F248" s="297">
        <f>IFERROR(_xlfn.XLOOKUP($A248,Input_Raw!$A:$A,Input_Raw!$AR:$AR),"")</f>
        <v>0</v>
      </c>
      <c r="G248" s="298">
        <f>IFERROR(_xlfn.XLOOKUP($A248,Input_Raw!$A:$A,Input_Raw!$R:$R),"")</f>
        <v>0</v>
      </c>
      <c r="H248" s="298"/>
      <c r="I248" s="298">
        <f>IFERROR(_xlfn.XLOOKUP($A248,Input_Raw!$A:$A,Input_Raw!$Q:$Q),"")</f>
        <v>0</v>
      </c>
      <c r="J248" s="298"/>
      <c r="K248" s="298">
        <f>IFERROR(_xlfn.XLOOKUP($A248,Input_Raw!$A:$A,Input_Raw!S:S),"")</f>
        <v>0</v>
      </c>
      <c r="L248" s="298">
        <f>IFERROR(_xlfn.XLOOKUP($A248,Input_Raw!$A:$A,Input_Raw!T:T),"")</f>
        <v>0</v>
      </c>
      <c r="M248" s="298">
        <f>IFERROR(_xlfn.XLOOKUP($A248,Input_Raw!$A:$A,Input_Raw!W:W),"")</f>
        <v>0</v>
      </c>
      <c r="N248" s="298">
        <f>IFERROR(_xlfn.XLOOKUP($A248,Input_Raw!$A:$A,Input_Raw!X:X),"")</f>
        <v>0</v>
      </c>
      <c r="O248" s="299" t="str">
        <f>IFERROR(1-(SUMIF(Plant_BD!$B:$B,$A248,Plant_BD!$AL:$AL)/($AA248+SUMIF(Plant_BD!$B:$B,$A248,Plant_BD!$AL:$AL))),"")</f>
        <v/>
      </c>
      <c r="P248" s="299"/>
      <c r="Q248" s="300"/>
      <c r="R248" s="299" t="str">
        <f>IFERROR(1-(SUMIF(Grid_BD!$B:$B,$A248,Grid_BD!$V:$V)/($AA248+SUMIF(Grid_BD!$B:$B,$A248,Grid_BD!$V:$V))),"")</f>
        <v/>
      </c>
      <c r="S248" s="295"/>
      <c r="T248" s="300"/>
      <c r="U248" s="301" t="str">
        <f t="shared" si="21"/>
        <v/>
      </c>
      <c r="V248" s="301" t="str">
        <f>IFERROR(_xlfn.XLOOKUP($A248,Input_Raw!$A:$A,Input_Raw!$AX:$AX),"")</f>
        <v/>
      </c>
      <c r="W248" s="302">
        <f t="shared" si="22"/>
        <v>0</v>
      </c>
      <c r="X248" s="294">
        <f>IFERROR(_xlfn.XLOOKUP($A248,Input_Raw!$A:$A,Input_Raw!$AA:$AA),"")</f>
        <v>0</v>
      </c>
      <c r="Y248" s="294">
        <f>IFERROR(_xlfn.XLOOKUP($A248,Input_Raw!$A:$A,Input_Raw!$AS:$AS),"")</f>
        <v>0</v>
      </c>
      <c r="Z248" s="294"/>
      <c r="AA248" s="294">
        <f>IFERROR(_xlfn.XLOOKUP($A248,Input_Raw!$A:$A,Input_Raw!$AT:$AT),"")</f>
        <v>0</v>
      </c>
      <c r="AB248" s="294">
        <f>IFERROR(_xlfn.XLOOKUP($A248,Input_Raw!$A:$A,Input_Raw!$AU:$AU),"")</f>
        <v>0</v>
      </c>
      <c r="AC248" s="303">
        <f>IFERROR(_xlfn.XLOOKUP($D248,'Modelling New'!$D:$D,'Modelling New'!P:P),"")</f>
        <v>5.6466666666666665</v>
      </c>
      <c r="AD248" s="294">
        <f>IFERROR(_xlfn.XLOOKUP($D248,'Modelling New'!$D:$D,'Modelling New'!T:T)*1000,"")</f>
        <v>573694.38484641397</v>
      </c>
      <c r="AE248" s="304">
        <f>IFERROR(_xlfn.XLOOKUP($D248,'Modelling New'!$D:$D,'Modelling New'!$O:$O),"")</f>
        <v>0.75258347743200049</v>
      </c>
      <c r="AF248" s="304">
        <f>IFERROR(_xlfn.XLOOKUP($D248,'Modelling New'!$D:$D,'Modelling New'!$W:$W),"")</f>
        <v>0.17706616816247345</v>
      </c>
      <c r="AG248" s="304">
        <f>IFERROR(_xlfn.XLOOKUP($D248,'Modelling New'!$D:$D,'Modelling New'!$AE:$AE),"")</f>
        <v>0.995</v>
      </c>
      <c r="AH248" s="304">
        <f>IFERROR(_xlfn.XLOOKUP($D248,'Modelling New'!$D:$D,'Modelling New'!$AF:$AF),"")</f>
        <v>0.995</v>
      </c>
      <c r="AI248" s="295"/>
      <c r="AJ248" s="295"/>
      <c r="AK248" s="295"/>
      <c r="AL248" s="295"/>
      <c r="AM248" s="295"/>
      <c r="AN248" s="305"/>
      <c r="AO248" s="302"/>
      <c r="AP248" s="302"/>
      <c r="AQ248" s="302"/>
      <c r="AR248" s="294">
        <f>_xlfn.XLOOKUP($D248,'Modelling New'!$D:$D,'Modelling New'!$N:$N)</f>
        <v>135</v>
      </c>
      <c r="AS248" s="294">
        <f t="shared" si="23"/>
        <v>0</v>
      </c>
    </row>
    <row r="249" spans="1:45">
      <c r="A249" s="293">
        <f t="shared" si="24"/>
        <v>45992</v>
      </c>
      <c r="B249" s="294">
        <f>YEAR(Daily_KPI[[#This Row],[Date]])+IF(MONTH(Daily_KPI[[#This Row],[Date]])&gt;=4,1,0)</f>
        <v>2026</v>
      </c>
      <c r="C249" s="295">
        <f>YEAR(Daily_KPI[[#This Row],[Date]])</f>
        <v>2025</v>
      </c>
      <c r="D249" s="296">
        <f>Daily_KPI[[#This Row],[Date]]-DAY(Daily_KPI[[#This Row],[Date]])+1</f>
        <v>45992</v>
      </c>
      <c r="E249" s="295">
        <f t="shared" si="20"/>
        <v>31</v>
      </c>
      <c r="F249" s="297">
        <f>IFERROR(_xlfn.XLOOKUP($A249,Input_Raw!$A:$A,Input_Raw!$AR:$AR),"")</f>
        <v>0</v>
      </c>
      <c r="G249" s="298">
        <f>IFERROR(_xlfn.XLOOKUP($A249,Input_Raw!$A:$A,Input_Raw!$R:$R),"")</f>
        <v>0</v>
      </c>
      <c r="H249" s="298"/>
      <c r="I249" s="298">
        <f>IFERROR(_xlfn.XLOOKUP($A249,Input_Raw!$A:$A,Input_Raw!$Q:$Q),"")</f>
        <v>0</v>
      </c>
      <c r="J249" s="298"/>
      <c r="K249" s="298">
        <f>IFERROR(_xlfn.XLOOKUP($A249,Input_Raw!$A:$A,Input_Raw!S:S),"")</f>
        <v>0</v>
      </c>
      <c r="L249" s="298">
        <f>IFERROR(_xlfn.XLOOKUP($A249,Input_Raw!$A:$A,Input_Raw!T:T),"")</f>
        <v>0</v>
      </c>
      <c r="M249" s="298">
        <f>IFERROR(_xlfn.XLOOKUP($A249,Input_Raw!$A:$A,Input_Raw!W:W),"")</f>
        <v>0</v>
      </c>
      <c r="N249" s="298">
        <f>IFERROR(_xlfn.XLOOKUP($A249,Input_Raw!$A:$A,Input_Raw!X:X),"")</f>
        <v>0</v>
      </c>
      <c r="O249" s="299" t="str">
        <f>IFERROR(1-(SUMIF(Plant_BD!$B:$B,$A249,Plant_BD!$AL:$AL)/($AA249+SUMIF(Plant_BD!$B:$B,$A249,Plant_BD!$AL:$AL))),"")</f>
        <v/>
      </c>
      <c r="P249" s="299"/>
      <c r="Q249" s="300"/>
      <c r="R249" s="299" t="str">
        <f>IFERROR(1-(SUMIF(Grid_BD!$B:$B,$A249,Grid_BD!$V:$V)/($AA249+SUMIF(Grid_BD!$B:$B,$A249,Grid_BD!$V:$V))),"")</f>
        <v/>
      </c>
      <c r="S249" s="295"/>
      <c r="T249" s="300"/>
      <c r="U249" s="301" t="str">
        <f t="shared" si="21"/>
        <v/>
      </c>
      <c r="V249" s="301" t="str">
        <f>IFERROR(_xlfn.XLOOKUP($A249,Input_Raw!$A:$A,Input_Raw!$AX:$AX),"")</f>
        <v/>
      </c>
      <c r="W249" s="302">
        <f t="shared" si="22"/>
        <v>0</v>
      </c>
      <c r="X249" s="294">
        <f>IFERROR(_xlfn.XLOOKUP($A249,Input_Raw!$A:$A,Input_Raw!$AA:$AA),"")</f>
        <v>0</v>
      </c>
      <c r="Y249" s="294">
        <f>IFERROR(_xlfn.XLOOKUP($A249,Input_Raw!$A:$A,Input_Raw!$AS:$AS),"")</f>
        <v>0</v>
      </c>
      <c r="Z249" s="294"/>
      <c r="AA249" s="294">
        <f>IFERROR(_xlfn.XLOOKUP($A249,Input_Raw!$A:$A,Input_Raw!$AT:$AT),"")</f>
        <v>0</v>
      </c>
      <c r="AB249" s="294">
        <f>IFERROR(_xlfn.XLOOKUP($A249,Input_Raw!$A:$A,Input_Raw!$AU:$AU),"")</f>
        <v>0</v>
      </c>
      <c r="AC249" s="303">
        <f>IFERROR(_xlfn.XLOOKUP($D249,'Modelling New'!$D:$D,'Modelling New'!P:P),"")</f>
        <v>5.5258064516129037</v>
      </c>
      <c r="AD249" s="294">
        <f>IFERROR(_xlfn.XLOOKUP($D249,'Modelling New'!$D:$D,'Modelling New'!T:T)*1000,"")</f>
        <v>589943.49243947864</v>
      </c>
      <c r="AE249" s="304">
        <f>IFERROR(_xlfn.XLOOKUP($D249,'Modelling New'!$D:$D,'Modelling New'!$O:$O),"")</f>
        <v>0.79082606930115407</v>
      </c>
      <c r="AF249" s="304">
        <f>IFERROR(_xlfn.XLOOKUP($D249,'Modelling New'!$D:$D,'Modelling New'!$W:$W),"")</f>
        <v>0.18208132482699957</v>
      </c>
      <c r="AG249" s="304">
        <f>IFERROR(_xlfn.XLOOKUP($D249,'Modelling New'!$D:$D,'Modelling New'!$AE:$AE),"")</f>
        <v>0.995</v>
      </c>
      <c r="AH249" s="304">
        <f>IFERROR(_xlfn.XLOOKUP($D249,'Modelling New'!$D:$D,'Modelling New'!$AF:$AF),"")</f>
        <v>0.995</v>
      </c>
      <c r="AI249" s="295"/>
      <c r="AJ249" s="295"/>
      <c r="AK249" s="295"/>
      <c r="AL249" s="295"/>
      <c r="AM249" s="295"/>
      <c r="AN249" s="305"/>
      <c r="AO249" s="302"/>
      <c r="AP249" s="302"/>
      <c r="AQ249" s="302"/>
      <c r="AR249" s="294">
        <f>_xlfn.XLOOKUP($D249,'Modelling New'!$D:$D,'Modelling New'!$N:$N)</f>
        <v>135</v>
      </c>
      <c r="AS249" s="294">
        <f t="shared" si="23"/>
        <v>0</v>
      </c>
    </row>
    <row r="250" spans="1:45">
      <c r="A250" s="293">
        <f t="shared" si="24"/>
        <v>45993</v>
      </c>
      <c r="B250" s="294">
        <f>YEAR(Daily_KPI[[#This Row],[Date]])+IF(MONTH(Daily_KPI[[#This Row],[Date]])&gt;=4,1,0)</f>
        <v>2026</v>
      </c>
      <c r="C250" s="295">
        <f>YEAR(Daily_KPI[[#This Row],[Date]])</f>
        <v>2025</v>
      </c>
      <c r="D250" s="296">
        <f>Daily_KPI[[#This Row],[Date]]-DAY(Daily_KPI[[#This Row],[Date]])+1</f>
        <v>45992</v>
      </c>
      <c r="E250" s="295">
        <f t="shared" si="20"/>
        <v>31</v>
      </c>
      <c r="F250" s="297">
        <f>IFERROR(_xlfn.XLOOKUP($A250,Input_Raw!$A:$A,Input_Raw!$AR:$AR),"")</f>
        <v>0</v>
      </c>
      <c r="G250" s="298">
        <f>IFERROR(_xlfn.XLOOKUP($A250,Input_Raw!$A:$A,Input_Raw!$R:$R),"")</f>
        <v>0</v>
      </c>
      <c r="H250" s="298"/>
      <c r="I250" s="298">
        <f>IFERROR(_xlfn.XLOOKUP($A250,Input_Raw!$A:$A,Input_Raw!$Q:$Q),"")</f>
        <v>0</v>
      </c>
      <c r="J250" s="298"/>
      <c r="K250" s="298">
        <f>IFERROR(_xlfn.XLOOKUP($A250,Input_Raw!$A:$A,Input_Raw!S:S),"")</f>
        <v>0</v>
      </c>
      <c r="L250" s="298">
        <f>IFERROR(_xlfn.XLOOKUP($A250,Input_Raw!$A:$A,Input_Raw!T:T),"")</f>
        <v>0</v>
      </c>
      <c r="M250" s="298">
        <f>IFERROR(_xlfn.XLOOKUP($A250,Input_Raw!$A:$A,Input_Raw!W:W),"")</f>
        <v>0</v>
      </c>
      <c r="N250" s="298">
        <f>IFERROR(_xlfn.XLOOKUP($A250,Input_Raw!$A:$A,Input_Raw!X:X),"")</f>
        <v>0</v>
      </c>
      <c r="O250" s="299" t="str">
        <f>IFERROR(1-(SUMIF(Plant_BD!$B:$B,$A250,Plant_BD!$AL:$AL)/($AA250+SUMIF(Plant_BD!$B:$B,$A250,Plant_BD!$AL:$AL))),"")</f>
        <v/>
      </c>
      <c r="P250" s="299"/>
      <c r="Q250" s="300"/>
      <c r="R250" s="299" t="str">
        <f>IFERROR(1-(SUMIF(Grid_BD!$B:$B,$A250,Grid_BD!$V:$V)/($AA250+SUMIF(Grid_BD!$B:$B,$A250,Grid_BD!$V:$V))),"")</f>
        <v/>
      </c>
      <c r="S250" s="295"/>
      <c r="T250" s="300"/>
      <c r="U250" s="301" t="str">
        <f t="shared" si="21"/>
        <v/>
      </c>
      <c r="V250" s="301" t="str">
        <f>IFERROR(_xlfn.XLOOKUP($A250,Input_Raw!$A:$A,Input_Raw!$AX:$AX),"")</f>
        <v/>
      </c>
      <c r="W250" s="302">
        <f t="shared" si="22"/>
        <v>0</v>
      </c>
      <c r="X250" s="294">
        <f>IFERROR(_xlfn.XLOOKUP($A250,Input_Raw!$A:$A,Input_Raw!$AA:$AA),"")</f>
        <v>0</v>
      </c>
      <c r="Y250" s="294">
        <f>IFERROR(_xlfn.XLOOKUP($A250,Input_Raw!$A:$A,Input_Raw!$AS:$AS),"")</f>
        <v>0</v>
      </c>
      <c r="Z250" s="294"/>
      <c r="AA250" s="294">
        <f>IFERROR(_xlfn.XLOOKUP($A250,Input_Raw!$A:$A,Input_Raw!$AT:$AT),"")</f>
        <v>0</v>
      </c>
      <c r="AB250" s="294">
        <f>IFERROR(_xlfn.XLOOKUP($A250,Input_Raw!$A:$A,Input_Raw!$AU:$AU),"")</f>
        <v>0</v>
      </c>
      <c r="AC250" s="303">
        <f>IFERROR(_xlfn.XLOOKUP($D250,'Modelling New'!$D:$D,'Modelling New'!P:P),"")</f>
        <v>5.5258064516129037</v>
      </c>
      <c r="AD250" s="294">
        <f>IFERROR(_xlfn.XLOOKUP($D250,'Modelling New'!$D:$D,'Modelling New'!T:T)*1000,"")</f>
        <v>589943.49243947864</v>
      </c>
      <c r="AE250" s="304">
        <f>IFERROR(_xlfn.XLOOKUP($D250,'Modelling New'!$D:$D,'Modelling New'!$O:$O),"")</f>
        <v>0.79082606930115407</v>
      </c>
      <c r="AF250" s="304">
        <f>IFERROR(_xlfn.XLOOKUP($D250,'Modelling New'!$D:$D,'Modelling New'!$W:$W),"")</f>
        <v>0.18208132482699957</v>
      </c>
      <c r="AG250" s="304">
        <f>IFERROR(_xlfn.XLOOKUP($D250,'Modelling New'!$D:$D,'Modelling New'!$AE:$AE),"")</f>
        <v>0.995</v>
      </c>
      <c r="AH250" s="304">
        <f>IFERROR(_xlfn.XLOOKUP($D250,'Modelling New'!$D:$D,'Modelling New'!$AF:$AF),"")</f>
        <v>0.995</v>
      </c>
      <c r="AI250" s="295"/>
      <c r="AJ250" s="295"/>
      <c r="AK250" s="295"/>
      <c r="AL250" s="295"/>
      <c r="AM250" s="295"/>
      <c r="AN250" s="305"/>
      <c r="AO250" s="302"/>
      <c r="AP250" s="302"/>
      <c r="AQ250" s="302"/>
      <c r="AR250" s="294">
        <f>_xlfn.XLOOKUP($D250,'Modelling New'!$D:$D,'Modelling New'!$N:$N)</f>
        <v>135</v>
      </c>
      <c r="AS250" s="294">
        <f t="shared" si="23"/>
        <v>0</v>
      </c>
    </row>
    <row r="251" spans="1:45">
      <c r="A251" s="293">
        <f t="shared" si="24"/>
        <v>45994</v>
      </c>
      <c r="B251" s="294">
        <f>YEAR(Daily_KPI[[#This Row],[Date]])+IF(MONTH(Daily_KPI[[#This Row],[Date]])&gt;=4,1,0)</f>
        <v>2026</v>
      </c>
      <c r="C251" s="295">
        <f>YEAR(Daily_KPI[[#This Row],[Date]])</f>
        <v>2025</v>
      </c>
      <c r="D251" s="296">
        <f>Daily_KPI[[#This Row],[Date]]-DAY(Daily_KPI[[#This Row],[Date]])+1</f>
        <v>45992</v>
      </c>
      <c r="E251" s="295">
        <f t="shared" si="20"/>
        <v>31</v>
      </c>
      <c r="F251" s="297">
        <f>IFERROR(_xlfn.XLOOKUP($A251,Input_Raw!$A:$A,Input_Raw!$AR:$AR),"")</f>
        <v>0</v>
      </c>
      <c r="G251" s="298">
        <f>IFERROR(_xlfn.XLOOKUP($A251,Input_Raw!$A:$A,Input_Raw!$R:$R),"")</f>
        <v>0</v>
      </c>
      <c r="H251" s="298"/>
      <c r="I251" s="298">
        <f>IFERROR(_xlfn.XLOOKUP($A251,Input_Raw!$A:$A,Input_Raw!$Q:$Q),"")</f>
        <v>0</v>
      </c>
      <c r="J251" s="298"/>
      <c r="K251" s="298">
        <f>IFERROR(_xlfn.XLOOKUP($A251,Input_Raw!$A:$A,Input_Raw!S:S),"")</f>
        <v>0</v>
      </c>
      <c r="L251" s="298">
        <f>IFERROR(_xlfn.XLOOKUP($A251,Input_Raw!$A:$A,Input_Raw!T:T),"")</f>
        <v>0</v>
      </c>
      <c r="M251" s="298">
        <f>IFERROR(_xlfn.XLOOKUP($A251,Input_Raw!$A:$A,Input_Raw!W:W),"")</f>
        <v>0</v>
      </c>
      <c r="N251" s="298">
        <f>IFERROR(_xlfn.XLOOKUP($A251,Input_Raw!$A:$A,Input_Raw!X:X),"")</f>
        <v>0</v>
      </c>
      <c r="O251" s="299" t="str">
        <f>IFERROR(1-(SUMIF(Plant_BD!$B:$B,$A251,Plant_BD!$AL:$AL)/($AA251+SUMIF(Plant_BD!$B:$B,$A251,Plant_BD!$AL:$AL))),"")</f>
        <v/>
      </c>
      <c r="P251" s="299"/>
      <c r="Q251" s="300"/>
      <c r="R251" s="299" t="str">
        <f>IFERROR(1-(SUMIF(Grid_BD!$B:$B,$A251,Grid_BD!$V:$V)/($AA251+SUMIF(Grid_BD!$B:$B,$A251,Grid_BD!$V:$V))),"")</f>
        <v/>
      </c>
      <c r="S251" s="295"/>
      <c r="T251" s="300"/>
      <c r="U251" s="301" t="str">
        <f t="shared" si="21"/>
        <v/>
      </c>
      <c r="V251" s="301" t="str">
        <f>IFERROR(_xlfn.XLOOKUP($A251,Input_Raw!$A:$A,Input_Raw!$AX:$AX),"")</f>
        <v/>
      </c>
      <c r="W251" s="302">
        <f t="shared" si="22"/>
        <v>0</v>
      </c>
      <c r="X251" s="294">
        <f>IFERROR(_xlfn.XLOOKUP($A251,Input_Raw!$A:$A,Input_Raw!$AA:$AA),"")</f>
        <v>0</v>
      </c>
      <c r="Y251" s="294">
        <f>IFERROR(_xlfn.XLOOKUP($A251,Input_Raw!$A:$A,Input_Raw!$AS:$AS),"")</f>
        <v>0</v>
      </c>
      <c r="Z251" s="294"/>
      <c r="AA251" s="294">
        <f>IFERROR(_xlfn.XLOOKUP($A251,Input_Raw!$A:$A,Input_Raw!$AT:$AT),"")</f>
        <v>0</v>
      </c>
      <c r="AB251" s="294">
        <f>IFERROR(_xlfn.XLOOKUP($A251,Input_Raw!$A:$A,Input_Raw!$AU:$AU),"")</f>
        <v>0</v>
      </c>
      <c r="AC251" s="303">
        <f>IFERROR(_xlfn.XLOOKUP($D251,'Modelling New'!$D:$D,'Modelling New'!P:P),"")</f>
        <v>5.5258064516129037</v>
      </c>
      <c r="AD251" s="294">
        <f>IFERROR(_xlfn.XLOOKUP($D251,'Modelling New'!$D:$D,'Modelling New'!T:T)*1000,"")</f>
        <v>589943.49243947864</v>
      </c>
      <c r="AE251" s="304">
        <f>IFERROR(_xlfn.XLOOKUP($D251,'Modelling New'!$D:$D,'Modelling New'!$O:$O),"")</f>
        <v>0.79082606930115407</v>
      </c>
      <c r="AF251" s="304">
        <f>IFERROR(_xlfn.XLOOKUP($D251,'Modelling New'!$D:$D,'Modelling New'!$W:$W),"")</f>
        <v>0.18208132482699957</v>
      </c>
      <c r="AG251" s="304">
        <f>IFERROR(_xlfn.XLOOKUP($D251,'Modelling New'!$D:$D,'Modelling New'!$AE:$AE),"")</f>
        <v>0.995</v>
      </c>
      <c r="AH251" s="304">
        <f>IFERROR(_xlfn.XLOOKUP($D251,'Modelling New'!$D:$D,'Modelling New'!$AF:$AF),"")</f>
        <v>0.995</v>
      </c>
      <c r="AI251" s="295"/>
      <c r="AJ251" s="295"/>
      <c r="AK251" s="295"/>
      <c r="AL251" s="295"/>
      <c r="AM251" s="295"/>
      <c r="AN251" s="305"/>
      <c r="AO251" s="302"/>
      <c r="AP251" s="302"/>
      <c r="AQ251" s="302"/>
      <c r="AR251" s="294">
        <f>_xlfn.XLOOKUP($D251,'Modelling New'!$D:$D,'Modelling New'!$N:$N)</f>
        <v>135</v>
      </c>
      <c r="AS251" s="294">
        <f t="shared" si="23"/>
        <v>0</v>
      </c>
    </row>
    <row r="252" spans="1:45">
      <c r="A252" s="293">
        <f t="shared" si="24"/>
        <v>45995</v>
      </c>
      <c r="B252" s="294">
        <f>YEAR(Daily_KPI[[#This Row],[Date]])+IF(MONTH(Daily_KPI[[#This Row],[Date]])&gt;=4,1,0)</f>
        <v>2026</v>
      </c>
      <c r="C252" s="295">
        <f>YEAR(Daily_KPI[[#This Row],[Date]])</f>
        <v>2025</v>
      </c>
      <c r="D252" s="296">
        <f>Daily_KPI[[#This Row],[Date]]-DAY(Daily_KPI[[#This Row],[Date]])+1</f>
        <v>45992</v>
      </c>
      <c r="E252" s="295">
        <f t="shared" si="20"/>
        <v>31</v>
      </c>
      <c r="F252" s="297">
        <f>IFERROR(_xlfn.XLOOKUP($A252,Input_Raw!$A:$A,Input_Raw!$AR:$AR),"")</f>
        <v>0</v>
      </c>
      <c r="G252" s="298">
        <f>IFERROR(_xlfn.XLOOKUP($A252,Input_Raw!$A:$A,Input_Raw!$R:$R),"")</f>
        <v>0</v>
      </c>
      <c r="H252" s="298"/>
      <c r="I252" s="298">
        <f>IFERROR(_xlfn.XLOOKUP($A252,Input_Raw!$A:$A,Input_Raw!$Q:$Q),"")</f>
        <v>0</v>
      </c>
      <c r="J252" s="298"/>
      <c r="K252" s="298">
        <f>IFERROR(_xlfn.XLOOKUP($A252,Input_Raw!$A:$A,Input_Raw!S:S),"")</f>
        <v>0</v>
      </c>
      <c r="L252" s="298">
        <f>IFERROR(_xlfn.XLOOKUP($A252,Input_Raw!$A:$A,Input_Raw!T:T),"")</f>
        <v>0</v>
      </c>
      <c r="M252" s="298">
        <f>IFERROR(_xlfn.XLOOKUP($A252,Input_Raw!$A:$A,Input_Raw!W:W),"")</f>
        <v>0</v>
      </c>
      <c r="N252" s="298">
        <f>IFERROR(_xlfn.XLOOKUP($A252,Input_Raw!$A:$A,Input_Raw!X:X),"")</f>
        <v>0</v>
      </c>
      <c r="O252" s="299" t="str">
        <f>IFERROR(1-(SUMIF(Plant_BD!$B:$B,$A252,Plant_BD!$AL:$AL)/($AA252+SUMIF(Plant_BD!$B:$B,$A252,Plant_BD!$AL:$AL))),"")</f>
        <v/>
      </c>
      <c r="P252" s="299"/>
      <c r="Q252" s="300"/>
      <c r="R252" s="299" t="str">
        <f>IFERROR(1-(SUMIF(Grid_BD!$B:$B,$A252,Grid_BD!$V:$V)/($AA252+SUMIF(Grid_BD!$B:$B,$A252,Grid_BD!$V:$V))),"")</f>
        <v/>
      </c>
      <c r="S252" s="295"/>
      <c r="T252" s="300"/>
      <c r="U252" s="301" t="str">
        <f t="shared" si="21"/>
        <v/>
      </c>
      <c r="V252" s="301" t="str">
        <f>IFERROR(_xlfn.XLOOKUP($A252,Input_Raw!$A:$A,Input_Raw!$AX:$AX),"")</f>
        <v/>
      </c>
      <c r="W252" s="302">
        <f t="shared" si="22"/>
        <v>0</v>
      </c>
      <c r="X252" s="294">
        <f>IFERROR(_xlfn.XLOOKUP($A252,Input_Raw!$A:$A,Input_Raw!$AA:$AA),"")</f>
        <v>0</v>
      </c>
      <c r="Y252" s="294">
        <f>IFERROR(_xlfn.XLOOKUP($A252,Input_Raw!$A:$A,Input_Raw!$AS:$AS),"")</f>
        <v>0</v>
      </c>
      <c r="Z252" s="294"/>
      <c r="AA252" s="294">
        <f>IFERROR(_xlfn.XLOOKUP($A252,Input_Raw!$A:$A,Input_Raw!$AT:$AT),"")</f>
        <v>0</v>
      </c>
      <c r="AB252" s="294">
        <f>IFERROR(_xlfn.XLOOKUP($A252,Input_Raw!$A:$A,Input_Raw!$AU:$AU),"")</f>
        <v>0</v>
      </c>
      <c r="AC252" s="303">
        <f>IFERROR(_xlfn.XLOOKUP($D252,'Modelling New'!$D:$D,'Modelling New'!P:P),"")</f>
        <v>5.5258064516129037</v>
      </c>
      <c r="AD252" s="294">
        <f>IFERROR(_xlfn.XLOOKUP($D252,'Modelling New'!$D:$D,'Modelling New'!T:T)*1000,"")</f>
        <v>589943.49243947864</v>
      </c>
      <c r="AE252" s="304">
        <f>IFERROR(_xlfn.XLOOKUP($D252,'Modelling New'!$D:$D,'Modelling New'!$O:$O),"")</f>
        <v>0.79082606930115407</v>
      </c>
      <c r="AF252" s="304">
        <f>IFERROR(_xlfn.XLOOKUP($D252,'Modelling New'!$D:$D,'Modelling New'!$W:$W),"")</f>
        <v>0.18208132482699957</v>
      </c>
      <c r="AG252" s="304">
        <f>IFERROR(_xlfn.XLOOKUP($D252,'Modelling New'!$D:$D,'Modelling New'!$AE:$AE),"")</f>
        <v>0.995</v>
      </c>
      <c r="AH252" s="304">
        <f>IFERROR(_xlfn.XLOOKUP($D252,'Modelling New'!$D:$D,'Modelling New'!$AF:$AF),"")</f>
        <v>0.995</v>
      </c>
      <c r="AI252" s="295"/>
      <c r="AJ252" s="295"/>
      <c r="AK252" s="295"/>
      <c r="AL252" s="295"/>
      <c r="AM252" s="295"/>
      <c r="AN252" s="305"/>
      <c r="AO252" s="302"/>
      <c r="AP252" s="302"/>
      <c r="AQ252" s="302"/>
      <c r="AR252" s="294">
        <f>_xlfn.XLOOKUP($D252,'Modelling New'!$D:$D,'Modelling New'!$N:$N)</f>
        <v>135</v>
      </c>
      <c r="AS252" s="294">
        <f t="shared" si="23"/>
        <v>0</v>
      </c>
    </row>
    <row r="253" spans="1:45">
      <c r="A253" s="293">
        <f t="shared" si="24"/>
        <v>45996</v>
      </c>
      <c r="B253" s="294">
        <f>YEAR(Daily_KPI[[#This Row],[Date]])+IF(MONTH(Daily_KPI[[#This Row],[Date]])&gt;=4,1,0)</f>
        <v>2026</v>
      </c>
      <c r="C253" s="295">
        <f>YEAR(Daily_KPI[[#This Row],[Date]])</f>
        <v>2025</v>
      </c>
      <c r="D253" s="296">
        <f>Daily_KPI[[#This Row],[Date]]-DAY(Daily_KPI[[#This Row],[Date]])+1</f>
        <v>45992</v>
      </c>
      <c r="E253" s="295">
        <f t="shared" si="20"/>
        <v>31</v>
      </c>
      <c r="F253" s="297">
        <f>IFERROR(_xlfn.XLOOKUP($A253,Input_Raw!$A:$A,Input_Raw!$AR:$AR),"")</f>
        <v>0</v>
      </c>
      <c r="G253" s="298">
        <f>IFERROR(_xlfn.XLOOKUP($A253,Input_Raw!$A:$A,Input_Raw!$R:$R),"")</f>
        <v>0</v>
      </c>
      <c r="H253" s="298"/>
      <c r="I253" s="298">
        <f>IFERROR(_xlfn.XLOOKUP($A253,Input_Raw!$A:$A,Input_Raw!$Q:$Q),"")</f>
        <v>0</v>
      </c>
      <c r="J253" s="298"/>
      <c r="K253" s="298">
        <f>IFERROR(_xlfn.XLOOKUP($A253,Input_Raw!$A:$A,Input_Raw!S:S),"")</f>
        <v>0</v>
      </c>
      <c r="L253" s="298">
        <f>IFERROR(_xlfn.XLOOKUP($A253,Input_Raw!$A:$A,Input_Raw!T:T),"")</f>
        <v>0</v>
      </c>
      <c r="M253" s="298">
        <f>IFERROR(_xlfn.XLOOKUP($A253,Input_Raw!$A:$A,Input_Raw!W:W),"")</f>
        <v>0</v>
      </c>
      <c r="N253" s="298">
        <f>IFERROR(_xlfn.XLOOKUP($A253,Input_Raw!$A:$A,Input_Raw!X:X),"")</f>
        <v>0</v>
      </c>
      <c r="O253" s="299" t="str">
        <f>IFERROR(1-(SUMIF(Plant_BD!$B:$B,$A253,Plant_BD!$AL:$AL)/($AA253+SUMIF(Plant_BD!$B:$B,$A253,Plant_BD!$AL:$AL))),"")</f>
        <v/>
      </c>
      <c r="P253" s="299"/>
      <c r="Q253" s="300"/>
      <c r="R253" s="299" t="str">
        <f>IFERROR(1-(SUMIF(Grid_BD!$B:$B,$A253,Grid_BD!$V:$V)/($AA253+SUMIF(Grid_BD!$B:$B,$A253,Grid_BD!$V:$V))),"")</f>
        <v/>
      </c>
      <c r="S253" s="295"/>
      <c r="T253" s="300"/>
      <c r="U253" s="301" t="str">
        <f t="shared" si="21"/>
        <v/>
      </c>
      <c r="V253" s="301" t="str">
        <f>IFERROR(_xlfn.XLOOKUP($A253,Input_Raw!$A:$A,Input_Raw!$AX:$AX),"")</f>
        <v/>
      </c>
      <c r="W253" s="302">
        <f t="shared" si="22"/>
        <v>0</v>
      </c>
      <c r="X253" s="294">
        <f>IFERROR(_xlfn.XLOOKUP($A253,Input_Raw!$A:$A,Input_Raw!$AA:$AA),"")</f>
        <v>0</v>
      </c>
      <c r="Y253" s="294">
        <f>IFERROR(_xlfn.XLOOKUP($A253,Input_Raw!$A:$A,Input_Raw!$AS:$AS),"")</f>
        <v>0</v>
      </c>
      <c r="Z253" s="294"/>
      <c r="AA253" s="294">
        <f>IFERROR(_xlfn.XLOOKUP($A253,Input_Raw!$A:$A,Input_Raw!$AT:$AT),"")</f>
        <v>0</v>
      </c>
      <c r="AB253" s="294">
        <f>IFERROR(_xlfn.XLOOKUP($A253,Input_Raw!$A:$A,Input_Raw!$AU:$AU),"")</f>
        <v>0</v>
      </c>
      <c r="AC253" s="303">
        <f>IFERROR(_xlfn.XLOOKUP($D253,'Modelling New'!$D:$D,'Modelling New'!P:P),"")</f>
        <v>5.5258064516129037</v>
      </c>
      <c r="AD253" s="294">
        <f>IFERROR(_xlfn.XLOOKUP($D253,'Modelling New'!$D:$D,'Modelling New'!T:T)*1000,"")</f>
        <v>589943.49243947864</v>
      </c>
      <c r="AE253" s="304">
        <f>IFERROR(_xlfn.XLOOKUP($D253,'Modelling New'!$D:$D,'Modelling New'!$O:$O),"")</f>
        <v>0.79082606930115407</v>
      </c>
      <c r="AF253" s="304">
        <f>IFERROR(_xlfn.XLOOKUP($D253,'Modelling New'!$D:$D,'Modelling New'!$W:$W),"")</f>
        <v>0.18208132482699957</v>
      </c>
      <c r="AG253" s="304">
        <f>IFERROR(_xlfn.XLOOKUP($D253,'Modelling New'!$D:$D,'Modelling New'!$AE:$AE),"")</f>
        <v>0.995</v>
      </c>
      <c r="AH253" s="304">
        <f>IFERROR(_xlfn.XLOOKUP($D253,'Modelling New'!$D:$D,'Modelling New'!$AF:$AF),"")</f>
        <v>0.995</v>
      </c>
      <c r="AI253" s="295"/>
      <c r="AJ253" s="295"/>
      <c r="AK253" s="295"/>
      <c r="AL253" s="295"/>
      <c r="AM253" s="295"/>
      <c r="AN253" s="305"/>
      <c r="AO253" s="302"/>
      <c r="AP253" s="302"/>
      <c r="AQ253" s="302"/>
      <c r="AR253" s="294">
        <f>_xlfn.XLOOKUP($D253,'Modelling New'!$D:$D,'Modelling New'!$N:$N)</f>
        <v>135</v>
      </c>
      <c r="AS253" s="294">
        <f t="shared" si="23"/>
        <v>0</v>
      </c>
    </row>
    <row r="254" spans="1:45">
      <c r="A254" s="293">
        <f t="shared" si="24"/>
        <v>45997</v>
      </c>
      <c r="B254" s="294">
        <f>YEAR(Daily_KPI[[#This Row],[Date]])+IF(MONTH(Daily_KPI[[#This Row],[Date]])&gt;=4,1,0)</f>
        <v>2026</v>
      </c>
      <c r="C254" s="295">
        <f>YEAR(Daily_KPI[[#This Row],[Date]])</f>
        <v>2025</v>
      </c>
      <c r="D254" s="296">
        <f>Daily_KPI[[#This Row],[Date]]-DAY(Daily_KPI[[#This Row],[Date]])+1</f>
        <v>45992</v>
      </c>
      <c r="E254" s="295">
        <f t="shared" si="20"/>
        <v>31</v>
      </c>
      <c r="F254" s="297">
        <f>IFERROR(_xlfn.XLOOKUP($A254,Input_Raw!$A:$A,Input_Raw!$AR:$AR),"")</f>
        <v>0</v>
      </c>
      <c r="G254" s="298">
        <f>IFERROR(_xlfn.XLOOKUP($A254,Input_Raw!$A:$A,Input_Raw!$R:$R),"")</f>
        <v>0</v>
      </c>
      <c r="H254" s="298"/>
      <c r="I254" s="298">
        <f>IFERROR(_xlfn.XLOOKUP($A254,Input_Raw!$A:$A,Input_Raw!$Q:$Q),"")</f>
        <v>0</v>
      </c>
      <c r="J254" s="298"/>
      <c r="K254" s="298">
        <f>IFERROR(_xlfn.XLOOKUP($A254,Input_Raw!$A:$A,Input_Raw!S:S),"")</f>
        <v>0</v>
      </c>
      <c r="L254" s="298">
        <f>IFERROR(_xlfn.XLOOKUP($A254,Input_Raw!$A:$A,Input_Raw!T:T),"")</f>
        <v>0</v>
      </c>
      <c r="M254" s="298">
        <f>IFERROR(_xlfn.XLOOKUP($A254,Input_Raw!$A:$A,Input_Raw!W:W),"")</f>
        <v>0</v>
      </c>
      <c r="N254" s="298">
        <f>IFERROR(_xlfn.XLOOKUP($A254,Input_Raw!$A:$A,Input_Raw!X:X),"")</f>
        <v>0</v>
      </c>
      <c r="O254" s="299" t="str">
        <f>IFERROR(1-(SUMIF(Plant_BD!$B:$B,$A254,Plant_BD!$AL:$AL)/($AA254+SUMIF(Plant_BD!$B:$B,$A254,Plant_BD!$AL:$AL))),"")</f>
        <v/>
      </c>
      <c r="P254" s="299"/>
      <c r="Q254" s="300"/>
      <c r="R254" s="299" t="str">
        <f>IFERROR(1-(SUMIF(Grid_BD!$B:$B,$A254,Grid_BD!$V:$V)/($AA254+SUMIF(Grid_BD!$B:$B,$A254,Grid_BD!$V:$V))),"")</f>
        <v/>
      </c>
      <c r="S254" s="295"/>
      <c r="T254" s="300"/>
      <c r="U254" s="301" t="str">
        <f t="shared" si="21"/>
        <v/>
      </c>
      <c r="V254" s="301" t="str">
        <f>IFERROR(_xlfn.XLOOKUP($A254,Input_Raw!$A:$A,Input_Raw!$AX:$AX),"")</f>
        <v/>
      </c>
      <c r="W254" s="302">
        <f t="shared" si="22"/>
        <v>0</v>
      </c>
      <c r="X254" s="294">
        <f>IFERROR(_xlfn.XLOOKUP($A254,Input_Raw!$A:$A,Input_Raw!$AA:$AA),"")</f>
        <v>0</v>
      </c>
      <c r="Y254" s="294">
        <f>IFERROR(_xlfn.XLOOKUP($A254,Input_Raw!$A:$A,Input_Raw!$AS:$AS),"")</f>
        <v>0</v>
      </c>
      <c r="Z254" s="294"/>
      <c r="AA254" s="294">
        <f>IFERROR(_xlfn.XLOOKUP($A254,Input_Raw!$A:$A,Input_Raw!$AT:$AT),"")</f>
        <v>0</v>
      </c>
      <c r="AB254" s="294">
        <f>IFERROR(_xlfn.XLOOKUP($A254,Input_Raw!$A:$A,Input_Raw!$AU:$AU),"")</f>
        <v>0</v>
      </c>
      <c r="AC254" s="303">
        <f>IFERROR(_xlfn.XLOOKUP($D254,'Modelling New'!$D:$D,'Modelling New'!P:P),"")</f>
        <v>5.5258064516129037</v>
      </c>
      <c r="AD254" s="294">
        <f>IFERROR(_xlfn.XLOOKUP($D254,'Modelling New'!$D:$D,'Modelling New'!T:T)*1000,"")</f>
        <v>589943.49243947864</v>
      </c>
      <c r="AE254" s="304">
        <f>IFERROR(_xlfn.XLOOKUP($D254,'Modelling New'!$D:$D,'Modelling New'!$O:$O),"")</f>
        <v>0.79082606930115407</v>
      </c>
      <c r="AF254" s="304">
        <f>IFERROR(_xlfn.XLOOKUP($D254,'Modelling New'!$D:$D,'Modelling New'!$W:$W),"")</f>
        <v>0.18208132482699957</v>
      </c>
      <c r="AG254" s="304">
        <f>IFERROR(_xlfn.XLOOKUP($D254,'Modelling New'!$D:$D,'Modelling New'!$AE:$AE),"")</f>
        <v>0.995</v>
      </c>
      <c r="AH254" s="304">
        <f>IFERROR(_xlfn.XLOOKUP($D254,'Modelling New'!$D:$D,'Modelling New'!$AF:$AF),"")</f>
        <v>0.995</v>
      </c>
      <c r="AI254" s="295"/>
      <c r="AJ254" s="295"/>
      <c r="AK254" s="295"/>
      <c r="AL254" s="295"/>
      <c r="AM254" s="295"/>
      <c r="AN254" s="305"/>
      <c r="AO254" s="302"/>
      <c r="AP254" s="302"/>
      <c r="AQ254" s="302"/>
      <c r="AR254" s="294">
        <f>_xlfn.XLOOKUP($D254,'Modelling New'!$D:$D,'Modelling New'!$N:$N)</f>
        <v>135</v>
      </c>
      <c r="AS254" s="294">
        <f t="shared" si="23"/>
        <v>0</v>
      </c>
    </row>
    <row r="255" spans="1:45">
      <c r="A255" s="293">
        <f t="shared" si="24"/>
        <v>45998</v>
      </c>
      <c r="B255" s="294">
        <f>YEAR(Daily_KPI[[#This Row],[Date]])+IF(MONTH(Daily_KPI[[#This Row],[Date]])&gt;=4,1,0)</f>
        <v>2026</v>
      </c>
      <c r="C255" s="295">
        <f>YEAR(Daily_KPI[[#This Row],[Date]])</f>
        <v>2025</v>
      </c>
      <c r="D255" s="296">
        <f>Daily_KPI[[#This Row],[Date]]-DAY(Daily_KPI[[#This Row],[Date]])+1</f>
        <v>45992</v>
      </c>
      <c r="E255" s="295">
        <f t="shared" si="20"/>
        <v>31</v>
      </c>
      <c r="F255" s="297">
        <f>IFERROR(_xlfn.XLOOKUP($A255,Input_Raw!$A:$A,Input_Raw!$AR:$AR),"")</f>
        <v>0</v>
      </c>
      <c r="G255" s="298">
        <f>IFERROR(_xlfn.XLOOKUP($A255,Input_Raw!$A:$A,Input_Raw!$R:$R),"")</f>
        <v>0</v>
      </c>
      <c r="H255" s="298"/>
      <c r="I255" s="298">
        <f>IFERROR(_xlfn.XLOOKUP($A255,Input_Raw!$A:$A,Input_Raw!$Q:$Q),"")</f>
        <v>0</v>
      </c>
      <c r="J255" s="298"/>
      <c r="K255" s="298">
        <f>IFERROR(_xlfn.XLOOKUP($A255,Input_Raw!$A:$A,Input_Raw!S:S),"")</f>
        <v>0</v>
      </c>
      <c r="L255" s="298">
        <f>IFERROR(_xlfn.XLOOKUP($A255,Input_Raw!$A:$A,Input_Raw!T:T),"")</f>
        <v>0</v>
      </c>
      <c r="M255" s="298">
        <f>IFERROR(_xlfn.XLOOKUP($A255,Input_Raw!$A:$A,Input_Raw!W:W),"")</f>
        <v>0</v>
      </c>
      <c r="N255" s="298">
        <f>IFERROR(_xlfn.XLOOKUP($A255,Input_Raw!$A:$A,Input_Raw!X:X),"")</f>
        <v>0</v>
      </c>
      <c r="O255" s="299" t="str">
        <f>IFERROR(1-(SUMIF(Plant_BD!$B:$B,$A255,Plant_BD!$AL:$AL)/($AA255+SUMIF(Plant_BD!$B:$B,$A255,Plant_BD!$AL:$AL))),"")</f>
        <v/>
      </c>
      <c r="P255" s="299"/>
      <c r="Q255" s="300"/>
      <c r="R255" s="299" t="str">
        <f>IFERROR(1-(SUMIF(Grid_BD!$B:$B,$A255,Grid_BD!$V:$V)/($AA255+SUMIF(Grid_BD!$B:$B,$A255,Grid_BD!$V:$V))),"")</f>
        <v/>
      </c>
      <c r="S255" s="295"/>
      <c r="T255" s="300"/>
      <c r="U255" s="301" t="str">
        <f t="shared" si="21"/>
        <v/>
      </c>
      <c r="V255" s="301" t="str">
        <f>IFERROR(_xlfn.XLOOKUP($A255,Input_Raw!$A:$A,Input_Raw!$AX:$AX),"")</f>
        <v/>
      </c>
      <c r="W255" s="302">
        <f t="shared" si="22"/>
        <v>0</v>
      </c>
      <c r="X255" s="294">
        <f>IFERROR(_xlfn.XLOOKUP($A255,Input_Raw!$A:$A,Input_Raw!$AA:$AA),"")</f>
        <v>0</v>
      </c>
      <c r="Y255" s="294">
        <f>IFERROR(_xlfn.XLOOKUP($A255,Input_Raw!$A:$A,Input_Raw!$AS:$AS),"")</f>
        <v>0</v>
      </c>
      <c r="Z255" s="294"/>
      <c r="AA255" s="294">
        <f>IFERROR(_xlfn.XLOOKUP($A255,Input_Raw!$A:$A,Input_Raw!$AT:$AT),"")</f>
        <v>0</v>
      </c>
      <c r="AB255" s="294">
        <f>IFERROR(_xlfn.XLOOKUP($A255,Input_Raw!$A:$A,Input_Raw!$AU:$AU),"")</f>
        <v>0</v>
      </c>
      <c r="AC255" s="303">
        <f>IFERROR(_xlfn.XLOOKUP($D255,'Modelling New'!$D:$D,'Modelling New'!P:P),"")</f>
        <v>5.5258064516129037</v>
      </c>
      <c r="AD255" s="294">
        <f>IFERROR(_xlfn.XLOOKUP($D255,'Modelling New'!$D:$D,'Modelling New'!T:T)*1000,"")</f>
        <v>589943.49243947864</v>
      </c>
      <c r="AE255" s="304">
        <f>IFERROR(_xlfn.XLOOKUP($D255,'Modelling New'!$D:$D,'Modelling New'!$O:$O),"")</f>
        <v>0.79082606930115407</v>
      </c>
      <c r="AF255" s="304">
        <f>IFERROR(_xlfn.XLOOKUP($D255,'Modelling New'!$D:$D,'Modelling New'!$W:$W),"")</f>
        <v>0.18208132482699957</v>
      </c>
      <c r="AG255" s="304">
        <f>IFERROR(_xlfn.XLOOKUP($D255,'Modelling New'!$D:$D,'Modelling New'!$AE:$AE),"")</f>
        <v>0.995</v>
      </c>
      <c r="AH255" s="304">
        <f>IFERROR(_xlfn.XLOOKUP($D255,'Modelling New'!$D:$D,'Modelling New'!$AF:$AF),"")</f>
        <v>0.995</v>
      </c>
      <c r="AI255" s="295"/>
      <c r="AJ255" s="295"/>
      <c r="AK255" s="295"/>
      <c r="AL255" s="295"/>
      <c r="AM255" s="295"/>
      <c r="AN255" s="305"/>
      <c r="AO255" s="302"/>
      <c r="AP255" s="302"/>
      <c r="AQ255" s="302"/>
      <c r="AR255" s="294">
        <f>_xlfn.XLOOKUP($D255,'Modelling New'!$D:$D,'Modelling New'!$N:$N)</f>
        <v>135</v>
      </c>
      <c r="AS255" s="294">
        <f t="shared" si="23"/>
        <v>0</v>
      </c>
    </row>
    <row r="256" spans="1:45">
      <c r="A256" s="293">
        <f t="shared" si="24"/>
        <v>45999</v>
      </c>
      <c r="B256" s="294">
        <f>YEAR(Daily_KPI[[#This Row],[Date]])+IF(MONTH(Daily_KPI[[#This Row],[Date]])&gt;=4,1,0)</f>
        <v>2026</v>
      </c>
      <c r="C256" s="295">
        <f>YEAR(Daily_KPI[[#This Row],[Date]])</f>
        <v>2025</v>
      </c>
      <c r="D256" s="296">
        <f>Daily_KPI[[#This Row],[Date]]-DAY(Daily_KPI[[#This Row],[Date]])+1</f>
        <v>45992</v>
      </c>
      <c r="E256" s="295">
        <f t="shared" si="20"/>
        <v>31</v>
      </c>
      <c r="F256" s="297">
        <f>IFERROR(_xlfn.XLOOKUP($A256,Input_Raw!$A:$A,Input_Raw!$AR:$AR),"")</f>
        <v>0</v>
      </c>
      <c r="G256" s="298">
        <f>IFERROR(_xlfn.XLOOKUP($A256,Input_Raw!$A:$A,Input_Raw!$R:$R),"")</f>
        <v>0</v>
      </c>
      <c r="H256" s="298"/>
      <c r="I256" s="298">
        <f>IFERROR(_xlfn.XLOOKUP($A256,Input_Raw!$A:$A,Input_Raw!$Q:$Q),"")</f>
        <v>0</v>
      </c>
      <c r="J256" s="298"/>
      <c r="K256" s="298">
        <f>IFERROR(_xlfn.XLOOKUP($A256,Input_Raw!$A:$A,Input_Raw!S:S),"")</f>
        <v>0</v>
      </c>
      <c r="L256" s="298">
        <f>IFERROR(_xlfn.XLOOKUP($A256,Input_Raw!$A:$A,Input_Raw!T:T),"")</f>
        <v>0</v>
      </c>
      <c r="M256" s="298">
        <f>IFERROR(_xlfn.XLOOKUP($A256,Input_Raw!$A:$A,Input_Raw!W:W),"")</f>
        <v>0</v>
      </c>
      <c r="N256" s="298">
        <f>IFERROR(_xlfn.XLOOKUP($A256,Input_Raw!$A:$A,Input_Raw!X:X),"")</f>
        <v>0</v>
      </c>
      <c r="O256" s="299" t="str">
        <f>IFERROR(1-(SUMIF(Plant_BD!$B:$B,$A256,Plant_BD!$AL:$AL)/($AA256+SUMIF(Plant_BD!$B:$B,$A256,Plant_BD!$AL:$AL))),"")</f>
        <v/>
      </c>
      <c r="P256" s="299"/>
      <c r="Q256" s="300"/>
      <c r="R256" s="299" t="str">
        <f>IFERROR(1-(SUMIF(Grid_BD!$B:$B,$A256,Grid_BD!$V:$V)/($AA256+SUMIF(Grid_BD!$B:$B,$A256,Grid_BD!$V:$V))),"")</f>
        <v/>
      </c>
      <c r="S256" s="295"/>
      <c r="T256" s="300"/>
      <c r="U256" s="301" t="str">
        <f t="shared" si="21"/>
        <v/>
      </c>
      <c r="V256" s="301" t="str">
        <f>IFERROR(_xlfn.XLOOKUP($A256,Input_Raw!$A:$A,Input_Raw!$AX:$AX),"")</f>
        <v/>
      </c>
      <c r="W256" s="302">
        <f t="shared" si="22"/>
        <v>0</v>
      </c>
      <c r="X256" s="294">
        <f>IFERROR(_xlfn.XLOOKUP($A256,Input_Raw!$A:$A,Input_Raw!$AA:$AA),"")</f>
        <v>0</v>
      </c>
      <c r="Y256" s="294">
        <f>IFERROR(_xlfn.XLOOKUP($A256,Input_Raw!$A:$A,Input_Raw!$AS:$AS),"")</f>
        <v>0</v>
      </c>
      <c r="Z256" s="294"/>
      <c r="AA256" s="294">
        <f>IFERROR(_xlfn.XLOOKUP($A256,Input_Raw!$A:$A,Input_Raw!$AT:$AT),"")</f>
        <v>0</v>
      </c>
      <c r="AB256" s="294">
        <f>IFERROR(_xlfn.XLOOKUP($A256,Input_Raw!$A:$A,Input_Raw!$AU:$AU),"")</f>
        <v>0</v>
      </c>
      <c r="AC256" s="303">
        <f>IFERROR(_xlfn.XLOOKUP($D256,'Modelling New'!$D:$D,'Modelling New'!P:P),"")</f>
        <v>5.5258064516129037</v>
      </c>
      <c r="AD256" s="294">
        <f>IFERROR(_xlfn.XLOOKUP($D256,'Modelling New'!$D:$D,'Modelling New'!T:T)*1000,"")</f>
        <v>589943.49243947864</v>
      </c>
      <c r="AE256" s="304">
        <f>IFERROR(_xlfn.XLOOKUP($D256,'Modelling New'!$D:$D,'Modelling New'!$O:$O),"")</f>
        <v>0.79082606930115407</v>
      </c>
      <c r="AF256" s="304">
        <f>IFERROR(_xlfn.XLOOKUP($D256,'Modelling New'!$D:$D,'Modelling New'!$W:$W),"")</f>
        <v>0.18208132482699957</v>
      </c>
      <c r="AG256" s="304">
        <f>IFERROR(_xlfn.XLOOKUP($D256,'Modelling New'!$D:$D,'Modelling New'!$AE:$AE),"")</f>
        <v>0.995</v>
      </c>
      <c r="AH256" s="304">
        <f>IFERROR(_xlfn.XLOOKUP($D256,'Modelling New'!$D:$D,'Modelling New'!$AF:$AF),"")</f>
        <v>0.995</v>
      </c>
      <c r="AI256" s="295"/>
      <c r="AJ256" s="295"/>
      <c r="AK256" s="295"/>
      <c r="AL256" s="295"/>
      <c r="AM256" s="295"/>
      <c r="AN256" s="305"/>
      <c r="AO256" s="302"/>
      <c r="AP256" s="302"/>
      <c r="AQ256" s="302"/>
      <c r="AR256" s="294">
        <f>_xlfn.XLOOKUP($D256,'Modelling New'!$D:$D,'Modelling New'!$N:$N)</f>
        <v>135</v>
      </c>
      <c r="AS256" s="294">
        <f t="shared" si="23"/>
        <v>0</v>
      </c>
    </row>
    <row r="257" spans="1:45">
      <c r="A257" s="293">
        <f t="shared" si="24"/>
        <v>46000</v>
      </c>
      <c r="B257" s="294">
        <f>YEAR(Daily_KPI[[#This Row],[Date]])+IF(MONTH(Daily_KPI[[#This Row],[Date]])&gt;=4,1,0)</f>
        <v>2026</v>
      </c>
      <c r="C257" s="295">
        <f>YEAR(Daily_KPI[[#This Row],[Date]])</f>
        <v>2025</v>
      </c>
      <c r="D257" s="296">
        <f>Daily_KPI[[#This Row],[Date]]-DAY(Daily_KPI[[#This Row],[Date]])+1</f>
        <v>45992</v>
      </c>
      <c r="E257" s="295">
        <f t="shared" si="20"/>
        <v>31</v>
      </c>
      <c r="F257" s="297">
        <f>IFERROR(_xlfn.XLOOKUP($A257,Input_Raw!$A:$A,Input_Raw!$AR:$AR),"")</f>
        <v>0</v>
      </c>
      <c r="G257" s="298">
        <f>IFERROR(_xlfn.XLOOKUP($A257,Input_Raw!$A:$A,Input_Raw!$R:$R),"")</f>
        <v>0</v>
      </c>
      <c r="H257" s="298"/>
      <c r="I257" s="298">
        <f>IFERROR(_xlfn.XLOOKUP($A257,Input_Raw!$A:$A,Input_Raw!$Q:$Q),"")</f>
        <v>0</v>
      </c>
      <c r="J257" s="298"/>
      <c r="K257" s="298">
        <f>IFERROR(_xlfn.XLOOKUP($A257,Input_Raw!$A:$A,Input_Raw!S:S),"")</f>
        <v>0</v>
      </c>
      <c r="L257" s="298">
        <f>IFERROR(_xlfn.XLOOKUP($A257,Input_Raw!$A:$A,Input_Raw!T:T),"")</f>
        <v>0</v>
      </c>
      <c r="M257" s="298">
        <f>IFERROR(_xlfn.XLOOKUP($A257,Input_Raw!$A:$A,Input_Raw!W:W),"")</f>
        <v>0</v>
      </c>
      <c r="N257" s="298">
        <f>IFERROR(_xlfn.XLOOKUP($A257,Input_Raw!$A:$A,Input_Raw!X:X),"")</f>
        <v>0</v>
      </c>
      <c r="O257" s="299" t="str">
        <f>IFERROR(1-(SUMIF(Plant_BD!$B:$B,$A257,Plant_BD!$AL:$AL)/($AA257+SUMIF(Plant_BD!$B:$B,$A257,Plant_BD!$AL:$AL))),"")</f>
        <v/>
      </c>
      <c r="P257" s="299"/>
      <c r="Q257" s="300"/>
      <c r="R257" s="299" t="str">
        <f>IFERROR(1-(SUMIF(Grid_BD!$B:$B,$A257,Grid_BD!$V:$V)/($AA257+SUMIF(Grid_BD!$B:$B,$A257,Grid_BD!$V:$V))),"")</f>
        <v/>
      </c>
      <c r="S257" s="295"/>
      <c r="T257" s="300"/>
      <c r="U257" s="301" t="str">
        <f t="shared" si="21"/>
        <v/>
      </c>
      <c r="V257" s="301" t="str">
        <f>IFERROR(_xlfn.XLOOKUP($A257,Input_Raw!$A:$A,Input_Raw!$AX:$AX),"")</f>
        <v/>
      </c>
      <c r="W257" s="302">
        <f t="shared" si="22"/>
        <v>0</v>
      </c>
      <c r="X257" s="294">
        <f>IFERROR(_xlfn.XLOOKUP($A257,Input_Raw!$A:$A,Input_Raw!$AA:$AA),"")</f>
        <v>0</v>
      </c>
      <c r="Y257" s="294">
        <f>IFERROR(_xlfn.XLOOKUP($A257,Input_Raw!$A:$A,Input_Raw!$AS:$AS),"")</f>
        <v>0</v>
      </c>
      <c r="Z257" s="294"/>
      <c r="AA257" s="294">
        <f>IFERROR(_xlfn.XLOOKUP($A257,Input_Raw!$A:$A,Input_Raw!$AT:$AT),"")</f>
        <v>0</v>
      </c>
      <c r="AB257" s="294">
        <f>IFERROR(_xlfn.XLOOKUP($A257,Input_Raw!$A:$A,Input_Raw!$AU:$AU),"")</f>
        <v>0</v>
      </c>
      <c r="AC257" s="303">
        <f>IFERROR(_xlfn.XLOOKUP($D257,'Modelling New'!$D:$D,'Modelling New'!P:P),"")</f>
        <v>5.5258064516129037</v>
      </c>
      <c r="AD257" s="294">
        <f>IFERROR(_xlfn.XLOOKUP($D257,'Modelling New'!$D:$D,'Modelling New'!T:T)*1000,"")</f>
        <v>589943.49243947864</v>
      </c>
      <c r="AE257" s="304">
        <f>IFERROR(_xlfn.XLOOKUP($D257,'Modelling New'!$D:$D,'Modelling New'!$O:$O),"")</f>
        <v>0.79082606930115407</v>
      </c>
      <c r="AF257" s="304">
        <f>IFERROR(_xlfn.XLOOKUP($D257,'Modelling New'!$D:$D,'Modelling New'!$W:$W),"")</f>
        <v>0.18208132482699957</v>
      </c>
      <c r="AG257" s="304">
        <f>IFERROR(_xlfn.XLOOKUP($D257,'Modelling New'!$D:$D,'Modelling New'!$AE:$AE),"")</f>
        <v>0.995</v>
      </c>
      <c r="AH257" s="304">
        <f>IFERROR(_xlfn.XLOOKUP($D257,'Modelling New'!$D:$D,'Modelling New'!$AF:$AF),"")</f>
        <v>0.995</v>
      </c>
      <c r="AI257" s="295"/>
      <c r="AJ257" s="295"/>
      <c r="AK257" s="295"/>
      <c r="AL257" s="295"/>
      <c r="AM257" s="295"/>
      <c r="AN257" s="305"/>
      <c r="AO257" s="302"/>
      <c r="AP257" s="302"/>
      <c r="AQ257" s="302"/>
      <c r="AR257" s="294">
        <f>_xlfn.XLOOKUP($D257,'Modelling New'!$D:$D,'Modelling New'!$N:$N)</f>
        <v>135</v>
      </c>
      <c r="AS257" s="294">
        <f t="shared" si="23"/>
        <v>0</v>
      </c>
    </row>
    <row r="258" spans="1:45">
      <c r="A258" s="293">
        <f t="shared" si="24"/>
        <v>46001</v>
      </c>
      <c r="B258" s="294">
        <f>YEAR(Daily_KPI[[#This Row],[Date]])+IF(MONTH(Daily_KPI[[#This Row],[Date]])&gt;=4,1,0)</f>
        <v>2026</v>
      </c>
      <c r="C258" s="295">
        <f>YEAR(Daily_KPI[[#This Row],[Date]])</f>
        <v>2025</v>
      </c>
      <c r="D258" s="296">
        <f>Daily_KPI[[#This Row],[Date]]-DAY(Daily_KPI[[#This Row],[Date]])+1</f>
        <v>45992</v>
      </c>
      <c r="E258" s="295">
        <f t="shared" si="20"/>
        <v>31</v>
      </c>
      <c r="F258" s="297">
        <f>IFERROR(_xlfn.XLOOKUP($A258,Input_Raw!$A:$A,Input_Raw!$AR:$AR),"")</f>
        <v>0</v>
      </c>
      <c r="G258" s="298">
        <f>IFERROR(_xlfn.XLOOKUP($A258,Input_Raw!$A:$A,Input_Raw!$R:$R),"")</f>
        <v>0</v>
      </c>
      <c r="H258" s="298"/>
      <c r="I258" s="298">
        <f>IFERROR(_xlfn.XLOOKUP($A258,Input_Raw!$A:$A,Input_Raw!$Q:$Q),"")</f>
        <v>0</v>
      </c>
      <c r="J258" s="298"/>
      <c r="K258" s="298">
        <f>IFERROR(_xlfn.XLOOKUP($A258,Input_Raw!$A:$A,Input_Raw!S:S),"")</f>
        <v>0</v>
      </c>
      <c r="L258" s="298">
        <f>IFERROR(_xlfn.XLOOKUP($A258,Input_Raw!$A:$A,Input_Raw!T:T),"")</f>
        <v>0</v>
      </c>
      <c r="M258" s="298">
        <f>IFERROR(_xlfn.XLOOKUP($A258,Input_Raw!$A:$A,Input_Raw!W:W),"")</f>
        <v>0</v>
      </c>
      <c r="N258" s="298">
        <f>IFERROR(_xlfn.XLOOKUP($A258,Input_Raw!$A:$A,Input_Raw!X:X),"")</f>
        <v>0</v>
      </c>
      <c r="O258" s="299" t="str">
        <f>IFERROR(1-(SUMIF(Plant_BD!$B:$B,$A258,Plant_BD!$AL:$AL)/($AA258+SUMIF(Plant_BD!$B:$B,$A258,Plant_BD!$AL:$AL))),"")</f>
        <v/>
      </c>
      <c r="P258" s="299"/>
      <c r="Q258" s="300"/>
      <c r="R258" s="299" t="str">
        <f>IFERROR(1-(SUMIF(Grid_BD!$B:$B,$A258,Grid_BD!$V:$V)/($AA258+SUMIF(Grid_BD!$B:$B,$A258,Grid_BD!$V:$V))),"")</f>
        <v/>
      </c>
      <c r="S258" s="295"/>
      <c r="T258" s="300"/>
      <c r="U258" s="301" t="str">
        <f t="shared" si="21"/>
        <v/>
      </c>
      <c r="V258" s="301" t="str">
        <f>IFERROR(_xlfn.XLOOKUP($A258,Input_Raw!$A:$A,Input_Raw!$AX:$AX),"")</f>
        <v/>
      </c>
      <c r="W258" s="302">
        <f t="shared" si="22"/>
        <v>0</v>
      </c>
      <c r="X258" s="294">
        <f>IFERROR(_xlfn.XLOOKUP($A258,Input_Raw!$A:$A,Input_Raw!$AA:$AA),"")</f>
        <v>0</v>
      </c>
      <c r="Y258" s="294">
        <f>IFERROR(_xlfn.XLOOKUP($A258,Input_Raw!$A:$A,Input_Raw!$AS:$AS),"")</f>
        <v>0</v>
      </c>
      <c r="Z258" s="294"/>
      <c r="AA258" s="294">
        <f>IFERROR(_xlfn.XLOOKUP($A258,Input_Raw!$A:$A,Input_Raw!$AT:$AT),"")</f>
        <v>0</v>
      </c>
      <c r="AB258" s="294">
        <f>IFERROR(_xlfn.XLOOKUP($A258,Input_Raw!$A:$A,Input_Raw!$AU:$AU),"")</f>
        <v>0</v>
      </c>
      <c r="AC258" s="303">
        <f>IFERROR(_xlfn.XLOOKUP($D258,'Modelling New'!$D:$D,'Modelling New'!P:P),"")</f>
        <v>5.5258064516129037</v>
      </c>
      <c r="AD258" s="294">
        <f>IFERROR(_xlfn.XLOOKUP($D258,'Modelling New'!$D:$D,'Modelling New'!T:T)*1000,"")</f>
        <v>589943.49243947864</v>
      </c>
      <c r="AE258" s="304">
        <f>IFERROR(_xlfn.XLOOKUP($D258,'Modelling New'!$D:$D,'Modelling New'!$O:$O),"")</f>
        <v>0.79082606930115407</v>
      </c>
      <c r="AF258" s="304">
        <f>IFERROR(_xlfn.XLOOKUP($D258,'Modelling New'!$D:$D,'Modelling New'!$W:$W),"")</f>
        <v>0.18208132482699957</v>
      </c>
      <c r="AG258" s="304">
        <f>IFERROR(_xlfn.XLOOKUP($D258,'Modelling New'!$D:$D,'Modelling New'!$AE:$AE),"")</f>
        <v>0.995</v>
      </c>
      <c r="AH258" s="304">
        <f>IFERROR(_xlfn.XLOOKUP($D258,'Modelling New'!$D:$D,'Modelling New'!$AF:$AF),"")</f>
        <v>0.995</v>
      </c>
      <c r="AI258" s="295"/>
      <c r="AJ258" s="295"/>
      <c r="AK258" s="295"/>
      <c r="AL258" s="295"/>
      <c r="AM258" s="295"/>
      <c r="AN258" s="305"/>
      <c r="AO258" s="302"/>
      <c r="AP258" s="302"/>
      <c r="AQ258" s="302"/>
      <c r="AR258" s="294">
        <f>_xlfn.XLOOKUP($D258,'Modelling New'!$D:$D,'Modelling New'!$N:$N)</f>
        <v>135</v>
      </c>
      <c r="AS258" s="294">
        <f t="shared" si="23"/>
        <v>0</v>
      </c>
    </row>
    <row r="259" spans="1:45">
      <c r="A259" s="293">
        <f t="shared" si="24"/>
        <v>46002</v>
      </c>
      <c r="B259" s="294">
        <f>YEAR(Daily_KPI[[#This Row],[Date]])+IF(MONTH(Daily_KPI[[#This Row],[Date]])&gt;=4,1,0)</f>
        <v>2026</v>
      </c>
      <c r="C259" s="295">
        <f>YEAR(Daily_KPI[[#This Row],[Date]])</f>
        <v>2025</v>
      </c>
      <c r="D259" s="296">
        <f>Daily_KPI[[#This Row],[Date]]-DAY(Daily_KPI[[#This Row],[Date]])+1</f>
        <v>45992</v>
      </c>
      <c r="E259" s="295">
        <f t="shared" si="20"/>
        <v>31</v>
      </c>
      <c r="F259" s="297">
        <f>IFERROR(_xlfn.XLOOKUP($A259,Input_Raw!$A:$A,Input_Raw!$AR:$AR),"")</f>
        <v>0</v>
      </c>
      <c r="G259" s="298">
        <f>IFERROR(_xlfn.XLOOKUP($A259,Input_Raw!$A:$A,Input_Raw!$R:$R),"")</f>
        <v>0</v>
      </c>
      <c r="H259" s="298"/>
      <c r="I259" s="298">
        <f>IFERROR(_xlfn.XLOOKUP($A259,Input_Raw!$A:$A,Input_Raw!$Q:$Q),"")</f>
        <v>0</v>
      </c>
      <c r="J259" s="298"/>
      <c r="K259" s="298">
        <f>IFERROR(_xlfn.XLOOKUP($A259,Input_Raw!$A:$A,Input_Raw!S:S),"")</f>
        <v>0</v>
      </c>
      <c r="L259" s="298">
        <f>IFERROR(_xlfn.XLOOKUP($A259,Input_Raw!$A:$A,Input_Raw!T:T),"")</f>
        <v>0</v>
      </c>
      <c r="M259" s="298">
        <f>IFERROR(_xlfn.XLOOKUP($A259,Input_Raw!$A:$A,Input_Raw!W:W),"")</f>
        <v>0</v>
      </c>
      <c r="N259" s="298">
        <f>IFERROR(_xlfn.XLOOKUP($A259,Input_Raw!$A:$A,Input_Raw!X:X),"")</f>
        <v>0</v>
      </c>
      <c r="O259" s="299" t="str">
        <f>IFERROR(1-(SUMIF(Plant_BD!$B:$B,$A259,Plant_BD!$AL:$AL)/($AA259+SUMIF(Plant_BD!$B:$B,$A259,Plant_BD!$AL:$AL))),"")</f>
        <v/>
      </c>
      <c r="P259" s="299"/>
      <c r="Q259" s="300"/>
      <c r="R259" s="299" t="str">
        <f>IFERROR(1-(SUMIF(Grid_BD!$B:$B,$A259,Grid_BD!$V:$V)/($AA259+SUMIF(Grid_BD!$B:$B,$A259,Grid_BD!$V:$V))),"")</f>
        <v/>
      </c>
      <c r="S259" s="295"/>
      <c r="T259" s="300"/>
      <c r="U259" s="301" t="str">
        <f t="shared" si="21"/>
        <v/>
      </c>
      <c r="V259" s="301" t="str">
        <f>IFERROR(_xlfn.XLOOKUP($A259,Input_Raw!$A:$A,Input_Raw!$AX:$AX),"")</f>
        <v/>
      </c>
      <c r="W259" s="302">
        <f t="shared" si="22"/>
        <v>0</v>
      </c>
      <c r="X259" s="294">
        <f>IFERROR(_xlfn.XLOOKUP($A259,Input_Raw!$A:$A,Input_Raw!$AA:$AA),"")</f>
        <v>0</v>
      </c>
      <c r="Y259" s="294">
        <f>IFERROR(_xlfn.XLOOKUP($A259,Input_Raw!$A:$A,Input_Raw!$AS:$AS),"")</f>
        <v>0</v>
      </c>
      <c r="Z259" s="294"/>
      <c r="AA259" s="294">
        <f>IFERROR(_xlfn.XLOOKUP($A259,Input_Raw!$A:$A,Input_Raw!$AT:$AT),"")</f>
        <v>0</v>
      </c>
      <c r="AB259" s="294">
        <f>IFERROR(_xlfn.XLOOKUP($A259,Input_Raw!$A:$A,Input_Raw!$AU:$AU),"")</f>
        <v>0</v>
      </c>
      <c r="AC259" s="303">
        <f>IFERROR(_xlfn.XLOOKUP($D259,'Modelling New'!$D:$D,'Modelling New'!P:P),"")</f>
        <v>5.5258064516129037</v>
      </c>
      <c r="AD259" s="294">
        <f>IFERROR(_xlfn.XLOOKUP($D259,'Modelling New'!$D:$D,'Modelling New'!T:T)*1000,"")</f>
        <v>589943.49243947864</v>
      </c>
      <c r="AE259" s="304">
        <f>IFERROR(_xlfn.XLOOKUP($D259,'Modelling New'!$D:$D,'Modelling New'!$O:$O),"")</f>
        <v>0.79082606930115407</v>
      </c>
      <c r="AF259" s="304">
        <f>IFERROR(_xlfn.XLOOKUP($D259,'Modelling New'!$D:$D,'Modelling New'!$W:$W),"")</f>
        <v>0.18208132482699957</v>
      </c>
      <c r="AG259" s="304">
        <f>IFERROR(_xlfn.XLOOKUP($D259,'Modelling New'!$D:$D,'Modelling New'!$AE:$AE),"")</f>
        <v>0.995</v>
      </c>
      <c r="AH259" s="304">
        <f>IFERROR(_xlfn.XLOOKUP($D259,'Modelling New'!$D:$D,'Modelling New'!$AF:$AF),"")</f>
        <v>0.995</v>
      </c>
      <c r="AI259" s="295"/>
      <c r="AJ259" s="295"/>
      <c r="AK259" s="295"/>
      <c r="AL259" s="295"/>
      <c r="AM259" s="295"/>
      <c r="AN259" s="305"/>
      <c r="AO259" s="302"/>
      <c r="AP259" s="302"/>
      <c r="AQ259" s="302"/>
      <c r="AR259" s="294">
        <f>_xlfn.XLOOKUP($D259,'Modelling New'!$D:$D,'Modelling New'!$N:$N)</f>
        <v>135</v>
      </c>
      <c r="AS259" s="294">
        <f t="shared" si="23"/>
        <v>0</v>
      </c>
    </row>
    <row r="260" spans="1:45">
      <c r="A260" s="293">
        <f t="shared" si="24"/>
        <v>46003</v>
      </c>
      <c r="B260" s="294">
        <f>YEAR(Daily_KPI[[#This Row],[Date]])+IF(MONTH(Daily_KPI[[#This Row],[Date]])&gt;=4,1,0)</f>
        <v>2026</v>
      </c>
      <c r="C260" s="295">
        <f>YEAR(Daily_KPI[[#This Row],[Date]])</f>
        <v>2025</v>
      </c>
      <c r="D260" s="296">
        <f>Daily_KPI[[#This Row],[Date]]-DAY(Daily_KPI[[#This Row],[Date]])+1</f>
        <v>45992</v>
      </c>
      <c r="E260" s="295">
        <f t="shared" si="20"/>
        <v>31</v>
      </c>
      <c r="F260" s="297">
        <f>IFERROR(_xlfn.XLOOKUP($A260,Input_Raw!$A:$A,Input_Raw!$AR:$AR),"")</f>
        <v>0</v>
      </c>
      <c r="G260" s="298">
        <f>IFERROR(_xlfn.XLOOKUP($A260,Input_Raw!$A:$A,Input_Raw!$R:$R),"")</f>
        <v>0</v>
      </c>
      <c r="H260" s="298"/>
      <c r="I260" s="298">
        <f>IFERROR(_xlfn.XLOOKUP($A260,Input_Raw!$A:$A,Input_Raw!$Q:$Q),"")</f>
        <v>0</v>
      </c>
      <c r="J260" s="298"/>
      <c r="K260" s="298">
        <f>IFERROR(_xlfn.XLOOKUP($A260,Input_Raw!$A:$A,Input_Raw!S:S),"")</f>
        <v>0</v>
      </c>
      <c r="L260" s="298">
        <f>IFERROR(_xlfn.XLOOKUP($A260,Input_Raw!$A:$A,Input_Raw!T:T),"")</f>
        <v>0</v>
      </c>
      <c r="M260" s="298">
        <f>IFERROR(_xlfn.XLOOKUP($A260,Input_Raw!$A:$A,Input_Raw!W:W),"")</f>
        <v>0</v>
      </c>
      <c r="N260" s="298">
        <f>IFERROR(_xlfn.XLOOKUP($A260,Input_Raw!$A:$A,Input_Raw!X:X),"")</f>
        <v>0</v>
      </c>
      <c r="O260" s="299" t="str">
        <f>IFERROR(1-(SUMIF(Plant_BD!$B:$B,$A260,Plant_BD!$AL:$AL)/($AA260+SUMIF(Plant_BD!$B:$B,$A260,Plant_BD!$AL:$AL))),"")</f>
        <v/>
      </c>
      <c r="P260" s="299"/>
      <c r="Q260" s="300"/>
      <c r="R260" s="299" t="str">
        <f>IFERROR(1-(SUMIF(Grid_BD!$B:$B,$A260,Grid_BD!$V:$V)/($AA260+SUMIF(Grid_BD!$B:$B,$A260,Grid_BD!$V:$V))),"")</f>
        <v/>
      </c>
      <c r="S260" s="295"/>
      <c r="T260" s="300"/>
      <c r="U260" s="301" t="str">
        <f t="shared" si="21"/>
        <v/>
      </c>
      <c r="V260" s="301" t="str">
        <f>IFERROR(_xlfn.XLOOKUP($A260,Input_Raw!$A:$A,Input_Raw!$AX:$AX),"")</f>
        <v/>
      </c>
      <c r="W260" s="302">
        <f t="shared" si="22"/>
        <v>0</v>
      </c>
      <c r="X260" s="294">
        <f>IFERROR(_xlfn.XLOOKUP($A260,Input_Raw!$A:$A,Input_Raw!$AA:$AA),"")</f>
        <v>0</v>
      </c>
      <c r="Y260" s="294">
        <f>IFERROR(_xlfn.XLOOKUP($A260,Input_Raw!$A:$A,Input_Raw!$AS:$AS),"")</f>
        <v>0</v>
      </c>
      <c r="Z260" s="294"/>
      <c r="AA260" s="294">
        <f>IFERROR(_xlfn.XLOOKUP($A260,Input_Raw!$A:$A,Input_Raw!$AT:$AT),"")</f>
        <v>0</v>
      </c>
      <c r="AB260" s="294">
        <f>IFERROR(_xlfn.XLOOKUP($A260,Input_Raw!$A:$A,Input_Raw!$AU:$AU),"")</f>
        <v>0</v>
      </c>
      <c r="AC260" s="303">
        <f>IFERROR(_xlfn.XLOOKUP($D260,'Modelling New'!$D:$D,'Modelling New'!P:P),"")</f>
        <v>5.5258064516129037</v>
      </c>
      <c r="AD260" s="294">
        <f>IFERROR(_xlfn.XLOOKUP($D260,'Modelling New'!$D:$D,'Modelling New'!T:T)*1000,"")</f>
        <v>589943.49243947864</v>
      </c>
      <c r="AE260" s="304">
        <f>IFERROR(_xlfn.XLOOKUP($D260,'Modelling New'!$D:$D,'Modelling New'!$O:$O),"")</f>
        <v>0.79082606930115407</v>
      </c>
      <c r="AF260" s="304">
        <f>IFERROR(_xlfn.XLOOKUP($D260,'Modelling New'!$D:$D,'Modelling New'!$W:$W),"")</f>
        <v>0.18208132482699957</v>
      </c>
      <c r="AG260" s="304">
        <f>IFERROR(_xlfn.XLOOKUP($D260,'Modelling New'!$D:$D,'Modelling New'!$AE:$AE),"")</f>
        <v>0.995</v>
      </c>
      <c r="AH260" s="304">
        <f>IFERROR(_xlfn.XLOOKUP($D260,'Modelling New'!$D:$D,'Modelling New'!$AF:$AF),"")</f>
        <v>0.995</v>
      </c>
      <c r="AI260" s="295"/>
      <c r="AJ260" s="295"/>
      <c r="AK260" s="295"/>
      <c r="AL260" s="295"/>
      <c r="AM260" s="295"/>
      <c r="AN260" s="305"/>
      <c r="AO260" s="302"/>
      <c r="AP260" s="302"/>
      <c r="AQ260" s="302"/>
      <c r="AR260" s="294">
        <f>_xlfn.XLOOKUP($D260,'Modelling New'!$D:$D,'Modelling New'!$N:$N)</f>
        <v>135</v>
      </c>
      <c r="AS260" s="294">
        <f t="shared" si="23"/>
        <v>0</v>
      </c>
    </row>
    <row r="261" spans="1:45">
      <c r="A261" s="293">
        <f t="shared" si="24"/>
        <v>46004</v>
      </c>
      <c r="B261" s="294">
        <f>YEAR(Daily_KPI[[#This Row],[Date]])+IF(MONTH(Daily_KPI[[#This Row],[Date]])&gt;=4,1,0)</f>
        <v>2026</v>
      </c>
      <c r="C261" s="295">
        <f>YEAR(Daily_KPI[[#This Row],[Date]])</f>
        <v>2025</v>
      </c>
      <c r="D261" s="296">
        <f>Daily_KPI[[#This Row],[Date]]-DAY(Daily_KPI[[#This Row],[Date]])+1</f>
        <v>45992</v>
      </c>
      <c r="E261" s="295">
        <f t="shared" si="20"/>
        <v>31</v>
      </c>
      <c r="F261" s="297">
        <f>IFERROR(_xlfn.XLOOKUP($A261,Input_Raw!$A:$A,Input_Raw!$AR:$AR),"")</f>
        <v>0</v>
      </c>
      <c r="G261" s="298">
        <f>IFERROR(_xlfn.XLOOKUP($A261,Input_Raw!$A:$A,Input_Raw!$R:$R),"")</f>
        <v>0</v>
      </c>
      <c r="H261" s="298"/>
      <c r="I261" s="298">
        <f>IFERROR(_xlfn.XLOOKUP($A261,Input_Raw!$A:$A,Input_Raw!$Q:$Q),"")</f>
        <v>0</v>
      </c>
      <c r="J261" s="298"/>
      <c r="K261" s="298">
        <f>IFERROR(_xlfn.XLOOKUP($A261,Input_Raw!$A:$A,Input_Raw!S:S),"")</f>
        <v>0</v>
      </c>
      <c r="L261" s="298">
        <f>IFERROR(_xlfn.XLOOKUP($A261,Input_Raw!$A:$A,Input_Raw!T:T),"")</f>
        <v>0</v>
      </c>
      <c r="M261" s="298">
        <f>IFERROR(_xlfn.XLOOKUP($A261,Input_Raw!$A:$A,Input_Raw!W:W),"")</f>
        <v>0</v>
      </c>
      <c r="N261" s="298">
        <f>IFERROR(_xlfn.XLOOKUP($A261,Input_Raw!$A:$A,Input_Raw!X:X),"")</f>
        <v>0</v>
      </c>
      <c r="O261" s="299" t="str">
        <f>IFERROR(1-(SUMIF(Plant_BD!$B:$B,$A261,Plant_BD!$AL:$AL)/($AA261+SUMIF(Plant_BD!$B:$B,$A261,Plant_BD!$AL:$AL))),"")</f>
        <v/>
      </c>
      <c r="P261" s="299"/>
      <c r="Q261" s="300"/>
      <c r="R261" s="299" t="str">
        <f>IFERROR(1-(SUMIF(Grid_BD!$B:$B,$A261,Grid_BD!$V:$V)/($AA261+SUMIF(Grid_BD!$B:$B,$A261,Grid_BD!$V:$V))),"")</f>
        <v/>
      </c>
      <c r="S261" s="295"/>
      <c r="T261" s="300"/>
      <c r="U261" s="301" t="str">
        <f t="shared" si="21"/>
        <v/>
      </c>
      <c r="V261" s="301" t="str">
        <f>IFERROR(_xlfn.XLOOKUP($A261,Input_Raw!$A:$A,Input_Raw!$AX:$AX),"")</f>
        <v/>
      </c>
      <c r="W261" s="302">
        <f t="shared" si="22"/>
        <v>0</v>
      </c>
      <c r="X261" s="294">
        <f>IFERROR(_xlfn.XLOOKUP($A261,Input_Raw!$A:$A,Input_Raw!$AA:$AA),"")</f>
        <v>0</v>
      </c>
      <c r="Y261" s="294">
        <f>IFERROR(_xlfn.XLOOKUP($A261,Input_Raw!$A:$A,Input_Raw!$AS:$AS),"")</f>
        <v>0</v>
      </c>
      <c r="Z261" s="294"/>
      <c r="AA261" s="294">
        <f>IFERROR(_xlfn.XLOOKUP($A261,Input_Raw!$A:$A,Input_Raw!$AT:$AT),"")</f>
        <v>0</v>
      </c>
      <c r="AB261" s="294">
        <f>IFERROR(_xlfn.XLOOKUP($A261,Input_Raw!$A:$A,Input_Raw!$AU:$AU),"")</f>
        <v>0</v>
      </c>
      <c r="AC261" s="303">
        <f>IFERROR(_xlfn.XLOOKUP($D261,'Modelling New'!$D:$D,'Modelling New'!P:P),"")</f>
        <v>5.5258064516129037</v>
      </c>
      <c r="AD261" s="294">
        <f>IFERROR(_xlfn.XLOOKUP($D261,'Modelling New'!$D:$D,'Modelling New'!T:T)*1000,"")</f>
        <v>589943.49243947864</v>
      </c>
      <c r="AE261" s="304">
        <f>IFERROR(_xlfn.XLOOKUP($D261,'Modelling New'!$D:$D,'Modelling New'!$O:$O),"")</f>
        <v>0.79082606930115407</v>
      </c>
      <c r="AF261" s="304">
        <f>IFERROR(_xlfn.XLOOKUP($D261,'Modelling New'!$D:$D,'Modelling New'!$W:$W),"")</f>
        <v>0.18208132482699957</v>
      </c>
      <c r="AG261" s="304">
        <f>IFERROR(_xlfn.XLOOKUP($D261,'Modelling New'!$D:$D,'Modelling New'!$AE:$AE),"")</f>
        <v>0.995</v>
      </c>
      <c r="AH261" s="304">
        <f>IFERROR(_xlfn.XLOOKUP($D261,'Modelling New'!$D:$D,'Modelling New'!$AF:$AF),"")</f>
        <v>0.995</v>
      </c>
      <c r="AI261" s="295"/>
      <c r="AJ261" s="295"/>
      <c r="AK261" s="295"/>
      <c r="AL261" s="295"/>
      <c r="AM261" s="295"/>
      <c r="AN261" s="305"/>
      <c r="AO261" s="302"/>
      <c r="AP261" s="302"/>
      <c r="AQ261" s="302"/>
      <c r="AR261" s="294">
        <f>_xlfn.XLOOKUP($D261,'Modelling New'!$D:$D,'Modelling New'!$N:$N)</f>
        <v>135</v>
      </c>
      <c r="AS261" s="294">
        <f t="shared" si="23"/>
        <v>0</v>
      </c>
    </row>
    <row r="262" spans="1:45">
      <c r="A262" s="293">
        <f t="shared" si="24"/>
        <v>46005</v>
      </c>
      <c r="B262" s="294">
        <f>YEAR(Daily_KPI[[#This Row],[Date]])+IF(MONTH(Daily_KPI[[#This Row],[Date]])&gt;=4,1,0)</f>
        <v>2026</v>
      </c>
      <c r="C262" s="295">
        <f>YEAR(Daily_KPI[[#This Row],[Date]])</f>
        <v>2025</v>
      </c>
      <c r="D262" s="296">
        <f>Daily_KPI[[#This Row],[Date]]-DAY(Daily_KPI[[#This Row],[Date]])+1</f>
        <v>45992</v>
      </c>
      <c r="E262" s="295">
        <f t="shared" si="20"/>
        <v>31</v>
      </c>
      <c r="F262" s="297">
        <f>IFERROR(_xlfn.XLOOKUP($A262,Input_Raw!$A:$A,Input_Raw!$AR:$AR),"")</f>
        <v>0</v>
      </c>
      <c r="G262" s="298">
        <f>IFERROR(_xlfn.XLOOKUP($A262,Input_Raw!$A:$A,Input_Raw!$R:$R),"")</f>
        <v>0</v>
      </c>
      <c r="H262" s="298"/>
      <c r="I262" s="298">
        <f>IFERROR(_xlfn.XLOOKUP($A262,Input_Raw!$A:$A,Input_Raw!$Q:$Q),"")</f>
        <v>0</v>
      </c>
      <c r="J262" s="298"/>
      <c r="K262" s="298">
        <f>IFERROR(_xlfn.XLOOKUP($A262,Input_Raw!$A:$A,Input_Raw!S:S),"")</f>
        <v>0</v>
      </c>
      <c r="L262" s="298">
        <f>IFERROR(_xlfn.XLOOKUP($A262,Input_Raw!$A:$A,Input_Raw!T:T),"")</f>
        <v>0</v>
      </c>
      <c r="M262" s="298">
        <f>IFERROR(_xlfn.XLOOKUP($A262,Input_Raw!$A:$A,Input_Raw!W:W),"")</f>
        <v>0</v>
      </c>
      <c r="N262" s="298">
        <f>IFERROR(_xlfn.XLOOKUP($A262,Input_Raw!$A:$A,Input_Raw!X:X),"")</f>
        <v>0</v>
      </c>
      <c r="O262" s="299" t="str">
        <f>IFERROR(1-(SUMIF(Plant_BD!$B:$B,$A262,Plant_BD!$AL:$AL)/($AA262+SUMIF(Plant_BD!$B:$B,$A262,Plant_BD!$AL:$AL))),"")</f>
        <v/>
      </c>
      <c r="P262" s="299"/>
      <c r="Q262" s="300"/>
      <c r="R262" s="299" t="str">
        <f>IFERROR(1-(SUMIF(Grid_BD!$B:$B,$A262,Grid_BD!$V:$V)/($AA262+SUMIF(Grid_BD!$B:$B,$A262,Grid_BD!$V:$V))),"")</f>
        <v/>
      </c>
      <c r="S262" s="295"/>
      <c r="T262" s="300"/>
      <c r="U262" s="301" t="str">
        <f t="shared" si="21"/>
        <v/>
      </c>
      <c r="V262" s="301" t="str">
        <f>IFERROR(_xlfn.XLOOKUP($A262,Input_Raw!$A:$A,Input_Raw!$AX:$AX),"")</f>
        <v/>
      </c>
      <c r="W262" s="302">
        <f t="shared" si="22"/>
        <v>0</v>
      </c>
      <c r="X262" s="294">
        <f>IFERROR(_xlfn.XLOOKUP($A262,Input_Raw!$A:$A,Input_Raw!$AA:$AA),"")</f>
        <v>0</v>
      </c>
      <c r="Y262" s="294">
        <f>IFERROR(_xlfn.XLOOKUP($A262,Input_Raw!$A:$A,Input_Raw!$AS:$AS),"")</f>
        <v>0</v>
      </c>
      <c r="Z262" s="294"/>
      <c r="AA262" s="294">
        <f>IFERROR(_xlfn.XLOOKUP($A262,Input_Raw!$A:$A,Input_Raw!$AT:$AT),"")</f>
        <v>0</v>
      </c>
      <c r="AB262" s="294">
        <f>IFERROR(_xlfn.XLOOKUP($A262,Input_Raw!$A:$A,Input_Raw!$AU:$AU),"")</f>
        <v>0</v>
      </c>
      <c r="AC262" s="303">
        <f>IFERROR(_xlfn.XLOOKUP($D262,'Modelling New'!$D:$D,'Modelling New'!P:P),"")</f>
        <v>5.5258064516129037</v>
      </c>
      <c r="AD262" s="294">
        <f>IFERROR(_xlfn.XLOOKUP($D262,'Modelling New'!$D:$D,'Modelling New'!T:T)*1000,"")</f>
        <v>589943.49243947864</v>
      </c>
      <c r="AE262" s="304">
        <f>IFERROR(_xlfn.XLOOKUP($D262,'Modelling New'!$D:$D,'Modelling New'!$O:$O),"")</f>
        <v>0.79082606930115407</v>
      </c>
      <c r="AF262" s="304">
        <f>IFERROR(_xlfn.XLOOKUP($D262,'Modelling New'!$D:$D,'Modelling New'!$W:$W),"")</f>
        <v>0.18208132482699957</v>
      </c>
      <c r="AG262" s="304">
        <f>IFERROR(_xlfn.XLOOKUP($D262,'Modelling New'!$D:$D,'Modelling New'!$AE:$AE),"")</f>
        <v>0.995</v>
      </c>
      <c r="AH262" s="304">
        <f>IFERROR(_xlfn.XLOOKUP($D262,'Modelling New'!$D:$D,'Modelling New'!$AF:$AF),"")</f>
        <v>0.995</v>
      </c>
      <c r="AI262" s="295"/>
      <c r="AJ262" s="295"/>
      <c r="AK262" s="295"/>
      <c r="AL262" s="295"/>
      <c r="AM262" s="295"/>
      <c r="AN262" s="305"/>
      <c r="AO262" s="302"/>
      <c r="AP262" s="302"/>
      <c r="AQ262" s="302"/>
      <c r="AR262" s="294">
        <f>_xlfn.XLOOKUP($D262,'Modelling New'!$D:$D,'Modelling New'!$N:$N)</f>
        <v>135</v>
      </c>
      <c r="AS262" s="294">
        <f t="shared" si="23"/>
        <v>0</v>
      </c>
    </row>
    <row r="263" spans="1:45">
      <c r="A263" s="293">
        <f t="shared" si="24"/>
        <v>46006</v>
      </c>
      <c r="B263" s="294">
        <f>YEAR(Daily_KPI[[#This Row],[Date]])+IF(MONTH(Daily_KPI[[#This Row],[Date]])&gt;=4,1,0)</f>
        <v>2026</v>
      </c>
      <c r="C263" s="295">
        <f>YEAR(Daily_KPI[[#This Row],[Date]])</f>
        <v>2025</v>
      </c>
      <c r="D263" s="296">
        <f>Daily_KPI[[#This Row],[Date]]-DAY(Daily_KPI[[#This Row],[Date]])+1</f>
        <v>45992</v>
      </c>
      <c r="E263" s="295">
        <f t="shared" si="20"/>
        <v>31</v>
      </c>
      <c r="F263" s="297">
        <f>IFERROR(_xlfn.XLOOKUP($A263,Input_Raw!$A:$A,Input_Raw!$AR:$AR),"")</f>
        <v>0</v>
      </c>
      <c r="G263" s="298">
        <f>IFERROR(_xlfn.XLOOKUP($A263,Input_Raw!$A:$A,Input_Raw!$R:$R),"")</f>
        <v>0</v>
      </c>
      <c r="H263" s="298"/>
      <c r="I263" s="298">
        <f>IFERROR(_xlfn.XLOOKUP($A263,Input_Raw!$A:$A,Input_Raw!$Q:$Q),"")</f>
        <v>0</v>
      </c>
      <c r="J263" s="298"/>
      <c r="K263" s="298">
        <f>IFERROR(_xlfn.XLOOKUP($A263,Input_Raw!$A:$A,Input_Raw!S:S),"")</f>
        <v>0</v>
      </c>
      <c r="L263" s="298">
        <f>IFERROR(_xlfn.XLOOKUP($A263,Input_Raw!$A:$A,Input_Raw!T:T),"")</f>
        <v>0</v>
      </c>
      <c r="M263" s="298">
        <f>IFERROR(_xlfn.XLOOKUP($A263,Input_Raw!$A:$A,Input_Raw!W:W),"")</f>
        <v>0</v>
      </c>
      <c r="N263" s="298">
        <f>IFERROR(_xlfn.XLOOKUP($A263,Input_Raw!$A:$A,Input_Raw!X:X),"")</f>
        <v>0</v>
      </c>
      <c r="O263" s="299" t="str">
        <f>IFERROR(1-(SUMIF(Plant_BD!$B:$B,$A263,Plant_BD!$AL:$AL)/($AA263+SUMIF(Plant_BD!$B:$B,$A263,Plant_BD!$AL:$AL))),"")</f>
        <v/>
      </c>
      <c r="P263" s="299"/>
      <c r="Q263" s="300"/>
      <c r="R263" s="299" t="str">
        <f>IFERROR(1-(SUMIF(Grid_BD!$B:$B,$A263,Grid_BD!$V:$V)/($AA263+SUMIF(Grid_BD!$B:$B,$A263,Grid_BD!$V:$V))),"")</f>
        <v/>
      </c>
      <c r="S263" s="295"/>
      <c r="T263" s="300"/>
      <c r="U263" s="301" t="str">
        <f t="shared" si="21"/>
        <v/>
      </c>
      <c r="V263" s="301" t="str">
        <f>IFERROR(_xlfn.XLOOKUP($A263,Input_Raw!$A:$A,Input_Raw!$AX:$AX),"")</f>
        <v/>
      </c>
      <c r="W263" s="302">
        <f t="shared" si="22"/>
        <v>0</v>
      </c>
      <c r="X263" s="294">
        <f>IFERROR(_xlfn.XLOOKUP($A263,Input_Raw!$A:$A,Input_Raw!$AA:$AA),"")</f>
        <v>0</v>
      </c>
      <c r="Y263" s="294">
        <f>IFERROR(_xlfn.XLOOKUP($A263,Input_Raw!$A:$A,Input_Raw!$AS:$AS),"")</f>
        <v>0</v>
      </c>
      <c r="Z263" s="294"/>
      <c r="AA263" s="294">
        <f>IFERROR(_xlfn.XLOOKUP($A263,Input_Raw!$A:$A,Input_Raw!$AT:$AT),"")</f>
        <v>0</v>
      </c>
      <c r="AB263" s="294">
        <f>IFERROR(_xlfn.XLOOKUP($A263,Input_Raw!$A:$A,Input_Raw!$AU:$AU),"")</f>
        <v>0</v>
      </c>
      <c r="AC263" s="303">
        <f>IFERROR(_xlfn.XLOOKUP($D263,'Modelling New'!$D:$D,'Modelling New'!P:P),"")</f>
        <v>5.5258064516129037</v>
      </c>
      <c r="AD263" s="294">
        <f>IFERROR(_xlfn.XLOOKUP($D263,'Modelling New'!$D:$D,'Modelling New'!T:T)*1000,"")</f>
        <v>589943.49243947864</v>
      </c>
      <c r="AE263" s="304">
        <f>IFERROR(_xlfn.XLOOKUP($D263,'Modelling New'!$D:$D,'Modelling New'!$O:$O),"")</f>
        <v>0.79082606930115407</v>
      </c>
      <c r="AF263" s="304">
        <f>IFERROR(_xlfn.XLOOKUP($D263,'Modelling New'!$D:$D,'Modelling New'!$W:$W),"")</f>
        <v>0.18208132482699957</v>
      </c>
      <c r="AG263" s="304">
        <f>IFERROR(_xlfn.XLOOKUP($D263,'Modelling New'!$D:$D,'Modelling New'!$AE:$AE),"")</f>
        <v>0.995</v>
      </c>
      <c r="AH263" s="304">
        <f>IFERROR(_xlfn.XLOOKUP($D263,'Modelling New'!$D:$D,'Modelling New'!$AF:$AF),"")</f>
        <v>0.995</v>
      </c>
      <c r="AI263" s="295"/>
      <c r="AJ263" s="295"/>
      <c r="AK263" s="295"/>
      <c r="AL263" s="295"/>
      <c r="AM263" s="295"/>
      <c r="AN263" s="305"/>
      <c r="AO263" s="302"/>
      <c r="AP263" s="302"/>
      <c r="AQ263" s="302"/>
      <c r="AR263" s="294">
        <f>_xlfn.XLOOKUP($D263,'Modelling New'!$D:$D,'Modelling New'!$N:$N)</f>
        <v>135</v>
      </c>
      <c r="AS263" s="294">
        <f t="shared" si="23"/>
        <v>0</v>
      </c>
    </row>
    <row r="264" spans="1:45">
      <c r="A264" s="293">
        <f t="shared" si="24"/>
        <v>46007</v>
      </c>
      <c r="B264" s="294">
        <f>YEAR(Daily_KPI[[#This Row],[Date]])+IF(MONTH(Daily_KPI[[#This Row],[Date]])&gt;=4,1,0)</f>
        <v>2026</v>
      </c>
      <c r="C264" s="295">
        <f>YEAR(Daily_KPI[[#This Row],[Date]])</f>
        <v>2025</v>
      </c>
      <c r="D264" s="296">
        <f>Daily_KPI[[#This Row],[Date]]-DAY(Daily_KPI[[#This Row],[Date]])+1</f>
        <v>45992</v>
      </c>
      <c r="E264" s="295">
        <f t="shared" si="20"/>
        <v>31</v>
      </c>
      <c r="F264" s="297">
        <f>IFERROR(_xlfn.XLOOKUP($A264,Input_Raw!$A:$A,Input_Raw!$AR:$AR),"")</f>
        <v>0</v>
      </c>
      <c r="G264" s="298">
        <f>IFERROR(_xlfn.XLOOKUP($A264,Input_Raw!$A:$A,Input_Raw!$R:$R),"")</f>
        <v>0</v>
      </c>
      <c r="H264" s="298"/>
      <c r="I264" s="298">
        <f>IFERROR(_xlfn.XLOOKUP($A264,Input_Raw!$A:$A,Input_Raw!$Q:$Q),"")</f>
        <v>0</v>
      </c>
      <c r="J264" s="298"/>
      <c r="K264" s="298">
        <f>IFERROR(_xlfn.XLOOKUP($A264,Input_Raw!$A:$A,Input_Raw!S:S),"")</f>
        <v>0</v>
      </c>
      <c r="L264" s="298">
        <f>IFERROR(_xlfn.XLOOKUP($A264,Input_Raw!$A:$A,Input_Raw!T:T),"")</f>
        <v>0</v>
      </c>
      <c r="M264" s="298">
        <f>IFERROR(_xlfn.XLOOKUP($A264,Input_Raw!$A:$A,Input_Raw!W:W),"")</f>
        <v>0</v>
      </c>
      <c r="N264" s="298">
        <f>IFERROR(_xlfn.XLOOKUP($A264,Input_Raw!$A:$A,Input_Raw!X:X),"")</f>
        <v>0</v>
      </c>
      <c r="O264" s="299" t="str">
        <f>IFERROR(1-(SUMIF(Plant_BD!$B:$B,$A264,Plant_BD!$AL:$AL)/($AA264+SUMIF(Plant_BD!$B:$B,$A264,Plant_BD!$AL:$AL))),"")</f>
        <v/>
      </c>
      <c r="P264" s="299"/>
      <c r="Q264" s="300"/>
      <c r="R264" s="299" t="str">
        <f>IFERROR(1-(SUMIF(Grid_BD!$B:$B,$A264,Grid_BD!$V:$V)/($AA264+SUMIF(Grid_BD!$B:$B,$A264,Grid_BD!$V:$V))),"")</f>
        <v/>
      </c>
      <c r="S264" s="295"/>
      <c r="T264" s="300"/>
      <c r="U264" s="301" t="str">
        <f t="shared" si="21"/>
        <v/>
      </c>
      <c r="V264" s="301" t="str">
        <f>IFERROR(_xlfn.XLOOKUP($A264,Input_Raw!$A:$A,Input_Raw!$AX:$AX),"")</f>
        <v/>
      </c>
      <c r="W264" s="302">
        <f t="shared" si="22"/>
        <v>0</v>
      </c>
      <c r="X264" s="294">
        <f>IFERROR(_xlfn.XLOOKUP($A264,Input_Raw!$A:$A,Input_Raw!$AA:$AA),"")</f>
        <v>0</v>
      </c>
      <c r="Y264" s="294">
        <f>IFERROR(_xlfn.XLOOKUP($A264,Input_Raw!$A:$A,Input_Raw!$AS:$AS),"")</f>
        <v>0</v>
      </c>
      <c r="Z264" s="294"/>
      <c r="AA264" s="294">
        <f>IFERROR(_xlfn.XLOOKUP($A264,Input_Raw!$A:$A,Input_Raw!$AT:$AT),"")</f>
        <v>0</v>
      </c>
      <c r="AB264" s="294">
        <f>IFERROR(_xlfn.XLOOKUP($A264,Input_Raw!$A:$A,Input_Raw!$AU:$AU),"")</f>
        <v>0</v>
      </c>
      <c r="AC264" s="303">
        <f>IFERROR(_xlfn.XLOOKUP($D264,'Modelling New'!$D:$D,'Modelling New'!P:P),"")</f>
        <v>5.5258064516129037</v>
      </c>
      <c r="AD264" s="294">
        <f>IFERROR(_xlfn.XLOOKUP($D264,'Modelling New'!$D:$D,'Modelling New'!T:T)*1000,"")</f>
        <v>589943.49243947864</v>
      </c>
      <c r="AE264" s="304">
        <f>IFERROR(_xlfn.XLOOKUP($D264,'Modelling New'!$D:$D,'Modelling New'!$O:$O),"")</f>
        <v>0.79082606930115407</v>
      </c>
      <c r="AF264" s="304">
        <f>IFERROR(_xlfn.XLOOKUP($D264,'Modelling New'!$D:$D,'Modelling New'!$W:$W),"")</f>
        <v>0.18208132482699957</v>
      </c>
      <c r="AG264" s="304">
        <f>IFERROR(_xlfn.XLOOKUP($D264,'Modelling New'!$D:$D,'Modelling New'!$AE:$AE),"")</f>
        <v>0.995</v>
      </c>
      <c r="AH264" s="304">
        <f>IFERROR(_xlfn.XLOOKUP($D264,'Modelling New'!$D:$D,'Modelling New'!$AF:$AF),"")</f>
        <v>0.995</v>
      </c>
      <c r="AI264" s="295"/>
      <c r="AJ264" s="295"/>
      <c r="AK264" s="295"/>
      <c r="AL264" s="295"/>
      <c r="AM264" s="295"/>
      <c r="AN264" s="305"/>
      <c r="AO264" s="302"/>
      <c r="AP264" s="302"/>
      <c r="AQ264" s="302"/>
      <c r="AR264" s="294">
        <f>_xlfn.XLOOKUP($D264,'Modelling New'!$D:$D,'Modelling New'!$N:$N)</f>
        <v>135</v>
      </c>
      <c r="AS264" s="294">
        <f t="shared" si="23"/>
        <v>0</v>
      </c>
    </row>
    <row r="265" spans="1:45">
      <c r="A265" s="293">
        <f t="shared" si="24"/>
        <v>46008</v>
      </c>
      <c r="B265" s="294">
        <f>YEAR(Daily_KPI[[#This Row],[Date]])+IF(MONTH(Daily_KPI[[#This Row],[Date]])&gt;=4,1,0)</f>
        <v>2026</v>
      </c>
      <c r="C265" s="295">
        <f>YEAR(Daily_KPI[[#This Row],[Date]])</f>
        <v>2025</v>
      </c>
      <c r="D265" s="296">
        <f>Daily_KPI[[#This Row],[Date]]-DAY(Daily_KPI[[#This Row],[Date]])+1</f>
        <v>45992</v>
      </c>
      <c r="E265" s="295">
        <f t="shared" si="20"/>
        <v>31</v>
      </c>
      <c r="F265" s="297">
        <f>IFERROR(_xlfn.XLOOKUP($A265,Input_Raw!$A:$A,Input_Raw!$AR:$AR),"")</f>
        <v>0</v>
      </c>
      <c r="G265" s="298">
        <f>IFERROR(_xlfn.XLOOKUP($A265,Input_Raw!$A:$A,Input_Raw!$R:$R),"")</f>
        <v>0</v>
      </c>
      <c r="H265" s="298"/>
      <c r="I265" s="298">
        <f>IFERROR(_xlfn.XLOOKUP($A265,Input_Raw!$A:$A,Input_Raw!$Q:$Q),"")</f>
        <v>0</v>
      </c>
      <c r="J265" s="298"/>
      <c r="K265" s="298">
        <f>IFERROR(_xlfn.XLOOKUP($A265,Input_Raw!$A:$A,Input_Raw!S:S),"")</f>
        <v>0</v>
      </c>
      <c r="L265" s="298">
        <f>IFERROR(_xlfn.XLOOKUP($A265,Input_Raw!$A:$A,Input_Raw!T:T),"")</f>
        <v>0</v>
      </c>
      <c r="M265" s="298">
        <f>IFERROR(_xlfn.XLOOKUP($A265,Input_Raw!$A:$A,Input_Raw!W:W),"")</f>
        <v>0</v>
      </c>
      <c r="N265" s="298">
        <f>IFERROR(_xlfn.XLOOKUP($A265,Input_Raw!$A:$A,Input_Raw!X:X),"")</f>
        <v>0</v>
      </c>
      <c r="O265" s="299" t="str">
        <f>IFERROR(1-(SUMIF(Plant_BD!$B:$B,$A265,Plant_BD!$AL:$AL)/($AA265+SUMIF(Plant_BD!$B:$B,$A265,Plant_BD!$AL:$AL))),"")</f>
        <v/>
      </c>
      <c r="P265" s="299"/>
      <c r="Q265" s="300"/>
      <c r="R265" s="299" t="str">
        <f>IFERROR(1-(SUMIF(Grid_BD!$B:$B,$A265,Grid_BD!$V:$V)/($AA265+SUMIF(Grid_BD!$B:$B,$A265,Grid_BD!$V:$V))),"")</f>
        <v/>
      </c>
      <c r="S265" s="295"/>
      <c r="T265" s="300"/>
      <c r="U265" s="301" t="str">
        <f t="shared" si="21"/>
        <v/>
      </c>
      <c r="V265" s="301" t="str">
        <f>IFERROR(_xlfn.XLOOKUP($A265,Input_Raw!$A:$A,Input_Raw!$AX:$AX),"")</f>
        <v/>
      </c>
      <c r="W265" s="302">
        <f t="shared" si="22"/>
        <v>0</v>
      </c>
      <c r="X265" s="294">
        <f>IFERROR(_xlfn.XLOOKUP($A265,Input_Raw!$A:$A,Input_Raw!$AA:$AA),"")</f>
        <v>0</v>
      </c>
      <c r="Y265" s="294">
        <f>IFERROR(_xlfn.XLOOKUP($A265,Input_Raw!$A:$A,Input_Raw!$AS:$AS),"")</f>
        <v>0</v>
      </c>
      <c r="Z265" s="294"/>
      <c r="AA265" s="294">
        <f>IFERROR(_xlfn.XLOOKUP($A265,Input_Raw!$A:$A,Input_Raw!$AT:$AT),"")</f>
        <v>0</v>
      </c>
      <c r="AB265" s="294">
        <f>IFERROR(_xlfn.XLOOKUP($A265,Input_Raw!$A:$A,Input_Raw!$AU:$AU),"")</f>
        <v>0</v>
      </c>
      <c r="AC265" s="303">
        <f>IFERROR(_xlfn.XLOOKUP($D265,'Modelling New'!$D:$D,'Modelling New'!P:P),"")</f>
        <v>5.5258064516129037</v>
      </c>
      <c r="AD265" s="294">
        <f>IFERROR(_xlfn.XLOOKUP($D265,'Modelling New'!$D:$D,'Modelling New'!T:T)*1000,"")</f>
        <v>589943.49243947864</v>
      </c>
      <c r="AE265" s="304">
        <f>IFERROR(_xlfn.XLOOKUP($D265,'Modelling New'!$D:$D,'Modelling New'!$O:$O),"")</f>
        <v>0.79082606930115407</v>
      </c>
      <c r="AF265" s="304">
        <f>IFERROR(_xlfn.XLOOKUP($D265,'Modelling New'!$D:$D,'Modelling New'!$W:$W),"")</f>
        <v>0.18208132482699957</v>
      </c>
      <c r="AG265" s="304">
        <f>IFERROR(_xlfn.XLOOKUP($D265,'Modelling New'!$D:$D,'Modelling New'!$AE:$AE),"")</f>
        <v>0.995</v>
      </c>
      <c r="AH265" s="304">
        <f>IFERROR(_xlfn.XLOOKUP($D265,'Modelling New'!$D:$D,'Modelling New'!$AF:$AF),"")</f>
        <v>0.995</v>
      </c>
      <c r="AI265" s="295"/>
      <c r="AJ265" s="295"/>
      <c r="AK265" s="295"/>
      <c r="AL265" s="295"/>
      <c r="AM265" s="295"/>
      <c r="AN265" s="305"/>
      <c r="AO265" s="302"/>
      <c r="AP265" s="302"/>
      <c r="AQ265" s="302"/>
      <c r="AR265" s="294">
        <f>_xlfn.XLOOKUP($D265,'Modelling New'!$D:$D,'Modelling New'!$N:$N)</f>
        <v>135</v>
      </c>
      <c r="AS265" s="294">
        <f t="shared" si="23"/>
        <v>0</v>
      </c>
    </row>
    <row r="266" spans="1:45">
      <c r="A266" s="293">
        <f t="shared" si="24"/>
        <v>46009</v>
      </c>
      <c r="B266" s="294">
        <f>YEAR(Daily_KPI[[#This Row],[Date]])+IF(MONTH(Daily_KPI[[#This Row],[Date]])&gt;=4,1,0)</f>
        <v>2026</v>
      </c>
      <c r="C266" s="295">
        <f>YEAR(Daily_KPI[[#This Row],[Date]])</f>
        <v>2025</v>
      </c>
      <c r="D266" s="296">
        <f>Daily_KPI[[#This Row],[Date]]-DAY(Daily_KPI[[#This Row],[Date]])+1</f>
        <v>45992</v>
      </c>
      <c r="E266" s="295">
        <f t="shared" ref="E266:E329" si="25">DAY(EOMONTH(A266,0))</f>
        <v>31</v>
      </c>
      <c r="F266" s="297">
        <f>IFERROR(_xlfn.XLOOKUP($A266,Input_Raw!$A:$A,Input_Raw!$AR:$AR),"")</f>
        <v>0</v>
      </c>
      <c r="G266" s="298">
        <f>IFERROR(_xlfn.XLOOKUP($A266,Input_Raw!$A:$A,Input_Raw!$R:$R),"")</f>
        <v>0</v>
      </c>
      <c r="H266" s="298"/>
      <c r="I266" s="298">
        <f>IFERROR(_xlfn.XLOOKUP($A266,Input_Raw!$A:$A,Input_Raw!$Q:$Q),"")</f>
        <v>0</v>
      </c>
      <c r="J266" s="298"/>
      <c r="K266" s="298">
        <f>IFERROR(_xlfn.XLOOKUP($A266,Input_Raw!$A:$A,Input_Raw!S:S),"")</f>
        <v>0</v>
      </c>
      <c r="L266" s="298">
        <f>IFERROR(_xlfn.XLOOKUP($A266,Input_Raw!$A:$A,Input_Raw!T:T),"")</f>
        <v>0</v>
      </c>
      <c r="M266" s="298">
        <f>IFERROR(_xlfn.XLOOKUP($A266,Input_Raw!$A:$A,Input_Raw!W:W),"")</f>
        <v>0</v>
      </c>
      <c r="N266" s="298">
        <f>IFERROR(_xlfn.XLOOKUP($A266,Input_Raw!$A:$A,Input_Raw!X:X),"")</f>
        <v>0</v>
      </c>
      <c r="O266" s="299" t="str">
        <f>IFERROR(1-(SUMIF(Plant_BD!$B:$B,$A266,Plant_BD!$AL:$AL)/($AA266+SUMIF(Plant_BD!$B:$B,$A266,Plant_BD!$AL:$AL))),"")</f>
        <v/>
      </c>
      <c r="P266" s="299"/>
      <c r="Q266" s="300"/>
      <c r="R266" s="299" t="str">
        <f>IFERROR(1-(SUMIF(Grid_BD!$B:$B,$A266,Grid_BD!$V:$V)/($AA266+SUMIF(Grid_BD!$B:$B,$A266,Grid_BD!$V:$V))),"")</f>
        <v/>
      </c>
      <c r="S266" s="295"/>
      <c r="T266" s="300"/>
      <c r="U266" s="301" t="str">
        <f t="shared" ref="U266:U329" si="26">IFERROR(AA266/I266/AB266/1000,"")</f>
        <v/>
      </c>
      <c r="V266" s="301" t="str">
        <f>IFERROR(_xlfn.XLOOKUP($A266,Input_Raw!$A:$A,Input_Raw!$AX:$AX),"")</f>
        <v/>
      </c>
      <c r="W266" s="302">
        <f t="shared" ref="W266:W329" si="27">IFERROR(AA266/(24*AR266*1000),"")</f>
        <v>0</v>
      </c>
      <c r="X266" s="294">
        <f>IFERROR(_xlfn.XLOOKUP($A266,Input_Raw!$A:$A,Input_Raw!$AA:$AA),"")</f>
        <v>0</v>
      </c>
      <c r="Y266" s="294">
        <f>IFERROR(_xlfn.XLOOKUP($A266,Input_Raw!$A:$A,Input_Raw!$AS:$AS),"")</f>
        <v>0</v>
      </c>
      <c r="Z266" s="294"/>
      <c r="AA266" s="294">
        <f>IFERROR(_xlfn.XLOOKUP($A266,Input_Raw!$A:$A,Input_Raw!$AT:$AT),"")</f>
        <v>0</v>
      </c>
      <c r="AB266" s="294">
        <f>IFERROR(_xlfn.XLOOKUP($A266,Input_Raw!$A:$A,Input_Raw!$AU:$AU),"")</f>
        <v>0</v>
      </c>
      <c r="AC266" s="303">
        <f>IFERROR(_xlfn.XLOOKUP($D266,'Modelling New'!$D:$D,'Modelling New'!P:P),"")</f>
        <v>5.5258064516129037</v>
      </c>
      <c r="AD266" s="294">
        <f>IFERROR(_xlfn.XLOOKUP($D266,'Modelling New'!$D:$D,'Modelling New'!T:T)*1000,"")</f>
        <v>589943.49243947864</v>
      </c>
      <c r="AE266" s="304">
        <f>IFERROR(_xlfn.XLOOKUP($D266,'Modelling New'!$D:$D,'Modelling New'!$O:$O),"")</f>
        <v>0.79082606930115407</v>
      </c>
      <c r="AF266" s="304">
        <f>IFERROR(_xlfn.XLOOKUP($D266,'Modelling New'!$D:$D,'Modelling New'!$W:$W),"")</f>
        <v>0.18208132482699957</v>
      </c>
      <c r="AG266" s="304">
        <f>IFERROR(_xlfn.XLOOKUP($D266,'Modelling New'!$D:$D,'Modelling New'!$AE:$AE),"")</f>
        <v>0.995</v>
      </c>
      <c r="AH266" s="304">
        <f>IFERROR(_xlfn.XLOOKUP($D266,'Modelling New'!$D:$D,'Modelling New'!$AF:$AF),"")</f>
        <v>0.995</v>
      </c>
      <c r="AI266" s="295"/>
      <c r="AJ266" s="295"/>
      <c r="AK266" s="295"/>
      <c r="AL266" s="295"/>
      <c r="AM266" s="295"/>
      <c r="AN266" s="305"/>
      <c r="AO266" s="302"/>
      <c r="AP266" s="302"/>
      <c r="AQ266" s="302"/>
      <c r="AR266" s="294">
        <f>_xlfn.XLOOKUP($D266,'Modelling New'!$D:$D,'Modelling New'!$N:$N)</f>
        <v>135</v>
      </c>
      <c r="AS266" s="294">
        <f t="shared" ref="AS266:AS329" si="28">IFERROR((AD266/AR266)*AB266,"")</f>
        <v>0</v>
      </c>
    </row>
    <row r="267" spans="1:45">
      <c r="A267" s="293">
        <f t="shared" si="24"/>
        <v>46010</v>
      </c>
      <c r="B267" s="294">
        <f>YEAR(Daily_KPI[[#This Row],[Date]])+IF(MONTH(Daily_KPI[[#This Row],[Date]])&gt;=4,1,0)</f>
        <v>2026</v>
      </c>
      <c r="C267" s="295">
        <f>YEAR(Daily_KPI[[#This Row],[Date]])</f>
        <v>2025</v>
      </c>
      <c r="D267" s="296">
        <f>Daily_KPI[[#This Row],[Date]]-DAY(Daily_KPI[[#This Row],[Date]])+1</f>
        <v>45992</v>
      </c>
      <c r="E267" s="295">
        <f t="shared" si="25"/>
        <v>31</v>
      </c>
      <c r="F267" s="297">
        <f>IFERROR(_xlfn.XLOOKUP($A267,Input_Raw!$A:$A,Input_Raw!$AR:$AR),"")</f>
        <v>0</v>
      </c>
      <c r="G267" s="298">
        <f>IFERROR(_xlfn.XLOOKUP($A267,Input_Raw!$A:$A,Input_Raw!$R:$R),"")</f>
        <v>0</v>
      </c>
      <c r="H267" s="298"/>
      <c r="I267" s="298">
        <f>IFERROR(_xlfn.XLOOKUP($A267,Input_Raw!$A:$A,Input_Raw!$Q:$Q),"")</f>
        <v>0</v>
      </c>
      <c r="J267" s="298"/>
      <c r="K267" s="298">
        <f>IFERROR(_xlfn.XLOOKUP($A267,Input_Raw!$A:$A,Input_Raw!S:S),"")</f>
        <v>0</v>
      </c>
      <c r="L267" s="298">
        <f>IFERROR(_xlfn.XLOOKUP($A267,Input_Raw!$A:$A,Input_Raw!T:T),"")</f>
        <v>0</v>
      </c>
      <c r="M267" s="298">
        <f>IFERROR(_xlfn.XLOOKUP($A267,Input_Raw!$A:$A,Input_Raw!W:W),"")</f>
        <v>0</v>
      </c>
      <c r="N267" s="298">
        <f>IFERROR(_xlfn.XLOOKUP($A267,Input_Raw!$A:$A,Input_Raw!X:X),"")</f>
        <v>0</v>
      </c>
      <c r="O267" s="299" t="str">
        <f>IFERROR(1-(SUMIF(Plant_BD!$B:$B,$A267,Plant_BD!$AL:$AL)/($AA267+SUMIF(Plant_BD!$B:$B,$A267,Plant_BD!$AL:$AL))),"")</f>
        <v/>
      </c>
      <c r="P267" s="299"/>
      <c r="Q267" s="300"/>
      <c r="R267" s="299" t="str">
        <f>IFERROR(1-(SUMIF(Grid_BD!$B:$B,$A267,Grid_BD!$V:$V)/($AA267+SUMIF(Grid_BD!$B:$B,$A267,Grid_BD!$V:$V))),"")</f>
        <v/>
      </c>
      <c r="S267" s="295"/>
      <c r="T267" s="300"/>
      <c r="U267" s="301" t="str">
        <f t="shared" si="26"/>
        <v/>
      </c>
      <c r="V267" s="301" t="str">
        <f>IFERROR(_xlfn.XLOOKUP($A267,Input_Raw!$A:$A,Input_Raw!$AX:$AX),"")</f>
        <v/>
      </c>
      <c r="W267" s="302">
        <f t="shared" si="27"/>
        <v>0</v>
      </c>
      <c r="X267" s="294">
        <f>IFERROR(_xlfn.XLOOKUP($A267,Input_Raw!$A:$A,Input_Raw!$AA:$AA),"")</f>
        <v>0</v>
      </c>
      <c r="Y267" s="294">
        <f>IFERROR(_xlfn.XLOOKUP($A267,Input_Raw!$A:$A,Input_Raw!$AS:$AS),"")</f>
        <v>0</v>
      </c>
      <c r="Z267" s="294"/>
      <c r="AA267" s="294">
        <f>IFERROR(_xlfn.XLOOKUP($A267,Input_Raw!$A:$A,Input_Raw!$AT:$AT),"")</f>
        <v>0</v>
      </c>
      <c r="AB267" s="294">
        <f>IFERROR(_xlfn.XLOOKUP($A267,Input_Raw!$A:$A,Input_Raw!$AU:$AU),"")</f>
        <v>0</v>
      </c>
      <c r="AC267" s="303">
        <f>IFERROR(_xlfn.XLOOKUP($D267,'Modelling New'!$D:$D,'Modelling New'!P:P),"")</f>
        <v>5.5258064516129037</v>
      </c>
      <c r="AD267" s="294">
        <f>IFERROR(_xlfn.XLOOKUP($D267,'Modelling New'!$D:$D,'Modelling New'!T:T)*1000,"")</f>
        <v>589943.49243947864</v>
      </c>
      <c r="AE267" s="304">
        <f>IFERROR(_xlfn.XLOOKUP($D267,'Modelling New'!$D:$D,'Modelling New'!$O:$O),"")</f>
        <v>0.79082606930115407</v>
      </c>
      <c r="AF267" s="304">
        <f>IFERROR(_xlfn.XLOOKUP($D267,'Modelling New'!$D:$D,'Modelling New'!$W:$W),"")</f>
        <v>0.18208132482699957</v>
      </c>
      <c r="AG267" s="304">
        <f>IFERROR(_xlfn.XLOOKUP($D267,'Modelling New'!$D:$D,'Modelling New'!$AE:$AE),"")</f>
        <v>0.995</v>
      </c>
      <c r="AH267" s="304">
        <f>IFERROR(_xlfn.XLOOKUP($D267,'Modelling New'!$D:$D,'Modelling New'!$AF:$AF),"")</f>
        <v>0.995</v>
      </c>
      <c r="AI267" s="295"/>
      <c r="AJ267" s="295"/>
      <c r="AK267" s="295"/>
      <c r="AL267" s="295"/>
      <c r="AM267" s="295"/>
      <c r="AN267" s="305"/>
      <c r="AO267" s="302"/>
      <c r="AP267" s="302"/>
      <c r="AQ267" s="302"/>
      <c r="AR267" s="294">
        <f>_xlfn.XLOOKUP($D267,'Modelling New'!$D:$D,'Modelling New'!$N:$N)</f>
        <v>135</v>
      </c>
      <c r="AS267" s="294">
        <f t="shared" si="28"/>
        <v>0</v>
      </c>
    </row>
    <row r="268" spans="1:45">
      <c r="A268" s="293">
        <f t="shared" ref="A268:A331" si="29">A267+1</f>
        <v>46011</v>
      </c>
      <c r="B268" s="294">
        <f>YEAR(Daily_KPI[[#This Row],[Date]])+IF(MONTH(Daily_KPI[[#This Row],[Date]])&gt;=4,1,0)</f>
        <v>2026</v>
      </c>
      <c r="C268" s="295">
        <f>YEAR(Daily_KPI[[#This Row],[Date]])</f>
        <v>2025</v>
      </c>
      <c r="D268" s="296">
        <f>Daily_KPI[[#This Row],[Date]]-DAY(Daily_KPI[[#This Row],[Date]])+1</f>
        <v>45992</v>
      </c>
      <c r="E268" s="295">
        <f t="shared" si="25"/>
        <v>31</v>
      </c>
      <c r="F268" s="297">
        <f>IFERROR(_xlfn.XLOOKUP($A268,Input_Raw!$A:$A,Input_Raw!$AR:$AR),"")</f>
        <v>0</v>
      </c>
      <c r="G268" s="298">
        <f>IFERROR(_xlfn.XLOOKUP($A268,Input_Raw!$A:$A,Input_Raw!$R:$R),"")</f>
        <v>0</v>
      </c>
      <c r="H268" s="298"/>
      <c r="I268" s="298">
        <f>IFERROR(_xlfn.XLOOKUP($A268,Input_Raw!$A:$A,Input_Raw!$Q:$Q),"")</f>
        <v>0</v>
      </c>
      <c r="J268" s="298"/>
      <c r="K268" s="298">
        <f>IFERROR(_xlfn.XLOOKUP($A268,Input_Raw!$A:$A,Input_Raw!S:S),"")</f>
        <v>0</v>
      </c>
      <c r="L268" s="298">
        <f>IFERROR(_xlfn.XLOOKUP($A268,Input_Raw!$A:$A,Input_Raw!T:T),"")</f>
        <v>0</v>
      </c>
      <c r="M268" s="298">
        <f>IFERROR(_xlfn.XLOOKUP($A268,Input_Raw!$A:$A,Input_Raw!W:W),"")</f>
        <v>0</v>
      </c>
      <c r="N268" s="298">
        <f>IFERROR(_xlfn.XLOOKUP($A268,Input_Raw!$A:$A,Input_Raw!X:X),"")</f>
        <v>0</v>
      </c>
      <c r="O268" s="299" t="str">
        <f>IFERROR(1-(SUMIF(Plant_BD!$B:$B,$A268,Plant_BD!$AL:$AL)/($AA268+SUMIF(Plant_BD!$B:$B,$A268,Plant_BD!$AL:$AL))),"")</f>
        <v/>
      </c>
      <c r="P268" s="299"/>
      <c r="Q268" s="300"/>
      <c r="R268" s="299" t="str">
        <f>IFERROR(1-(SUMIF(Grid_BD!$B:$B,$A268,Grid_BD!$V:$V)/($AA268+SUMIF(Grid_BD!$B:$B,$A268,Grid_BD!$V:$V))),"")</f>
        <v/>
      </c>
      <c r="S268" s="295"/>
      <c r="T268" s="300"/>
      <c r="U268" s="301" t="str">
        <f t="shared" si="26"/>
        <v/>
      </c>
      <c r="V268" s="301" t="str">
        <f>IFERROR(_xlfn.XLOOKUP($A268,Input_Raw!$A:$A,Input_Raw!$AX:$AX),"")</f>
        <v/>
      </c>
      <c r="W268" s="302">
        <f t="shared" si="27"/>
        <v>0</v>
      </c>
      <c r="X268" s="294">
        <f>IFERROR(_xlfn.XLOOKUP($A268,Input_Raw!$A:$A,Input_Raw!$AA:$AA),"")</f>
        <v>0</v>
      </c>
      <c r="Y268" s="294">
        <f>IFERROR(_xlfn.XLOOKUP($A268,Input_Raw!$A:$A,Input_Raw!$AS:$AS),"")</f>
        <v>0</v>
      </c>
      <c r="Z268" s="294"/>
      <c r="AA268" s="294">
        <f>IFERROR(_xlfn.XLOOKUP($A268,Input_Raw!$A:$A,Input_Raw!$AT:$AT),"")</f>
        <v>0</v>
      </c>
      <c r="AB268" s="294">
        <f>IFERROR(_xlfn.XLOOKUP($A268,Input_Raw!$A:$A,Input_Raw!$AU:$AU),"")</f>
        <v>0</v>
      </c>
      <c r="AC268" s="303">
        <f>IFERROR(_xlfn.XLOOKUP($D268,'Modelling New'!$D:$D,'Modelling New'!P:P),"")</f>
        <v>5.5258064516129037</v>
      </c>
      <c r="AD268" s="294">
        <f>IFERROR(_xlfn.XLOOKUP($D268,'Modelling New'!$D:$D,'Modelling New'!T:T)*1000,"")</f>
        <v>589943.49243947864</v>
      </c>
      <c r="AE268" s="304">
        <f>IFERROR(_xlfn.XLOOKUP($D268,'Modelling New'!$D:$D,'Modelling New'!$O:$O),"")</f>
        <v>0.79082606930115407</v>
      </c>
      <c r="AF268" s="304">
        <f>IFERROR(_xlfn.XLOOKUP($D268,'Modelling New'!$D:$D,'Modelling New'!$W:$W),"")</f>
        <v>0.18208132482699957</v>
      </c>
      <c r="AG268" s="304">
        <f>IFERROR(_xlfn.XLOOKUP($D268,'Modelling New'!$D:$D,'Modelling New'!$AE:$AE),"")</f>
        <v>0.995</v>
      </c>
      <c r="AH268" s="304">
        <f>IFERROR(_xlfn.XLOOKUP($D268,'Modelling New'!$D:$D,'Modelling New'!$AF:$AF),"")</f>
        <v>0.995</v>
      </c>
      <c r="AI268" s="295"/>
      <c r="AJ268" s="295"/>
      <c r="AK268" s="295"/>
      <c r="AL268" s="295"/>
      <c r="AM268" s="295"/>
      <c r="AN268" s="305"/>
      <c r="AO268" s="302"/>
      <c r="AP268" s="302"/>
      <c r="AQ268" s="302"/>
      <c r="AR268" s="294">
        <f>_xlfn.XLOOKUP($D268,'Modelling New'!$D:$D,'Modelling New'!$N:$N)</f>
        <v>135</v>
      </c>
      <c r="AS268" s="294">
        <f t="shared" si="28"/>
        <v>0</v>
      </c>
    </row>
    <row r="269" spans="1:45">
      <c r="A269" s="293">
        <f t="shared" si="29"/>
        <v>46012</v>
      </c>
      <c r="B269" s="294">
        <f>YEAR(Daily_KPI[[#This Row],[Date]])+IF(MONTH(Daily_KPI[[#This Row],[Date]])&gt;=4,1,0)</f>
        <v>2026</v>
      </c>
      <c r="C269" s="295">
        <f>YEAR(Daily_KPI[[#This Row],[Date]])</f>
        <v>2025</v>
      </c>
      <c r="D269" s="296">
        <f>Daily_KPI[[#This Row],[Date]]-DAY(Daily_KPI[[#This Row],[Date]])+1</f>
        <v>45992</v>
      </c>
      <c r="E269" s="295">
        <f t="shared" si="25"/>
        <v>31</v>
      </c>
      <c r="F269" s="297">
        <f>IFERROR(_xlfn.XLOOKUP($A269,Input_Raw!$A:$A,Input_Raw!$AR:$AR),"")</f>
        <v>0</v>
      </c>
      <c r="G269" s="298">
        <f>IFERROR(_xlfn.XLOOKUP($A269,Input_Raw!$A:$A,Input_Raw!$R:$R),"")</f>
        <v>0</v>
      </c>
      <c r="H269" s="298"/>
      <c r="I269" s="298">
        <f>IFERROR(_xlfn.XLOOKUP($A269,Input_Raw!$A:$A,Input_Raw!$Q:$Q),"")</f>
        <v>0</v>
      </c>
      <c r="J269" s="298"/>
      <c r="K269" s="298">
        <f>IFERROR(_xlfn.XLOOKUP($A269,Input_Raw!$A:$A,Input_Raw!S:S),"")</f>
        <v>0</v>
      </c>
      <c r="L269" s="298">
        <f>IFERROR(_xlfn.XLOOKUP($A269,Input_Raw!$A:$A,Input_Raw!T:T),"")</f>
        <v>0</v>
      </c>
      <c r="M269" s="298">
        <f>IFERROR(_xlfn.XLOOKUP($A269,Input_Raw!$A:$A,Input_Raw!W:W),"")</f>
        <v>0</v>
      </c>
      <c r="N269" s="298">
        <f>IFERROR(_xlfn.XLOOKUP($A269,Input_Raw!$A:$A,Input_Raw!X:X),"")</f>
        <v>0</v>
      </c>
      <c r="O269" s="299" t="str">
        <f>IFERROR(1-(SUMIF(Plant_BD!$B:$B,$A269,Plant_BD!$AL:$AL)/($AA269+SUMIF(Plant_BD!$B:$B,$A269,Plant_BD!$AL:$AL))),"")</f>
        <v/>
      </c>
      <c r="P269" s="299"/>
      <c r="Q269" s="300"/>
      <c r="R269" s="299" t="str">
        <f>IFERROR(1-(SUMIF(Grid_BD!$B:$B,$A269,Grid_BD!$V:$V)/($AA269+SUMIF(Grid_BD!$B:$B,$A269,Grid_BD!$V:$V))),"")</f>
        <v/>
      </c>
      <c r="S269" s="295"/>
      <c r="T269" s="300"/>
      <c r="U269" s="301" t="str">
        <f t="shared" si="26"/>
        <v/>
      </c>
      <c r="V269" s="301" t="str">
        <f>IFERROR(_xlfn.XLOOKUP($A269,Input_Raw!$A:$A,Input_Raw!$AX:$AX),"")</f>
        <v/>
      </c>
      <c r="W269" s="302">
        <f t="shared" si="27"/>
        <v>0</v>
      </c>
      <c r="X269" s="294">
        <f>IFERROR(_xlfn.XLOOKUP($A269,Input_Raw!$A:$A,Input_Raw!$AA:$AA),"")</f>
        <v>0</v>
      </c>
      <c r="Y269" s="294">
        <f>IFERROR(_xlfn.XLOOKUP($A269,Input_Raw!$A:$A,Input_Raw!$AS:$AS),"")</f>
        <v>0</v>
      </c>
      <c r="Z269" s="294"/>
      <c r="AA269" s="294">
        <f>IFERROR(_xlfn.XLOOKUP($A269,Input_Raw!$A:$A,Input_Raw!$AT:$AT),"")</f>
        <v>0</v>
      </c>
      <c r="AB269" s="294">
        <f>IFERROR(_xlfn.XLOOKUP($A269,Input_Raw!$A:$A,Input_Raw!$AU:$AU),"")</f>
        <v>0</v>
      </c>
      <c r="AC269" s="303">
        <f>IFERROR(_xlfn.XLOOKUP($D269,'Modelling New'!$D:$D,'Modelling New'!P:P),"")</f>
        <v>5.5258064516129037</v>
      </c>
      <c r="AD269" s="294">
        <f>IFERROR(_xlfn.XLOOKUP($D269,'Modelling New'!$D:$D,'Modelling New'!T:T)*1000,"")</f>
        <v>589943.49243947864</v>
      </c>
      <c r="AE269" s="304">
        <f>IFERROR(_xlfn.XLOOKUP($D269,'Modelling New'!$D:$D,'Modelling New'!$O:$O),"")</f>
        <v>0.79082606930115407</v>
      </c>
      <c r="AF269" s="304">
        <f>IFERROR(_xlfn.XLOOKUP($D269,'Modelling New'!$D:$D,'Modelling New'!$W:$W),"")</f>
        <v>0.18208132482699957</v>
      </c>
      <c r="AG269" s="304">
        <f>IFERROR(_xlfn.XLOOKUP($D269,'Modelling New'!$D:$D,'Modelling New'!$AE:$AE),"")</f>
        <v>0.995</v>
      </c>
      <c r="AH269" s="304">
        <f>IFERROR(_xlfn.XLOOKUP($D269,'Modelling New'!$D:$D,'Modelling New'!$AF:$AF),"")</f>
        <v>0.995</v>
      </c>
      <c r="AI269" s="295"/>
      <c r="AJ269" s="295"/>
      <c r="AK269" s="295"/>
      <c r="AL269" s="295"/>
      <c r="AM269" s="295"/>
      <c r="AN269" s="305"/>
      <c r="AO269" s="302"/>
      <c r="AP269" s="302"/>
      <c r="AQ269" s="302"/>
      <c r="AR269" s="294">
        <f>_xlfn.XLOOKUP($D269,'Modelling New'!$D:$D,'Modelling New'!$N:$N)</f>
        <v>135</v>
      </c>
      <c r="AS269" s="294">
        <f t="shared" si="28"/>
        <v>0</v>
      </c>
    </row>
    <row r="270" spans="1:45">
      <c r="A270" s="293">
        <f t="shared" si="29"/>
        <v>46013</v>
      </c>
      <c r="B270" s="294">
        <f>YEAR(Daily_KPI[[#This Row],[Date]])+IF(MONTH(Daily_KPI[[#This Row],[Date]])&gt;=4,1,0)</f>
        <v>2026</v>
      </c>
      <c r="C270" s="295">
        <f>YEAR(Daily_KPI[[#This Row],[Date]])</f>
        <v>2025</v>
      </c>
      <c r="D270" s="296">
        <f>Daily_KPI[[#This Row],[Date]]-DAY(Daily_KPI[[#This Row],[Date]])+1</f>
        <v>45992</v>
      </c>
      <c r="E270" s="295">
        <f t="shared" si="25"/>
        <v>31</v>
      </c>
      <c r="F270" s="297">
        <f>IFERROR(_xlfn.XLOOKUP($A270,Input_Raw!$A:$A,Input_Raw!$AR:$AR),"")</f>
        <v>0</v>
      </c>
      <c r="G270" s="298">
        <f>IFERROR(_xlfn.XLOOKUP($A270,Input_Raw!$A:$A,Input_Raw!$R:$R),"")</f>
        <v>0</v>
      </c>
      <c r="H270" s="298"/>
      <c r="I270" s="298">
        <f>IFERROR(_xlfn.XLOOKUP($A270,Input_Raw!$A:$A,Input_Raw!$Q:$Q),"")</f>
        <v>0</v>
      </c>
      <c r="J270" s="298"/>
      <c r="K270" s="298">
        <f>IFERROR(_xlfn.XLOOKUP($A270,Input_Raw!$A:$A,Input_Raw!S:S),"")</f>
        <v>0</v>
      </c>
      <c r="L270" s="298">
        <f>IFERROR(_xlfn.XLOOKUP($A270,Input_Raw!$A:$A,Input_Raw!T:T),"")</f>
        <v>0</v>
      </c>
      <c r="M270" s="298">
        <f>IFERROR(_xlfn.XLOOKUP($A270,Input_Raw!$A:$A,Input_Raw!W:W),"")</f>
        <v>0</v>
      </c>
      <c r="N270" s="298">
        <f>IFERROR(_xlfn.XLOOKUP($A270,Input_Raw!$A:$A,Input_Raw!X:X),"")</f>
        <v>0</v>
      </c>
      <c r="O270" s="299" t="str">
        <f>IFERROR(1-(SUMIF(Plant_BD!$B:$B,$A270,Plant_BD!$AL:$AL)/($AA270+SUMIF(Plant_BD!$B:$B,$A270,Plant_BD!$AL:$AL))),"")</f>
        <v/>
      </c>
      <c r="P270" s="299"/>
      <c r="Q270" s="300"/>
      <c r="R270" s="299" t="str">
        <f>IFERROR(1-(SUMIF(Grid_BD!$B:$B,$A270,Grid_BD!$V:$V)/($AA270+SUMIF(Grid_BD!$B:$B,$A270,Grid_BD!$V:$V))),"")</f>
        <v/>
      </c>
      <c r="S270" s="295"/>
      <c r="T270" s="300"/>
      <c r="U270" s="301" t="str">
        <f t="shared" si="26"/>
        <v/>
      </c>
      <c r="V270" s="301" t="str">
        <f>IFERROR(_xlfn.XLOOKUP($A270,Input_Raw!$A:$A,Input_Raw!$AX:$AX),"")</f>
        <v/>
      </c>
      <c r="W270" s="302">
        <f t="shared" si="27"/>
        <v>0</v>
      </c>
      <c r="X270" s="294">
        <f>IFERROR(_xlfn.XLOOKUP($A270,Input_Raw!$A:$A,Input_Raw!$AA:$AA),"")</f>
        <v>0</v>
      </c>
      <c r="Y270" s="294">
        <f>IFERROR(_xlfn.XLOOKUP($A270,Input_Raw!$A:$A,Input_Raw!$AS:$AS),"")</f>
        <v>0</v>
      </c>
      <c r="Z270" s="294"/>
      <c r="AA270" s="294">
        <f>IFERROR(_xlfn.XLOOKUP($A270,Input_Raw!$A:$A,Input_Raw!$AT:$AT),"")</f>
        <v>0</v>
      </c>
      <c r="AB270" s="294">
        <f>IFERROR(_xlfn.XLOOKUP($A270,Input_Raw!$A:$A,Input_Raw!$AU:$AU),"")</f>
        <v>0</v>
      </c>
      <c r="AC270" s="303">
        <f>IFERROR(_xlfn.XLOOKUP($D270,'Modelling New'!$D:$D,'Modelling New'!P:P),"")</f>
        <v>5.5258064516129037</v>
      </c>
      <c r="AD270" s="294">
        <f>IFERROR(_xlfn.XLOOKUP($D270,'Modelling New'!$D:$D,'Modelling New'!T:T)*1000,"")</f>
        <v>589943.49243947864</v>
      </c>
      <c r="AE270" s="304">
        <f>IFERROR(_xlfn.XLOOKUP($D270,'Modelling New'!$D:$D,'Modelling New'!$O:$O),"")</f>
        <v>0.79082606930115407</v>
      </c>
      <c r="AF270" s="304">
        <f>IFERROR(_xlfn.XLOOKUP($D270,'Modelling New'!$D:$D,'Modelling New'!$W:$W),"")</f>
        <v>0.18208132482699957</v>
      </c>
      <c r="AG270" s="304">
        <f>IFERROR(_xlfn.XLOOKUP($D270,'Modelling New'!$D:$D,'Modelling New'!$AE:$AE),"")</f>
        <v>0.995</v>
      </c>
      <c r="AH270" s="304">
        <f>IFERROR(_xlfn.XLOOKUP($D270,'Modelling New'!$D:$D,'Modelling New'!$AF:$AF),"")</f>
        <v>0.995</v>
      </c>
      <c r="AI270" s="295"/>
      <c r="AJ270" s="295"/>
      <c r="AK270" s="295"/>
      <c r="AL270" s="295"/>
      <c r="AM270" s="295"/>
      <c r="AN270" s="305"/>
      <c r="AO270" s="302"/>
      <c r="AP270" s="302"/>
      <c r="AQ270" s="302"/>
      <c r="AR270" s="294">
        <f>_xlfn.XLOOKUP($D270,'Modelling New'!$D:$D,'Modelling New'!$N:$N)</f>
        <v>135</v>
      </c>
      <c r="AS270" s="294">
        <f t="shared" si="28"/>
        <v>0</v>
      </c>
    </row>
    <row r="271" spans="1:45">
      <c r="A271" s="293">
        <f t="shared" si="29"/>
        <v>46014</v>
      </c>
      <c r="B271" s="294">
        <f>YEAR(Daily_KPI[[#This Row],[Date]])+IF(MONTH(Daily_KPI[[#This Row],[Date]])&gt;=4,1,0)</f>
        <v>2026</v>
      </c>
      <c r="C271" s="295">
        <f>YEAR(Daily_KPI[[#This Row],[Date]])</f>
        <v>2025</v>
      </c>
      <c r="D271" s="296">
        <f>Daily_KPI[[#This Row],[Date]]-DAY(Daily_KPI[[#This Row],[Date]])+1</f>
        <v>45992</v>
      </c>
      <c r="E271" s="295">
        <f t="shared" si="25"/>
        <v>31</v>
      </c>
      <c r="F271" s="297">
        <f>IFERROR(_xlfn.XLOOKUP($A271,Input_Raw!$A:$A,Input_Raw!$AR:$AR),"")</f>
        <v>0</v>
      </c>
      <c r="G271" s="298">
        <f>IFERROR(_xlfn.XLOOKUP($A271,Input_Raw!$A:$A,Input_Raw!$R:$R),"")</f>
        <v>0</v>
      </c>
      <c r="H271" s="298"/>
      <c r="I271" s="298">
        <f>IFERROR(_xlfn.XLOOKUP($A271,Input_Raw!$A:$A,Input_Raw!$Q:$Q),"")</f>
        <v>0</v>
      </c>
      <c r="J271" s="298"/>
      <c r="K271" s="298">
        <f>IFERROR(_xlfn.XLOOKUP($A271,Input_Raw!$A:$A,Input_Raw!S:S),"")</f>
        <v>0</v>
      </c>
      <c r="L271" s="298">
        <f>IFERROR(_xlfn.XLOOKUP($A271,Input_Raw!$A:$A,Input_Raw!T:T),"")</f>
        <v>0</v>
      </c>
      <c r="M271" s="298">
        <f>IFERROR(_xlfn.XLOOKUP($A271,Input_Raw!$A:$A,Input_Raw!W:W),"")</f>
        <v>0</v>
      </c>
      <c r="N271" s="298">
        <f>IFERROR(_xlfn.XLOOKUP($A271,Input_Raw!$A:$A,Input_Raw!X:X),"")</f>
        <v>0</v>
      </c>
      <c r="O271" s="299" t="str">
        <f>IFERROR(1-(SUMIF(Plant_BD!$B:$B,$A271,Plant_BD!$AL:$AL)/($AA271+SUMIF(Plant_BD!$B:$B,$A271,Plant_BD!$AL:$AL))),"")</f>
        <v/>
      </c>
      <c r="P271" s="299"/>
      <c r="Q271" s="300"/>
      <c r="R271" s="299" t="str">
        <f>IFERROR(1-(SUMIF(Grid_BD!$B:$B,$A271,Grid_BD!$V:$V)/($AA271+SUMIF(Grid_BD!$B:$B,$A271,Grid_BD!$V:$V))),"")</f>
        <v/>
      </c>
      <c r="S271" s="295"/>
      <c r="T271" s="300"/>
      <c r="U271" s="301" t="str">
        <f t="shared" si="26"/>
        <v/>
      </c>
      <c r="V271" s="301" t="str">
        <f>IFERROR(_xlfn.XLOOKUP($A271,Input_Raw!$A:$A,Input_Raw!$AX:$AX),"")</f>
        <v/>
      </c>
      <c r="W271" s="302">
        <f t="shared" si="27"/>
        <v>0</v>
      </c>
      <c r="X271" s="294">
        <f>IFERROR(_xlfn.XLOOKUP($A271,Input_Raw!$A:$A,Input_Raw!$AA:$AA),"")</f>
        <v>0</v>
      </c>
      <c r="Y271" s="294">
        <f>IFERROR(_xlfn.XLOOKUP($A271,Input_Raw!$A:$A,Input_Raw!$AS:$AS),"")</f>
        <v>0</v>
      </c>
      <c r="Z271" s="294"/>
      <c r="AA271" s="294">
        <f>IFERROR(_xlfn.XLOOKUP($A271,Input_Raw!$A:$A,Input_Raw!$AT:$AT),"")</f>
        <v>0</v>
      </c>
      <c r="AB271" s="294">
        <f>IFERROR(_xlfn.XLOOKUP($A271,Input_Raw!$A:$A,Input_Raw!$AU:$AU),"")</f>
        <v>0</v>
      </c>
      <c r="AC271" s="303">
        <f>IFERROR(_xlfn.XLOOKUP($D271,'Modelling New'!$D:$D,'Modelling New'!P:P),"")</f>
        <v>5.5258064516129037</v>
      </c>
      <c r="AD271" s="294">
        <f>IFERROR(_xlfn.XLOOKUP($D271,'Modelling New'!$D:$D,'Modelling New'!T:T)*1000,"")</f>
        <v>589943.49243947864</v>
      </c>
      <c r="AE271" s="304">
        <f>IFERROR(_xlfn.XLOOKUP($D271,'Modelling New'!$D:$D,'Modelling New'!$O:$O),"")</f>
        <v>0.79082606930115407</v>
      </c>
      <c r="AF271" s="304">
        <f>IFERROR(_xlfn.XLOOKUP($D271,'Modelling New'!$D:$D,'Modelling New'!$W:$W),"")</f>
        <v>0.18208132482699957</v>
      </c>
      <c r="AG271" s="304">
        <f>IFERROR(_xlfn.XLOOKUP($D271,'Modelling New'!$D:$D,'Modelling New'!$AE:$AE),"")</f>
        <v>0.995</v>
      </c>
      <c r="AH271" s="304">
        <f>IFERROR(_xlfn.XLOOKUP($D271,'Modelling New'!$D:$D,'Modelling New'!$AF:$AF),"")</f>
        <v>0.995</v>
      </c>
      <c r="AI271" s="295"/>
      <c r="AJ271" s="295"/>
      <c r="AK271" s="295"/>
      <c r="AL271" s="295"/>
      <c r="AM271" s="295"/>
      <c r="AN271" s="305"/>
      <c r="AO271" s="302"/>
      <c r="AP271" s="302"/>
      <c r="AQ271" s="302"/>
      <c r="AR271" s="294">
        <f>_xlfn.XLOOKUP($D271,'Modelling New'!$D:$D,'Modelling New'!$N:$N)</f>
        <v>135</v>
      </c>
      <c r="AS271" s="294">
        <f t="shared" si="28"/>
        <v>0</v>
      </c>
    </row>
    <row r="272" spans="1:45">
      <c r="A272" s="293">
        <f t="shared" si="29"/>
        <v>46015</v>
      </c>
      <c r="B272" s="294">
        <f>YEAR(Daily_KPI[[#This Row],[Date]])+IF(MONTH(Daily_KPI[[#This Row],[Date]])&gt;=4,1,0)</f>
        <v>2026</v>
      </c>
      <c r="C272" s="295">
        <f>YEAR(Daily_KPI[[#This Row],[Date]])</f>
        <v>2025</v>
      </c>
      <c r="D272" s="296">
        <f>Daily_KPI[[#This Row],[Date]]-DAY(Daily_KPI[[#This Row],[Date]])+1</f>
        <v>45992</v>
      </c>
      <c r="E272" s="295">
        <f t="shared" si="25"/>
        <v>31</v>
      </c>
      <c r="F272" s="297">
        <f>IFERROR(_xlfn.XLOOKUP($A272,Input_Raw!$A:$A,Input_Raw!$AR:$AR),"")</f>
        <v>0</v>
      </c>
      <c r="G272" s="298">
        <f>IFERROR(_xlfn.XLOOKUP($A272,Input_Raw!$A:$A,Input_Raw!$R:$R),"")</f>
        <v>0</v>
      </c>
      <c r="H272" s="298"/>
      <c r="I272" s="298">
        <f>IFERROR(_xlfn.XLOOKUP($A272,Input_Raw!$A:$A,Input_Raw!$Q:$Q),"")</f>
        <v>0</v>
      </c>
      <c r="J272" s="298"/>
      <c r="K272" s="298">
        <f>IFERROR(_xlfn.XLOOKUP($A272,Input_Raw!$A:$A,Input_Raw!S:S),"")</f>
        <v>0</v>
      </c>
      <c r="L272" s="298">
        <f>IFERROR(_xlfn.XLOOKUP($A272,Input_Raw!$A:$A,Input_Raw!T:T),"")</f>
        <v>0</v>
      </c>
      <c r="M272" s="298">
        <f>IFERROR(_xlfn.XLOOKUP($A272,Input_Raw!$A:$A,Input_Raw!W:W),"")</f>
        <v>0</v>
      </c>
      <c r="N272" s="298">
        <f>IFERROR(_xlfn.XLOOKUP($A272,Input_Raw!$A:$A,Input_Raw!X:X),"")</f>
        <v>0</v>
      </c>
      <c r="O272" s="299" t="str">
        <f>IFERROR(1-(SUMIF(Plant_BD!$B:$B,$A272,Plant_BD!$AL:$AL)/($AA272+SUMIF(Plant_BD!$B:$B,$A272,Plant_BD!$AL:$AL))),"")</f>
        <v/>
      </c>
      <c r="P272" s="299"/>
      <c r="Q272" s="300"/>
      <c r="R272" s="299" t="str">
        <f>IFERROR(1-(SUMIF(Grid_BD!$B:$B,$A272,Grid_BD!$V:$V)/($AA272+SUMIF(Grid_BD!$B:$B,$A272,Grid_BD!$V:$V))),"")</f>
        <v/>
      </c>
      <c r="S272" s="295"/>
      <c r="T272" s="300"/>
      <c r="U272" s="301" t="str">
        <f t="shared" si="26"/>
        <v/>
      </c>
      <c r="V272" s="301" t="str">
        <f>IFERROR(_xlfn.XLOOKUP($A272,Input_Raw!$A:$A,Input_Raw!$AX:$AX),"")</f>
        <v/>
      </c>
      <c r="W272" s="302">
        <f t="shared" si="27"/>
        <v>0</v>
      </c>
      <c r="X272" s="294">
        <f>IFERROR(_xlfn.XLOOKUP($A272,Input_Raw!$A:$A,Input_Raw!$AA:$AA),"")</f>
        <v>0</v>
      </c>
      <c r="Y272" s="294">
        <f>IFERROR(_xlfn.XLOOKUP($A272,Input_Raw!$A:$A,Input_Raw!$AS:$AS),"")</f>
        <v>0</v>
      </c>
      <c r="Z272" s="294"/>
      <c r="AA272" s="294">
        <f>IFERROR(_xlfn.XLOOKUP($A272,Input_Raw!$A:$A,Input_Raw!$AT:$AT),"")</f>
        <v>0</v>
      </c>
      <c r="AB272" s="294">
        <f>IFERROR(_xlfn.XLOOKUP($A272,Input_Raw!$A:$A,Input_Raw!$AU:$AU),"")</f>
        <v>0</v>
      </c>
      <c r="AC272" s="303">
        <f>IFERROR(_xlfn.XLOOKUP($D272,'Modelling New'!$D:$D,'Modelling New'!P:P),"")</f>
        <v>5.5258064516129037</v>
      </c>
      <c r="AD272" s="294">
        <f>IFERROR(_xlfn.XLOOKUP($D272,'Modelling New'!$D:$D,'Modelling New'!T:T)*1000,"")</f>
        <v>589943.49243947864</v>
      </c>
      <c r="AE272" s="304">
        <f>IFERROR(_xlfn.XLOOKUP($D272,'Modelling New'!$D:$D,'Modelling New'!$O:$O),"")</f>
        <v>0.79082606930115407</v>
      </c>
      <c r="AF272" s="304">
        <f>IFERROR(_xlfn.XLOOKUP($D272,'Modelling New'!$D:$D,'Modelling New'!$W:$W),"")</f>
        <v>0.18208132482699957</v>
      </c>
      <c r="AG272" s="304">
        <f>IFERROR(_xlfn.XLOOKUP($D272,'Modelling New'!$D:$D,'Modelling New'!$AE:$AE),"")</f>
        <v>0.995</v>
      </c>
      <c r="AH272" s="304">
        <f>IFERROR(_xlfn.XLOOKUP($D272,'Modelling New'!$D:$D,'Modelling New'!$AF:$AF),"")</f>
        <v>0.995</v>
      </c>
      <c r="AI272" s="295"/>
      <c r="AJ272" s="295"/>
      <c r="AK272" s="295"/>
      <c r="AL272" s="295"/>
      <c r="AM272" s="295"/>
      <c r="AN272" s="305"/>
      <c r="AO272" s="302"/>
      <c r="AP272" s="302"/>
      <c r="AQ272" s="302"/>
      <c r="AR272" s="294">
        <f>_xlfn.XLOOKUP($D272,'Modelling New'!$D:$D,'Modelling New'!$N:$N)</f>
        <v>135</v>
      </c>
      <c r="AS272" s="294">
        <f t="shared" si="28"/>
        <v>0</v>
      </c>
    </row>
    <row r="273" spans="1:45">
      <c r="A273" s="293">
        <f t="shared" si="29"/>
        <v>46016</v>
      </c>
      <c r="B273" s="294">
        <f>YEAR(Daily_KPI[[#This Row],[Date]])+IF(MONTH(Daily_KPI[[#This Row],[Date]])&gt;=4,1,0)</f>
        <v>2026</v>
      </c>
      <c r="C273" s="295">
        <f>YEAR(Daily_KPI[[#This Row],[Date]])</f>
        <v>2025</v>
      </c>
      <c r="D273" s="296">
        <f>Daily_KPI[[#This Row],[Date]]-DAY(Daily_KPI[[#This Row],[Date]])+1</f>
        <v>45992</v>
      </c>
      <c r="E273" s="295">
        <f t="shared" si="25"/>
        <v>31</v>
      </c>
      <c r="F273" s="297">
        <f>IFERROR(_xlfn.XLOOKUP($A273,Input_Raw!$A:$A,Input_Raw!$AR:$AR),"")</f>
        <v>0</v>
      </c>
      <c r="G273" s="298">
        <f>IFERROR(_xlfn.XLOOKUP($A273,Input_Raw!$A:$A,Input_Raw!$R:$R),"")</f>
        <v>0</v>
      </c>
      <c r="H273" s="298"/>
      <c r="I273" s="298">
        <f>IFERROR(_xlfn.XLOOKUP($A273,Input_Raw!$A:$A,Input_Raw!$Q:$Q),"")</f>
        <v>0</v>
      </c>
      <c r="J273" s="298"/>
      <c r="K273" s="298">
        <f>IFERROR(_xlfn.XLOOKUP($A273,Input_Raw!$A:$A,Input_Raw!S:S),"")</f>
        <v>0</v>
      </c>
      <c r="L273" s="298">
        <f>IFERROR(_xlfn.XLOOKUP($A273,Input_Raw!$A:$A,Input_Raw!T:T),"")</f>
        <v>0</v>
      </c>
      <c r="M273" s="298">
        <f>IFERROR(_xlfn.XLOOKUP($A273,Input_Raw!$A:$A,Input_Raw!W:W),"")</f>
        <v>0</v>
      </c>
      <c r="N273" s="298">
        <f>IFERROR(_xlfn.XLOOKUP($A273,Input_Raw!$A:$A,Input_Raw!X:X),"")</f>
        <v>0</v>
      </c>
      <c r="O273" s="299" t="str">
        <f>IFERROR(1-(SUMIF(Plant_BD!$B:$B,$A273,Plant_BD!$AL:$AL)/($AA273+SUMIF(Plant_BD!$B:$B,$A273,Plant_BD!$AL:$AL))),"")</f>
        <v/>
      </c>
      <c r="P273" s="299"/>
      <c r="Q273" s="300"/>
      <c r="R273" s="299" t="str">
        <f>IFERROR(1-(SUMIF(Grid_BD!$B:$B,$A273,Grid_BD!$V:$V)/($AA273+SUMIF(Grid_BD!$B:$B,$A273,Grid_BD!$V:$V))),"")</f>
        <v/>
      </c>
      <c r="S273" s="295"/>
      <c r="T273" s="300"/>
      <c r="U273" s="301" t="str">
        <f t="shared" si="26"/>
        <v/>
      </c>
      <c r="V273" s="301" t="str">
        <f>IFERROR(_xlfn.XLOOKUP($A273,Input_Raw!$A:$A,Input_Raw!$AX:$AX),"")</f>
        <v/>
      </c>
      <c r="W273" s="302">
        <f t="shared" si="27"/>
        <v>0</v>
      </c>
      <c r="X273" s="294">
        <f>IFERROR(_xlfn.XLOOKUP($A273,Input_Raw!$A:$A,Input_Raw!$AA:$AA),"")</f>
        <v>0</v>
      </c>
      <c r="Y273" s="294">
        <f>IFERROR(_xlfn.XLOOKUP($A273,Input_Raw!$A:$A,Input_Raw!$AS:$AS),"")</f>
        <v>0</v>
      </c>
      <c r="Z273" s="294"/>
      <c r="AA273" s="294">
        <f>IFERROR(_xlfn.XLOOKUP($A273,Input_Raw!$A:$A,Input_Raw!$AT:$AT),"")</f>
        <v>0</v>
      </c>
      <c r="AB273" s="294">
        <f>IFERROR(_xlfn.XLOOKUP($A273,Input_Raw!$A:$A,Input_Raw!$AU:$AU),"")</f>
        <v>0</v>
      </c>
      <c r="AC273" s="303">
        <f>IFERROR(_xlfn.XLOOKUP($D273,'Modelling New'!$D:$D,'Modelling New'!P:P),"")</f>
        <v>5.5258064516129037</v>
      </c>
      <c r="AD273" s="294">
        <f>IFERROR(_xlfn.XLOOKUP($D273,'Modelling New'!$D:$D,'Modelling New'!T:T)*1000,"")</f>
        <v>589943.49243947864</v>
      </c>
      <c r="AE273" s="304">
        <f>IFERROR(_xlfn.XLOOKUP($D273,'Modelling New'!$D:$D,'Modelling New'!$O:$O),"")</f>
        <v>0.79082606930115407</v>
      </c>
      <c r="AF273" s="304">
        <f>IFERROR(_xlfn.XLOOKUP($D273,'Modelling New'!$D:$D,'Modelling New'!$W:$W),"")</f>
        <v>0.18208132482699957</v>
      </c>
      <c r="AG273" s="304">
        <f>IFERROR(_xlfn.XLOOKUP($D273,'Modelling New'!$D:$D,'Modelling New'!$AE:$AE),"")</f>
        <v>0.995</v>
      </c>
      <c r="AH273" s="304">
        <f>IFERROR(_xlfn.XLOOKUP($D273,'Modelling New'!$D:$D,'Modelling New'!$AF:$AF),"")</f>
        <v>0.995</v>
      </c>
      <c r="AI273" s="295"/>
      <c r="AJ273" s="295"/>
      <c r="AK273" s="295"/>
      <c r="AL273" s="295"/>
      <c r="AM273" s="295"/>
      <c r="AN273" s="305"/>
      <c r="AO273" s="302"/>
      <c r="AP273" s="302"/>
      <c r="AQ273" s="302"/>
      <c r="AR273" s="294">
        <f>_xlfn.XLOOKUP($D273,'Modelling New'!$D:$D,'Modelling New'!$N:$N)</f>
        <v>135</v>
      </c>
      <c r="AS273" s="294">
        <f t="shared" si="28"/>
        <v>0</v>
      </c>
    </row>
    <row r="274" spans="1:45">
      <c r="A274" s="293">
        <f t="shared" si="29"/>
        <v>46017</v>
      </c>
      <c r="B274" s="294">
        <f>YEAR(Daily_KPI[[#This Row],[Date]])+IF(MONTH(Daily_KPI[[#This Row],[Date]])&gt;=4,1,0)</f>
        <v>2026</v>
      </c>
      <c r="C274" s="295">
        <f>YEAR(Daily_KPI[[#This Row],[Date]])</f>
        <v>2025</v>
      </c>
      <c r="D274" s="296">
        <f>Daily_KPI[[#This Row],[Date]]-DAY(Daily_KPI[[#This Row],[Date]])+1</f>
        <v>45992</v>
      </c>
      <c r="E274" s="295">
        <f t="shared" si="25"/>
        <v>31</v>
      </c>
      <c r="F274" s="297">
        <f>IFERROR(_xlfn.XLOOKUP($A274,Input_Raw!$A:$A,Input_Raw!$AR:$AR),"")</f>
        <v>0</v>
      </c>
      <c r="G274" s="298">
        <f>IFERROR(_xlfn.XLOOKUP($A274,Input_Raw!$A:$A,Input_Raw!$R:$R),"")</f>
        <v>0</v>
      </c>
      <c r="H274" s="298"/>
      <c r="I274" s="298">
        <f>IFERROR(_xlfn.XLOOKUP($A274,Input_Raw!$A:$A,Input_Raw!$Q:$Q),"")</f>
        <v>0</v>
      </c>
      <c r="J274" s="298"/>
      <c r="K274" s="298">
        <f>IFERROR(_xlfn.XLOOKUP($A274,Input_Raw!$A:$A,Input_Raw!S:S),"")</f>
        <v>0</v>
      </c>
      <c r="L274" s="298">
        <f>IFERROR(_xlfn.XLOOKUP($A274,Input_Raw!$A:$A,Input_Raw!T:T),"")</f>
        <v>0</v>
      </c>
      <c r="M274" s="298">
        <f>IFERROR(_xlfn.XLOOKUP($A274,Input_Raw!$A:$A,Input_Raw!W:W),"")</f>
        <v>0</v>
      </c>
      <c r="N274" s="298">
        <f>IFERROR(_xlfn.XLOOKUP($A274,Input_Raw!$A:$A,Input_Raw!X:X),"")</f>
        <v>0</v>
      </c>
      <c r="O274" s="299" t="str">
        <f>IFERROR(1-(SUMIF(Plant_BD!$B:$B,$A274,Plant_BD!$AL:$AL)/($AA274+SUMIF(Plant_BD!$B:$B,$A274,Plant_BD!$AL:$AL))),"")</f>
        <v/>
      </c>
      <c r="P274" s="299"/>
      <c r="Q274" s="300"/>
      <c r="R274" s="299" t="str">
        <f>IFERROR(1-(SUMIF(Grid_BD!$B:$B,$A274,Grid_BD!$V:$V)/($AA274+SUMIF(Grid_BD!$B:$B,$A274,Grid_BD!$V:$V))),"")</f>
        <v/>
      </c>
      <c r="S274" s="295"/>
      <c r="T274" s="300"/>
      <c r="U274" s="301" t="str">
        <f t="shared" si="26"/>
        <v/>
      </c>
      <c r="V274" s="301" t="str">
        <f>IFERROR(_xlfn.XLOOKUP($A274,Input_Raw!$A:$A,Input_Raw!$AX:$AX),"")</f>
        <v/>
      </c>
      <c r="W274" s="302">
        <f t="shared" si="27"/>
        <v>0</v>
      </c>
      <c r="X274" s="294">
        <f>IFERROR(_xlfn.XLOOKUP($A274,Input_Raw!$A:$A,Input_Raw!$AA:$AA),"")</f>
        <v>0</v>
      </c>
      <c r="Y274" s="294">
        <f>IFERROR(_xlfn.XLOOKUP($A274,Input_Raw!$A:$A,Input_Raw!$AS:$AS),"")</f>
        <v>0</v>
      </c>
      <c r="Z274" s="294"/>
      <c r="AA274" s="294">
        <f>IFERROR(_xlfn.XLOOKUP($A274,Input_Raw!$A:$A,Input_Raw!$AT:$AT),"")</f>
        <v>0</v>
      </c>
      <c r="AB274" s="294">
        <f>IFERROR(_xlfn.XLOOKUP($A274,Input_Raw!$A:$A,Input_Raw!$AU:$AU),"")</f>
        <v>0</v>
      </c>
      <c r="AC274" s="303">
        <f>IFERROR(_xlfn.XLOOKUP($D274,'Modelling New'!$D:$D,'Modelling New'!P:P),"")</f>
        <v>5.5258064516129037</v>
      </c>
      <c r="AD274" s="294">
        <f>IFERROR(_xlfn.XLOOKUP($D274,'Modelling New'!$D:$D,'Modelling New'!T:T)*1000,"")</f>
        <v>589943.49243947864</v>
      </c>
      <c r="AE274" s="304">
        <f>IFERROR(_xlfn.XLOOKUP($D274,'Modelling New'!$D:$D,'Modelling New'!$O:$O),"")</f>
        <v>0.79082606930115407</v>
      </c>
      <c r="AF274" s="304">
        <f>IFERROR(_xlfn.XLOOKUP($D274,'Modelling New'!$D:$D,'Modelling New'!$W:$W),"")</f>
        <v>0.18208132482699957</v>
      </c>
      <c r="AG274" s="304">
        <f>IFERROR(_xlfn.XLOOKUP($D274,'Modelling New'!$D:$D,'Modelling New'!$AE:$AE),"")</f>
        <v>0.995</v>
      </c>
      <c r="AH274" s="304">
        <f>IFERROR(_xlfn.XLOOKUP($D274,'Modelling New'!$D:$D,'Modelling New'!$AF:$AF),"")</f>
        <v>0.995</v>
      </c>
      <c r="AI274" s="295"/>
      <c r="AJ274" s="295"/>
      <c r="AK274" s="295"/>
      <c r="AL274" s="295"/>
      <c r="AM274" s="295"/>
      <c r="AN274" s="305"/>
      <c r="AO274" s="302"/>
      <c r="AP274" s="302"/>
      <c r="AQ274" s="302"/>
      <c r="AR274" s="294">
        <f>_xlfn.XLOOKUP($D274,'Modelling New'!$D:$D,'Modelling New'!$N:$N)</f>
        <v>135</v>
      </c>
      <c r="AS274" s="294">
        <f t="shared" si="28"/>
        <v>0</v>
      </c>
    </row>
    <row r="275" spans="1:45">
      <c r="A275" s="293">
        <f t="shared" si="29"/>
        <v>46018</v>
      </c>
      <c r="B275" s="294">
        <f>YEAR(Daily_KPI[[#This Row],[Date]])+IF(MONTH(Daily_KPI[[#This Row],[Date]])&gt;=4,1,0)</f>
        <v>2026</v>
      </c>
      <c r="C275" s="295">
        <f>YEAR(Daily_KPI[[#This Row],[Date]])</f>
        <v>2025</v>
      </c>
      <c r="D275" s="296">
        <f>Daily_KPI[[#This Row],[Date]]-DAY(Daily_KPI[[#This Row],[Date]])+1</f>
        <v>45992</v>
      </c>
      <c r="E275" s="295">
        <f t="shared" si="25"/>
        <v>31</v>
      </c>
      <c r="F275" s="297">
        <f>IFERROR(_xlfn.XLOOKUP($A275,Input_Raw!$A:$A,Input_Raw!$AR:$AR),"")</f>
        <v>0</v>
      </c>
      <c r="G275" s="298">
        <f>IFERROR(_xlfn.XLOOKUP($A275,Input_Raw!$A:$A,Input_Raw!$R:$R),"")</f>
        <v>0</v>
      </c>
      <c r="H275" s="298"/>
      <c r="I275" s="298">
        <f>IFERROR(_xlfn.XLOOKUP($A275,Input_Raw!$A:$A,Input_Raw!$Q:$Q),"")</f>
        <v>0</v>
      </c>
      <c r="J275" s="298"/>
      <c r="K275" s="298">
        <f>IFERROR(_xlfn.XLOOKUP($A275,Input_Raw!$A:$A,Input_Raw!S:S),"")</f>
        <v>0</v>
      </c>
      <c r="L275" s="298">
        <f>IFERROR(_xlfn.XLOOKUP($A275,Input_Raw!$A:$A,Input_Raw!T:T),"")</f>
        <v>0</v>
      </c>
      <c r="M275" s="298">
        <f>IFERROR(_xlfn.XLOOKUP($A275,Input_Raw!$A:$A,Input_Raw!W:W),"")</f>
        <v>0</v>
      </c>
      <c r="N275" s="298">
        <f>IFERROR(_xlfn.XLOOKUP($A275,Input_Raw!$A:$A,Input_Raw!X:X),"")</f>
        <v>0</v>
      </c>
      <c r="O275" s="299" t="str">
        <f>IFERROR(1-(SUMIF(Plant_BD!$B:$B,$A275,Plant_BD!$AL:$AL)/($AA275+SUMIF(Plant_BD!$B:$B,$A275,Plant_BD!$AL:$AL))),"")</f>
        <v/>
      </c>
      <c r="P275" s="299"/>
      <c r="Q275" s="300"/>
      <c r="R275" s="299" t="str">
        <f>IFERROR(1-(SUMIF(Grid_BD!$B:$B,$A275,Grid_BD!$V:$V)/($AA275+SUMIF(Grid_BD!$B:$B,$A275,Grid_BD!$V:$V))),"")</f>
        <v/>
      </c>
      <c r="S275" s="295"/>
      <c r="T275" s="300"/>
      <c r="U275" s="301" t="str">
        <f t="shared" si="26"/>
        <v/>
      </c>
      <c r="V275" s="301" t="str">
        <f>IFERROR(_xlfn.XLOOKUP($A275,Input_Raw!$A:$A,Input_Raw!$AX:$AX),"")</f>
        <v/>
      </c>
      <c r="W275" s="302">
        <f t="shared" si="27"/>
        <v>0</v>
      </c>
      <c r="X275" s="294">
        <f>IFERROR(_xlfn.XLOOKUP($A275,Input_Raw!$A:$A,Input_Raw!$AA:$AA),"")</f>
        <v>0</v>
      </c>
      <c r="Y275" s="294">
        <f>IFERROR(_xlfn.XLOOKUP($A275,Input_Raw!$A:$A,Input_Raw!$AS:$AS),"")</f>
        <v>0</v>
      </c>
      <c r="Z275" s="294"/>
      <c r="AA275" s="294">
        <f>IFERROR(_xlfn.XLOOKUP($A275,Input_Raw!$A:$A,Input_Raw!$AT:$AT),"")</f>
        <v>0</v>
      </c>
      <c r="AB275" s="294">
        <f>IFERROR(_xlfn.XLOOKUP($A275,Input_Raw!$A:$A,Input_Raw!$AU:$AU),"")</f>
        <v>0</v>
      </c>
      <c r="AC275" s="303">
        <f>IFERROR(_xlfn.XLOOKUP($D275,'Modelling New'!$D:$D,'Modelling New'!P:P),"")</f>
        <v>5.5258064516129037</v>
      </c>
      <c r="AD275" s="294">
        <f>IFERROR(_xlfn.XLOOKUP($D275,'Modelling New'!$D:$D,'Modelling New'!T:T)*1000,"")</f>
        <v>589943.49243947864</v>
      </c>
      <c r="AE275" s="304">
        <f>IFERROR(_xlfn.XLOOKUP($D275,'Modelling New'!$D:$D,'Modelling New'!$O:$O),"")</f>
        <v>0.79082606930115407</v>
      </c>
      <c r="AF275" s="304">
        <f>IFERROR(_xlfn.XLOOKUP($D275,'Modelling New'!$D:$D,'Modelling New'!$W:$W),"")</f>
        <v>0.18208132482699957</v>
      </c>
      <c r="AG275" s="304">
        <f>IFERROR(_xlfn.XLOOKUP($D275,'Modelling New'!$D:$D,'Modelling New'!$AE:$AE),"")</f>
        <v>0.995</v>
      </c>
      <c r="AH275" s="304">
        <f>IFERROR(_xlfn.XLOOKUP($D275,'Modelling New'!$D:$D,'Modelling New'!$AF:$AF),"")</f>
        <v>0.995</v>
      </c>
      <c r="AI275" s="295"/>
      <c r="AJ275" s="295"/>
      <c r="AK275" s="295"/>
      <c r="AL275" s="295"/>
      <c r="AM275" s="295"/>
      <c r="AN275" s="305"/>
      <c r="AO275" s="302"/>
      <c r="AP275" s="302"/>
      <c r="AQ275" s="302"/>
      <c r="AR275" s="294">
        <f>_xlfn.XLOOKUP($D275,'Modelling New'!$D:$D,'Modelling New'!$N:$N)</f>
        <v>135</v>
      </c>
      <c r="AS275" s="294">
        <f t="shared" si="28"/>
        <v>0</v>
      </c>
    </row>
    <row r="276" spans="1:45">
      <c r="A276" s="293">
        <f t="shared" si="29"/>
        <v>46019</v>
      </c>
      <c r="B276" s="294">
        <f>YEAR(Daily_KPI[[#This Row],[Date]])+IF(MONTH(Daily_KPI[[#This Row],[Date]])&gt;=4,1,0)</f>
        <v>2026</v>
      </c>
      <c r="C276" s="295">
        <f>YEAR(Daily_KPI[[#This Row],[Date]])</f>
        <v>2025</v>
      </c>
      <c r="D276" s="296">
        <f>Daily_KPI[[#This Row],[Date]]-DAY(Daily_KPI[[#This Row],[Date]])+1</f>
        <v>45992</v>
      </c>
      <c r="E276" s="295">
        <f t="shared" si="25"/>
        <v>31</v>
      </c>
      <c r="F276" s="297">
        <f>IFERROR(_xlfn.XLOOKUP($A276,Input_Raw!$A:$A,Input_Raw!$AR:$AR),"")</f>
        <v>0</v>
      </c>
      <c r="G276" s="298">
        <f>IFERROR(_xlfn.XLOOKUP($A276,Input_Raw!$A:$A,Input_Raw!$R:$R),"")</f>
        <v>0</v>
      </c>
      <c r="H276" s="298"/>
      <c r="I276" s="298">
        <f>IFERROR(_xlfn.XLOOKUP($A276,Input_Raw!$A:$A,Input_Raw!$Q:$Q),"")</f>
        <v>0</v>
      </c>
      <c r="J276" s="298"/>
      <c r="K276" s="298">
        <f>IFERROR(_xlfn.XLOOKUP($A276,Input_Raw!$A:$A,Input_Raw!S:S),"")</f>
        <v>0</v>
      </c>
      <c r="L276" s="298">
        <f>IFERROR(_xlfn.XLOOKUP($A276,Input_Raw!$A:$A,Input_Raw!T:T),"")</f>
        <v>0</v>
      </c>
      <c r="M276" s="298">
        <f>IFERROR(_xlfn.XLOOKUP($A276,Input_Raw!$A:$A,Input_Raw!W:W),"")</f>
        <v>0</v>
      </c>
      <c r="N276" s="298">
        <f>IFERROR(_xlfn.XLOOKUP($A276,Input_Raw!$A:$A,Input_Raw!X:X),"")</f>
        <v>0</v>
      </c>
      <c r="O276" s="299" t="str">
        <f>IFERROR(1-(SUMIF(Plant_BD!$B:$B,$A276,Plant_BD!$AL:$AL)/($AA276+SUMIF(Plant_BD!$B:$B,$A276,Plant_BD!$AL:$AL))),"")</f>
        <v/>
      </c>
      <c r="P276" s="299"/>
      <c r="Q276" s="300"/>
      <c r="R276" s="299" t="str">
        <f>IFERROR(1-(SUMIF(Grid_BD!$B:$B,$A276,Grid_BD!$V:$V)/($AA276+SUMIF(Grid_BD!$B:$B,$A276,Grid_BD!$V:$V))),"")</f>
        <v/>
      </c>
      <c r="S276" s="295"/>
      <c r="T276" s="300"/>
      <c r="U276" s="301" t="str">
        <f t="shared" si="26"/>
        <v/>
      </c>
      <c r="V276" s="301" t="str">
        <f>IFERROR(_xlfn.XLOOKUP($A276,Input_Raw!$A:$A,Input_Raw!$AX:$AX),"")</f>
        <v/>
      </c>
      <c r="W276" s="302">
        <f t="shared" si="27"/>
        <v>0</v>
      </c>
      <c r="X276" s="294">
        <f>IFERROR(_xlfn.XLOOKUP($A276,Input_Raw!$A:$A,Input_Raw!$AA:$AA),"")</f>
        <v>0</v>
      </c>
      <c r="Y276" s="294">
        <f>IFERROR(_xlfn.XLOOKUP($A276,Input_Raw!$A:$A,Input_Raw!$AS:$AS),"")</f>
        <v>0</v>
      </c>
      <c r="Z276" s="294"/>
      <c r="AA276" s="294">
        <f>IFERROR(_xlfn.XLOOKUP($A276,Input_Raw!$A:$A,Input_Raw!$AT:$AT),"")</f>
        <v>0</v>
      </c>
      <c r="AB276" s="294">
        <f>IFERROR(_xlfn.XLOOKUP($A276,Input_Raw!$A:$A,Input_Raw!$AU:$AU),"")</f>
        <v>0</v>
      </c>
      <c r="AC276" s="303">
        <f>IFERROR(_xlfn.XLOOKUP($D276,'Modelling New'!$D:$D,'Modelling New'!P:P),"")</f>
        <v>5.5258064516129037</v>
      </c>
      <c r="AD276" s="294">
        <f>IFERROR(_xlfn.XLOOKUP($D276,'Modelling New'!$D:$D,'Modelling New'!T:T)*1000,"")</f>
        <v>589943.49243947864</v>
      </c>
      <c r="AE276" s="304">
        <f>IFERROR(_xlfn.XLOOKUP($D276,'Modelling New'!$D:$D,'Modelling New'!$O:$O),"")</f>
        <v>0.79082606930115407</v>
      </c>
      <c r="AF276" s="304">
        <f>IFERROR(_xlfn.XLOOKUP($D276,'Modelling New'!$D:$D,'Modelling New'!$W:$W),"")</f>
        <v>0.18208132482699957</v>
      </c>
      <c r="AG276" s="304">
        <f>IFERROR(_xlfn.XLOOKUP($D276,'Modelling New'!$D:$D,'Modelling New'!$AE:$AE),"")</f>
        <v>0.995</v>
      </c>
      <c r="AH276" s="304">
        <f>IFERROR(_xlfn.XLOOKUP($D276,'Modelling New'!$D:$D,'Modelling New'!$AF:$AF),"")</f>
        <v>0.995</v>
      </c>
      <c r="AI276" s="295"/>
      <c r="AJ276" s="295"/>
      <c r="AK276" s="295"/>
      <c r="AL276" s="295"/>
      <c r="AM276" s="295"/>
      <c r="AN276" s="305"/>
      <c r="AO276" s="302"/>
      <c r="AP276" s="302"/>
      <c r="AQ276" s="302"/>
      <c r="AR276" s="294">
        <f>_xlfn.XLOOKUP($D276,'Modelling New'!$D:$D,'Modelling New'!$N:$N)</f>
        <v>135</v>
      </c>
      <c r="AS276" s="294">
        <f t="shared" si="28"/>
        <v>0</v>
      </c>
    </row>
    <row r="277" spans="1:45">
      <c r="A277" s="293">
        <f t="shared" si="29"/>
        <v>46020</v>
      </c>
      <c r="B277" s="294">
        <f>YEAR(Daily_KPI[[#This Row],[Date]])+IF(MONTH(Daily_KPI[[#This Row],[Date]])&gt;=4,1,0)</f>
        <v>2026</v>
      </c>
      <c r="C277" s="295">
        <f>YEAR(Daily_KPI[[#This Row],[Date]])</f>
        <v>2025</v>
      </c>
      <c r="D277" s="296">
        <f>Daily_KPI[[#This Row],[Date]]-DAY(Daily_KPI[[#This Row],[Date]])+1</f>
        <v>45992</v>
      </c>
      <c r="E277" s="295">
        <f t="shared" si="25"/>
        <v>31</v>
      </c>
      <c r="F277" s="297">
        <f>IFERROR(_xlfn.XLOOKUP($A277,Input_Raw!$A:$A,Input_Raw!$AR:$AR),"")</f>
        <v>0</v>
      </c>
      <c r="G277" s="298">
        <f>IFERROR(_xlfn.XLOOKUP($A277,Input_Raw!$A:$A,Input_Raw!$R:$R),"")</f>
        <v>0</v>
      </c>
      <c r="H277" s="298"/>
      <c r="I277" s="298">
        <f>IFERROR(_xlfn.XLOOKUP($A277,Input_Raw!$A:$A,Input_Raw!$Q:$Q),"")</f>
        <v>0</v>
      </c>
      <c r="J277" s="298"/>
      <c r="K277" s="298">
        <f>IFERROR(_xlfn.XLOOKUP($A277,Input_Raw!$A:$A,Input_Raw!S:S),"")</f>
        <v>0</v>
      </c>
      <c r="L277" s="298">
        <f>IFERROR(_xlfn.XLOOKUP($A277,Input_Raw!$A:$A,Input_Raw!T:T),"")</f>
        <v>0</v>
      </c>
      <c r="M277" s="298">
        <f>IFERROR(_xlfn.XLOOKUP($A277,Input_Raw!$A:$A,Input_Raw!W:W),"")</f>
        <v>0</v>
      </c>
      <c r="N277" s="298">
        <f>IFERROR(_xlfn.XLOOKUP($A277,Input_Raw!$A:$A,Input_Raw!X:X),"")</f>
        <v>0</v>
      </c>
      <c r="O277" s="299" t="str">
        <f>IFERROR(1-(SUMIF(Plant_BD!$B:$B,$A277,Plant_BD!$AL:$AL)/($AA277+SUMIF(Plant_BD!$B:$B,$A277,Plant_BD!$AL:$AL))),"")</f>
        <v/>
      </c>
      <c r="P277" s="299"/>
      <c r="Q277" s="300"/>
      <c r="R277" s="299" t="str">
        <f>IFERROR(1-(SUMIF(Grid_BD!$B:$B,$A277,Grid_BD!$V:$V)/($AA277+SUMIF(Grid_BD!$B:$B,$A277,Grid_BD!$V:$V))),"")</f>
        <v/>
      </c>
      <c r="S277" s="295"/>
      <c r="T277" s="300"/>
      <c r="U277" s="301" t="str">
        <f t="shared" si="26"/>
        <v/>
      </c>
      <c r="V277" s="301" t="str">
        <f>IFERROR(_xlfn.XLOOKUP($A277,Input_Raw!$A:$A,Input_Raw!$AX:$AX),"")</f>
        <v/>
      </c>
      <c r="W277" s="302">
        <f t="shared" si="27"/>
        <v>0</v>
      </c>
      <c r="X277" s="294">
        <f>IFERROR(_xlfn.XLOOKUP($A277,Input_Raw!$A:$A,Input_Raw!$AA:$AA),"")</f>
        <v>0</v>
      </c>
      <c r="Y277" s="294">
        <f>IFERROR(_xlfn.XLOOKUP($A277,Input_Raw!$A:$A,Input_Raw!$AS:$AS),"")</f>
        <v>0</v>
      </c>
      <c r="Z277" s="294"/>
      <c r="AA277" s="294">
        <f>IFERROR(_xlfn.XLOOKUP($A277,Input_Raw!$A:$A,Input_Raw!$AT:$AT),"")</f>
        <v>0</v>
      </c>
      <c r="AB277" s="294">
        <f>IFERROR(_xlfn.XLOOKUP($A277,Input_Raw!$A:$A,Input_Raw!$AU:$AU),"")</f>
        <v>0</v>
      </c>
      <c r="AC277" s="303">
        <f>IFERROR(_xlfn.XLOOKUP($D277,'Modelling New'!$D:$D,'Modelling New'!P:P),"")</f>
        <v>5.5258064516129037</v>
      </c>
      <c r="AD277" s="294">
        <f>IFERROR(_xlfn.XLOOKUP($D277,'Modelling New'!$D:$D,'Modelling New'!T:T)*1000,"")</f>
        <v>589943.49243947864</v>
      </c>
      <c r="AE277" s="304">
        <f>IFERROR(_xlfn.XLOOKUP($D277,'Modelling New'!$D:$D,'Modelling New'!$O:$O),"")</f>
        <v>0.79082606930115407</v>
      </c>
      <c r="AF277" s="304">
        <f>IFERROR(_xlfn.XLOOKUP($D277,'Modelling New'!$D:$D,'Modelling New'!$W:$W),"")</f>
        <v>0.18208132482699957</v>
      </c>
      <c r="AG277" s="304">
        <f>IFERROR(_xlfn.XLOOKUP($D277,'Modelling New'!$D:$D,'Modelling New'!$AE:$AE),"")</f>
        <v>0.995</v>
      </c>
      <c r="AH277" s="304">
        <f>IFERROR(_xlfn.XLOOKUP($D277,'Modelling New'!$D:$D,'Modelling New'!$AF:$AF),"")</f>
        <v>0.995</v>
      </c>
      <c r="AI277" s="295"/>
      <c r="AJ277" s="295"/>
      <c r="AK277" s="295"/>
      <c r="AL277" s="295"/>
      <c r="AM277" s="295"/>
      <c r="AN277" s="305"/>
      <c r="AO277" s="302"/>
      <c r="AP277" s="302"/>
      <c r="AQ277" s="302"/>
      <c r="AR277" s="294">
        <f>_xlfn.XLOOKUP($D277,'Modelling New'!$D:$D,'Modelling New'!$N:$N)</f>
        <v>135</v>
      </c>
      <c r="AS277" s="294">
        <f t="shared" si="28"/>
        <v>0</v>
      </c>
    </row>
    <row r="278" spans="1:45">
      <c r="A278" s="293">
        <f t="shared" si="29"/>
        <v>46021</v>
      </c>
      <c r="B278" s="294">
        <f>YEAR(Daily_KPI[[#This Row],[Date]])+IF(MONTH(Daily_KPI[[#This Row],[Date]])&gt;=4,1,0)</f>
        <v>2026</v>
      </c>
      <c r="C278" s="295">
        <f>YEAR(Daily_KPI[[#This Row],[Date]])</f>
        <v>2025</v>
      </c>
      <c r="D278" s="296">
        <f>Daily_KPI[[#This Row],[Date]]-DAY(Daily_KPI[[#This Row],[Date]])+1</f>
        <v>45992</v>
      </c>
      <c r="E278" s="295">
        <f t="shared" si="25"/>
        <v>31</v>
      </c>
      <c r="F278" s="297">
        <f>IFERROR(_xlfn.XLOOKUP($A278,Input_Raw!$A:$A,Input_Raw!$AR:$AR),"")</f>
        <v>0</v>
      </c>
      <c r="G278" s="298">
        <f>IFERROR(_xlfn.XLOOKUP($A278,Input_Raw!$A:$A,Input_Raw!$R:$R),"")</f>
        <v>0</v>
      </c>
      <c r="H278" s="298"/>
      <c r="I278" s="298">
        <f>IFERROR(_xlfn.XLOOKUP($A278,Input_Raw!$A:$A,Input_Raw!$Q:$Q),"")</f>
        <v>0</v>
      </c>
      <c r="J278" s="298"/>
      <c r="K278" s="298">
        <f>IFERROR(_xlfn.XLOOKUP($A278,Input_Raw!$A:$A,Input_Raw!S:S),"")</f>
        <v>0</v>
      </c>
      <c r="L278" s="298">
        <f>IFERROR(_xlfn.XLOOKUP($A278,Input_Raw!$A:$A,Input_Raw!T:T),"")</f>
        <v>0</v>
      </c>
      <c r="M278" s="298">
        <f>IFERROR(_xlfn.XLOOKUP($A278,Input_Raw!$A:$A,Input_Raw!W:W),"")</f>
        <v>0</v>
      </c>
      <c r="N278" s="298">
        <f>IFERROR(_xlfn.XLOOKUP($A278,Input_Raw!$A:$A,Input_Raw!X:X),"")</f>
        <v>0</v>
      </c>
      <c r="O278" s="299" t="str">
        <f>IFERROR(1-(SUMIF(Plant_BD!$B:$B,$A278,Plant_BD!$AL:$AL)/($AA278+SUMIF(Plant_BD!$B:$B,$A278,Plant_BD!$AL:$AL))),"")</f>
        <v/>
      </c>
      <c r="P278" s="299"/>
      <c r="Q278" s="300"/>
      <c r="R278" s="299" t="str">
        <f>IFERROR(1-(SUMIF(Grid_BD!$B:$B,$A278,Grid_BD!$V:$V)/($AA278+SUMIF(Grid_BD!$B:$B,$A278,Grid_BD!$V:$V))),"")</f>
        <v/>
      </c>
      <c r="S278" s="295"/>
      <c r="T278" s="300"/>
      <c r="U278" s="301" t="str">
        <f t="shared" si="26"/>
        <v/>
      </c>
      <c r="V278" s="301" t="str">
        <f>IFERROR(_xlfn.XLOOKUP($A278,Input_Raw!$A:$A,Input_Raw!$AX:$AX),"")</f>
        <v/>
      </c>
      <c r="W278" s="302">
        <f t="shared" si="27"/>
        <v>0</v>
      </c>
      <c r="X278" s="294">
        <f>IFERROR(_xlfn.XLOOKUP($A278,Input_Raw!$A:$A,Input_Raw!$AA:$AA),"")</f>
        <v>0</v>
      </c>
      <c r="Y278" s="294">
        <f>IFERROR(_xlfn.XLOOKUP($A278,Input_Raw!$A:$A,Input_Raw!$AS:$AS),"")</f>
        <v>0</v>
      </c>
      <c r="Z278" s="294"/>
      <c r="AA278" s="294">
        <f>IFERROR(_xlfn.XLOOKUP($A278,Input_Raw!$A:$A,Input_Raw!$AT:$AT),"")</f>
        <v>0</v>
      </c>
      <c r="AB278" s="294">
        <f>IFERROR(_xlfn.XLOOKUP($A278,Input_Raw!$A:$A,Input_Raw!$AU:$AU),"")</f>
        <v>0</v>
      </c>
      <c r="AC278" s="303">
        <f>IFERROR(_xlfn.XLOOKUP($D278,'Modelling New'!$D:$D,'Modelling New'!P:P),"")</f>
        <v>5.5258064516129037</v>
      </c>
      <c r="AD278" s="294">
        <f>IFERROR(_xlfn.XLOOKUP($D278,'Modelling New'!$D:$D,'Modelling New'!T:T)*1000,"")</f>
        <v>589943.49243947864</v>
      </c>
      <c r="AE278" s="304">
        <f>IFERROR(_xlfn.XLOOKUP($D278,'Modelling New'!$D:$D,'Modelling New'!$O:$O),"")</f>
        <v>0.79082606930115407</v>
      </c>
      <c r="AF278" s="304">
        <f>IFERROR(_xlfn.XLOOKUP($D278,'Modelling New'!$D:$D,'Modelling New'!$W:$W),"")</f>
        <v>0.18208132482699957</v>
      </c>
      <c r="AG278" s="304">
        <f>IFERROR(_xlfn.XLOOKUP($D278,'Modelling New'!$D:$D,'Modelling New'!$AE:$AE),"")</f>
        <v>0.995</v>
      </c>
      <c r="AH278" s="304">
        <f>IFERROR(_xlfn.XLOOKUP($D278,'Modelling New'!$D:$D,'Modelling New'!$AF:$AF),"")</f>
        <v>0.995</v>
      </c>
      <c r="AI278" s="295"/>
      <c r="AJ278" s="295"/>
      <c r="AK278" s="295"/>
      <c r="AL278" s="295"/>
      <c r="AM278" s="295"/>
      <c r="AN278" s="305"/>
      <c r="AO278" s="302"/>
      <c r="AP278" s="302"/>
      <c r="AQ278" s="302"/>
      <c r="AR278" s="294">
        <f>_xlfn.XLOOKUP($D278,'Modelling New'!$D:$D,'Modelling New'!$N:$N)</f>
        <v>135</v>
      </c>
      <c r="AS278" s="294">
        <f t="shared" si="28"/>
        <v>0</v>
      </c>
    </row>
    <row r="279" spans="1:45">
      <c r="A279" s="293">
        <f t="shared" si="29"/>
        <v>46022</v>
      </c>
      <c r="B279" s="294">
        <f>YEAR(Daily_KPI[[#This Row],[Date]])+IF(MONTH(Daily_KPI[[#This Row],[Date]])&gt;=4,1,0)</f>
        <v>2026</v>
      </c>
      <c r="C279" s="295">
        <f>YEAR(Daily_KPI[[#This Row],[Date]])</f>
        <v>2025</v>
      </c>
      <c r="D279" s="296">
        <f>Daily_KPI[[#This Row],[Date]]-DAY(Daily_KPI[[#This Row],[Date]])+1</f>
        <v>45992</v>
      </c>
      <c r="E279" s="295">
        <f t="shared" si="25"/>
        <v>31</v>
      </c>
      <c r="F279" s="297">
        <f>IFERROR(_xlfn.XLOOKUP($A279,Input_Raw!$A:$A,Input_Raw!$AR:$AR),"")</f>
        <v>0</v>
      </c>
      <c r="G279" s="298">
        <f>IFERROR(_xlfn.XLOOKUP($A279,Input_Raw!$A:$A,Input_Raw!$R:$R),"")</f>
        <v>0</v>
      </c>
      <c r="H279" s="298"/>
      <c r="I279" s="298">
        <f>IFERROR(_xlfn.XLOOKUP($A279,Input_Raw!$A:$A,Input_Raw!$Q:$Q),"")</f>
        <v>0</v>
      </c>
      <c r="J279" s="298"/>
      <c r="K279" s="298">
        <f>IFERROR(_xlfn.XLOOKUP($A279,Input_Raw!$A:$A,Input_Raw!S:S),"")</f>
        <v>0</v>
      </c>
      <c r="L279" s="298">
        <f>IFERROR(_xlfn.XLOOKUP($A279,Input_Raw!$A:$A,Input_Raw!T:T),"")</f>
        <v>0</v>
      </c>
      <c r="M279" s="298">
        <f>IFERROR(_xlfn.XLOOKUP($A279,Input_Raw!$A:$A,Input_Raw!W:W),"")</f>
        <v>0</v>
      </c>
      <c r="N279" s="298">
        <f>IFERROR(_xlfn.XLOOKUP($A279,Input_Raw!$A:$A,Input_Raw!X:X),"")</f>
        <v>0</v>
      </c>
      <c r="O279" s="299" t="str">
        <f>IFERROR(1-(SUMIF(Plant_BD!$B:$B,$A279,Plant_BD!$AL:$AL)/($AA279+SUMIF(Plant_BD!$B:$B,$A279,Plant_BD!$AL:$AL))),"")</f>
        <v/>
      </c>
      <c r="P279" s="299"/>
      <c r="Q279" s="300"/>
      <c r="R279" s="299" t="str">
        <f>IFERROR(1-(SUMIF(Grid_BD!$B:$B,$A279,Grid_BD!$V:$V)/($AA279+SUMIF(Grid_BD!$B:$B,$A279,Grid_BD!$V:$V))),"")</f>
        <v/>
      </c>
      <c r="S279" s="295"/>
      <c r="T279" s="300"/>
      <c r="U279" s="301" t="str">
        <f t="shared" si="26"/>
        <v/>
      </c>
      <c r="V279" s="301" t="str">
        <f>IFERROR(_xlfn.XLOOKUP($A279,Input_Raw!$A:$A,Input_Raw!$AX:$AX),"")</f>
        <v/>
      </c>
      <c r="W279" s="302">
        <f t="shared" si="27"/>
        <v>0</v>
      </c>
      <c r="X279" s="294">
        <f>IFERROR(_xlfn.XLOOKUP($A279,Input_Raw!$A:$A,Input_Raw!$AA:$AA),"")</f>
        <v>0</v>
      </c>
      <c r="Y279" s="294">
        <f>IFERROR(_xlfn.XLOOKUP($A279,Input_Raw!$A:$A,Input_Raw!$AS:$AS),"")</f>
        <v>0</v>
      </c>
      <c r="Z279" s="294"/>
      <c r="AA279" s="294">
        <f>IFERROR(_xlfn.XLOOKUP($A279,Input_Raw!$A:$A,Input_Raw!$AT:$AT),"")</f>
        <v>0</v>
      </c>
      <c r="AB279" s="294">
        <f>IFERROR(_xlfn.XLOOKUP($A279,Input_Raw!$A:$A,Input_Raw!$AU:$AU),"")</f>
        <v>0</v>
      </c>
      <c r="AC279" s="303">
        <f>IFERROR(_xlfn.XLOOKUP($D279,'Modelling New'!$D:$D,'Modelling New'!P:P),"")</f>
        <v>5.5258064516129037</v>
      </c>
      <c r="AD279" s="294">
        <f>IFERROR(_xlfn.XLOOKUP($D279,'Modelling New'!$D:$D,'Modelling New'!T:T)*1000,"")</f>
        <v>589943.49243947864</v>
      </c>
      <c r="AE279" s="304">
        <f>IFERROR(_xlfn.XLOOKUP($D279,'Modelling New'!$D:$D,'Modelling New'!$O:$O),"")</f>
        <v>0.79082606930115407</v>
      </c>
      <c r="AF279" s="304">
        <f>IFERROR(_xlfn.XLOOKUP($D279,'Modelling New'!$D:$D,'Modelling New'!$W:$W),"")</f>
        <v>0.18208132482699957</v>
      </c>
      <c r="AG279" s="304">
        <f>IFERROR(_xlfn.XLOOKUP($D279,'Modelling New'!$D:$D,'Modelling New'!$AE:$AE),"")</f>
        <v>0.995</v>
      </c>
      <c r="AH279" s="304">
        <f>IFERROR(_xlfn.XLOOKUP($D279,'Modelling New'!$D:$D,'Modelling New'!$AF:$AF),"")</f>
        <v>0.995</v>
      </c>
      <c r="AI279" s="295"/>
      <c r="AJ279" s="295"/>
      <c r="AK279" s="295"/>
      <c r="AL279" s="295"/>
      <c r="AM279" s="295"/>
      <c r="AN279" s="305"/>
      <c r="AO279" s="302"/>
      <c r="AP279" s="302"/>
      <c r="AQ279" s="302"/>
      <c r="AR279" s="294">
        <f>_xlfn.XLOOKUP($D279,'Modelling New'!$D:$D,'Modelling New'!$N:$N)</f>
        <v>135</v>
      </c>
      <c r="AS279" s="294">
        <f t="shared" si="28"/>
        <v>0</v>
      </c>
    </row>
    <row r="280" spans="1:45">
      <c r="A280" s="293">
        <f t="shared" si="29"/>
        <v>46023</v>
      </c>
      <c r="B280" s="294">
        <f>YEAR(Daily_KPI[[#This Row],[Date]])+IF(MONTH(Daily_KPI[[#This Row],[Date]])&gt;=4,1,0)</f>
        <v>2026</v>
      </c>
      <c r="C280" s="295">
        <f>YEAR(Daily_KPI[[#This Row],[Date]])</f>
        <v>2026</v>
      </c>
      <c r="D280" s="296">
        <f>Daily_KPI[[#This Row],[Date]]-DAY(Daily_KPI[[#This Row],[Date]])+1</f>
        <v>46023</v>
      </c>
      <c r="E280" s="295">
        <f t="shared" si="25"/>
        <v>31</v>
      </c>
      <c r="F280" s="297" t="str">
        <f>IFERROR(_xlfn.XLOOKUP($A280,Input_Raw!$A:$A,Input_Raw!$AR:$AR),"")</f>
        <v/>
      </c>
      <c r="G280" s="298" t="str">
        <f>IFERROR(_xlfn.XLOOKUP($A280,Input_Raw!$A:$A,Input_Raw!$R:$R),"")</f>
        <v/>
      </c>
      <c r="H280" s="298"/>
      <c r="I280" s="298" t="str">
        <f>IFERROR(_xlfn.XLOOKUP($A280,Input_Raw!$A:$A,Input_Raw!$Q:$Q),"")</f>
        <v/>
      </c>
      <c r="J280" s="298"/>
      <c r="K280" s="298" t="str">
        <f>IFERROR(_xlfn.XLOOKUP($A280,Input_Raw!$A:$A,Input_Raw!S:S),"")</f>
        <v/>
      </c>
      <c r="L280" s="298" t="str">
        <f>IFERROR(_xlfn.XLOOKUP($A280,Input_Raw!$A:$A,Input_Raw!T:T),"")</f>
        <v/>
      </c>
      <c r="M280" s="298" t="str">
        <f>IFERROR(_xlfn.XLOOKUP($A280,Input_Raw!$A:$A,Input_Raw!W:W),"")</f>
        <v/>
      </c>
      <c r="N280" s="298" t="str">
        <f>IFERROR(_xlfn.XLOOKUP($A280,Input_Raw!$A:$A,Input_Raw!X:X),"")</f>
        <v/>
      </c>
      <c r="O280" s="299" t="str">
        <f>IFERROR(1-(SUMIF(Plant_BD!$B:$B,$A280,Plant_BD!$AL:$AL)/($AA280+SUMIF(Plant_BD!$B:$B,$A280,Plant_BD!$AL:$AL))),"")</f>
        <v/>
      </c>
      <c r="P280" s="299"/>
      <c r="Q280" s="300"/>
      <c r="R280" s="299" t="str">
        <f>IFERROR(1-(SUMIF(Grid_BD!$B:$B,$A280,Grid_BD!$V:$V)/($AA280+SUMIF(Grid_BD!$B:$B,$A280,Grid_BD!$V:$V))),"")</f>
        <v/>
      </c>
      <c r="S280" s="295"/>
      <c r="T280" s="300"/>
      <c r="U280" s="301" t="str">
        <f t="shared" si="26"/>
        <v/>
      </c>
      <c r="V280" s="301" t="str">
        <f>IFERROR(_xlfn.XLOOKUP($A280,Input_Raw!$A:$A,Input_Raw!$AX:$AX),"")</f>
        <v/>
      </c>
      <c r="W280" s="302" t="str">
        <f t="shared" si="27"/>
        <v/>
      </c>
      <c r="X280" s="294" t="str">
        <f>IFERROR(_xlfn.XLOOKUP($A280,Input_Raw!$A:$A,Input_Raw!$AA:$AA),"")</f>
        <v/>
      </c>
      <c r="Y280" s="294" t="str">
        <f>IFERROR(_xlfn.XLOOKUP($A280,Input_Raw!$A:$A,Input_Raw!$AS:$AS),"")</f>
        <v/>
      </c>
      <c r="Z280" s="294"/>
      <c r="AA280" s="294" t="str">
        <f>IFERROR(_xlfn.XLOOKUP($A280,Input_Raw!$A:$A,Input_Raw!$AT:$AT),"")</f>
        <v/>
      </c>
      <c r="AB280" s="294" t="str">
        <f>IFERROR(_xlfn.XLOOKUP($A280,Input_Raw!$A:$A,Input_Raw!$AU:$AU),"")</f>
        <v/>
      </c>
      <c r="AC280" s="303">
        <f>IFERROR(_xlfn.XLOOKUP($D280,'Modelling New'!$D:$D,'Modelling New'!P:P),"")</f>
        <v>5.6322580645161286</v>
      </c>
      <c r="AD280" s="294">
        <f>IFERROR(_xlfn.XLOOKUP($D280,'Modelling New'!$D:$D,'Modelling New'!T:T)*1000,"")</f>
        <v>661640.34620924492</v>
      </c>
      <c r="AE280" s="304">
        <f>IFERROR(_xlfn.XLOOKUP($D280,'Modelling New'!$D:$D,'Modelling New'!$O:$O),"")</f>
        <v>0.87017312513200951</v>
      </c>
      <c r="AF280" s="304">
        <f>IFERROR(_xlfn.XLOOKUP($D280,'Modelling New'!$D:$D,'Modelling New'!$W:$W),"")</f>
        <v>0.2042099833979151</v>
      </c>
      <c r="AG280" s="304">
        <f>IFERROR(_xlfn.XLOOKUP($D280,'Modelling New'!$D:$D,'Modelling New'!$AE:$AE),"")</f>
        <v>0.995</v>
      </c>
      <c r="AH280" s="304">
        <f>IFERROR(_xlfn.XLOOKUP($D280,'Modelling New'!$D:$D,'Modelling New'!$AF:$AF),"")</f>
        <v>0.995</v>
      </c>
      <c r="AI280" s="295"/>
      <c r="AJ280" s="295"/>
      <c r="AK280" s="295"/>
      <c r="AL280" s="295"/>
      <c r="AM280" s="295"/>
      <c r="AN280" s="305"/>
      <c r="AO280" s="302"/>
      <c r="AP280" s="302"/>
      <c r="AQ280" s="302"/>
      <c r="AR280" s="294">
        <f>_xlfn.XLOOKUP($D280,'Modelling New'!$D:$D,'Modelling New'!$N:$N)</f>
        <v>135</v>
      </c>
      <c r="AS280" s="294" t="str">
        <f t="shared" si="28"/>
        <v/>
      </c>
    </row>
    <row r="281" spans="1:45">
      <c r="A281" s="293">
        <f t="shared" si="29"/>
        <v>46024</v>
      </c>
      <c r="B281" s="294">
        <f>YEAR(Daily_KPI[[#This Row],[Date]])+IF(MONTH(Daily_KPI[[#This Row],[Date]])&gt;=4,1,0)</f>
        <v>2026</v>
      </c>
      <c r="C281" s="295">
        <f>YEAR(Daily_KPI[[#This Row],[Date]])</f>
        <v>2026</v>
      </c>
      <c r="D281" s="296">
        <f>Daily_KPI[[#This Row],[Date]]-DAY(Daily_KPI[[#This Row],[Date]])+1</f>
        <v>46023</v>
      </c>
      <c r="E281" s="295">
        <f t="shared" si="25"/>
        <v>31</v>
      </c>
      <c r="F281" s="297" t="str">
        <f>IFERROR(_xlfn.XLOOKUP($A281,Input_Raw!$A:$A,Input_Raw!$AR:$AR),"")</f>
        <v/>
      </c>
      <c r="G281" s="298" t="str">
        <f>IFERROR(_xlfn.XLOOKUP($A281,Input_Raw!$A:$A,Input_Raw!$R:$R),"")</f>
        <v/>
      </c>
      <c r="H281" s="298"/>
      <c r="I281" s="298" t="str">
        <f>IFERROR(_xlfn.XLOOKUP($A281,Input_Raw!$A:$A,Input_Raw!$Q:$Q),"")</f>
        <v/>
      </c>
      <c r="J281" s="298"/>
      <c r="K281" s="298" t="str">
        <f>IFERROR(_xlfn.XLOOKUP($A281,Input_Raw!$A:$A,Input_Raw!S:S),"")</f>
        <v/>
      </c>
      <c r="L281" s="298" t="str">
        <f>IFERROR(_xlfn.XLOOKUP($A281,Input_Raw!$A:$A,Input_Raw!T:T),"")</f>
        <v/>
      </c>
      <c r="M281" s="298" t="str">
        <f>IFERROR(_xlfn.XLOOKUP($A281,Input_Raw!$A:$A,Input_Raw!W:W),"")</f>
        <v/>
      </c>
      <c r="N281" s="298" t="str">
        <f>IFERROR(_xlfn.XLOOKUP($A281,Input_Raw!$A:$A,Input_Raw!X:X),"")</f>
        <v/>
      </c>
      <c r="O281" s="299" t="str">
        <f>IFERROR(1-(SUMIF(Plant_BD!$B:$B,$A281,Plant_BD!$AL:$AL)/($AA281+SUMIF(Plant_BD!$B:$B,$A281,Plant_BD!$AL:$AL))),"")</f>
        <v/>
      </c>
      <c r="P281" s="299"/>
      <c r="Q281" s="300"/>
      <c r="R281" s="299" t="str">
        <f>IFERROR(1-(SUMIF(Grid_BD!$B:$B,$A281,Grid_BD!$V:$V)/($AA281+SUMIF(Grid_BD!$B:$B,$A281,Grid_BD!$V:$V))),"")</f>
        <v/>
      </c>
      <c r="S281" s="295"/>
      <c r="T281" s="300"/>
      <c r="U281" s="301" t="str">
        <f t="shared" si="26"/>
        <v/>
      </c>
      <c r="V281" s="301" t="str">
        <f>IFERROR(_xlfn.XLOOKUP($A281,Input_Raw!$A:$A,Input_Raw!$AX:$AX),"")</f>
        <v/>
      </c>
      <c r="W281" s="302" t="str">
        <f t="shared" si="27"/>
        <v/>
      </c>
      <c r="X281" s="294" t="str">
        <f>IFERROR(_xlfn.XLOOKUP($A281,Input_Raw!$A:$A,Input_Raw!$AA:$AA),"")</f>
        <v/>
      </c>
      <c r="Y281" s="294" t="str">
        <f>IFERROR(_xlfn.XLOOKUP($A281,Input_Raw!$A:$A,Input_Raw!$AS:$AS),"")</f>
        <v/>
      </c>
      <c r="Z281" s="294"/>
      <c r="AA281" s="294" t="str">
        <f>IFERROR(_xlfn.XLOOKUP($A281,Input_Raw!$A:$A,Input_Raw!$AT:$AT),"")</f>
        <v/>
      </c>
      <c r="AB281" s="294" t="str">
        <f>IFERROR(_xlfn.XLOOKUP($A281,Input_Raw!$A:$A,Input_Raw!$AU:$AU),"")</f>
        <v/>
      </c>
      <c r="AC281" s="303">
        <f>IFERROR(_xlfn.XLOOKUP($D281,'Modelling New'!$D:$D,'Modelling New'!P:P),"")</f>
        <v>5.6322580645161286</v>
      </c>
      <c r="AD281" s="294">
        <f>IFERROR(_xlfn.XLOOKUP($D281,'Modelling New'!$D:$D,'Modelling New'!T:T)*1000,"")</f>
        <v>661640.34620924492</v>
      </c>
      <c r="AE281" s="304">
        <f>IFERROR(_xlfn.XLOOKUP($D281,'Modelling New'!$D:$D,'Modelling New'!$O:$O),"")</f>
        <v>0.87017312513200951</v>
      </c>
      <c r="AF281" s="304">
        <f>IFERROR(_xlfn.XLOOKUP($D281,'Modelling New'!$D:$D,'Modelling New'!$W:$W),"")</f>
        <v>0.2042099833979151</v>
      </c>
      <c r="AG281" s="304">
        <f>IFERROR(_xlfn.XLOOKUP($D281,'Modelling New'!$D:$D,'Modelling New'!$AE:$AE),"")</f>
        <v>0.995</v>
      </c>
      <c r="AH281" s="304">
        <f>IFERROR(_xlfn.XLOOKUP($D281,'Modelling New'!$D:$D,'Modelling New'!$AF:$AF),"")</f>
        <v>0.995</v>
      </c>
      <c r="AI281" s="295"/>
      <c r="AJ281" s="295"/>
      <c r="AK281" s="295"/>
      <c r="AL281" s="295"/>
      <c r="AM281" s="295"/>
      <c r="AN281" s="305"/>
      <c r="AO281" s="302"/>
      <c r="AP281" s="302"/>
      <c r="AQ281" s="302"/>
      <c r="AR281" s="294">
        <f>_xlfn.XLOOKUP($D281,'Modelling New'!$D:$D,'Modelling New'!$N:$N)</f>
        <v>135</v>
      </c>
      <c r="AS281" s="294" t="str">
        <f t="shared" si="28"/>
        <v/>
      </c>
    </row>
    <row r="282" spans="1:45">
      <c r="A282" s="293">
        <f t="shared" si="29"/>
        <v>46025</v>
      </c>
      <c r="B282" s="294">
        <f>YEAR(Daily_KPI[[#This Row],[Date]])+IF(MONTH(Daily_KPI[[#This Row],[Date]])&gt;=4,1,0)</f>
        <v>2026</v>
      </c>
      <c r="C282" s="295">
        <f>YEAR(Daily_KPI[[#This Row],[Date]])</f>
        <v>2026</v>
      </c>
      <c r="D282" s="296">
        <f>Daily_KPI[[#This Row],[Date]]-DAY(Daily_KPI[[#This Row],[Date]])+1</f>
        <v>46023</v>
      </c>
      <c r="E282" s="295">
        <f t="shared" si="25"/>
        <v>31</v>
      </c>
      <c r="F282" s="297" t="str">
        <f>IFERROR(_xlfn.XLOOKUP($A282,Input_Raw!$A:$A,Input_Raw!$AR:$AR),"")</f>
        <v/>
      </c>
      <c r="G282" s="298" t="str">
        <f>IFERROR(_xlfn.XLOOKUP($A282,Input_Raw!$A:$A,Input_Raw!$R:$R),"")</f>
        <v/>
      </c>
      <c r="H282" s="298"/>
      <c r="I282" s="298" t="str">
        <f>IFERROR(_xlfn.XLOOKUP($A282,Input_Raw!$A:$A,Input_Raw!$Q:$Q),"")</f>
        <v/>
      </c>
      <c r="J282" s="298"/>
      <c r="K282" s="298" t="str">
        <f>IFERROR(_xlfn.XLOOKUP($A282,Input_Raw!$A:$A,Input_Raw!S:S),"")</f>
        <v/>
      </c>
      <c r="L282" s="298" t="str">
        <f>IFERROR(_xlfn.XLOOKUP($A282,Input_Raw!$A:$A,Input_Raw!T:T),"")</f>
        <v/>
      </c>
      <c r="M282" s="298" t="str">
        <f>IFERROR(_xlfn.XLOOKUP($A282,Input_Raw!$A:$A,Input_Raw!W:W),"")</f>
        <v/>
      </c>
      <c r="N282" s="298" t="str">
        <f>IFERROR(_xlfn.XLOOKUP($A282,Input_Raw!$A:$A,Input_Raw!X:X),"")</f>
        <v/>
      </c>
      <c r="O282" s="299" t="str">
        <f>IFERROR(1-(SUMIF(Plant_BD!$B:$B,$A282,Plant_BD!$AL:$AL)/($AA282+SUMIF(Plant_BD!$B:$B,$A282,Plant_BD!$AL:$AL))),"")</f>
        <v/>
      </c>
      <c r="P282" s="299"/>
      <c r="Q282" s="300"/>
      <c r="R282" s="299" t="str">
        <f>IFERROR(1-(SUMIF(Grid_BD!$B:$B,$A282,Grid_BD!$V:$V)/($AA282+SUMIF(Grid_BD!$B:$B,$A282,Grid_BD!$V:$V))),"")</f>
        <v/>
      </c>
      <c r="S282" s="295"/>
      <c r="T282" s="300"/>
      <c r="U282" s="301" t="str">
        <f t="shared" si="26"/>
        <v/>
      </c>
      <c r="V282" s="301" t="str">
        <f>IFERROR(_xlfn.XLOOKUP($A282,Input_Raw!$A:$A,Input_Raw!$AX:$AX),"")</f>
        <v/>
      </c>
      <c r="W282" s="302" t="str">
        <f t="shared" si="27"/>
        <v/>
      </c>
      <c r="X282" s="294" t="str">
        <f>IFERROR(_xlfn.XLOOKUP($A282,Input_Raw!$A:$A,Input_Raw!$AA:$AA),"")</f>
        <v/>
      </c>
      <c r="Y282" s="294" t="str">
        <f>IFERROR(_xlfn.XLOOKUP($A282,Input_Raw!$A:$A,Input_Raw!$AS:$AS),"")</f>
        <v/>
      </c>
      <c r="Z282" s="294"/>
      <c r="AA282" s="294" t="str">
        <f>IFERROR(_xlfn.XLOOKUP($A282,Input_Raw!$A:$A,Input_Raw!$AT:$AT),"")</f>
        <v/>
      </c>
      <c r="AB282" s="294" t="str">
        <f>IFERROR(_xlfn.XLOOKUP($A282,Input_Raw!$A:$A,Input_Raw!$AU:$AU),"")</f>
        <v/>
      </c>
      <c r="AC282" s="303">
        <f>IFERROR(_xlfn.XLOOKUP($D282,'Modelling New'!$D:$D,'Modelling New'!P:P),"")</f>
        <v>5.6322580645161286</v>
      </c>
      <c r="AD282" s="294">
        <f>IFERROR(_xlfn.XLOOKUP($D282,'Modelling New'!$D:$D,'Modelling New'!T:T)*1000,"")</f>
        <v>661640.34620924492</v>
      </c>
      <c r="AE282" s="304">
        <f>IFERROR(_xlfn.XLOOKUP($D282,'Modelling New'!$D:$D,'Modelling New'!$O:$O),"")</f>
        <v>0.87017312513200951</v>
      </c>
      <c r="AF282" s="304">
        <f>IFERROR(_xlfn.XLOOKUP($D282,'Modelling New'!$D:$D,'Modelling New'!$W:$W),"")</f>
        <v>0.2042099833979151</v>
      </c>
      <c r="AG282" s="304">
        <f>IFERROR(_xlfn.XLOOKUP($D282,'Modelling New'!$D:$D,'Modelling New'!$AE:$AE),"")</f>
        <v>0.995</v>
      </c>
      <c r="AH282" s="304">
        <f>IFERROR(_xlfn.XLOOKUP($D282,'Modelling New'!$D:$D,'Modelling New'!$AF:$AF),"")</f>
        <v>0.995</v>
      </c>
      <c r="AI282" s="295"/>
      <c r="AJ282" s="295"/>
      <c r="AK282" s="295"/>
      <c r="AL282" s="295"/>
      <c r="AM282" s="295"/>
      <c r="AN282" s="305"/>
      <c r="AO282" s="302"/>
      <c r="AP282" s="302"/>
      <c r="AQ282" s="302"/>
      <c r="AR282" s="294">
        <f>_xlfn.XLOOKUP($D282,'Modelling New'!$D:$D,'Modelling New'!$N:$N)</f>
        <v>135</v>
      </c>
      <c r="AS282" s="294" t="str">
        <f t="shared" si="28"/>
        <v/>
      </c>
    </row>
    <row r="283" spans="1:45">
      <c r="A283" s="293">
        <f t="shared" si="29"/>
        <v>46026</v>
      </c>
      <c r="B283" s="294">
        <f>YEAR(Daily_KPI[[#This Row],[Date]])+IF(MONTH(Daily_KPI[[#This Row],[Date]])&gt;=4,1,0)</f>
        <v>2026</v>
      </c>
      <c r="C283" s="295">
        <f>YEAR(Daily_KPI[[#This Row],[Date]])</f>
        <v>2026</v>
      </c>
      <c r="D283" s="296">
        <f>Daily_KPI[[#This Row],[Date]]-DAY(Daily_KPI[[#This Row],[Date]])+1</f>
        <v>46023</v>
      </c>
      <c r="E283" s="295">
        <f t="shared" si="25"/>
        <v>31</v>
      </c>
      <c r="F283" s="297" t="str">
        <f>IFERROR(_xlfn.XLOOKUP($A283,Input_Raw!$A:$A,Input_Raw!$AR:$AR),"")</f>
        <v/>
      </c>
      <c r="G283" s="298" t="str">
        <f>IFERROR(_xlfn.XLOOKUP($A283,Input_Raw!$A:$A,Input_Raw!$R:$R),"")</f>
        <v/>
      </c>
      <c r="H283" s="298"/>
      <c r="I283" s="298" t="str">
        <f>IFERROR(_xlfn.XLOOKUP($A283,Input_Raw!$A:$A,Input_Raw!$Q:$Q),"")</f>
        <v/>
      </c>
      <c r="J283" s="298"/>
      <c r="K283" s="298" t="str">
        <f>IFERROR(_xlfn.XLOOKUP($A283,Input_Raw!$A:$A,Input_Raw!S:S),"")</f>
        <v/>
      </c>
      <c r="L283" s="298" t="str">
        <f>IFERROR(_xlfn.XLOOKUP($A283,Input_Raw!$A:$A,Input_Raw!T:T),"")</f>
        <v/>
      </c>
      <c r="M283" s="298" t="str">
        <f>IFERROR(_xlfn.XLOOKUP($A283,Input_Raw!$A:$A,Input_Raw!W:W),"")</f>
        <v/>
      </c>
      <c r="N283" s="298" t="str">
        <f>IFERROR(_xlfn.XLOOKUP($A283,Input_Raw!$A:$A,Input_Raw!X:X),"")</f>
        <v/>
      </c>
      <c r="O283" s="299" t="str">
        <f>IFERROR(1-(SUMIF(Plant_BD!$B:$B,$A283,Plant_BD!$AL:$AL)/($AA283+SUMIF(Plant_BD!$B:$B,$A283,Plant_BD!$AL:$AL))),"")</f>
        <v/>
      </c>
      <c r="P283" s="299"/>
      <c r="Q283" s="300"/>
      <c r="R283" s="299" t="str">
        <f>IFERROR(1-(SUMIF(Grid_BD!$B:$B,$A283,Grid_BD!$V:$V)/($AA283+SUMIF(Grid_BD!$B:$B,$A283,Grid_BD!$V:$V))),"")</f>
        <v/>
      </c>
      <c r="S283" s="295"/>
      <c r="T283" s="300"/>
      <c r="U283" s="301" t="str">
        <f t="shared" si="26"/>
        <v/>
      </c>
      <c r="V283" s="301" t="str">
        <f>IFERROR(_xlfn.XLOOKUP($A283,Input_Raw!$A:$A,Input_Raw!$AX:$AX),"")</f>
        <v/>
      </c>
      <c r="W283" s="302" t="str">
        <f t="shared" si="27"/>
        <v/>
      </c>
      <c r="X283" s="294" t="str">
        <f>IFERROR(_xlfn.XLOOKUP($A283,Input_Raw!$A:$A,Input_Raw!$AA:$AA),"")</f>
        <v/>
      </c>
      <c r="Y283" s="294" t="str">
        <f>IFERROR(_xlfn.XLOOKUP($A283,Input_Raw!$A:$A,Input_Raw!$AS:$AS),"")</f>
        <v/>
      </c>
      <c r="Z283" s="294"/>
      <c r="AA283" s="294" t="str">
        <f>IFERROR(_xlfn.XLOOKUP($A283,Input_Raw!$A:$A,Input_Raw!$AT:$AT),"")</f>
        <v/>
      </c>
      <c r="AB283" s="294" t="str">
        <f>IFERROR(_xlfn.XLOOKUP($A283,Input_Raw!$A:$A,Input_Raw!$AU:$AU),"")</f>
        <v/>
      </c>
      <c r="AC283" s="303">
        <f>IFERROR(_xlfn.XLOOKUP($D283,'Modelling New'!$D:$D,'Modelling New'!P:P),"")</f>
        <v>5.6322580645161286</v>
      </c>
      <c r="AD283" s="294">
        <f>IFERROR(_xlfn.XLOOKUP($D283,'Modelling New'!$D:$D,'Modelling New'!T:T)*1000,"")</f>
        <v>661640.34620924492</v>
      </c>
      <c r="AE283" s="304">
        <f>IFERROR(_xlfn.XLOOKUP($D283,'Modelling New'!$D:$D,'Modelling New'!$O:$O),"")</f>
        <v>0.87017312513200951</v>
      </c>
      <c r="AF283" s="304">
        <f>IFERROR(_xlfn.XLOOKUP($D283,'Modelling New'!$D:$D,'Modelling New'!$W:$W),"")</f>
        <v>0.2042099833979151</v>
      </c>
      <c r="AG283" s="304">
        <f>IFERROR(_xlfn.XLOOKUP($D283,'Modelling New'!$D:$D,'Modelling New'!$AE:$AE),"")</f>
        <v>0.995</v>
      </c>
      <c r="AH283" s="304">
        <f>IFERROR(_xlfn.XLOOKUP($D283,'Modelling New'!$D:$D,'Modelling New'!$AF:$AF),"")</f>
        <v>0.995</v>
      </c>
      <c r="AI283" s="295"/>
      <c r="AJ283" s="295"/>
      <c r="AK283" s="295"/>
      <c r="AL283" s="295"/>
      <c r="AM283" s="295"/>
      <c r="AN283" s="305"/>
      <c r="AO283" s="302"/>
      <c r="AP283" s="302"/>
      <c r="AQ283" s="302"/>
      <c r="AR283" s="294">
        <f>_xlfn.XLOOKUP($D283,'Modelling New'!$D:$D,'Modelling New'!$N:$N)</f>
        <v>135</v>
      </c>
      <c r="AS283" s="294" t="str">
        <f t="shared" si="28"/>
        <v/>
      </c>
    </row>
    <row r="284" spans="1:45">
      <c r="A284" s="293">
        <f t="shared" si="29"/>
        <v>46027</v>
      </c>
      <c r="B284" s="294">
        <f>YEAR(Daily_KPI[[#This Row],[Date]])+IF(MONTH(Daily_KPI[[#This Row],[Date]])&gt;=4,1,0)</f>
        <v>2026</v>
      </c>
      <c r="C284" s="295">
        <f>YEAR(Daily_KPI[[#This Row],[Date]])</f>
        <v>2026</v>
      </c>
      <c r="D284" s="296">
        <f>Daily_KPI[[#This Row],[Date]]-DAY(Daily_KPI[[#This Row],[Date]])+1</f>
        <v>46023</v>
      </c>
      <c r="E284" s="295">
        <f t="shared" si="25"/>
        <v>31</v>
      </c>
      <c r="F284" s="297" t="str">
        <f>IFERROR(_xlfn.XLOOKUP($A284,Input_Raw!$A:$A,Input_Raw!$AR:$AR),"")</f>
        <v/>
      </c>
      <c r="G284" s="298" t="str">
        <f>IFERROR(_xlfn.XLOOKUP($A284,Input_Raw!$A:$A,Input_Raw!$R:$R),"")</f>
        <v/>
      </c>
      <c r="H284" s="298"/>
      <c r="I284" s="298" t="str">
        <f>IFERROR(_xlfn.XLOOKUP($A284,Input_Raw!$A:$A,Input_Raw!$Q:$Q),"")</f>
        <v/>
      </c>
      <c r="J284" s="298"/>
      <c r="K284" s="298" t="str">
        <f>IFERROR(_xlfn.XLOOKUP($A284,Input_Raw!$A:$A,Input_Raw!S:S),"")</f>
        <v/>
      </c>
      <c r="L284" s="298" t="str">
        <f>IFERROR(_xlfn.XLOOKUP($A284,Input_Raw!$A:$A,Input_Raw!T:T),"")</f>
        <v/>
      </c>
      <c r="M284" s="298" t="str">
        <f>IFERROR(_xlfn.XLOOKUP($A284,Input_Raw!$A:$A,Input_Raw!W:W),"")</f>
        <v/>
      </c>
      <c r="N284" s="298" t="str">
        <f>IFERROR(_xlfn.XLOOKUP($A284,Input_Raw!$A:$A,Input_Raw!X:X),"")</f>
        <v/>
      </c>
      <c r="O284" s="299" t="str">
        <f>IFERROR(1-(SUMIF(Plant_BD!$B:$B,$A284,Plant_BD!$AL:$AL)/($AA284+SUMIF(Plant_BD!$B:$B,$A284,Plant_BD!$AL:$AL))),"")</f>
        <v/>
      </c>
      <c r="P284" s="299"/>
      <c r="Q284" s="300"/>
      <c r="R284" s="299" t="str">
        <f>IFERROR(1-(SUMIF(Grid_BD!$B:$B,$A284,Grid_BD!$V:$V)/($AA284+SUMIF(Grid_BD!$B:$B,$A284,Grid_BD!$V:$V))),"")</f>
        <v/>
      </c>
      <c r="S284" s="295"/>
      <c r="T284" s="300"/>
      <c r="U284" s="301" t="str">
        <f t="shared" si="26"/>
        <v/>
      </c>
      <c r="V284" s="301" t="str">
        <f>IFERROR(_xlfn.XLOOKUP($A284,Input_Raw!$A:$A,Input_Raw!$AX:$AX),"")</f>
        <v/>
      </c>
      <c r="W284" s="302" t="str">
        <f t="shared" si="27"/>
        <v/>
      </c>
      <c r="X284" s="294" t="str">
        <f>IFERROR(_xlfn.XLOOKUP($A284,Input_Raw!$A:$A,Input_Raw!$AA:$AA),"")</f>
        <v/>
      </c>
      <c r="Y284" s="294" t="str">
        <f>IFERROR(_xlfn.XLOOKUP($A284,Input_Raw!$A:$A,Input_Raw!$AS:$AS),"")</f>
        <v/>
      </c>
      <c r="Z284" s="294"/>
      <c r="AA284" s="294" t="str">
        <f>IFERROR(_xlfn.XLOOKUP($A284,Input_Raw!$A:$A,Input_Raw!$AT:$AT),"")</f>
        <v/>
      </c>
      <c r="AB284" s="294" t="str">
        <f>IFERROR(_xlfn.XLOOKUP($A284,Input_Raw!$A:$A,Input_Raw!$AU:$AU),"")</f>
        <v/>
      </c>
      <c r="AC284" s="303">
        <f>IFERROR(_xlfn.XLOOKUP($D284,'Modelling New'!$D:$D,'Modelling New'!P:P),"")</f>
        <v>5.6322580645161286</v>
      </c>
      <c r="AD284" s="294">
        <f>IFERROR(_xlfn.XLOOKUP($D284,'Modelling New'!$D:$D,'Modelling New'!T:T)*1000,"")</f>
        <v>661640.34620924492</v>
      </c>
      <c r="AE284" s="304">
        <f>IFERROR(_xlfn.XLOOKUP($D284,'Modelling New'!$D:$D,'Modelling New'!$O:$O),"")</f>
        <v>0.87017312513200951</v>
      </c>
      <c r="AF284" s="304">
        <f>IFERROR(_xlfn.XLOOKUP($D284,'Modelling New'!$D:$D,'Modelling New'!$W:$W),"")</f>
        <v>0.2042099833979151</v>
      </c>
      <c r="AG284" s="304">
        <f>IFERROR(_xlfn.XLOOKUP($D284,'Modelling New'!$D:$D,'Modelling New'!$AE:$AE),"")</f>
        <v>0.995</v>
      </c>
      <c r="AH284" s="304">
        <f>IFERROR(_xlfn.XLOOKUP($D284,'Modelling New'!$D:$D,'Modelling New'!$AF:$AF),"")</f>
        <v>0.995</v>
      </c>
      <c r="AI284" s="295"/>
      <c r="AJ284" s="295"/>
      <c r="AK284" s="295"/>
      <c r="AL284" s="295"/>
      <c r="AM284" s="295"/>
      <c r="AN284" s="305"/>
      <c r="AO284" s="302"/>
      <c r="AP284" s="302"/>
      <c r="AQ284" s="302"/>
      <c r="AR284" s="294">
        <f>_xlfn.XLOOKUP($D284,'Modelling New'!$D:$D,'Modelling New'!$N:$N)</f>
        <v>135</v>
      </c>
      <c r="AS284" s="294" t="str">
        <f t="shared" si="28"/>
        <v/>
      </c>
    </row>
    <row r="285" spans="1:45">
      <c r="A285" s="293">
        <f t="shared" si="29"/>
        <v>46028</v>
      </c>
      <c r="B285" s="294">
        <f>YEAR(Daily_KPI[[#This Row],[Date]])+IF(MONTH(Daily_KPI[[#This Row],[Date]])&gt;=4,1,0)</f>
        <v>2026</v>
      </c>
      <c r="C285" s="295">
        <f>YEAR(Daily_KPI[[#This Row],[Date]])</f>
        <v>2026</v>
      </c>
      <c r="D285" s="296">
        <f>Daily_KPI[[#This Row],[Date]]-DAY(Daily_KPI[[#This Row],[Date]])+1</f>
        <v>46023</v>
      </c>
      <c r="E285" s="295">
        <f t="shared" si="25"/>
        <v>31</v>
      </c>
      <c r="F285" s="297" t="str">
        <f>IFERROR(_xlfn.XLOOKUP($A285,Input_Raw!$A:$A,Input_Raw!$AR:$AR),"")</f>
        <v/>
      </c>
      <c r="G285" s="298" t="str">
        <f>IFERROR(_xlfn.XLOOKUP($A285,Input_Raw!$A:$A,Input_Raw!$R:$R),"")</f>
        <v/>
      </c>
      <c r="H285" s="298"/>
      <c r="I285" s="298" t="str">
        <f>IFERROR(_xlfn.XLOOKUP($A285,Input_Raw!$A:$A,Input_Raw!$Q:$Q),"")</f>
        <v/>
      </c>
      <c r="J285" s="298"/>
      <c r="K285" s="298" t="str">
        <f>IFERROR(_xlfn.XLOOKUP($A285,Input_Raw!$A:$A,Input_Raw!S:S),"")</f>
        <v/>
      </c>
      <c r="L285" s="298" t="str">
        <f>IFERROR(_xlfn.XLOOKUP($A285,Input_Raw!$A:$A,Input_Raw!T:T),"")</f>
        <v/>
      </c>
      <c r="M285" s="298" t="str">
        <f>IFERROR(_xlfn.XLOOKUP($A285,Input_Raw!$A:$A,Input_Raw!W:W),"")</f>
        <v/>
      </c>
      <c r="N285" s="298" t="str">
        <f>IFERROR(_xlfn.XLOOKUP($A285,Input_Raw!$A:$A,Input_Raw!X:X),"")</f>
        <v/>
      </c>
      <c r="O285" s="299" t="str">
        <f>IFERROR(1-(SUMIF(Plant_BD!$B:$B,$A285,Plant_BD!$AL:$AL)/($AA285+SUMIF(Plant_BD!$B:$B,$A285,Plant_BD!$AL:$AL))),"")</f>
        <v/>
      </c>
      <c r="P285" s="299"/>
      <c r="Q285" s="300"/>
      <c r="R285" s="299" t="str">
        <f>IFERROR(1-(SUMIF(Grid_BD!$B:$B,$A285,Grid_BD!$V:$V)/($AA285+SUMIF(Grid_BD!$B:$B,$A285,Grid_BD!$V:$V))),"")</f>
        <v/>
      </c>
      <c r="S285" s="295"/>
      <c r="T285" s="300"/>
      <c r="U285" s="301" t="str">
        <f t="shared" si="26"/>
        <v/>
      </c>
      <c r="V285" s="301" t="str">
        <f>IFERROR(_xlfn.XLOOKUP($A285,Input_Raw!$A:$A,Input_Raw!$AX:$AX),"")</f>
        <v/>
      </c>
      <c r="W285" s="302" t="str">
        <f t="shared" si="27"/>
        <v/>
      </c>
      <c r="X285" s="294" t="str">
        <f>IFERROR(_xlfn.XLOOKUP($A285,Input_Raw!$A:$A,Input_Raw!$AA:$AA),"")</f>
        <v/>
      </c>
      <c r="Y285" s="294" t="str">
        <f>IFERROR(_xlfn.XLOOKUP($A285,Input_Raw!$A:$A,Input_Raw!$AS:$AS),"")</f>
        <v/>
      </c>
      <c r="Z285" s="294"/>
      <c r="AA285" s="294" t="str">
        <f>IFERROR(_xlfn.XLOOKUP($A285,Input_Raw!$A:$A,Input_Raw!$AT:$AT),"")</f>
        <v/>
      </c>
      <c r="AB285" s="294" t="str">
        <f>IFERROR(_xlfn.XLOOKUP($A285,Input_Raw!$A:$A,Input_Raw!$AU:$AU),"")</f>
        <v/>
      </c>
      <c r="AC285" s="303">
        <f>IFERROR(_xlfn.XLOOKUP($D285,'Modelling New'!$D:$D,'Modelling New'!P:P),"")</f>
        <v>5.6322580645161286</v>
      </c>
      <c r="AD285" s="294">
        <f>IFERROR(_xlfn.XLOOKUP($D285,'Modelling New'!$D:$D,'Modelling New'!T:T)*1000,"")</f>
        <v>661640.34620924492</v>
      </c>
      <c r="AE285" s="304">
        <f>IFERROR(_xlfn.XLOOKUP($D285,'Modelling New'!$D:$D,'Modelling New'!$O:$O),"")</f>
        <v>0.87017312513200951</v>
      </c>
      <c r="AF285" s="304">
        <f>IFERROR(_xlfn.XLOOKUP($D285,'Modelling New'!$D:$D,'Modelling New'!$W:$W),"")</f>
        <v>0.2042099833979151</v>
      </c>
      <c r="AG285" s="304">
        <f>IFERROR(_xlfn.XLOOKUP($D285,'Modelling New'!$D:$D,'Modelling New'!$AE:$AE),"")</f>
        <v>0.995</v>
      </c>
      <c r="AH285" s="304">
        <f>IFERROR(_xlfn.XLOOKUP($D285,'Modelling New'!$D:$D,'Modelling New'!$AF:$AF),"")</f>
        <v>0.995</v>
      </c>
      <c r="AI285" s="295"/>
      <c r="AJ285" s="295"/>
      <c r="AK285" s="295"/>
      <c r="AL285" s="295"/>
      <c r="AM285" s="295"/>
      <c r="AN285" s="305"/>
      <c r="AO285" s="302"/>
      <c r="AP285" s="302"/>
      <c r="AQ285" s="302"/>
      <c r="AR285" s="294">
        <f>_xlfn.XLOOKUP($D285,'Modelling New'!$D:$D,'Modelling New'!$N:$N)</f>
        <v>135</v>
      </c>
      <c r="AS285" s="294" t="str">
        <f t="shared" si="28"/>
        <v/>
      </c>
    </row>
    <row r="286" spans="1:45">
      <c r="A286" s="293">
        <f t="shared" si="29"/>
        <v>46029</v>
      </c>
      <c r="B286" s="294">
        <f>YEAR(Daily_KPI[[#This Row],[Date]])+IF(MONTH(Daily_KPI[[#This Row],[Date]])&gt;=4,1,0)</f>
        <v>2026</v>
      </c>
      <c r="C286" s="295">
        <f>YEAR(Daily_KPI[[#This Row],[Date]])</f>
        <v>2026</v>
      </c>
      <c r="D286" s="296">
        <f>Daily_KPI[[#This Row],[Date]]-DAY(Daily_KPI[[#This Row],[Date]])+1</f>
        <v>46023</v>
      </c>
      <c r="E286" s="295">
        <f t="shared" si="25"/>
        <v>31</v>
      </c>
      <c r="F286" s="297" t="str">
        <f>IFERROR(_xlfn.XLOOKUP($A286,Input_Raw!$A:$A,Input_Raw!$AR:$AR),"")</f>
        <v/>
      </c>
      <c r="G286" s="298" t="str">
        <f>IFERROR(_xlfn.XLOOKUP($A286,Input_Raw!$A:$A,Input_Raw!$R:$R),"")</f>
        <v/>
      </c>
      <c r="H286" s="298"/>
      <c r="I286" s="298" t="str">
        <f>IFERROR(_xlfn.XLOOKUP($A286,Input_Raw!$A:$A,Input_Raw!$Q:$Q),"")</f>
        <v/>
      </c>
      <c r="J286" s="298"/>
      <c r="K286" s="298" t="str">
        <f>IFERROR(_xlfn.XLOOKUP($A286,Input_Raw!$A:$A,Input_Raw!S:S),"")</f>
        <v/>
      </c>
      <c r="L286" s="298" t="str">
        <f>IFERROR(_xlfn.XLOOKUP($A286,Input_Raw!$A:$A,Input_Raw!T:T),"")</f>
        <v/>
      </c>
      <c r="M286" s="298" t="str">
        <f>IFERROR(_xlfn.XLOOKUP($A286,Input_Raw!$A:$A,Input_Raw!W:W),"")</f>
        <v/>
      </c>
      <c r="N286" s="298" t="str">
        <f>IFERROR(_xlfn.XLOOKUP($A286,Input_Raw!$A:$A,Input_Raw!X:X),"")</f>
        <v/>
      </c>
      <c r="O286" s="299" t="str">
        <f>IFERROR(1-(SUMIF(Plant_BD!$B:$B,$A286,Plant_BD!$AL:$AL)/($AA286+SUMIF(Plant_BD!$B:$B,$A286,Plant_BD!$AL:$AL))),"")</f>
        <v/>
      </c>
      <c r="P286" s="299"/>
      <c r="Q286" s="300"/>
      <c r="R286" s="299" t="str">
        <f>IFERROR(1-(SUMIF(Grid_BD!$B:$B,$A286,Grid_BD!$V:$V)/($AA286+SUMIF(Grid_BD!$B:$B,$A286,Grid_BD!$V:$V))),"")</f>
        <v/>
      </c>
      <c r="S286" s="295"/>
      <c r="T286" s="300"/>
      <c r="U286" s="301" t="str">
        <f t="shared" si="26"/>
        <v/>
      </c>
      <c r="V286" s="301" t="str">
        <f>IFERROR(_xlfn.XLOOKUP($A286,Input_Raw!$A:$A,Input_Raw!$AX:$AX),"")</f>
        <v/>
      </c>
      <c r="W286" s="302" t="str">
        <f t="shared" si="27"/>
        <v/>
      </c>
      <c r="X286" s="294" t="str">
        <f>IFERROR(_xlfn.XLOOKUP($A286,Input_Raw!$A:$A,Input_Raw!$AA:$AA),"")</f>
        <v/>
      </c>
      <c r="Y286" s="294" t="str">
        <f>IFERROR(_xlfn.XLOOKUP($A286,Input_Raw!$A:$A,Input_Raw!$AS:$AS),"")</f>
        <v/>
      </c>
      <c r="Z286" s="294"/>
      <c r="AA286" s="294" t="str">
        <f>IFERROR(_xlfn.XLOOKUP($A286,Input_Raw!$A:$A,Input_Raw!$AT:$AT),"")</f>
        <v/>
      </c>
      <c r="AB286" s="294" t="str">
        <f>IFERROR(_xlfn.XLOOKUP($A286,Input_Raw!$A:$A,Input_Raw!$AU:$AU),"")</f>
        <v/>
      </c>
      <c r="AC286" s="303">
        <f>IFERROR(_xlfn.XLOOKUP($D286,'Modelling New'!$D:$D,'Modelling New'!P:P),"")</f>
        <v>5.6322580645161286</v>
      </c>
      <c r="AD286" s="294">
        <f>IFERROR(_xlfn.XLOOKUP($D286,'Modelling New'!$D:$D,'Modelling New'!T:T)*1000,"")</f>
        <v>661640.34620924492</v>
      </c>
      <c r="AE286" s="304">
        <f>IFERROR(_xlfn.XLOOKUP($D286,'Modelling New'!$D:$D,'Modelling New'!$O:$O),"")</f>
        <v>0.87017312513200951</v>
      </c>
      <c r="AF286" s="304">
        <f>IFERROR(_xlfn.XLOOKUP($D286,'Modelling New'!$D:$D,'Modelling New'!$W:$W),"")</f>
        <v>0.2042099833979151</v>
      </c>
      <c r="AG286" s="304">
        <f>IFERROR(_xlfn.XLOOKUP($D286,'Modelling New'!$D:$D,'Modelling New'!$AE:$AE),"")</f>
        <v>0.995</v>
      </c>
      <c r="AH286" s="304">
        <f>IFERROR(_xlfn.XLOOKUP($D286,'Modelling New'!$D:$D,'Modelling New'!$AF:$AF),"")</f>
        <v>0.995</v>
      </c>
      <c r="AI286" s="295"/>
      <c r="AJ286" s="295"/>
      <c r="AK286" s="295"/>
      <c r="AL286" s="295"/>
      <c r="AM286" s="295"/>
      <c r="AN286" s="305"/>
      <c r="AO286" s="302"/>
      <c r="AP286" s="302"/>
      <c r="AQ286" s="302"/>
      <c r="AR286" s="294">
        <f>_xlfn.XLOOKUP($D286,'Modelling New'!$D:$D,'Modelling New'!$N:$N)</f>
        <v>135</v>
      </c>
      <c r="AS286" s="294" t="str">
        <f t="shared" si="28"/>
        <v/>
      </c>
    </row>
    <row r="287" spans="1:45">
      <c r="A287" s="293">
        <f t="shared" si="29"/>
        <v>46030</v>
      </c>
      <c r="B287" s="294">
        <f>YEAR(Daily_KPI[[#This Row],[Date]])+IF(MONTH(Daily_KPI[[#This Row],[Date]])&gt;=4,1,0)</f>
        <v>2026</v>
      </c>
      <c r="C287" s="295">
        <f>YEAR(Daily_KPI[[#This Row],[Date]])</f>
        <v>2026</v>
      </c>
      <c r="D287" s="296">
        <f>Daily_KPI[[#This Row],[Date]]-DAY(Daily_KPI[[#This Row],[Date]])+1</f>
        <v>46023</v>
      </c>
      <c r="E287" s="295">
        <f t="shared" si="25"/>
        <v>31</v>
      </c>
      <c r="F287" s="297" t="str">
        <f>IFERROR(_xlfn.XLOOKUP($A287,Input_Raw!$A:$A,Input_Raw!$AR:$AR),"")</f>
        <v/>
      </c>
      <c r="G287" s="298" t="str">
        <f>IFERROR(_xlfn.XLOOKUP($A287,Input_Raw!$A:$A,Input_Raw!$R:$R),"")</f>
        <v/>
      </c>
      <c r="H287" s="298"/>
      <c r="I287" s="298" t="str">
        <f>IFERROR(_xlfn.XLOOKUP($A287,Input_Raw!$A:$A,Input_Raw!$Q:$Q),"")</f>
        <v/>
      </c>
      <c r="J287" s="298"/>
      <c r="K287" s="298" t="str">
        <f>IFERROR(_xlfn.XLOOKUP($A287,Input_Raw!$A:$A,Input_Raw!S:S),"")</f>
        <v/>
      </c>
      <c r="L287" s="298" t="str">
        <f>IFERROR(_xlfn.XLOOKUP($A287,Input_Raw!$A:$A,Input_Raw!T:T),"")</f>
        <v/>
      </c>
      <c r="M287" s="298" t="str">
        <f>IFERROR(_xlfn.XLOOKUP($A287,Input_Raw!$A:$A,Input_Raw!W:W),"")</f>
        <v/>
      </c>
      <c r="N287" s="298" t="str">
        <f>IFERROR(_xlfn.XLOOKUP($A287,Input_Raw!$A:$A,Input_Raw!X:X),"")</f>
        <v/>
      </c>
      <c r="O287" s="299" t="str">
        <f>IFERROR(1-(SUMIF(Plant_BD!$B:$B,$A287,Plant_BD!$AL:$AL)/($AA287+SUMIF(Plant_BD!$B:$B,$A287,Plant_BD!$AL:$AL))),"")</f>
        <v/>
      </c>
      <c r="P287" s="299"/>
      <c r="Q287" s="300"/>
      <c r="R287" s="299" t="str">
        <f>IFERROR(1-(SUMIF(Grid_BD!$B:$B,$A287,Grid_BD!$V:$V)/($AA287+SUMIF(Grid_BD!$B:$B,$A287,Grid_BD!$V:$V))),"")</f>
        <v/>
      </c>
      <c r="S287" s="295"/>
      <c r="T287" s="300"/>
      <c r="U287" s="301" t="str">
        <f t="shared" si="26"/>
        <v/>
      </c>
      <c r="V287" s="301" t="str">
        <f>IFERROR(_xlfn.XLOOKUP($A287,Input_Raw!$A:$A,Input_Raw!$AX:$AX),"")</f>
        <v/>
      </c>
      <c r="W287" s="302" t="str">
        <f t="shared" si="27"/>
        <v/>
      </c>
      <c r="X287" s="294" t="str">
        <f>IFERROR(_xlfn.XLOOKUP($A287,Input_Raw!$A:$A,Input_Raw!$AA:$AA),"")</f>
        <v/>
      </c>
      <c r="Y287" s="294" t="str">
        <f>IFERROR(_xlfn.XLOOKUP($A287,Input_Raw!$A:$A,Input_Raw!$AS:$AS),"")</f>
        <v/>
      </c>
      <c r="Z287" s="294"/>
      <c r="AA287" s="294" t="str">
        <f>IFERROR(_xlfn.XLOOKUP($A287,Input_Raw!$A:$A,Input_Raw!$AT:$AT),"")</f>
        <v/>
      </c>
      <c r="AB287" s="294" t="str">
        <f>IFERROR(_xlfn.XLOOKUP($A287,Input_Raw!$A:$A,Input_Raw!$AU:$AU),"")</f>
        <v/>
      </c>
      <c r="AC287" s="303">
        <f>IFERROR(_xlfn.XLOOKUP($D287,'Modelling New'!$D:$D,'Modelling New'!P:P),"")</f>
        <v>5.6322580645161286</v>
      </c>
      <c r="AD287" s="294">
        <f>IFERROR(_xlfn.XLOOKUP($D287,'Modelling New'!$D:$D,'Modelling New'!T:T)*1000,"")</f>
        <v>661640.34620924492</v>
      </c>
      <c r="AE287" s="304">
        <f>IFERROR(_xlfn.XLOOKUP($D287,'Modelling New'!$D:$D,'Modelling New'!$O:$O),"")</f>
        <v>0.87017312513200951</v>
      </c>
      <c r="AF287" s="304">
        <f>IFERROR(_xlfn.XLOOKUP($D287,'Modelling New'!$D:$D,'Modelling New'!$W:$W),"")</f>
        <v>0.2042099833979151</v>
      </c>
      <c r="AG287" s="304">
        <f>IFERROR(_xlfn.XLOOKUP($D287,'Modelling New'!$D:$D,'Modelling New'!$AE:$AE),"")</f>
        <v>0.995</v>
      </c>
      <c r="AH287" s="304">
        <f>IFERROR(_xlfn.XLOOKUP($D287,'Modelling New'!$D:$D,'Modelling New'!$AF:$AF),"")</f>
        <v>0.995</v>
      </c>
      <c r="AI287" s="295"/>
      <c r="AJ287" s="295"/>
      <c r="AK287" s="295"/>
      <c r="AL287" s="295"/>
      <c r="AM287" s="295"/>
      <c r="AN287" s="305"/>
      <c r="AO287" s="302"/>
      <c r="AP287" s="302"/>
      <c r="AQ287" s="302"/>
      <c r="AR287" s="294">
        <f>_xlfn.XLOOKUP($D287,'Modelling New'!$D:$D,'Modelling New'!$N:$N)</f>
        <v>135</v>
      </c>
      <c r="AS287" s="294" t="str">
        <f t="shared" si="28"/>
        <v/>
      </c>
    </row>
    <row r="288" spans="1:45">
      <c r="A288" s="293">
        <f t="shared" si="29"/>
        <v>46031</v>
      </c>
      <c r="B288" s="294">
        <f>YEAR(Daily_KPI[[#This Row],[Date]])+IF(MONTH(Daily_KPI[[#This Row],[Date]])&gt;=4,1,0)</f>
        <v>2026</v>
      </c>
      <c r="C288" s="295">
        <f>YEAR(Daily_KPI[[#This Row],[Date]])</f>
        <v>2026</v>
      </c>
      <c r="D288" s="296">
        <f>Daily_KPI[[#This Row],[Date]]-DAY(Daily_KPI[[#This Row],[Date]])+1</f>
        <v>46023</v>
      </c>
      <c r="E288" s="295">
        <f t="shared" si="25"/>
        <v>31</v>
      </c>
      <c r="F288" s="297" t="str">
        <f>IFERROR(_xlfn.XLOOKUP($A288,Input_Raw!$A:$A,Input_Raw!$AR:$AR),"")</f>
        <v/>
      </c>
      <c r="G288" s="298" t="str">
        <f>IFERROR(_xlfn.XLOOKUP($A288,Input_Raw!$A:$A,Input_Raw!$R:$R),"")</f>
        <v/>
      </c>
      <c r="H288" s="298"/>
      <c r="I288" s="298" t="str">
        <f>IFERROR(_xlfn.XLOOKUP($A288,Input_Raw!$A:$A,Input_Raw!$Q:$Q),"")</f>
        <v/>
      </c>
      <c r="J288" s="298"/>
      <c r="K288" s="298" t="str">
        <f>IFERROR(_xlfn.XLOOKUP($A288,Input_Raw!$A:$A,Input_Raw!S:S),"")</f>
        <v/>
      </c>
      <c r="L288" s="298" t="str">
        <f>IFERROR(_xlfn.XLOOKUP($A288,Input_Raw!$A:$A,Input_Raw!T:T),"")</f>
        <v/>
      </c>
      <c r="M288" s="298" t="str">
        <f>IFERROR(_xlfn.XLOOKUP($A288,Input_Raw!$A:$A,Input_Raw!W:W),"")</f>
        <v/>
      </c>
      <c r="N288" s="298" t="str">
        <f>IFERROR(_xlfn.XLOOKUP($A288,Input_Raw!$A:$A,Input_Raw!X:X),"")</f>
        <v/>
      </c>
      <c r="O288" s="299" t="str">
        <f>IFERROR(1-(SUMIF(Plant_BD!$B:$B,$A288,Plant_BD!$AL:$AL)/($AA288+SUMIF(Plant_BD!$B:$B,$A288,Plant_BD!$AL:$AL))),"")</f>
        <v/>
      </c>
      <c r="P288" s="299"/>
      <c r="Q288" s="300"/>
      <c r="R288" s="299" t="str">
        <f>IFERROR(1-(SUMIF(Grid_BD!$B:$B,$A288,Grid_BD!$V:$V)/($AA288+SUMIF(Grid_BD!$B:$B,$A288,Grid_BD!$V:$V))),"")</f>
        <v/>
      </c>
      <c r="S288" s="295"/>
      <c r="T288" s="300"/>
      <c r="U288" s="301" t="str">
        <f t="shared" si="26"/>
        <v/>
      </c>
      <c r="V288" s="301" t="str">
        <f>IFERROR(_xlfn.XLOOKUP($A288,Input_Raw!$A:$A,Input_Raw!$AX:$AX),"")</f>
        <v/>
      </c>
      <c r="W288" s="302" t="str">
        <f t="shared" si="27"/>
        <v/>
      </c>
      <c r="X288" s="294" t="str">
        <f>IFERROR(_xlfn.XLOOKUP($A288,Input_Raw!$A:$A,Input_Raw!$AA:$AA),"")</f>
        <v/>
      </c>
      <c r="Y288" s="294" t="str">
        <f>IFERROR(_xlfn.XLOOKUP($A288,Input_Raw!$A:$A,Input_Raw!$AS:$AS),"")</f>
        <v/>
      </c>
      <c r="Z288" s="294"/>
      <c r="AA288" s="294" t="str">
        <f>IFERROR(_xlfn.XLOOKUP($A288,Input_Raw!$A:$A,Input_Raw!$AT:$AT),"")</f>
        <v/>
      </c>
      <c r="AB288" s="294" t="str">
        <f>IFERROR(_xlfn.XLOOKUP($A288,Input_Raw!$A:$A,Input_Raw!$AU:$AU),"")</f>
        <v/>
      </c>
      <c r="AC288" s="303">
        <f>IFERROR(_xlfn.XLOOKUP($D288,'Modelling New'!$D:$D,'Modelling New'!P:P),"")</f>
        <v>5.6322580645161286</v>
      </c>
      <c r="AD288" s="294">
        <f>IFERROR(_xlfn.XLOOKUP($D288,'Modelling New'!$D:$D,'Modelling New'!T:T)*1000,"")</f>
        <v>661640.34620924492</v>
      </c>
      <c r="AE288" s="304">
        <f>IFERROR(_xlfn.XLOOKUP($D288,'Modelling New'!$D:$D,'Modelling New'!$O:$O),"")</f>
        <v>0.87017312513200951</v>
      </c>
      <c r="AF288" s="304">
        <f>IFERROR(_xlfn.XLOOKUP($D288,'Modelling New'!$D:$D,'Modelling New'!$W:$W),"")</f>
        <v>0.2042099833979151</v>
      </c>
      <c r="AG288" s="304">
        <f>IFERROR(_xlfn.XLOOKUP($D288,'Modelling New'!$D:$D,'Modelling New'!$AE:$AE),"")</f>
        <v>0.995</v>
      </c>
      <c r="AH288" s="304">
        <f>IFERROR(_xlfn.XLOOKUP($D288,'Modelling New'!$D:$D,'Modelling New'!$AF:$AF),"")</f>
        <v>0.995</v>
      </c>
      <c r="AI288" s="295"/>
      <c r="AJ288" s="295"/>
      <c r="AK288" s="295"/>
      <c r="AL288" s="295"/>
      <c r="AM288" s="295"/>
      <c r="AN288" s="305"/>
      <c r="AO288" s="302"/>
      <c r="AP288" s="302"/>
      <c r="AQ288" s="302"/>
      <c r="AR288" s="294">
        <f>_xlfn.XLOOKUP($D288,'Modelling New'!$D:$D,'Modelling New'!$N:$N)</f>
        <v>135</v>
      </c>
      <c r="AS288" s="294" t="str">
        <f t="shared" si="28"/>
        <v/>
      </c>
    </row>
    <row r="289" spans="1:45">
      <c r="A289" s="293">
        <f t="shared" si="29"/>
        <v>46032</v>
      </c>
      <c r="B289" s="294">
        <f>YEAR(Daily_KPI[[#This Row],[Date]])+IF(MONTH(Daily_KPI[[#This Row],[Date]])&gt;=4,1,0)</f>
        <v>2026</v>
      </c>
      <c r="C289" s="295">
        <f>YEAR(Daily_KPI[[#This Row],[Date]])</f>
        <v>2026</v>
      </c>
      <c r="D289" s="296">
        <f>Daily_KPI[[#This Row],[Date]]-DAY(Daily_KPI[[#This Row],[Date]])+1</f>
        <v>46023</v>
      </c>
      <c r="E289" s="295">
        <f t="shared" si="25"/>
        <v>31</v>
      </c>
      <c r="F289" s="297" t="str">
        <f>IFERROR(_xlfn.XLOOKUP($A289,Input_Raw!$A:$A,Input_Raw!$AR:$AR),"")</f>
        <v/>
      </c>
      <c r="G289" s="298" t="str">
        <f>IFERROR(_xlfn.XLOOKUP($A289,Input_Raw!$A:$A,Input_Raw!$R:$R),"")</f>
        <v/>
      </c>
      <c r="H289" s="298"/>
      <c r="I289" s="298" t="str">
        <f>IFERROR(_xlfn.XLOOKUP($A289,Input_Raw!$A:$A,Input_Raw!$Q:$Q),"")</f>
        <v/>
      </c>
      <c r="J289" s="298"/>
      <c r="K289" s="298" t="str">
        <f>IFERROR(_xlfn.XLOOKUP($A289,Input_Raw!$A:$A,Input_Raw!S:S),"")</f>
        <v/>
      </c>
      <c r="L289" s="298" t="str">
        <f>IFERROR(_xlfn.XLOOKUP($A289,Input_Raw!$A:$A,Input_Raw!T:T),"")</f>
        <v/>
      </c>
      <c r="M289" s="298" t="str">
        <f>IFERROR(_xlfn.XLOOKUP($A289,Input_Raw!$A:$A,Input_Raw!W:W),"")</f>
        <v/>
      </c>
      <c r="N289" s="298" t="str">
        <f>IFERROR(_xlfn.XLOOKUP($A289,Input_Raw!$A:$A,Input_Raw!X:X),"")</f>
        <v/>
      </c>
      <c r="O289" s="299" t="str">
        <f>IFERROR(1-(SUMIF(Plant_BD!$B:$B,$A289,Plant_BD!$AL:$AL)/($AA289+SUMIF(Plant_BD!$B:$B,$A289,Plant_BD!$AL:$AL))),"")</f>
        <v/>
      </c>
      <c r="P289" s="299"/>
      <c r="Q289" s="300"/>
      <c r="R289" s="299" t="str">
        <f>IFERROR(1-(SUMIF(Grid_BD!$B:$B,$A289,Grid_BD!$V:$V)/($AA289+SUMIF(Grid_BD!$B:$B,$A289,Grid_BD!$V:$V))),"")</f>
        <v/>
      </c>
      <c r="S289" s="295"/>
      <c r="T289" s="300"/>
      <c r="U289" s="301" t="str">
        <f t="shared" si="26"/>
        <v/>
      </c>
      <c r="V289" s="301" t="str">
        <f>IFERROR(_xlfn.XLOOKUP($A289,Input_Raw!$A:$A,Input_Raw!$AX:$AX),"")</f>
        <v/>
      </c>
      <c r="W289" s="302" t="str">
        <f t="shared" si="27"/>
        <v/>
      </c>
      <c r="X289" s="294" t="str">
        <f>IFERROR(_xlfn.XLOOKUP($A289,Input_Raw!$A:$A,Input_Raw!$AA:$AA),"")</f>
        <v/>
      </c>
      <c r="Y289" s="294" t="str">
        <f>IFERROR(_xlfn.XLOOKUP($A289,Input_Raw!$A:$A,Input_Raw!$AS:$AS),"")</f>
        <v/>
      </c>
      <c r="Z289" s="294"/>
      <c r="AA289" s="294" t="str">
        <f>IFERROR(_xlfn.XLOOKUP($A289,Input_Raw!$A:$A,Input_Raw!$AT:$AT),"")</f>
        <v/>
      </c>
      <c r="AB289" s="294" t="str">
        <f>IFERROR(_xlfn.XLOOKUP($A289,Input_Raw!$A:$A,Input_Raw!$AU:$AU),"")</f>
        <v/>
      </c>
      <c r="AC289" s="303">
        <f>IFERROR(_xlfn.XLOOKUP($D289,'Modelling New'!$D:$D,'Modelling New'!P:P),"")</f>
        <v>5.6322580645161286</v>
      </c>
      <c r="AD289" s="294">
        <f>IFERROR(_xlfn.XLOOKUP($D289,'Modelling New'!$D:$D,'Modelling New'!T:T)*1000,"")</f>
        <v>661640.34620924492</v>
      </c>
      <c r="AE289" s="304">
        <f>IFERROR(_xlfn.XLOOKUP($D289,'Modelling New'!$D:$D,'Modelling New'!$O:$O),"")</f>
        <v>0.87017312513200951</v>
      </c>
      <c r="AF289" s="304">
        <f>IFERROR(_xlfn.XLOOKUP($D289,'Modelling New'!$D:$D,'Modelling New'!$W:$W),"")</f>
        <v>0.2042099833979151</v>
      </c>
      <c r="AG289" s="304">
        <f>IFERROR(_xlfn.XLOOKUP($D289,'Modelling New'!$D:$D,'Modelling New'!$AE:$AE),"")</f>
        <v>0.995</v>
      </c>
      <c r="AH289" s="304">
        <f>IFERROR(_xlfn.XLOOKUP($D289,'Modelling New'!$D:$D,'Modelling New'!$AF:$AF),"")</f>
        <v>0.995</v>
      </c>
      <c r="AI289" s="295"/>
      <c r="AJ289" s="295"/>
      <c r="AK289" s="295"/>
      <c r="AL289" s="295"/>
      <c r="AM289" s="295"/>
      <c r="AN289" s="305"/>
      <c r="AO289" s="302"/>
      <c r="AP289" s="302"/>
      <c r="AQ289" s="302"/>
      <c r="AR289" s="294">
        <f>_xlfn.XLOOKUP($D289,'Modelling New'!$D:$D,'Modelling New'!$N:$N)</f>
        <v>135</v>
      </c>
      <c r="AS289" s="294" t="str">
        <f t="shared" si="28"/>
        <v/>
      </c>
    </row>
    <row r="290" spans="1:45">
      <c r="A290" s="293">
        <f t="shared" si="29"/>
        <v>46033</v>
      </c>
      <c r="B290" s="294">
        <f>YEAR(Daily_KPI[[#This Row],[Date]])+IF(MONTH(Daily_KPI[[#This Row],[Date]])&gt;=4,1,0)</f>
        <v>2026</v>
      </c>
      <c r="C290" s="295">
        <f>YEAR(Daily_KPI[[#This Row],[Date]])</f>
        <v>2026</v>
      </c>
      <c r="D290" s="296">
        <f>Daily_KPI[[#This Row],[Date]]-DAY(Daily_KPI[[#This Row],[Date]])+1</f>
        <v>46023</v>
      </c>
      <c r="E290" s="295">
        <f t="shared" si="25"/>
        <v>31</v>
      </c>
      <c r="F290" s="297" t="str">
        <f>IFERROR(_xlfn.XLOOKUP($A290,Input_Raw!$A:$A,Input_Raw!$AR:$AR),"")</f>
        <v/>
      </c>
      <c r="G290" s="298" t="str">
        <f>IFERROR(_xlfn.XLOOKUP($A290,Input_Raw!$A:$A,Input_Raw!$R:$R),"")</f>
        <v/>
      </c>
      <c r="H290" s="298"/>
      <c r="I290" s="298" t="str">
        <f>IFERROR(_xlfn.XLOOKUP($A290,Input_Raw!$A:$A,Input_Raw!$Q:$Q),"")</f>
        <v/>
      </c>
      <c r="J290" s="298"/>
      <c r="K290" s="298" t="str">
        <f>IFERROR(_xlfn.XLOOKUP($A290,Input_Raw!$A:$A,Input_Raw!S:S),"")</f>
        <v/>
      </c>
      <c r="L290" s="298" t="str">
        <f>IFERROR(_xlfn.XLOOKUP($A290,Input_Raw!$A:$A,Input_Raw!T:T),"")</f>
        <v/>
      </c>
      <c r="M290" s="298" t="str">
        <f>IFERROR(_xlfn.XLOOKUP($A290,Input_Raw!$A:$A,Input_Raw!W:W),"")</f>
        <v/>
      </c>
      <c r="N290" s="298" t="str">
        <f>IFERROR(_xlfn.XLOOKUP($A290,Input_Raw!$A:$A,Input_Raw!X:X),"")</f>
        <v/>
      </c>
      <c r="O290" s="299" t="str">
        <f>IFERROR(1-(SUMIF(Plant_BD!$B:$B,$A290,Plant_BD!$AL:$AL)/($AA290+SUMIF(Plant_BD!$B:$B,$A290,Plant_BD!$AL:$AL))),"")</f>
        <v/>
      </c>
      <c r="P290" s="299"/>
      <c r="Q290" s="300"/>
      <c r="R290" s="299" t="str">
        <f>IFERROR(1-(SUMIF(Grid_BD!$B:$B,$A290,Grid_BD!$V:$V)/($AA290+SUMIF(Grid_BD!$B:$B,$A290,Grid_BD!$V:$V))),"")</f>
        <v/>
      </c>
      <c r="S290" s="295"/>
      <c r="T290" s="300"/>
      <c r="U290" s="301" t="str">
        <f t="shared" si="26"/>
        <v/>
      </c>
      <c r="V290" s="301" t="str">
        <f>IFERROR(_xlfn.XLOOKUP($A290,Input_Raw!$A:$A,Input_Raw!$AX:$AX),"")</f>
        <v/>
      </c>
      <c r="W290" s="302" t="str">
        <f t="shared" si="27"/>
        <v/>
      </c>
      <c r="X290" s="294" t="str">
        <f>IFERROR(_xlfn.XLOOKUP($A290,Input_Raw!$A:$A,Input_Raw!$AA:$AA),"")</f>
        <v/>
      </c>
      <c r="Y290" s="294" t="str">
        <f>IFERROR(_xlfn.XLOOKUP($A290,Input_Raw!$A:$A,Input_Raw!$AS:$AS),"")</f>
        <v/>
      </c>
      <c r="Z290" s="294"/>
      <c r="AA290" s="294" t="str">
        <f>IFERROR(_xlfn.XLOOKUP($A290,Input_Raw!$A:$A,Input_Raw!$AT:$AT),"")</f>
        <v/>
      </c>
      <c r="AB290" s="294" t="str">
        <f>IFERROR(_xlfn.XLOOKUP($A290,Input_Raw!$A:$A,Input_Raw!$AU:$AU),"")</f>
        <v/>
      </c>
      <c r="AC290" s="303">
        <f>IFERROR(_xlfn.XLOOKUP($D290,'Modelling New'!$D:$D,'Modelling New'!P:P),"")</f>
        <v>5.6322580645161286</v>
      </c>
      <c r="AD290" s="294">
        <f>IFERROR(_xlfn.XLOOKUP($D290,'Modelling New'!$D:$D,'Modelling New'!T:T)*1000,"")</f>
        <v>661640.34620924492</v>
      </c>
      <c r="AE290" s="304">
        <f>IFERROR(_xlfn.XLOOKUP($D290,'Modelling New'!$D:$D,'Modelling New'!$O:$O),"")</f>
        <v>0.87017312513200951</v>
      </c>
      <c r="AF290" s="304">
        <f>IFERROR(_xlfn.XLOOKUP($D290,'Modelling New'!$D:$D,'Modelling New'!$W:$W),"")</f>
        <v>0.2042099833979151</v>
      </c>
      <c r="AG290" s="304">
        <f>IFERROR(_xlfn.XLOOKUP($D290,'Modelling New'!$D:$D,'Modelling New'!$AE:$AE),"")</f>
        <v>0.995</v>
      </c>
      <c r="AH290" s="304">
        <f>IFERROR(_xlfn.XLOOKUP($D290,'Modelling New'!$D:$D,'Modelling New'!$AF:$AF),"")</f>
        <v>0.995</v>
      </c>
      <c r="AI290" s="295"/>
      <c r="AJ290" s="295"/>
      <c r="AK290" s="295"/>
      <c r="AL290" s="295"/>
      <c r="AM290" s="295"/>
      <c r="AN290" s="305"/>
      <c r="AO290" s="302"/>
      <c r="AP290" s="302"/>
      <c r="AQ290" s="302"/>
      <c r="AR290" s="294">
        <f>_xlfn.XLOOKUP($D290,'Modelling New'!$D:$D,'Modelling New'!$N:$N)</f>
        <v>135</v>
      </c>
      <c r="AS290" s="294" t="str">
        <f t="shared" si="28"/>
        <v/>
      </c>
    </row>
    <row r="291" spans="1:45">
      <c r="A291" s="293">
        <f t="shared" si="29"/>
        <v>46034</v>
      </c>
      <c r="B291" s="294">
        <f>YEAR(Daily_KPI[[#This Row],[Date]])+IF(MONTH(Daily_KPI[[#This Row],[Date]])&gt;=4,1,0)</f>
        <v>2026</v>
      </c>
      <c r="C291" s="295">
        <f>YEAR(Daily_KPI[[#This Row],[Date]])</f>
        <v>2026</v>
      </c>
      <c r="D291" s="296">
        <f>Daily_KPI[[#This Row],[Date]]-DAY(Daily_KPI[[#This Row],[Date]])+1</f>
        <v>46023</v>
      </c>
      <c r="E291" s="295">
        <f t="shared" si="25"/>
        <v>31</v>
      </c>
      <c r="F291" s="297" t="str">
        <f>IFERROR(_xlfn.XLOOKUP($A291,Input_Raw!$A:$A,Input_Raw!$AR:$AR),"")</f>
        <v/>
      </c>
      <c r="G291" s="298" t="str">
        <f>IFERROR(_xlfn.XLOOKUP($A291,Input_Raw!$A:$A,Input_Raw!$R:$R),"")</f>
        <v/>
      </c>
      <c r="H291" s="298"/>
      <c r="I291" s="298" t="str">
        <f>IFERROR(_xlfn.XLOOKUP($A291,Input_Raw!$A:$A,Input_Raw!$Q:$Q),"")</f>
        <v/>
      </c>
      <c r="J291" s="298"/>
      <c r="K291" s="298" t="str">
        <f>IFERROR(_xlfn.XLOOKUP($A291,Input_Raw!$A:$A,Input_Raw!S:S),"")</f>
        <v/>
      </c>
      <c r="L291" s="298" t="str">
        <f>IFERROR(_xlfn.XLOOKUP($A291,Input_Raw!$A:$A,Input_Raw!T:T),"")</f>
        <v/>
      </c>
      <c r="M291" s="298" t="str">
        <f>IFERROR(_xlfn.XLOOKUP($A291,Input_Raw!$A:$A,Input_Raw!W:W),"")</f>
        <v/>
      </c>
      <c r="N291" s="298" t="str">
        <f>IFERROR(_xlfn.XLOOKUP($A291,Input_Raw!$A:$A,Input_Raw!X:X),"")</f>
        <v/>
      </c>
      <c r="O291" s="299" t="str">
        <f>IFERROR(1-(SUMIF(Plant_BD!$B:$B,$A291,Plant_BD!$AL:$AL)/($AA291+SUMIF(Plant_BD!$B:$B,$A291,Plant_BD!$AL:$AL))),"")</f>
        <v/>
      </c>
      <c r="P291" s="299"/>
      <c r="Q291" s="300"/>
      <c r="R291" s="299" t="str">
        <f>IFERROR(1-(SUMIF(Grid_BD!$B:$B,$A291,Grid_BD!$V:$V)/($AA291+SUMIF(Grid_BD!$B:$B,$A291,Grid_BD!$V:$V))),"")</f>
        <v/>
      </c>
      <c r="S291" s="295"/>
      <c r="T291" s="300"/>
      <c r="U291" s="301" t="str">
        <f t="shared" si="26"/>
        <v/>
      </c>
      <c r="V291" s="301" t="str">
        <f>IFERROR(_xlfn.XLOOKUP($A291,Input_Raw!$A:$A,Input_Raw!$AX:$AX),"")</f>
        <v/>
      </c>
      <c r="W291" s="302" t="str">
        <f t="shared" si="27"/>
        <v/>
      </c>
      <c r="X291" s="294" t="str">
        <f>IFERROR(_xlfn.XLOOKUP($A291,Input_Raw!$A:$A,Input_Raw!$AA:$AA),"")</f>
        <v/>
      </c>
      <c r="Y291" s="294" t="str">
        <f>IFERROR(_xlfn.XLOOKUP($A291,Input_Raw!$A:$A,Input_Raw!$AS:$AS),"")</f>
        <v/>
      </c>
      <c r="Z291" s="294"/>
      <c r="AA291" s="294" t="str">
        <f>IFERROR(_xlfn.XLOOKUP($A291,Input_Raw!$A:$A,Input_Raw!$AT:$AT),"")</f>
        <v/>
      </c>
      <c r="AB291" s="294" t="str">
        <f>IFERROR(_xlfn.XLOOKUP($A291,Input_Raw!$A:$A,Input_Raw!$AU:$AU),"")</f>
        <v/>
      </c>
      <c r="AC291" s="303">
        <f>IFERROR(_xlfn.XLOOKUP($D291,'Modelling New'!$D:$D,'Modelling New'!P:P),"")</f>
        <v>5.6322580645161286</v>
      </c>
      <c r="AD291" s="294">
        <f>IFERROR(_xlfn.XLOOKUP($D291,'Modelling New'!$D:$D,'Modelling New'!T:T)*1000,"")</f>
        <v>661640.34620924492</v>
      </c>
      <c r="AE291" s="304">
        <f>IFERROR(_xlfn.XLOOKUP($D291,'Modelling New'!$D:$D,'Modelling New'!$O:$O),"")</f>
        <v>0.87017312513200951</v>
      </c>
      <c r="AF291" s="304">
        <f>IFERROR(_xlfn.XLOOKUP($D291,'Modelling New'!$D:$D,'Modelling New'!$W:$W),"")</f>
        <v>0.2042099833979151</v>
      </c>
      <c r="AG291" s="304">
        <f>IFERROR(_xlfn.XLOOKUP($D291,'Modelling New'!$D:$D,'Modelling New'!$AE:$AE),"")</f>
        <v>0.995</v>
      </c>
      <c r="AH291" s="304">
        <f>IFERROR(_xlfn.XLOOKUP($D291,'Modelling New'!$D:$D,'Modelling New'!$AF:$AF),"")</f>
        <v>0.995</v>
      </c>
      <c r="AI291" s="295"/>
      <c r="AJ291" s="295"/>
      <c r="AK291" s="295"/>
      <c r="AL291" s="295"/>
      <c r="AM291" s="295"/>
      <c r="AN291" s="305"/>
      <c r="AO291" s="302"/>
      <c r="AP291" s="302"/>
      <c r="AQ291" s="302"/>
      <c r="AR291" s="294">
        <f>_xlfn.XLOOKUP($D291,'Modelling New'!$D:$D,'Modelling New'!$N:$N)</f>
        <v>135</v>
      </c>
      <c r="AS291" s="294" t="str">
        <f t="shared" si="28"/>
        <v/>
      </c>
    </row>
    <row r="292" spans="1:45">
      <c r="A292" s="293">
        <f t="shared" si="29"/>
        <v>46035</v>
      </c>
      <c r="B292" s="294">
        <f>YEAR(Daily_KPI[[#This Row],[Date]])+IF(MONTH(Daily_KPI[[#This Row],[Date]])&gt;=4,1,0)</f>
        <v>2026</v>
      </c>
      <c r="C292" s="295">
        <f>YEAR(Daily_KPI[[#This Row],[Date]])</f>
        <v>2026</v>
      </c>
      <c r="D292" s="296">
        <f>Daily_KPI[[#This Row],[Date]]-DAY(Daily_KPI[[#This Row],[Date]])+1</f>
        <v>46023</v>
      </c>
      <c r="E292" s="295">
        <f t="shared" si="25"/>
        <v>31</v>
      </c>
      <c r="F292" s="297" t="str">
        <f>IFERROR(_xlfn.XLOOKUP($A292,Input_Raw!$A:$A,Input_Raw!$AR:$AR),"")</f>
        <v/>
      </c>
      <c r="G292" s="298" t="str">
        <f>IFERROR(_xlfn.XLOOKUP($A292,Input_Raw!$A:$A,Input_Raw!$R:$R),"")</f>
        <v/>
      </c>
      <c r="H292" s="298"/>
      <c r="I292" s="298" t="str">
        <f>IFERROR(_xlfn.XLOOKUP($A292,Input_Raw!$A:$A,Input_Raw!$Q:$Q),"")</f>
        <v/>
      </c>
      <c r="J292" s="298"/>
      <c r="K292" s="298" t="str">
        <f>IFERROR(_xlfn.XLOOKUP($A292,Input_Raw!$A:$A,Input_Raw!S:S),"")</f>
        <v/>
      </c>
      <c r="L292" s="298" t="str">
        <f>IFERROR(_xlfn.XLOOKUP($A292,Input_Raw!$A:$A,Input_Raw!T:T),"")</f>
        <v/>
      </c>
      <c r="M292" s="298" t="str">
        <f>IFERROR(_xlfn.XLOOKUP($A292,Input_Raw!$A:$A,Input_Raw!W:W),"")</f>
        <v/>
      </c>
      <c r="N292" s="298" t="str">
        <f>IFERROR(_xlfn.XLOOKUP($A292,Input_Raw!$A:$A,Input_Raw!X:X),"")</f>
        <v/>
      </c>
      <c r="O292" s="299" t="str">
        <f>IFERROR(1-(SUMIF(Plant_BD!$B:$B,$A292,Plant_BD!$AL:$AL)/($AA292+SUMIF(Plant_BD!$B:$B,$A292,Plant_BD!$AL:$AL))),"")</f>
        <v/>
      </c>
      <c r="P292" s="299"/>
      <c r="Q292" s="300"/>
      <c r="R292" s="299" t="str">
        <f>IFERROR(1-(SUMIF(Grid_BD!$B:$B,$A292,Grid_BD!$V:$V)/($AA292+SUMIF(Grid_BD!$B:$B,$A292,Grid_BD!$V:$V))),"")</f>
        <v/>
      </c>
      <c r="S292" s="295"/>
      <c r="T292" s="300"/>
      <c r="U292" s="301" t="str">
        <f t="shared" si="26"/>
        <v/>
      </c>
      <c r="V292" s="301" t="str">
        <f>IFERROR(_xlfn.XLOOKUP($A292,Input_Raw!$A:$A,Input_Raw!$AX:$AX),"")</f>
        <v/>
      </c>
      <c r="W292" s="302" t="str">
        <f t="shared" si="27"/>
        <v/>
      </c>
      <c r="X292" s="294" t="str">
        <f>IFERROR(_xlfn.XLOOKUP($A292,Input_Raw!$A:$A,Input_Raw!$AA:$AA),"")</f>
        <v/>
      </c>
      <c r="Y292" s="294" t="str">
        <f>IFERROR(_xlfn.XLOOKUP($A292,Input_Raw!$A:$A,Input_Raw!$AS:$AS),"")</f>
        <v/>
      </c>
      <c r="Z292" s="294"/>
      <c r="AA292" s="294" t="str">
        <f>IFERROR(_xlfn.XLOOKUP($A292,Input_Raw!$A:$A,Input_Raw!$AT:$AT),"")</f>
        <v/>
      </c>
      <c r="AB292" s="294" t="str">
        <f>IFERROR(_xlfn.XLOOKUP($A292,Input_Raw!$A:$A,Input_Raw!$AU:$AU),"")</f>
        <v/>
      </c>
      <c r="AC292" s="303">
        <f>IFERROR(_xlfn.XLOOKUP($D292,'Modelling New'!$D:$D,'Modelling New'!P:P),"")</f>
        <v>5.6322580645161286</v>
      </c>
      <c r="AD292" s="294">
        <f>IFERROR(_xlfn.XLOOKUP($D292,'Modelling New'!$D:$D,'Modelling New'!T:T)*1000,"")</f>
        <v>661640.34620924492</v>
      </c>
      <c r="AE292" s="304">
        <f>IFERROR(_xlfn.XLOOKUP($D292,'Modelling New'!$D:$D,'Modelling New'!$O:$O),"")</f>
        <v>0.87017312513200951</v>
      </c>
      <c r="AF292" s="304">
        <f>IFERROR(_xlfn.XLOOKUP($D292,'Modelling New'!$D:$D,'Modelling New'!$W:$W),"")</f>
        <v>0.2042099833979151</v>
      </c>
      <c r="AG292" s="304">
        <f>IFERROR(_xlfn.XLOOKUP($D292,'Modelling New'!$D:$D,'Modelling New'!$AE:$AE),"")</f>
        <v>0.995</v>
      </c>
      <c r="AH292" s="304">
        <f>IFERROR(_xlfn.XLOOKUP($D292,'Modelling New'!$D:$D,'Modelling New'!$AF:$AF),"")</f>
        <v>0.995</v>
      </c>
      <c r="AI292" s="295"/>
      <c r="AJ292" s="295"/>
      <c r="AK292" s="295"/>
      <c r="AL292" s="295"/>
      <c r="AM292" s="295"/>
      <c r="AN292" s="305"/>
      <c r="AO292" s="302"/>
      <c r="AP292" s="302"/>
      <c r="AQ292" s="302"/>
      <c r="AR292" s="294">
        <f>_xlfn.XLOOKUP($D292,'Modelling New'!$D:$D,'Modelling New'!$N:$N)</f>
        <v>135</v>
      </c>
      <c r="AS292" s="294" t="str">
        <f t="shared" si="28"/>
        <v/>
      </c>
    </row>
    <row r="293" spans="1:45">
      <c r="A293" s="293">
        <f t="shared" si="29"/>
        <v>46036</v>
      </c>
      <c r="B293" s="294">
        <f>YEAR(Daily_KPI[[#This Row],[Date]])+IF(MONTH(Daily_KPI[[#This Row],[Date]])&gt;=4,1,0)</f>
        <v>2026</v>
      </c>
      <c r="C293" s="295">
        <f>YEAR(Daily_KPI[[#This Row],[Date]])</f>
        <v>2026</v>
      </c>
      <c r="D293" s="296">
        <f>Daily_KPI[[#This Row],[Date]]-DAY(Daily_KPI[[#This Row],[Date]])+1</f>
        <v>46023</v>
      </c>
      <c r="E293" s="295">
        <f t="shared" si="25"/>
        <v>31</v>
      </c>
      <c r="F293" s="297" t="str">
        <f>IFERROR(_xlfn.XLOOKUP($A293,Input_Raw!$A:$A,Input_Raw!$AR:$AR),"")</f>
        <v/>
      </c>
      <c r="G293" s="298" t="str">
        <f>IFERROR(_xlfn.XLOOKUP($A293,Input_Raw!$A:$A,Input_Raw!$R:$R),"")</f>
        <v/>
      </c>
      <c r="H293" s="298"/>
      <c r="I293" s="298" t="str">
        <f>IFERROR(_xlfn.XLOOKUP($A293,Input_Raw!$A:$A,Input_Raw!$Q:$Q),"")</f>
        <v/>
      </c>
      <c r="J293" s="298"/>
      <c r="K293" s="298" t="str">
        <f>IFERROR(_xlfn.XLOOKUP($A293,Input_Raw!$A:$A,Input_Raw!S:S),"")</f>
        <v/>
      </c>
      <c r="L293" s="298" t="str">
        <f>IFERROR(_xlfn.XLOOKUP($A293,Input_Raw!$A:$A,Input_Raw!T:T),"")</f>
        <v/>
      </c>
      <c r="M293" s="298" t="str">
        <f>IFERROR(_xlfn.XLOOKUP($A293,Input_Raw!$A:$A,Input_Raw!W:W),"")</f>
        <v/>
      </c>
      <c r="N293" s="298" t="str">
        <f>IFERROR(_xlfn.XLOOKUP($A293,Input_Raw!$A:$A,Input_Raw!X:X),"")</f>
        <v/>
      </c>
      <c r="O293" s="299" t="str">
        <f>IFERROR(1-(SUMIF(Plant_BD!$B:$B,$A293,Plant_BD!$AL:$AL)/($AA293+SUMIF(Plant_BD!$B:$B,$A293,Plant_BD!$AL:$AL))),"")</f>
        <v/>
      </c>
      <c r="P293" s="299"/>
      <c r="Q293" s="300"/>
      <c r="R293" s="299" t="str">
        <f>IFERROR(1-(SUMIF(Grid_BD!$B:$B,$A293,Grid_BD!$V:$V)/($AA293+SUMIF(Grid_BD!$B:$B,$A293,Grid_BD!$V:$V))),"")</f>
        <v/>
      </c>
      <c r="S293" s="295"/>
      <c r="T293" s="300"/>
      <c r="U293" s="301" t="str">
        <f t="shared" si="26"/>
        <v/>
      </c>
      <c r="V293" s="301" t="str">
        <f>IFERROR(_xlfn.XLOOKUP($A293,Input_Raw!$A:$A,Input_Raw!$AX:$AX),"")</f>
        <v/>
      </c>
      <c r="W293" s="302" t="str">
        <f t="shared" si="27"/>
        <v/>
      </c>
      <c r="X293" s="294" t="str">
        <f>IFERROR(_xlfn.XLOOKUP($A293,Input_Raw!$A:$A,Input_Raw!$AA:$AA),"")</f>
        <v/>
      </c>
      <c r="Y293" s="294" t="str">
        <f>IFERROR(_xlfn.XLOOKUP($A293,Input_Raw!$A:$A,Input_Raw!$AS:$AS),"")</f>
        <v/>
      </c>
      <c r="Z293" s="294"/>
      <c r="AA293" s="294" t="str">
        <f>IFERROR(_xlfn.XLOOKUP($A293,Input_Raw!$A:$A,Input_Raw!$AT:$AT),"")</f>
        <v/>
      </c>
      <c r="AB293" s="294" t="str">
        <f>IFERROR(_xlfn.XLOOKUP($A293,Input_Raw!$A:$A,Input_Raw!$AU:$AU),"")</f>
        <v/>
      </c>
      <c r="AC293" s="303">
        <f>IFERROR(_xlfn.XLOOKUP($D293,'Modelling New'!$D:$D,'Modelling New'!P:P),"")</f>
        <v>5.6322580645161286</v>
      </c>
      <c r="AD293" s="294">
        <f>IFERROR(_xlfn.XLOOKUP($D293,'Modelling New'!$D:$D,'Modelling New'!T:T)*1000,"")</f>
        <v>661640.34620924492</v>
      </c>
      <c r="AE293" s="304">
        <f>IFERROR(_xlfn.XLOOKUP($D293,'Modelling New'!$D:$D,'Modelling New'!$O:$O),"")</f>
        <v>0.87017312513200951</v>
      </c>
      <c r="AF293" s="304">
        <f>IFERROR(_xlfn.XLOOKUP($D293,'Modelling New'!$D:$D,'Modelling New'!$W:$W),"")</f>
        <v>0.2042099833979151</v>
      </c>
      <c r="AG293" s="304">
        <f>IFERROR(_xlfn.XLOOKUP($D293,'Modelling New'!$D:$D,'Modelling New'!$AE:$AE),"")</f>
        <v>0.995</v>
      </c>
      <c r="AH293" s="304">
        <f>IFERROR(_xlfn.XLOOKUP($D293,'Modelling New'!$D:$D,'Modelling New'!$AF:$AF),"")</f>
        <v>0.995</v>
      </c>
      <c r="AI293" s="295"/>
      <c r="AJ293" s="295"/>
      <c r="AK293" s="295"/>
      <c r="AL293" s="295"/>
      <c r="AM293" s="295"/>
      <c r="AN293" s="305"/>
      <c r="AO293" s="302"/>
      <c r="AP293" s="302"/>
      <c r="AQ293" s="302"/>
      <c r="AR293" s="294">
        <f>_xlfn.XLOOKUP($D293,'Modelling New'!$D:$D,'Modelling New'!$N:$N)</f>
        <v>135</v>
      </c>
      <c r="AS293" s="294" t="str">
        <f t="shared" si="28"/>
        <v/>
      </c>
    </row>
    <row r="294" spans="1:45">
      <c r="A294" s="293">
        <f t="shared" si="29"/>
        <v>46037</v>
      </c>
      <c r="B294" s="294">
        <f>YEAR(Daily_KPI[[#This Row],[Date]])+IF(MONTH(Daily_KPI[[#This Row],[Date]])&gt;=4,1,0)</f>
        <v>2026</v>
      </c>
      <c r="C294" s="295">
        <f>YEAR(Daily_KPI[[#This Row],[Date]])</f>
        <v>2026</v>
      </c>
      <c r="D294" s="296">
        <f>Daily_KPI[[#This Row],[Date]]-DAY(Daily_KPI[[#This Row],[Date]])+1</f>
        <v>46023</v>
      </c>
      <c r="E294" s="295">
        <f t="shared" si="25"/>
        <v>31</v>
      </c>
      <c r="F294" s="297" t="str">
        <f>IFERROR(_xlfn.XLOOKUP($A294,Input_Raw!$A:$A,Input_Raw!$AR:$AR),"")</f>
        <v/>
      </c>
      <c r="G294" s="298" t="str">
        <f>IFERROR(_xlfn.XLOOKUP($A294,Input_Raw!$A:$A,Input_Raw!$R:$R),"")</f>
        <v/>
      </c>
      <c r="H294" s="298"/>
      <c r="I294" s="298" t="str">
        <f>IFERROR(_xlfn.XLOOKUP($A294,Input_Raw!$A:$A,Input_Raw!$Q:$Q),"")</f>
        <v/>
      </c>
      <c r="J294" s="298"/>
      <c r="K294" s="298" t="str">
        <f>IFERROR(_xlfn.XLOOKUP($A294,Input_Raw!$A:$A,Input_Raw!S:S),"")</f>
        <v/>
      </c>
      <c r="L294" s="298" t="str">
        <f>IFERROR(_xlfn.XLOOKUP($A294,Input_Raw!$A:$A,Input_Raw!T:T),"")</f>
        <v/>
      </c>
      <c r="M294" s="298" t="str">
        <f>IFERROR(_xlfn.XLOOKUP($A294,Input_Raw!$A:$A,Input_Raw!W:W),"")</f>
        <v/>
      </c>
      <c r="N294" s="298" t="str">
        <f>IFERROR(_xlfn.XLOOKUP($A294,Input_Raw!$A:$A,Input_Raw!X:X),"")</f>
        <v/>
      </c>
      <c r="O294" s="299" t="str">
        <f>IFERROR(1-(SUMIF(Plant_BD!$B:$B,$A294,Plant_BD!$AL:$AL)/($AA294+SUMIF(Plant_BD!$B:$B,$A294,Plant_BD!$AL:$AL))),"")</f>
        <v/>
      </c>
      <c r="P294" s="299"/>
      <c r="Q294" s="300"/>
      <c r="R294" s="299" t="str">
        <f>IFERROR(1-(SUMIF(Grid_BD!$B:$B,$A294,Grid_BD!$V:$V)/($AA294+SUMIF(Grid_BD!$B:$B,$A294,Grid_BD!$V:$V))),"")</f>
        <v/>
      </c>
      <c r="S294" s="295"/>
      <c r="T294" s="300"/>
      <c r="U294" s="301" t="str">
        <f t="shared" si="26"/>
        <v/>
      </c>
      <c r="V294" s="301" t="str">
        <f>IFERROR(_xlfn.XLOOKUP($A294,Input_Raw!$A:$A,Input_Raw!$AX:$AX),"")</f>
        <v/>
      </c>
      <c r="W294" s="302" t="str">
        <f t="shared" si="27"/>
        <v/>
      </c>
      <c r="X294" s="294" t="str">
        <f>IFERROR(_xlfn.XLOOKUP($A294,Input_Raw!$A:$A,Input_Raw!$AA:$AA),"")</f>
        <v/>
      </c>
      <c r="Y294" s="294" t="str">
        <f>IFERROR(_xlfn.XLOOKUP($A294,Input_Raw!$A:$A,Input_Raw!$AS:$AS),"")</f>
        <v/>
      </c>
      <c r="Z294" s="294"/>
      <c r="AA294" s="294" t="str">
        <f>IFERROR(_xlfn.XLOOKUP($A294,Input_Raw!$A:$A,Input_Raw!$AT:$AT),"")</f>
        <v/>
      </c>
      <c r="AB294" s="294" t="str">
        <f>IFERROR(_xlfn.XLOOKUP($A294,Input_Raw!$A:$A,Input_Raw!$AU:$AU),"")</f>
        <v/>
      </c>
      <c r="AC294" s="303">
        <f>IFERROR(_xlfn.XLOOKUP($D294,'Modelling New'!$D:$D,'Modelling New'!P:P),"")</f>
        <v>5.6322580645161286</v>
      </c>
      <c r="AD294" s="294">
        <f>IFERROR(_xlfn.XLOOKUP($D294,'Modelling New'!$D:$D,'Modelling New'!T:T)*1000,"")</f>
        <v>661640.34620924492</v>
      </c>
      <c r="AE294" s="304">
        <f>IFERROR(_xlfn.XLOOKUP($D294,'Modelling New'!$D:$D,'Modelling New'!$O:$O),"")</f>
        <v>0.87017312513200951</v>
      </c>
      <c r="AF294" s="304">
        <f>IFERROR(_xlfn.XLOOKUP($D294,'Modelling New'!$D:$D,'Modelling New'!$W:$W),"")</f>
        <v>0.2042099833979151</v>
      </c>
      <c r="AG294" s="304">
        <f>IFERROR(_xlfn.XLOOKUP($D294,'Modelling New'!$D:$D,'Modelling New'!$AE:$AE),"")</f>
        <v>0.995</v>
      </c>
      <c r="AH294" s="304">
        <f>IFERROR(_xlfn.XLOOKUP($D294,'Modelling New'!$D:$D,'Modelling New'!$AF:$AF),"")</f>
        <v>0.995</v>
      </c>
      <c r="AI294" s="295"/>
      <c r="AJ294" s="295"/>
      <c r="AK294" s="295"/>
      <c r="AL294" s="295"/>
      <c r="AM294" s="295"/>
      <c r="AN294" s="305"/>
      <c r="AO294" s="302"/>
      <c r="AP294" s="302"/>
      <c r="AQ294" s="302"/>
      <c r="AR294" s="294">
        <f>_xlfn.XLOOKUP($D294,'Modelling New'!$D:$D,'Modelling New'!$N:$N)</f>
        <v>135</v>
      </c>
      <c r="AS294" s="294" t="str">
        <f t="shared" si="28"/>
        <v/>
      </c>
    </row>
    <row r="295" spans="1:45">
      <c r="A295" s="293">
        <f t="shared" si="29"/>
        <v>46038</v>
      </c>
      <c r="B295" s="294">
        <f>YEAR(Daily_KPI[[#This Row],[Date]])+IF(MONTH(Daily_KPI[[#This Row],[Date]])&gt;=4,1,0)</f>
        <v>2026</v>
      </c>
      <c r="C295" s="295">
        <f>YEAR(Daily_KPI[[#This Row],[Date]])</f>
        <v>2026</v>
      </c>
      <c r="D295" s="296">
        <f>Daily_KPI[[#This Row],[Date]]-DAY(Daily_KPI[[#This Row],[Date]])+1</f>
        <v>46023</v>
      </c>
      <c r="E295" s="295">
        <f t="shared" si="25"/>
        <v>31</v>
      </c>
      <c r="F295" s="297" t="str">
        <f>IFERROR(_xlfn.XLOOKUP($A295,Input_Raw!$A:$A,Input_Raw!$AR:$AR),"")</f>
        <v/>
      </c>
      <c r="G295" s="298" t="str">
        <f>IFERROR(_xlfn.XLOOKUP($A295,Input_Raw!$A:$A,Input_Raw!$R:$R),"")</f>
        <v/>
      </c>
      <c r="H295" s="298"/>
      <c r="I295" s="298" t="str">
        <f>IFERROR(_xlfn.XLOOKUP($A295,Input_Raw!$A:$A,Input_Raw!$Q:$Q),"")</f>
        <v/>
      </c>
      <c r="J295" s="298"/>
      <c r="K295" s="298" t="str">
        <f>IFERROR(_xlfn.XLOOKUP($A295,Input_Raw!$A:$A,Input_Raw!S:S),"")</f>
        <v/>
      </c>
      <c r="L295" s="298" t="str">
        <f>IFERROR(_xlfn.XLOOKUP($A295,Input_Raw!$A:$A,Input_Raw!T:T),"")</f>
        <v/>
      </c>
      <c r="M295" s="298" t="str">
        <f>IFERROR(_xlfn.XLOOKUP($A295,Input_Raw!$A:$A,Input_Raw!W:W),"")</f>
        <v/>
      </c>
      <c r="N295" s="298" t="str">
        <f>IFERROR(_xlfn.XLOOKUP($A295,Input_Raw!$A:$A,Input_Raw!X:X),"")</f>
        <v/>
      </c>
      <c r="O295" s="299" t="str">
        <f>IFERROR(1-(SUMIF(Plant_BD!$B:$B,$A295,Plant_BD!$AL:$AL)/($AA295+SUMIF(Plant_BD!$B:$B,$A295,Plant_BD!$AL:$AL))),"")</f>
        <v/>
      </c>
      <c r="P295" s="299"/>
      <c r="Q295" s="300"/>
      <c r="R295" s="299" t="str">
        <f>IFERROR(1-(SUMIF(Grid_BD!$B:$B,$A295,Grid_BD!$V:$V)/($AA295+SUMIF(Grid_BD!$B:$B,$A295,Grid_BD!$V:$V))),"")</f>
        <v/>
      </c>
      <c r="S295" s="295"/>
      <c r="T295" s="300"/>
      <c r="U295" s="301" t="str">
        <f t="shared" si="26"/>
        <v/>
      </c>
      <c r="V295" s="301" t="str">
        <f>IFERROR(_xlfn.XLOOKUP($A295,Input_Raw!$A:$A,Input_Raw!$AX:$AX),"")</f>
        <v/>
      </c>
      <c r="W295" s="302" t="str">
        <f t="shared" si="27"/>
        <v/>
      </c>
      <c r="X295" s="294" t="str">
        <f>IFERROR(_xlfn.XLOOKUP($A295,Input_Raw!$A:$A,Input_Raw!$AA:$AA),"")</f>
        <v/>
      </c>
      <c r="Y295" s="294" t="str">
        <f>IFERROR(_xlfn.XLOOKUP($A295,Input_Raw!$A:$A,Input_Raw!$AS:$AS),"")</f>
        <v/>
      </c>
      <c r="Z295" s="294"/>
      <c r="AA295" s="294" t="str">
        <f>IFERROR(_xlfn.XLOOKUP($A295,Input_Raw!$A:$A,Input_Raw!$AT:$AT),"")</f>
        <v/>
      </c>
      <c r="AB295" s="294" t="str">
        <f>IFERROR(_xlfn.XLOOKUP($A295,Input_Raw!$A:$A,Input_Raw!$AU:$AU),"")</f>
        <v/>
      </c>
      <c r="AC295" s="303">
        <f>IFERROR(_xlfn.XLOOKUP($D295,'Modelling New'!$D:$D,'Modelling New'!P:P),"")</f>
        <v>5.6322580645161286</v>
      </c>
      <c r="AD295" s="294">
        <f>IFERROR(_xlfn.XLOOKUP($D295,'Modelling New'!$D:$D,'Modelling New'!T:T)*1000,"")</f>
        <v>661640.34620924492</v>
      </c>
      <c r="AE295" s="304">
        <f>IFERROR(_xlfn.XLOOKUP($D295,'Modelling New'!$D:$D,'Modelling New'!$O:$O),"")</f>
        <v>0.87017312513200951</v>
      </c>
      <c r="AF295" s="304">
        <f>IFERROR(_xlfn.XLOOKUP($D295,'Modelling New'!$D:$D,'Modelling New'!$W:$W),"")</f>
        <v>0.2042099833979151</v>
      </c>
      <c r="AG295" s="304">
        <f>IFERROR(_xlfn.XLOOKUP($D295,'Modelling New'!$D:$D,'Modelling New'!$AE:$AE),"")</f>
        <v>0.995</v>
      </c>
      <c r="AH295" s="304">
        <f>IFERROR(_xlfn.XLOOKUP($D295,'Modelling New'!$D:$D,'Modelling New'!$AF:$AF),"")</f>
        <v>0.995</v>
      </c>
      <c r="AI295" s="295"/>
      <c r="AJ295" s="295"/>
      <c r="AK295" s="295"/>
      <c r="AL295" s="295"/>
      <c r="AM295" s="295"/>
      <c r="AN295" s="305"/>
      <c r="AO295" s="302"/>
      <c r="AP295" s="302"/>
      <c r="AQ295" s="302"/>
      <c r="AR295" s="294">
        <f>_xlfn.XLOOKUP($D295,'Modelling New'!$D:$D,'Modelling New'!$N:$N)</f>
        <v>135</v>
      </c>
      <c r="AS295" s="294" t="str">
        <f t="shared" si="28"/>
        <v/>
      </c>
    </row>
    <row r="296" spans="1:45">
      <c r="A296" s="293">
        <f t="shared" si="29"/>
        <v>46039</v>
      </c>
      <c r="B296" s="294">
        <f>YEAR(Daily_KPI[[#This Row],[Date]])+IF(MONTH(Daily_KPI[[#This Row],[Date]])&gt;=4,1,0)</f>
        <v>2026</v>
      </c>
      <c r="C296" s="295">
        <f>YEAR(Daily_KPI[[#This Row],[Date]])</f>
        <v>2026</v>
      </c>
      <c r="D296" s="296">
        <f>Daily_KPI[[#This Row],[Date]]-DAY(Daily_KPI[[#This Row],[Date]])+1</f>
        <v>46023</v>
      </c>
      <c r="E296" s="295">
        <f t="shared" si="25"/>
        <v>31</v>
      </c>
      <c r="F296" s="297" t="str">
        <f>IFERROR(_xlfn.XLOOKUP($A296,Input_Raw!$A:$A,Input_Raw!$AR:$AR),"")</f>
        <v/>
      </c>
      <c r="G296" s="298" t="str">
        <f>IFERROR(_xlfn.XLOOKUP($A296,Input_Raw!$A:$A,Input_Raw!$R:$R),"")</f>
        <v/>
      </c>
      <c r="H296" s="298"/>
      <c r="I296" s="298" t="str">
        <f>IFERROR(_xlfn.XLOOKUP($A296,Input_Raw!$A:$A,Input_Raw!$Q:$Q),"")</f>
        <v/>
      </c>
      <c r="J296" s="298"/>
      <c r="K296" s="298" t="str">
        <f>IFERROR(_xlfn.XLOOKUP($A296,Input_Raw!$A:$A,Input_Raw!S:S),"")</f>
        <v/>
      </c>
      <c r="L296" s="298" t="str">
        <f>IFERROR(_xlfn.XLOOKUP($A296,Input_Raw!$A:$A,Input_Raw!T:T),"")</f>
        <v/>
      </c>
      <c r="M296" s="298" t="str">
        <f>IFERROR(_xlfn.XLOOKUP($A296,Input_Raw!$A:$A,Input_Raw!W:W),"")</f>
        <v/>
      </c>
      <c r="N296" s="298" t="str">
        <f>IFERROR(_xlfn.XLOOKUP($A296,Input_Raw!$A:$A,Input_Raw!X:X),"")</f>
        <v/>
      </c>
      <c r="O296" s="299" t="str">
        <f>IFERROR(1-(SUMIF(Plant_BD!$B:$B,$A296,Plant_BD!$AL:$AL)/($AA296+SUMIF(Plant_BD!$B:$B,$A296,Plant_BD!$AL:$AL))),"")</f>
        <v/>
      </c>
      <c r="P296" s="299"/>
      <c r="Q296" s="300"/>
      <c r="R296" s="299" t="str">
        <f>IFERROR(1-(SUMIF(Grid_BD!$B:$B,$A296,Grid_BD!$V:$V)/($AA296+SUMIF(Grid_BD!$B:$B,$A296,Grid_BD!$V:$V))),"")</f>
        <v/>
      </c>
      <c r="S296" s="295"/>
      <c r="T296" s="300"/>
      <c r="U296" s="301" t="str">
        <f t="shared" si="26"/>
        <v/>
      </c>
      <c r="V296" s="301" t="str">
        <f>IFERROR(_xlfn.XLOOKUP($A296,Input_Raw!$A:$A,Input_Raw!$AX:$AX),"")</f>
        <v/>
      </c>
      <c r="W296" s="302" t="str">
        <f t="shared" si="27"/>
        <v/>
      </c>
      <c r="X296" s="294" t="str">
        <f>IFERROR(_xlfn.XLOOKUP($A296,Input_Raw!$A:$A,Input_Raw!$AA:$AA),"")</f>
        <v/>
      </c>
      <c r="Y296" s="294" t="str">
        <f>IFERROR(_xlfn.XLOOKUP($A296,Input_Raw!$A:$A,Input_Raw!$AS:$AS),"")</f>
        <v/>
      </c>
      <c r="Z296" s="294"/>
      <c r="AA296" s="294" t="str">
        <f>IFERROR(_xlfn.XLOOKUP($A296,Input_Raw!$A:$A,Input_Raw!$AT:$AT),"")</f>
        <v/>
      </c>
      <c r="AB296" s="294" t="str">
        <f>IFERROR(_xlfn.XLOOKUP($A296,Input_Raw!$A:$A,Input_Raw!$AU:$AU),"")</f>
        <v/>
      </c>
      <c r="AC296" s="303">
        <f>IFERROR(_xlfn.XLOOKUP($D296,'Modelling New'!$D:$D,'Modelling New'!P:P),"")</f>
        <v>5.6322580645161286</v>
      </c>
      <c r="AD296" s="294">
        <f>IFERROR(_xlfn.XLOOKUP($D296,'Modelling New'!$D:$D,'Modelling New'!T:T)*1000,"")</f>
        <v>661640.34620924492</v>
      </c>
      <c r="AE296" s="304">
        <f>IFERROR(_xlfn.XLOOKUP($D296,'Modelling New'!$D:$D,'Modelling New'!$O:$O),"")</f>
        <v>0.87017312513200951</v>
      </c>
      <c r="AF296" s="304">
        <f>IFERROR(_xlfn.XLOOKUP($D296,'Modelling New'!$D:$D,'Modelling New'!$W:$W),"")</f>
        <v>0.2042099833979151</v>
      </c>
      <c r="AG296" s="304">
        <f>IFERROR(_xlfn.XLOOKUP($D296,'Modelling New'!$D:$D,'Modelling New'!$AE:$AE),"")</f>
        <v>0.995</v>
      </c>
      <c r="AH296" s="304">
        <f>IFERROR(_xlfn.XLOOKUP($D296,'Modelling New'!$D:$D,'Modelling New'!$AF:$AF),"")</f>
        <v>0.995</v>
      </c>
      <c r="AI296" s="295"/>
      <c r="AJ296" s="295"/>
      <c r="AK296" s="295"/>
      <c r="AL296" s="295"/>
      <c r="AM296" s="295"/>
      <c r="AN296" s="305"/>
      <c r="AO296" s="302"/>
      <c r="AP296" s="302"/>
      <c r="AQ296" s="302"/>
      <c r="AR296" s="294">
        <f>_xlfn.XLOOKUP($D296,'Modelling New'!$D:$D,'Modelling New'!$N:$N)</f>
        <v>135</v>
      </c>
      <c r="AS296" s="294" t="str">
        <f t="shared" si="28"/>
        <v/>
      </c>
    </row>
    <row r="297" spans="1:45">
      <c r="A297" s="293">
        <f t="shared" si="29"/>
        <v>46040</v>
      </c>
      <c r="B297" s="294">
        <f>YEAR(Daily_KPI[[#This Row],[Date]])+IF(MONTH(Daily_KPI[[#This Row],[Date]])&gt;=4,1,0)</f>
        <v>2026</v>
      </c>
      <c r="C297" s="295">
        <f>YEAR(Daily_KPI[[#This Row],[Date]])</f>
        <v>2026</v>
      </c>
      <c r="D297" s="296">
        <f>Daily_KPI[[#This Row],[Date]]-DAY(Daily_KPI[[#This Row],[Date]])+1</f>
        <v>46023</v>
      </c>
      <c r="E297" s="295">
        <f t="shared" si="25"/>
        <v>31</v>
      </c>
      <c r="F297" s="297" t="str">
        <f>IFERROR(_xlfn.XLOOKUP($A297,Input_Raw!$A:$A,Input_Raw!$AR:$AR),"")</f>
        <v/>
      </c>
      <c r="G297" s="298" t="str">
        <f>IFERROR(_xlfn.XLOOKUP($A297,Input_Raw!$A:$A,Input_Raw!$R:$R),"")</f>
        <v/>
      </c>
      <c r="H297" s="298"/>
      <c r="I297" s="298" t="str">
        <f>IFERROR(_xlfn.XLOOKUP($A297,Input_Raw!$A:$A,Input_Raw!$Q:$Q),"")</f>
        <v/>
      </c>
      <c r="J297" s="298"/>
      <c r="K297" s="298" t="str">
        <f>IFERROR(_xlfn.XLOOKUP($A297,Input_Raw!$A:$A,Input_Raw!S:S),"")</f>
        <v/>
      </c>
      <c r="L297" s="298" t="str">
        <f>IFERROR(_xlfn.XLOOKUP($A297,Input_Raw!$A:$A,Input_Raw!T:T),"")</f>
        <v/>
      </c>
      <c r="M297" s="298" t="str">
        <f>IFERROR(_xlfn.XLOOKUP($A297,Input_Raw!$A:$A,Input_Raw!W:W),"")</f>
        <v/>
      </c>
      <c r="N297" s="298" t="str">
        <f>IFERROR(_xlfn.XLOOKUP($A297,Input_Raw!$A:$A,Input_Raw!X:X),"")</f>
        <v/>
      </c>
      <c r="O297" s="299" t="str">
        <f>IFERROR(1-(SUMIF(Plant_BD!$B:$B,$A297,Plant_BD!$AL:$AL)/($AA297+SUMIF(Plant_BD!$B:$B,$A297,Plant_BD!$AL:$AL))),"")</f>
        <v/>
      </c>
      <c r="P297" s="299"/>
      <c r="Q297" s="300"/>
      <c r="R297" s="299" t="str">
        <f>IFERROR(1-(SUMIF(Grid_BD!$B:$B,$A297,Grid_BD!$V:$V)/($AA297+SUMIF(Grid_BD!$B:$B,$A297,Grid_BD!$V:$V))),"")</f>
        <v/>
      </c>
      <c r="S297" s="295"/>
      <c r="T297" s="300"/>
      <c r="U297" s="301" t="str">
        <f t="shared" si="26"/>
        <v/>
      </c>
      <c r="V297" s="301" t="str">
        <f>IFERROR(_xlfn.XLOOKUP($A297,Input_Raw!$A:$A,Input_Raw!$AX:$AX),"")</f>
        <v/>
      </c>
      <c r="W297" s="302" t="str">
        <f t="shared" si="27"/>
        <v/>
      </c>
      <c r="X297" s="294" t="str">
        <f>IFERROR(_xlfn.XLOOKUP($A297,Input_Raw!$A:$A,Input_Raw!$AA:$AA),"")</f>
        <v/>
      </c>
      <c r="Y297" s="294" t="str">
        <f>IFERROR(_xlfn.XLOOKUP($A297,Input_Raw!$A:$A,Input_Raw!$AS:$AS),"")</f>
        <v/>
      </c>
      <c r="Z297" s="294"/>
      <c r="AA297" s="294" t="str">
        <f>IFERROR(_xlfn.XLOOKUP($A297,Input_Raw!$A:$A,Input_Raw!$AT:$AT),"")</f>
        <v/>
      </c>
      <c r="AB297" s="294" t="str">
        <f>IFERROR(_xlfn.XLOOKUP($A297,Input_Raw!$A:$A,Input_Raw!$AU:$AU),"")</f>
        <v/>
      </c>
      <c r="AC297" s="303">
        <f>IFERROR(_xlfn.XLOOKUP($D297,'Modelling New'!$D:$D,'Modelling New'!P:P),"")</f>
        <v>5.6322580645161286</v>
      </c>
      <c r="AD297" s="294">
        <f>IFERROR(_xlfn.XLOOKUP($D297,'Modelling New'!$D:$D,'Modelling New'!T:T)*1000,"")</f>
        <v>661640.34620924492</v>
      </c>
      <c r="AE297" s="304">
        <f>IFERROR(_xlfn.XLOOKUP($D297,'Modelling New'!$D:$D,'Modelling New'!$O:$O),"")</f>
        <v>0.87017312513200951</v>
      </c>
      <c r="AF297" s="304">
        <f>IFERROR(_xlfn.XLOOKUP($D297,'Modelling New'!$D:$D,'Modelling New'!$W:$W),"")</f>
        <v>0.2042099833979151</v>
      </c>
      <c r="AG297" s="304">
        <f>IFERROR(_xlfn.XLOOKUP($D297,'Modelling New'!$D:$D,'Modelling New'!$AE:$AE),"")</f>
        <v>0.995</v>
      </c>
      <c r="AH297" s="304">
        <f>IFERROR(_xlfn.XLOOKUP($D297,'Modelling New'!$D:$D,'Modelling New'!$AF:$AF),"")</f>
        <v>0.995</v>
      </c>
      <c r="AI297" s="295"/>
      <c r="AJ297" s="295"/>
      <c r="AK297" s="295"/>
      <c r="AL297" s="295"/>
      <c r="AM297" s="295"/>
      <c r="AN297" s="305"/>
      <c r="AO297" s="302"/>
      <c r="AP297" s="302"/>
      <c r="AQ297" s="302"/>
      <c r="AR297" s="294">
        <f>_xlfn.XLOOKUP($D297,'Modelling New'!$D:$D,'Modelling New'!$N:$N)</f>
        <v>135</v>
      </c>
      <c r="AS297" s="294" t="str">
        <f t="shared" si="28"/>
        <v/>
      </c>
    </row>
    <row r="298" spans="1:45">
      <c r="A298" s="293">
        <f t="shared" si="29"/>
        <v>46041</v>
      </c>
      <c r="B298" s="294">
        <f>YEAR(Daily_KPI[[#This Row],[Date]])+IF(MONTH(Daily_KPI[[#This Row],[Date]])&gt;=4,1,0)</f>
        <v>2026</v>
      </c>
      <c r="C298" s="295">
        <f>YEAR(Daily_KPI[[#This Row],[Date]])</f>
        <v>2026</v>
      </c>
      <c r="D298" s="296">
        <f>Daily_KPI[[#This Row],[Date]]-DAY(Daily_KPI[[#This Row],[Date]])+1</f>
        <v>46023</v>
      </c>
      <c r="E298" s="295">
        <f t="shared" si="25"/>
        <v>31</v>
      </c>
      <c r="F298" s="297" t="str">
        <f>IFERROR(_xlfn.XLOOKUP($A298,Input_Raw!$A:$A,Input_Raw!$AR:$AR),"")</f>
        <v/>
      </c>
      <c r="G298" s="298" t="str">
        <f>IFERROR(_xlfn.XLOOKUP($A298,Input_Raw!$A:$A,Input_Raw!$R:$R),"")</f>
        <v/>
      </c>
      <c r="H298" s="298"/>
      <c r="I298" s="298" t="str">
        <f>IFERROR(_xlfn.XLOOKUP($A298,Input_Raw!$A:$A,Input_Raw!$Q:$Q),"")</f>
        <v/>
      </c>
      <c r="J298" s="298"/>
      <c r="K298" s="298" t="str">
        <f>IFERROR(_xlfn.XLOOKUP($A298,Input_Raw!$A:$A,Input_Raw!S:S),"")</f>
        <v/>
      </c>
      <c r="L298" s="298" t="str">
        <f>IFERROR(_xlfn.XLOOKUP($A298,Input_Raw!$A:$A,Input_Raw!T:T),"")</f>
        <v/>
      </c>
      <c r="M298" s="298" t="str">
        <f>IFERROR(_xlfn.XLOOKUP($A298,Input_Raw!$A:$A,Input_Raw!W:W),"")</f>
        <v/>
      </c>
      <c r="N298" s="298" t="str">
        <f>IFERROR(_xlfn.XLOOKUP($A298,Input_Raw!$A:$A,Input_Raw!X:X),"")</f>
        <v/>
      </c>
      <c r="O298" s="299" t="str">
        <f>IFERROR(1-(SUMIF(Plant_BD!$B:$B,$A298,Plant_BD!$AL:$AL)/($AA298+SUMIF(Plant_BD!$B:$B,$A298,Plant_BD!$AL:$AL))),"")</f>
        <v/>
      </c>
      <c r="P298" s="299"/>
      <c r="Q298" s="300"/>
      <c r="R298" s="299" t="str">
        <f>IFERROR(1-(SUMIF(Grid_BD!$B:$B,$A298,Grid_BD!$V:$V)/($AA298+SUMIF(Grid_BD!$B:$B,$A298,Grid_BD!$V:$V))),"")</f>
        <v/>
      </c>
      <c r="S298" s="295"/>
      <c r="T298" s="300"/>
      <c r="U298" s="301" t="str">
        <f t="shared" si="26"/>
        <v/>
      </c>
      <c r="V298" s="301" t="str">
        <f>IFERROR(_xlfn.XLOOKUP($A298,Input_Raw!$A:$A,Input_Raw!$AX:$AX),"")</f>
        <v/>
      </c>
      <c r="W298" s="302" t="str">
        <f t="shared" si="27"/>
        <v/>
      </c>
      <c r="X298" s="294" t="str">
        <f>IFERROR(_xlfn.XLOOKUP($A298,Input_Raw!$A:$A,Input_Raw!$AA:$AA),"")</f>
        <v/>
      </c>
      <c r="Y298" s="294" t="str">
        <f>IFERROR(_xlfn.XLOOKUP($A298,Input_Raw!$A:$A,Input_Raw!$AS:$AS),"")</f>
        <v/>
      </c>
      <c r="Z298" s="294"/>
      <c r="AA298" s="294" t="str">
        <f>IFERROR(_xlfn.XLOOKUP($A298,Input_Raw!$A:$A,Input_Raw!$AT:$AT),"")</f>
        <v/>
      </c>
      <c r="AB298" s="294" t="str">
        <f>IFERROR(_xlfn.XLOOKUP($A298,Input_Raw!$A:$A,Input_Raw!$AU:$AU),"")</f>
        <v/>
      </c>
      <c r="AC298" s="303">
        <f>IFERROR(_xlfn.XLOOKUP($D298,'Modelling New'!$D:$D,'Modelling New'!P:P),"")</f>
        <v>5.6322580645161286</v>
      </c>
      <c r="AD298" s="294">
        <f>IFERROR(_xlfn.XLOOKUP($D298,'Modelling New'!$D:$D,'Modelling New'!T:T)*1000,"")</f>
        <v>661640.34620924492</v>
      </c>
      <c r="AE298" s="304">
        <f>IFERROR(_xlfn.XLOOKUP($D298,'Modelling New'!$D:$D,'Modelling New'!$O:$O),"")</f>
        <v>0.87017312513200951</v>
      </c>
      <c r="AF298" s="304">
        <f>IFERROR(_xlfn.XLOOKUP($D298,'Modelling New'!$D:$D,'Modelling New'!$W:$W),"")</f>
        <v>0.2042099833979151</v>
      </c>
      <c r="AG298" s="304">
        <f>IFERROR(_xlfn.XLOOKUP($D298,'Modelling New'!$D:$D,'Modelling New'!$AE:$AE),"")</f>
        <v>0.995</v>
      </c>
      <c r="AH298" s="304">
        <f>IFERROR(_xlfn.XLOOKUP($D298,'Modelling New'!$D:$D,'Modelling New'!$AF:$AF),"")</f>
        <v>0.995</v>
      </c>
      <c r="AI298" s="295"/>
      <c r="AJ298" s="295"/>
      <c r="AK298" s="295"/>
      <c r="AL298" s="295"/>
      <c r="AM298" s="295"/>
      <c r="AN298" s="305"/>
      <c r="AO298" s="302"/>
      <c r="AP298" s="302"/>
      <c r="AQ298" s="302"/>
      <c r="AR298" s="294">
        <f>_xlfn.XLOOKUP($D298,'Modelling New'!$D:$D,'Modelling New'!$N:$N)</f>
        <v>135</v>
      </c>
      <c r="AS298" s="294" t="str">
        <f t="shared" si="28"/>
        <v/>
      </c>
    </row>
    <row r="299" spans="1:45">
      <c r="A299" s="293">
        <f t="shared" si="29"/>
        <v>46042</v>
      </c>
      <c r="B299" s="294">
        <f>YEAR(Daily_KPI[[#This Row],[Date]])+IF(MONTH(Daily_KPI[[#This Row],[Date]])&gt;=4,1,0)</f>
        <v>2026</v>
      </c>
      <c r="C299" s="295">
        <f>YEAR(Daily_KPI[[#This Row],[Date]])</f>
        <v>2026</v>
      </c>
      <c r="D299" s="296">
        <f>Daily_KPI[[#This Row],[Date]]-DAY(Daily_KPI[[#This Row],[Date]])+1</f>
        <v>46023</v>
      </c>
      <c r="E299" s="295">
        <f t="shared" si="25"/>
        <v>31</v>
      </c>
      <c r="F299" s="297" t="str">
        <f>IFERROR(_xlfn.XLOOKUP($A299,Input_Raw!$A:$A,Input_Raw!$AR:$AR),"")</f>
        <v/>
      </c>
      <c r="G299" s="298" t="str">
        <f>IFERROR(_xlfn.XLOOKUP($A299,Input_Raw!$A:$A,Input_Raw!$R:$R),"")</f>
        <v/>
      </c>
      <c r="H299" s="298"/>
      <c r="I299" s="298" t="str">
        <f>IFERROR(_xlfn.XLOOKUP($A299,Input_Raw!$A:$A,Input_Raw!$Q:$Q),"")</f>
        <v/>
      </c>
      <c r="J299" s="298"/>
      <c r="K299" s="298" t="str">
        <f>IFERROR(_xlfn.XLOOKUP($A299,Input_Raw!$A:$A,Input_Raw!S:S),"")</f>
        <v/>
      </c>
      <c r="L299" s="298" t="str">
        <f>IFERROR(_xlfn.XLOOKUP($A299,Input_Raw!$A:$A,Input_Raw!T:T),"")</f>
        <v/>
      </c>
      <c r="M299" s="298" t="str">
        <f>IFERROR(_xlfn.XLOOKUP($A299,Input_Raw!$A:$A,Input_Raw!W:W),"")</f>
        <v/>
      </c>
      <c r="N299" s="298" t="str">
        <f>IFERROR(_xlfn.XLOOKUP($A299,Input_Raw!$A:$A,Input_Raw!X:X),"")</f>
        <v/>
      </c>
      <c r="O299" s="299" t="str">
        <f>IFERROR(1-(SUMIF(Plant_BD!$B:$B,$A299,Plant_BD!$AL:$AL)/($AA299+SUMIF(Plant_BD!$B:$B,$A299,Plant_BD!$AL:$AL))),"")</f>
        <v/>
      </c>
      <c r="P299" s="299"/>
      <c r="Q299" s="300"/>
      <c r="R299" s="299" t="str">
        <f>IFERROR(1-(SUMIF(Grid_BD!$B:$B,$A299,Grid_BD!$V:$V)/($AA299+SUMIF(Grid_BD!$B:$B,$A299,Grid_BD!$V:$V))),"")</f>
        <v/>
      </c>
      <c r="S299" s="295"/>
      <c r="T299" s="300"/>
      <c r="U299" s="301" t="str">
        <f t="shared" si="26"/>
        <v/>
      </c>
      <c r="V299" s="301" t="str">
        <f>IFERROR(_xlfn.XLOOKUP($A299,Input_Raw!$A:$A,Input_Raw!$AX:$AX),"")</f>
        <v/>
      </c>
      <c r="W299" s="302" t="str">
        <f t="shared" si="27"/>
        <v/>
      </c>
      <c r="X299" s="294" t="str">
        <f>IFERROR(_xlfn.XLOOKUP($A299,Input_Raw!$A:$A,Input_Raw!$AA:$AA),"")</f>
        <v/>
      </c>
      <c r="Y299" s="294" t="str">
        <f>IFERROR(_xlfn.XLOOKUP($A299,Input_Raw!$A:$A,Input_Raw!$AS:$AS),"")</f>
        <v/>
      </c>
      <c r="Z299" s="294"/>
      <c r="AA299" s="294" t="str">
        <f>IFERROR(_xlfn.XLOOKUP($A299,Input_Raw!$A:$A,Input_Raw!$AT:$AT),"")</f>
        <v/>
      </c>
      <c r="AB299" s="294" t="str">
        <f>IFERROR(_xlfn.XLOOKUP($A299,Input_Raw!$A:$A,Input_Raw!$AU:$AU),"")</f>
        <v/>
      </c>
      <c r="AC299" s="303">
        <f>IFERROR(_xlfn.XLOOKUP($D299,'Modelling New'!$D:$D,'Modelling New'!P:P),"")</f>
        <v>5.6322580645161286</v>
      </c>
      <c r="AD299" s="294">
        <f>IFERROR(_xlfn.XLOOKUP($D299,'Modelling New'!$D:$D,'Modelling New'!T:T)*1000,"")</f>
        <v>661640.34620924492</v>
      </c>
      <c r="AE299" s="304">
        <f>IFERROR(_xlfn.XLOOKUP($D299,'Modelling New'!$D:$D,'Modelling New'!$O:$O),"")</f>
        <v>0.87017312513200951</v>
      </c>
      <c r="AF299" s="304">
        <f>IFERROR(_xlfn.XLOOKUP($D299,'Modelling New'!$D:$D,'Modelling New'!$W:$W),"")</f>
        <v>0.2042099833979151</v>
      </c>
      <c r="AG299" s="304">
        <f>IFERROR(_xlfn.XLOOKUP($D299,'Modelling New'!$D:$D,'Modelling New'!$AE:$AE),"")</f>
        <v>0.995</v>
      </c>
      <c r="AH299" s="304">
        <f>IFERROR(_xlfn.XLOOKUP($D299,'Modelling New'!$D:$D,'Modelling New'!$AF:$AF),"")</f>
        <v>0.995</v>
      </c>
      <c r="AI299" s="295"/>
      <c r="AJ299" s="295"/>
      <c r="AK299" s="295"/>
      <c r="AL299" s="295"/>
      <c r="AM299" s="295"/>
      <c r="AN299" s="305"/>
      <c r="AO299" s="302"/>
      <c r="AP299" s="302"/>
      <c r="AQ299" s="302"/>
      <c r="AR299" s="294">
        <f>_xlfn.XLOOKUP($D299,'Modelling New'!$D:$D,'Modelling New'!$N:$N)</f>
        <v>135</v>
      </c>
      <c r="AS299" s="294" t="str">
        <f t="shared" si="28"/>
        <v/>
      </c>
    </row>
    <row r="300" spans="1:45">
      <c r="A300" s="293">
        <f t="shared" si="29"/>
        <v>46043</v>
      </c>
      <c r="B300" s="294">
        <f>YEAR(Daily_KPI[[#This Row],[Date]])+IF(MONTH(Daily_KPI[[#This Row],[Date]])&gt;=4,1,0)</f>
        <v>2026</v>
      </c>
      <c r="C300" s="295">
        <f>YEAR(Daily_KPI[[#This Row],[Date]])</f>
        <v>2026</v>
      </c>
      <c r="D300" s="296">
        <f>Daily_KPI[[#This Row],[Date]]-DAY(Daily_KPI[[#This Row],[Date]])+1</f>
        <v>46023</v>
      </c>
      <c r="E300" s="295">
        <f t="shared" si="25"/>
        <v>31</v>
      </c>
      <c r="F300" s="297" t="str">
        <f>IFERROR(_xlfn.XLOOKUP($A300,Input_Raw!$A:$A,Input_Raw!$AR:$AR),"")</f>
        <v/>
      </c>
      <c r="G300" s="298" t="str">
        <f>IFERROR(_xlfn.XLOOKUP($A300,Input_Raw!$A:$A,Input_Raw!$R:$R),"")</f>
        <v/>
      </c>
      <c r="H300" s="298"/>
      <c r="I300" s="298" t="str">
        <f>IFERROR(_xlfn.XLOOKUP($A300,Input_Raw!$A:$A,Input_Raw!$Q:$Q),"")</f>
        <v/>
      </c>
      <c r="J300" s="298"/>
      <c r="K300" s="298" t="str">
        <f>IFERROR(_xlfn.XLOOKUP($A300,Input_Raw!$A:$A,Input_Raw!S:S),"")</f>
        <v/>
      </c>
      <c r="L300" s="298" t="str">
        <f>IFERROR(_xlfn.XLOOKUP($A300,Input_Raw!$A:$A,Input_Raw!T:T),"")</f>
        <v/>
      </c>
      <c r="M300" s="298" t="str">
        <f>IFERROR(_xlfn.XLOOKUP($A300,Input_Raw!$A:$A,Input_Raw!W:W),"")</f>
        <v/>
      </c>
      <c r="N300" s="298" t="str">
        <f>IFERROR(_xlfn.XLOOKUP($A300,Input_Raw!$A:$A,Input_Raw!X:X),"")</f>
        <v/>
      </c>
      <c r="O300" s="299" t="str">
        <f>IFERROR(1-(SUMIF(Plant_BD!$B:$B,$A300,Plant_BD!$AL:$AL)/($AA300+SUMIF(Plant_BD!$B:$B,$A300,Plant_BD!$AL:$AL))),"")</f>
        <v/>
      </c>
      <c r="P300" s="299"/>
      <c r="Q300" s="300"/>
      <c r="R300" s="299" t="str">
        <f>IFERROR(1-(SUMIF(Grid_BD!$B:$B,$A300,Grid_BD!$V:$V)/($AA300+SUMIF(Grid_BD!$B:$B,$A300,Grid_BD!$V:$V))),"")</f>
        <v/>
      </c>
      <c r="S300" s="295"/>
      <c r="T300" s="300"/>
      <c r="U300" s="301" t="str">
        <f t="shared" si="26"/>
        <v/>
      </c>
      <c r="V300" s="301" t="str">
        <f>IFERROR(_xlfn.XLOOKUP($A300,Input_Raw!$A:$A,Input_Raw!$AX:$AX),"")</f>
        <v/>
      </c>
      <c r="W300" s="302" t="str">
        <f t="shared" si="27"/>
        <v/>
      </c>
      <c r="X300" s="294" t="str">
        <f>IFERROR(_xlfn.XLOOKUP($A300,Input_Raw!$A:$A,Input_Raw!$AA:$AA),"")</f>
        <v/>
      </c>
      <c r="Y300" s="294" t="str">
        <f>IFERROR(_xlfn.XLOOKUP($A300,Input_Raw!$A:$A,Input_Raw!$AS:$AS),"")</f>
        <v/>
      </c>
      <c r="Z300" s="294"/>
      <c r="AA300" s="294" t="str">
        <f>IFERROR(_xlfn.XLOOKUP($A300,Input_Raw!$A:$A,Input_Raw!$AT:$AT),"")</f>
        <v/>
      </c>
      <c r="AB300" s="294" t="str">
        <f>IFERROR(_xlfn.XLOOKUP($A300,Input_Raw!$A:$A,Input_Raw!$AU:$AU),"")</f>
        <v/>
      </c>
      <c r="AC300" s="303">
        <f>IFERROR(_xlfn.XLOOKUP($D300,'Modelling New'!$D:$D,'Modelling New'!P:P),"")</f>
        <v>5.6322580645161286</v>
      </c>
      <c r="AD300" s="294">
        <f>IFERROR(_xlfn.XLOOKUP($D300,'Modelling New'!$D:$D,'Modelling New'!T:T)*1000,"")</f>
        <v>661640.34620924492</v>
      </c>
      <c r="AE300" s="304">
        <f>IFERROR(_xlfn.XLOOKUP($D300,'Modelling New'!$D:$D,'Modelling New'!$O:$O),"")</f>
        <v>0.87017312513200951</v>
      </c>
      <c r="AF300" s="304">
        <f>IFERROR(_xlfn.XLOOKUP($D300,'Modelling New'!$D:$D,'Modelling New'!$W:$W),"")</f>
        <v>0.2042099833979151</v>
      </c>
      <c r="AG300" s="304">
        <f>IFERROR(_xlfn.XLOOKUP($D300,'Modelling New'!$D:$D,'Modelling New'!$AE:$AE),"")</f>
        <v>0.995</v>
      </c>
      <c r="AH300" s="304">
        <f>IFERROR(_xlfn.XLOOKUP($D300,'Modelling New'!$D:$D,'Modelling New'!$AF:$AF),"")</f>
        <v>0.995</v>
      </c>
      <c r="AI300" s="295"/>
      <c r="AJ300" s="295"/>
      <c r="AK300" s="295"/>
      <c r="AL300" s="295"/>
      <c r="AM300" s="295"/>
      <c r="AN300" s="305"/>
      <c r="AO300" s="302"/>
      <c r="AP300" s="302"/>
      <c r="AQ300" s="302"/>
      <c r="AR300" s="294">
        <f>_xlfn.XLOOKUP($D300,'Modelling New'!$D:$D,'Modelling New'!$N:$N)</f>
        <v>135</v>
      </c>
      <c r="AS300" s="294" t="str">
        <f t="shared" si="28"/>
        <v/>
      </c>
    </row>
    <row r="301" spans="1:45">
      <c r="A301" s="293">
        <f t="shared" si="29"/>
        <v>46044</v>
      </c>
      <c r="B301" s="294">
        <f>YEAR(Daily_KPI[[#This Row],[Date]])+IF(MONTH(Daily_KPI[[#This Row],[Date]])&gt;=4,1,0)</f>
        <v>2026</v>
      </c>
      <c r="C301" s="295">
        <f>YEAR(Daily_KPI[[#This Row],[Date]])</f>
        <v>2026</v>
      </c>
      <c r="D301" s="296">
        <f>Daily_KPI[[#This Row],[Date]]-DAY(Daily_KPI[[#This Row],[Date]])+1</f>
        <v>46023</v>
      </c>
      <c r="E301" s="295">
        <f t="shared" si="25"/>
        <v>31</v>
      </c>
      <c r="F301" s="297" t="str">
        <f>IFERROR(_xlfn.XLOOKUP($A301,Input_Raw!$A:$A,Input_Raw!$AR:$AR),"")</f>
        <v/>
      </c>
      <c r="G301" s="298" t="str">
        <f>IFERROR(_xlfn.XLOOKUP($A301,Input_Raw!$A:$A,Input_Raw!$R:$R),"")</f>
        <v/>
      </c>
      <c r="H301" s="298"/>
      <c r="I301" s="298" t="str">
        <f>IFERROR(_xlfn.XLOOKUP($A301,Input_Raw!$A:$A,Input_Raw!$Q:$Q),"")</f>
        <v/>
      </c>
      <c r="J301" s="298"/>
      <c r="K301" s="298" t="str">
        <f>IFERROR(_xlfn.XLOOKUP($A301,Input_Raw!$A:$A,Input_Raw!S:S),"")</f>
        <v/>
      </c>
      <c r="L301" s="298" t="str">
        <f>IFERROR(_xlfn.XLOOKUP($A301,Input_Raw!$A:$A,Input_Raw!T:T),"")</f>
        <v/>
      </c>
      <c r="M301" s="298" t="str">
        <f>IFERROR(_xlfn.XLOOKUP($A301,Input_Raw!$A:$A,Input_Raw!W:W),"")</f>
        <v/>
      </c>
      <c r="N301" s="298" t="str">
        <f>IFERROR(_xlfn.XLOOKUP($A301,Input_Raw!$A:$A,Input_Raw!X:X),"")</f>
        <v/>
      </c>
      <c r="O301" s="299" t="str">
        <f>IFERROR(1-(SUMIF(Plant_BD!$B:$B,$A301,Plant_BD!$AL:$AL)/($AA301+SUMIF(Plant_BD!$B:$B,$A301,Plant_BD!$AL:$AL))),"")</f>
        <v/>
      </c>
      <c r="P301" s="299"/>
      <c r="Q301" s="300"/>
      <c r="R301" s="299" t="str">
        <f>IFERROR(1-(SUMIF(Grid_BD!$B:$B,$A301,Grid_BD!$V:$V)/($AA301+SUMIF(Grid_BD!$B:$B,$A301,Grid_BD!$V:$V))),"")</f>
        <v/>
      </c>
      <c r="S301" s="295"/>
      <c r="T301" s="300"/>
      <c r="U301" s="301" t="str">
        <f t="shared" si="26"/>
        <v/>
      </c>
      <c r="V301" s="301" t="str">
        <f>IFERROR(_xlfn.XLOOKUP($A301,Input_Raw!$A:$A,Input_Raw!$AX:$AX),"")</f>
        <v/>
      </c>
      <c r="W301" s="302" t="str">
        <f t="shared" si="27"/>
        <v/>
      </c>
      <c r="X301" s="294" t="str">
        <f>IFERROR(_xlfn.XLOOKUP($A301,Input_Raw!$A:$A,Input_Raw!$AA:$AA),"")</f>
        <v/>
      </c>
      <c r="Y301" s="294" t="str">
        <f>IFERROR(_xlfn.XLOOKUP($A301,Input_Raw!$A:$A,Input_Raw!$AS:$AS),"")</f>
        <v/>
      </c>
      <c r="Z301" s="294"/>
      <c r="AA301" s="294" t="str">
        <f>IFERROR(_xlfn.XLOOKUP($A301,Input_Raw!$A:$A,Input_Raw!$AT:$AT),"")</f>
        <v/>
      </c>
      <c r="AB301" s="294" t="str">
        <f>IFERROR(_xlfn.XLOOKUP($A301,Input_Raw!$A:$A,Input_Raw!$AU:$AU),"")</f>
        <v/>
      </c>
      <c r="AC301" s="303">
        <f>IFERROR(_xlfn.XLOOKUP($D301,'Modelling New'!$D:$D,'Modelling New'!P:P),"")</f>
        <v>5.6322580645161286</v>
      </c>
      <c r="AD301" s="294">
        <f>IFERROR(_xlfn.XLOOKUP($D301,'Modelling New'!$D:$D,'Modelling New'!T:T)*1000,"")</f>
        <v>661640.34620924492</v>
      </c>
      <c r="AE301" s="304">
        <f>IFERROR(_xlfn.XLOOKUP($D301,'Modelling New'!$D:$D,'Modelling New'!$O:$O),"")</f>
        <v>0.87017312513200951</v>
      </c>
      <c r="AF301" s="304">
        <f>IFERROR(_xlfn.XLOOKUP($D301,'Modelling New'!$D:$D,'Modelling New'!$W:$W),"")</f>
        <v>0.2042099833979151</v>
      </c>
      <c r="AG301" s="304">
        <f>IFERROR(_xlfn.XLOOKUP($D301,'Modelling New'!$D:$D,'Modelling New'!$AE:$AE),"")</f>
        <v>0.995</v>
      </c>
      <c r="AH301" s="304">
        <f>IFERROR(_xlfn.XLOOKUP($D301,'Modelling New'!$D:$D,'Modelling New'!$AF:$AF),"")</f>
        <v>0.995</v>
      </c>
      <c r="AI301" s="295"/>
      <c r="AJ301" s="295"/>
      <c r="AK301" s="295"/>
      <c r="AL301" s="295"/>
      <c r="AM301" s="295"/>
      <c r="AN301" s="305"/>
      <c r="AO301" s="302"/>
      <c r="AP301" s="302"/>
      <c r="AQ301" s="302"/>
      <c r="AR301" s="294">
        <f>_xlfn.XLOOKUP($D301,'Modelling New'!$D:$D,'Modelling New'!$N:$N)</f>
        <v>135</v>
      </c>
      <c r="AS301" s="294" t="str">
        <f t="shared" si="28"/>
        <v/>
      </c>
    </row>
    <row r="302" spans="1:45">
      <c r="A302" s="293">
        <f t="shared" si="29"/>
        <v>46045</v>
      </c>
      <c r="B302" s="294">
        <f>YEAR(Daily_KPI[[#This Row],[Date]])+IF(MONTH(Daily_KPI[[#This Row],[Date]])&gt;=4,1,0)</f>
        <v>2026</v>
      </c>
      <c r="C302" s="295">
        <f>YEAR(Daily_KPI[[#This Row],[Date]])</f>
        <v>2026</v>
      </c>
      <c r="D302" s="296">
        <f>Daily_KPI[[#This Row],[Date]]-DAY(Daily_KPI[[#This Row],[Date]])+1</f>
        <v>46023</v>
      </c>
      <c r="E302" s="295">
        <f t="shared" si="25"/>
        <v>31</v>
      </c>
      <c r="F302" s="297" t="str">
        <f>IFERROR(_xlfn.XLOOKUP($A302,Input_Raw!$A:$A,Input_Raw!$AR:$AR),"")</f>
        <v/>
      </c>
      <c r="G302" s="298" t="str">
        <f>IFERROR(_xlfn.XLOOKUP($A302,Input_Raw!$A:$A,Input_Raw!$R:$R),"")</f>
        <v/>
      </c>
      <c r="H302" s="298"/>
      <c r="I302" s="298" t="str">
        <f>IFERROR(_xlfn.XLOOKUP($A302,Input_Raw!$A:$A,Input_Raw!$Q:$Q),"")</f>
        <v/>
      </c>
      <c r="J302" s="298"/>
      <c r="K302" s="298" t="str">
        <f>IFERROR(_xlfn.XLOOKUP($A302,Input_Raw!$A:$A,Input_Raw!S:S),"")</f>
        <v/>
      </c>
      <c r="L302" s="298" t="str">
        <f>IFERROR(_xlfn.XLOOKUP($A302,Input_Raw!$A:$A,Input_Raw!T:T),"")</f>
        <v/>
      </c>
      <c r="M302" s="298" t="str">
        <f>IFERROR(_xlfn.XLOOKUP($A302,Input_Raw!$A:$A,Input_Raw!W:W),"")</f>
        <v/>
      </c>
      <c r="N302" s="298" t="str">
        <f>IFERROR(_xlfn.XLOOKUP($A302,Input_Raw!$A:$A,Input_Raw!X:X),"")</f>
        <v/>
      </c>
      <c r="O302" s="299" t="str">
        <f>IFERROR(1-(SUMIF(Plant_BD!$B:$B,$A302,Plant_BD!$AL:$AL)/($AA302+SUMIF(Plant_BD!$B:$B,$A302,Plant_BD!$AL:$AL))),"")</f>
        <v/>
      </c>
      <c r="P302" s="299"/>
      <c r="Q302" s="300"/>
      <c r="R302" s="299" t="str">
        <f>IFERROR(1-(SUMIF(Grid_BD!$B:$B,$A302,Grid_BD!$V:$V)/($AA302+SUMIF(Grid_BD!$B:$B,$A302,Grid_BD!$V:$V))),"")</f>
        <v/>
      </c>
      <c r="S302" s="295"/>
      <c r="T302" s="300"/>
      <c r="U302" s="301" t="str">
        <f t="shared" si="26"/>
        <v/>
      </c>
      <c r="V302" s="301" t="str">
        <f>IFERROR(_xlfn.XLOOKUP($A302,Input_Raw!$A:$A,Input_Raw!$AX:$AX),"")</f>
        <v/>
      </c>
      <c r="W302" s="302" t="str">
        <f t="shared" si="27"/>
        <v/>
      </c>
      <c r="X302" s="294" t="str">
        <f>IFERROR(_xlfn.XLOOKUP($A302,Input_Raw!$A:$A,Input_Raw!$AA:$AA),"")</f>
        <v/>
      </c>
      <c r="Y302" s="294" t="str">
        <f>IFERROR(_xlfn.XLOOKUP($A302,Input_Raw!$A:$A,Input_Raw!$AS:$AS),"")</f>
        <v/>
      </c>
      <c r="Z302" s="294"/>
      <c r="AA302" s="294" t="str">
        <f>IFERROR(_xlfn.XLOOKUP($A302,Input_Raw!$A:$A,Input_Raw!$AT:$AT),"")</f>
        <v/>
      </c>
      <c r="AB302" s="294" t="str">
        <f>IFERROR(_xlfn.XLOOKUP($A302,Input_Raw!$A:$A,Input_Raw!$AU:$AU),"")</f>
        <v/>
      </c>
      <c r="AC302" s="303">
        <f>IFERROR(_xlfn.XLOOKUP($D302,'Modelling New'!$D:$D,'Modelling New'!P:P),"")</f>
        <v>5.6322580645161286</v>
      </c>
      <c r="AD302" s="294">
        <f>IFERROR(_xlfn.XLOOKUP($D302,'Modelling New'!$D:$D,'Modelling New'!T:T)*1000,"")</f>
        <v>661640.34620924492</v>
      </c>
      <c r="AE302" s="304">
        <f>IFERROR(_xlfn.XLOOKUP($D302,'Modelling New'!$D:$D,'Modelling New'!$O:$O),"")</f>
        <v>0.87017312513200951</v>
      </c>
      <c r="AF302" s="304">
        <f>IFERROR(_xlfn.XLOOKUP($D302,'Modelling New'!$D:$D,'Modelling New'!$W:$W),"")</f>
        <v>0.2042099833979151</v>
      </c>
      <c r="AG302" s="304">
        <f>IFERROR(_xlfn.XLOOKUP($D302,'Modelling New'!$D:$D,'Modelling New'!$AE:$AE),"")</f>
        <v>0.995</v>
      </c>
      <c r="AH302" s="304">
        <f>IFERROR(_xlfn.XLOOKUP($D302,'Modelling New'!$D:$D,'Modelling New'!$AF:$AF),"")</f>
        <v>0.995</v>
      </c>
      <c r="AI302" s="295"/>
      <c r="AJ302" s="295"/>
      <c r="AK302" s="295"/>
      <c r="AL302" s="295"/>
      <c r="AM302" s="295"/>
      <c r="AN302" s="305"/>
      <c r="AO302" s="302"/>
      <c r="AP302" s="302"/>
      <c r="AQ302" s="302"/>
      <c r="AR302" s="294">
        <f>_xlfn.XLOOKUP($D302,'Modelling New'!$D:$D,'Modelling New'!$N:$N)</f>
        <v>135</v>
      </c>
      <c r="AS302" s="294" t="str">
        <f t="shared" si="28"/>
        <v/>
      </c>
    </row>
    <row r="303" spans="1:45">
      <c r="A303" s="293">
        <f t="shared" si="29"/>
        <v>46046</v>
      </c>
      <c r="B303" s="294">
        <f>YEAR(Daily_KPI[[#This Row],[Date]])+IF(MONTH(Daily_KPI[[#This Row],[Date]])&gt;=4,1,0)</f>
        <v>2026</v>
      </c>
      <c r="C303" s="295">
        <f>YEAR(Daily_KPI[[#This Row],[Date]])</f>
        <v>2026</v>
      </c>
      <c r="D303" s="296">
        <f>Daily_KPI[[#This Row],[Date]]-DAY(Daily_KPI[[#This Row],[Date]])+1</f>
        <v>46023</v>
      </c>
      <c r="E303" s="295">
        <f t="shared" si="25"/>
        <v>31</v>
      </c>
      <c r="F303" s="297" t="str">
        <f>IFERROR(_xlfn.XLOOKUP($A303,Input_Raw!$A:$A,Input_Raw!$AR:$AR),"")</f>
        <v/>
      </c>
      <c r="G303" s="298" t="str">
        <f>IFERROR(_xlfn.XLOOKUP($A303,Input_Raw!$A:$A,Input_Raw!$R:$R),"")</f>
        <v/>
      </c>
      <c r="H303" s="298"/>
      <c r="I303" s="298" t="str">
        <f>IFERROR(_xlfn.XLOOKUP($A303,Input_Raw!$A:$A,Input_Raw!$Q:$Q),"")</f>
        <v/>
      </c>
      <c r="J303" s="298"/>
      <c r="K303" s="298" t="str">
        <f>IFERROR(_xlfn.XLOOKUP($A303,Input_Raw!$A:$A,Input_Raw!S:S),"")</f>
        <v/>
      </c>
      <c r="L303" s="298" t="str">
        <f>IFERROR(_xlfn.XLOOKUP($A303,Input_Raw!$A:$A,Input_Raw!T:T),"")</f>
        <v/>
      </c>
      <c r="M303" s="298" t="str">
        <f>IFERROR(_xlfn.XLOOKUP($A303,Input_Raw!$A:$A,Input_Raw!W:W),"")</f>
        <v/>
      </c>
      <c r="N303" s="298" t="str">
        <f>IFERROR(_xlfn.XLOOKUP($A303,Input_Raw!$A:$A,Input_Raw!X:X),"")</f>
        <v/>
      </c>
      <c r="O303" s="299" t="str">
        <f>IFERROR(1-(SUMIF(Plant_BD!$B:$B,$A303,Plant_BD!$AL:$AL)/($AA303+SUMIF(Plant_BD!$B:$B,$A303,Plant_BD!$AL:$AL))),"")</f>
        <v/>
      </c>
      <c r="P303" s="299"/>
      <c r="Q303" s="300"/>
      <c r="R303" s="299" t="str">
        <f>IFERROR(1-(SUMIF(Grid_BD!$B:$B,$A303,Grid_BD!$V:$V)/($AA303+SUMIF(Grid_BD!$B:$B,$A303,Grid_BD!$V:$V))),"")</f>
        <v/>
      </c>
      <c r="S303" s="295"/>
      <c r="T303" s="300"/>
      <c r="U303" s="301" t="str">
        <f t="shared" si="26"/>
        <v/>
      </c>
      <c r="V303" s="301" t="str">
        <f>IFERROR(_xlfn.XLOOKUP($A303,Input_Raw!$A:$A,Input_Raw!$AX:$AX),"")</f>
        <v/>
      </c>
      <c r="W303" s="302" t="str">
        <f t="shared" si="27"/>
        <v/>
      </c>
      <c r="X303" s="294" t="str">
        <f>IFERROR(_xlfn.XLOOKUP($A303,Input_Raw!$A:$A,Input_Raw!$AA:$AA),"")</f>
        <v/>
      </c>
      <c r="Y303" s="294" t="str">
        <f>IFERROR(_xlfn.XLOOKUP($A303,Input_Raw!$A:$A,Input_Raw!$AS:$AS),"")</f>
        <v/>
      </c>
      <c r="Z303" s="294"/>
      <c r="AA303" s="294" t="str">
        <f>IFERROR(_xlfn.XLOOKUP($A303,Input_Raw!$A:$A,Input_Raw!$AT:$AT),"")</f>
        <v/>
      </c>
      <c r="AB303" s="294" t="str">
        <f>IFERROR(_xlfn.XLOOKUP($A303,Input_Raw!$A:$A,Input_Raw!$AU:$AU),"")</f>
        <v/>
      </c>
      <c r="AC303" s="303">
        <f>IFERROR(_xlfn.XLOOKUP($D303,'Modelling New'!$D:$D,'Modelling New'!P:P),"")</f>
        <v>5.6322580645161286</v>
      </c>
      <c r="AD303" s="294">
        <f>IFERROR(_xlfn.XLOOKUP($D303,'Modelling New'!$D:$D,'Modelling New'!T:T)*1000,"")</f>
        <v>661640.34620924492</v>
      </c>
      <c r="AE303" s="304">
        <f>IFERROR(_xlfn.XLOOKUP($D303,'Modelling New'!$D:$D,'Modelling New'!$O:$O),"")</f>
        <v>0.87017312513200951</v>
      </c>
      <c r="AF303" s="304">
        <f>IFERROR(_xlfn.XLOOKUP($D303,'Modelling New'!$D:$D,'Modelling New'!$W:$W),"")</f>
        <v>0.2042099833979151</v>
      </c>
      <c r="AG303" s="304">
        <f>IFERROR(_xlfn.XLOOKUP($D303,'Modelling New'!$D:$D,'Modelling New'!$AE:$AE),"")</f>
        <v>0.995</v>
      </c>
      <c r="AH303" s="304">
        <f>IFERROR(_xlfn.XLOOKUP($D303,'Modelling New'!$D:$D,'Modelling New'!$AF:$AF),"")</f>
        <v>0.995</v>
      </c>
      <c r="AI303" s="295"/>
      <c r="AJ303" s="295"/>
      <c r="AK303" s="295"/>
      <c r="AL303" s="295"/>
      <c r="AM303" s="295"/>
      <c r="AN303" s="305"/>
      <c r="AO303" s="302"/>
      <c r="AP303" s="302"/>
      <c r="AQ303" s="302"/>
      <c r="AR303" s="294">
        <f>_xlfn.XLOOKUP($D303,'Modelling New'!$D:$D,'Modelling New'!$N:$N)</f>
        <v>135</v>
      </c>
      <c r="AS303" s="294" t="str">
        <f t="shared" si="28"/>
        <v/>
      </c>
    </row>
    <row r="304" spans="1:45">
      <c r="A304" s="293">
        <f t="shared" si="29"/>
        <v>46047</v>
      </c>
      <c r="B304" s="294">
        <f>YEAR(Daily_KPI[[#This Row],[Date]])+IF(MONTH(Daily_KPI[[#This Row],[Date]])&gt;=4,1,0)</f>
        <v>2026</v>
      </c>
      <c r="C304" s="295">
        <f>YEAR(Daily_KPI[[#This Row],[Date]])</f>
        <v>2026</v>
      </c>
      <c r="D304" s="296">
        <f>Daily_KPI[[#This Row],[Date]]-DAY(Daily_KPI[[#This Row],[Date]])+1</f>
        <v>46023</v>
      </c>
      <c r="E304" s="295">
        <f t="shared" si="25"/>
        <v>31</v>
      </c>
      <c r="F304" s="297" t="str">
        <f>IFERROR(_xlfn.XLOOKUP($A304,Input_Raw!$A:$A,Input_Raw!$AR:$AR),"")</f>
        <v/>
      </c>
      <c r="G304" s="298" t="str">
        <f>IFERROR(_xlfn.XLOOKUP($A304,Input_Raw!$A:$A,Input_Raw!$R:$R),"")</f>
        <v/>
      </c>
      <c r="H304" s="298"/>
      <c r="I304" s="298" t="str">
        <f>IFERROR(_xlfn.XLOOKUP($A304,Input_Raw!$A:$A,Input_Raw!$Q:$Q),"")</f>
        <v/>
      </c>
      <c r="J304" s="298"/>
      <c r="K304" s="298" t="str">
        <f>IFERROR(_xlfn.XLOOKUP($A304,Input_Raw!$A:$A,Input_Raw!S:S),"")</f>
        <v/>
      </c>
      <c r="L304" s="298" t="str">
        <f>IFERROR(_xlfn.XLOOKUP($A304,Input_Raw!$A:$A,Input_Raw!T:T),"")</f>
        <v/>
      </c>
      <c r="M304" s="298" t="str">
        <f>IFERROR(_xlfn.XLOOKUP($A304,Input_Raw!$A:$A,Input_Raw!W:W),"")</f>
        <v/>
      </c>
      <c r="N304" s="298" t="str">
        <f>IFERROR(_xlfn.XLOOKUP($A304,Input_Raw!$A:$A,Input_Raw!X:X),"")</f>
        <v/>
      </c>
      <c r="O304" s="299" t="str">
        <f>IFERROR(1-(SUMIF(Plant_BD!$B:$B,$A304,Plant_BD!$AL:$AL)/($AA304+SUMIF(Plant_BD!$B:$B,$A304,Plant_BD!$AL:$AL))),"")</f>
        <v/>
      </c>
      <c r="P304" s="299"/>
      <c r="Q304" s="300"/>
      <c r="R304" s="299" t="str">
        <f>IFERROR(1-(SUMIF(Grid_BD!$B:$B,$A304,Grid_BD!$V:$V)/($AA304+SUMIF(Grid_BD!$B:$B,$A304,Grid_BD!$V:$V))),"")</f>
        <v/>
      </c>
      <c r="S304" s="295"/>
      <c r="T304" s="300"/>
      <c r="U304" s="301" t="str">
        <f t="shared" si="26"/>
        <v/>
      </c>
      <c r="V304" s="301" t="str">
        <f>IFERROR(_xlfn.XLOOKUP($A304,Input_Raw!$A:$A,Input_Raw!$AX:$AX),"")</f>
        <v/>
      </c>
      <c r="W304" s="302" t="str">
        <f t="shared" si="27"/>
        <v/>
      </c>
      <c r="X304" s="294" t="str">
        <f>IFERROR(_xlfn.XLOOKUP($A304,Input_Raw!$A:$A,Input_Raw!$AA:$AA),"")</f>
        <v/>
      </c>
      <c r="Y304" s="294" t="str">
        <f>IFERROR(_xlfn.XLOOKUP($A304,Input_Raw!$A:$A,Input_Raw!$AS:$AS),"")</f>
        <v/>
      </c>
      <c r="Z304" s="294"/>
      <c r="AA304" s="294" t="str">
        <f>IFERROR(_xlfn.XLOOKUP($A304,Input_Raw!$A:$A,Input_Raw!$AT:$AT),"")</f>
        <v/>
      </c>
      <c r="AB304" s="294" t="str">
        <f>IFERROR(_xlfn.XLOOKUP($A304,Input_Raw!$A:$A,Input_Raw!$AU:$AU),"")</f>
        <v/>
      </c>
      <c r="AC304" s="303">
        <f>IFERROR(_xlfn.XLOOKUP($D304,'Modelling New'!$D:$D,'Modelling New'!P:P),"")</f>
        <v>5.6322580645161286</v>
      </c>
      <c r="AD304" s="294">
        <f>IFERROR(_xlfn.XLOOKUP($D304,'Modelling New'!$D:$D,'Modelling New'!T:T)*1000,"")</f>
        <v>661640.34620924492</v>
      </c>
      <c r="AE304" s="304">
        <f>IFERROR(_xlfn.XLOOKUP($D304,'Modelling New'!$D:$D,'Modelling New'!$O:$O),"")</f>
        <v>0.87017312513200951</v>
      </c>
      <c r="AF304" s="304">
        <f>IFERROR(_xlfn.XLOOKUP($D304,'Modelling New'!$D:$D,'Modelling New'!$W:$W),"")</f>
        <v>0.2042099833979151</v>
      </c>
      <c r="AG304" s="304">
        <f>IFERROR(_xlfn.XLOOKUP($D304,'Modelling New'!$D:$D,'Modelling New'!$AE:$AE),"")</f>
        <v>0.995</v>
      </c>
      <c r="AH304" s="304">
        <f>IFERROR(_xlfn.XLOOKUP($D304,'Modelling New'!$D:$D,'Modelling New'!$AF:$AF),"")</f>
        <v>0.995</v>
      </c>
      <c r="AI304" s="295"/>
      <c r="AJ304" s="295"/>
      <c r="AK304" s="295"/>
      <c r="AL304" s="295"/>
      <c r="AM304" s="295"/>
      <c r="AN304" s="305"/>
      <c r="AO304" s="302"/>
      <c r="AP304" s="302"/>
      <c r="AQ304" s="302"/>
      <c r="AR304" s="294">
        <f>_xlfn.XLOOKUP($D304,'Modelling New'!$D:$D,'Modelling New'!$N:$N)</f>
        <v>135</v>
      </c>
      <c r="AS304" s="294" t="str">
        <f t="shared" si="28"/>
        <v/>
      </c>
    </row>
    <row r="305" spans="1:45">
      <c r="A305" s="293">
        <f t="shared" si="29"/>
        <v>46048</v>
      </c>
      <c r="B305" s="294">
        <f>YEAR(Daily_KPI[[#This Row],[Date]])+IF(MONTH(Daily_KPI[[#This Row],[Date]])&gt;=4,1,0)</f>
        <v>2026</v>
      </c>
      <c r="C305" s="295">
        <f>YEAR(Daily_KPI[[#This Row],[Date]])</f>
        <v>2026</v>
      </c>
      <c r="D305" s="296">
        <f>Daily_KPI[[#This Row],[Date]]-DAY(Daily_KPI[[#This Row],[Date]])+1</f>
        <v>46023</v>
      </c>
      <c r="E305" s="295">
        <f t="shared" si="25"/>
        <v>31</v>
      </c>
      <c r="F305" s="297" t="str">
        <f>IFERROR(_xlfn.XLOOKUP($A305,Input_Raw!$A:$A,Input_Raw!$AR:$AR),"")</f>
        <v/>
      </c>
      <c r="G305" s="298" t="str">
        <f>IFERROR(_xlfn.XLOOKUP($A305,Input_Raw!$A:$A,Input_Raw!$R:$R),"")</f>
        <v/>
      </c>
      <c r="H305" s="298"/>
      <c r="I305" s="298" t="str">
        <f>IFERROR(_xlfn.XLOOKUP($A305,Input_Raw!$A:$A,Input_Raw!$Q:$Q),"")</f>
        <v/>
      </c>
      <c r="J305" s="298"/>
      <c r="K305" s="298" t="str">
        <f>IFERROR(_xlfn.XLOOKUP($A305,Input_Raw!$A:$A,Input_Raw!S:S),"")</f>
        <v/>
      </c>
      <c r="L305" s="298" t="str">
        <f>IFERROR(_xlfn.XLOOKUP($A305,Input_Raw!$A:$A,Input_Raw!T:T),"")</f>
        <v/>
      </c>
      <c r="M305" s="298" t="str">
        <f>IFERROR(_xlfn.XLOOKUP($A305,Input_Raw!$A:$A,Input_Raw!W:W),"")</f>
        <v/>
      </c>
      <c r="N305" s="298" t="str">
        <f>IFERROR(_xlfn.XLOOKUP($A305,Input_Raw!$A:$A,Input_Raw!X:X),"")</f>
        <v/>
      </c>
      <c r="O305" s="299" t="str">
        <f>IFERROR(1-(SUMIF(Plant_BD!$B:$B,$A305,Plant_BD!$AL:$AL)/($AA305+SUMIF(Plant_BD!$B:$B,$A305,Plant_BD!$AL:$AL))),"")</f>
        <v/>
      </c>
      <c r="P305" s="299"/>
      <c r="Q305" s="300"/>
      <c r="R305" s="299" t="str">
        <f>IFERROR(1-(SUMIF(Grid_BD!$B:$B,$A305,Grid_BD!$V:$V)/($AA305+SUMIF(Grid_BD!$B:$B,$A305,Grid_BD!$V:$V))),"")</f>
        <v/>
      </c>
      <c r="S305" s="295"/>
      <c r="T305" s="300"/>
      <c r="U305" s="301" t="str">
        <f t="shared" si="26"/>
        <v/>
      </c>
      <c r="V305" s="301" t="str">
        <f>IFERROR(_xlfn.XLOOKUP($A305,Input_Raw!$A:$A,Input_Raw!$AX:$AX),"")</f>
        <v/>
      </c>
      <c r="W305" s="302" t="str">
        <f t="shared" si="27"/>
        <v/>
      </c>
      <c r="X305" s="294" t="str">
        <f>IFERROR(_xlfn.XLOOKUP($A305,Input_Raw!$A:$A,Input_Raw!$AA:$AA),"")</f>
        <v/>
      </c>
      <c r="Y305" s="294" t="str">
        <f>IFERROR(_xlfn.XLOOKUP($A305,Input_Raw!$A:$A,Input_Raw!$AS:$AS),"")</f>
        <v/>
      </c>
      <c r="Z305" s="294"/>
      <c r="AA305" s="294" t="str">
        <f>IFERROR(_xlfn.XLOOKUP($A305,Input_Raw!$A:$A,Input_Raw!$AT:$AT),"")</f>
        <v/>
      </c>
      <c r="AB305" s="294" t="str">
        <f>IFERROR(_xlfn.XLOOKUP($A305,Input_Raw!$A:$A,Input_Raw!$AU:$AU),"")</f>
        <v/>
      </c>
      <c r="AC305" s="303">
        <f>IFERROR(_xlfn.XLOOKUP($D305,'Modelling New'!$D:$D,'Modelling New'!P:P),"")</f>
        <v>5.6322580645161286</v>
      </c>
      <c r="AD305" s="294">
        <f>IFERROR(_xlfn.XLOOKUP($D305,'Modelling New'!$D:$D,'Modelling New'!T:T)*1000,"")</f>
        <v>661640.34620924492</v>
      </c>
      <c r="AE305" s="304">
        <f>IFERROR(_xlfn.XLOOKUP($D305,'Modelling New'!$D:$D,'Modelling New'!$O:$O),"")</f>
        <v>0.87017312513200951</v>
      </c>
      <c r="AF305" s="304">
        <f>IFERROR(_xlfn.XLOOKUP($D305,'Modelling New'!$D:$D,'Modelling New'!$W:$W),"")</f>
        <v>0.2042099833979151</v>
      </c>
      <c r="AG305" s="304">
        <f>IFERROR(_xlfn.XLOOKUP($D305,'Modelling New'!$D:$D,'Modelling New'!$AE:$AE),"")</f>
        <v>0.995</v>
      </c>
      <c r="AH305" s="304">
        <f>IFERROR(_xlfn.XLOOKUP($D305,'Modelling New'!$D:$D,'Modelling New'!$AF:$AF),"")</f>
        <v>0.995</v>
      </c>
      <c r="AI305" s="295"/>
      <c r="AJ305" s="295"/>
      <c r="AK305" s="295"/>
      <c r="AL305" s="295"/>
      <c r="AM305" s="295"/>
      <c r="AN305" s="305"/>
      <c r="AO305" s="302"/>
      <c r="AP305" s="302"/>
      <c r="AQ305" s="302"/>
      <c r="AR305" s="294">
        <f>_xlfn.XLOOKUP($D305,'Modelling New'!$D:$D,'Modelling New'!$N:$N)</f>
        <v>135</v>
      </c>
      <c r="AS305" s="294" t="str">
        <f t="shared" si="28"/>
        <v/>
      </c>
    </row>
    <row r="306" spans="1:45">
      <c r="A306" s="293">
        <f t="shared" si="29"/>
        <v>46049</v>
      </c>
      <c r="B306" s="294">
        <f>YEAR(Daily_KPI[[#This Row],[Date]])+IF(MONTH(Daily_KPI[[#This Row],[Date]])&gt;=4,1,0)</f>
        <v>2026</v>
      </c>
      <c r="C306" s="295">
        <f>YEAR(Daily_KPI[[#This Row],[Date]])</f>
        <v>2026</v>
      </c>
      <c r="D306" s="296">
        <f>Daily_KPI[[#This Row],[Date]]-DAY(Daily_KPI[[#This Row],[Date]])+1</f>
        <v>46023</v>
      </c>
      <c r="E306" s="295">
        <f t="shared" si="25"/>
        <v>31</v>
      </c>
      <c r="F306" s="297" t="str">
        <f>IFERROR(_xlfn.XLOOKUP($A306,Input_Raw!$A:$A,Input_Raw!$AR:$AR),"")</f>
        <v/>
      </c>
      <c r="G306" s="298" t="str">
        <f>IFERROR(_xlfn.XLOOKUP($A306,Input_Raw!$A:$A,Input_Raw!$R:$R),"")</f>
        <v/>
      </c>
      <c r="H306" s="298"/>
      <c r="I306" s="298" t="str">
        <f>IFERROR(_xlfn.XLOOKUP($A306,Input_Raw!$A:$A,Input_Raw!$Q:$Q),"")</f>
        <v/>
      </c>
      <c r="J306" s="298"/>
      <c r="K306" s="298" t="str">
        <f>IFERROR(_xlfn.XLOOKUP($A306,Input_Raw!$A:$A,Input_Raw!S:S),"")</f>
        <v/>
      </c>
      <c r="L306" s="298" t="str">
        <f>IFERROR(_xlfn.XLOOKUP($A306,Input_Raw!$A:$A,Input_Raw!T:T),"")</f>
        <v/>
      </c>
      <c r="M306" s="298" t="str">
        <f>IFERROR(_xlfn.XLOOKUP($A306,Input_Raw!$A:$A,Input_Raw!W:W),"")</f>
        <v/>
      </c>
      <c r="N306" s="298" t="str">
        <f>IFERROR(_xlfn.XLOOKUP($A306,Input_Raw!$A:$A,Input_Raw!X:X),"")</f>
        <v/>
      </c>
      <c r="O306" s="299" t="str">
        <f>IFERROR(1-(SUMIF(Plant_BD!$B:$B,$A306,Plant_BD!$AL:$AL)/($AA306+SUMIF(Plant_BD!$B:$B,$A306,Plant_BD!$AL:$AL))),"")</f>
        <v/>
      </c>
      <c r="P306" s="299"/>
      <c r="Q306" s="300"/>
      <c r="R306" s="299" t="str">
        <f>IFERROR(1-(SUMIF(Grid_BD!$B:$B,$A306,Grid_BD!$V:$V)/($AA306+SUMIF(Grid_BD!$B:$B,$A306,Grid_BD!$V:$V))),"")</f>
        <v/>
      </c>
      <c r="S306" s="295"/>
      <c r="T306" s="300"/>
      <c r="U306" s="301" t="str">
        <f t="shared" si="26"/>
        <v/>
      </c>
      <c r="V306" s="301" t="str">
        <f>IFERROR(_xlfn.XLOOKUP($A306,Input_Raw!$A:$A,Input_Raw!$AX:$AX),"")</f>
        <v/>
      </c>
      <c r="W306" s="302" t="str">
        <f t="shared" si="27"/>
        <v/>
      </c>
      <c r="X306" s="294" t="str">
        <f>IFERROR(_xlfn.XLOOKUP($A306,Input_Raw!$A:$A,Input_Raw!$AA:$AA),"")</f>
        <v/>
      </c>
      <c r="Y306" s="294" t="str">
        <f>IFERROR(_xlfn.XLOOKUP($A306,Input_Raw!$A:$A,Input_Raw!$AS:$AS),"")</f>
        <v/>
      </c>
      <c r="Z306" s="294"/>
      <c r="AA306" s="294" t="str">
        <f>IFERROR(_xlfn.XLOOKUP($A306,Input_Raw!$A:$A,Input_Raw!$AT:$AT),"")</f>
        <v/>
      </c>
      <c r="AB306" s="294" t="str">
        <f>IFERROR(_xlfn.XLOOKUP($A306,Input_Raw!$A:$A,Input_Raw!$AU:$AU),"")</f>
        <v/>
      </c>
      <c r="AC306" s="303">
        <f>IFERROR(_xlfn.XLOOKUP($D306,'Modelling New'!$D:$D,'Modelling New'!P:P),"")</f>
        <v>5.6322580645161286</v>
      </c>
      <c r="AD306" s="294">
        <f>IFERROR(_xlfn.XLOOKUP($D306,'Modelling New'!$D:$D,'Modelling New'!T:T)*1000,"")</f>
        <v>661640.34620924492</v>
      </c>
      <c r="AE306" s="304">
        <f>IFERROR(_xlfn.XLOOKUP($D306,'Modelling New'!$D:$D,'Modelling New'!$O:$O),"")</f>
        <v>0.87017312513200951</v>
      </c>
      <c r="AF306" s="304">
        <f>IFERROR(_xlfn.XLOOKUP($D306,'Modelling New'!$D:$D,'Modelling New'!$W:$W),"")</f>
        <v>0.2042099833979151</v>
      </c>
      <c r="AG306" s="304">
        <f>IFERROR(_xlfn.XLOOKUP($D306,'Modelling New'!$D:$D,'Modelling New'!$AE:$AE),"")</f>
        <v>0.995</v>
      </c>
      <c r="AH306" s="304">
        <f>IFERROR(_xlfn.XLOOKUP($D306,'Modelling New'!$D:$D,'Modelling New'!$AF:$AF),"")</f>
        <v>0.995</v>
      </c>
      <c r="AI306" s="295"/>
      <c r="AJ306" s="295"/>
      <c r="AK306" s="295"/>
      <c r="AL306" s="295"/>
      <c r="AM306" s="295"/>
      <c r="AN306" s="305"/>
      <c r="AO306" s="302"/>
      <c r="AP306" s="302"/>
      <c r="AQ306" s="302"/>
      <c r="AR306" s="294">
        <f>_xlfn.XLOOKUP($D306,'Modelling New'!$D:$D,'Modelling New'!$N:$N)</f>
        <v>135</v>
      </c>
      <c r="AS306" s="294" t="str">
        <f t="shared" si="28"/>
        <v/>
      </c>
    </row>
    <row r="307" spans="1:45">
      <c r="A307" s="293">
        <f t="shared" si="29"/>
        <v>46050</v>
      </c>
      <c r="B307" s="294">
        <f>YEAR(Daily_KPI[[#This Row],[Date]])+IF(MONTH(Daily_KPI[[#This Row],[Date]])&gt;=4,1,0)</f>
        <v>2026</v>
      </c>
      <c r="C307" s="295">
        <f>YEAR(Daily_KPI[[#This Row],[Date]])</f>
        <v>2026</v>
      </c>
      <c r="D307" s="296">
        <f>Daily_KPI[[#This Row],[Date]]-DAY(Daily_KPI[[#This Row],[Date]])+1</f>
        <v>46023</v>
      </c>
      <c r="E307" s="295">
        <f t="shared" si="25"/>
        <v>31</v>
      </c>
      <c r="F307" s="297" t="str">
        <f>IFERROR(_xlfn.XLOOKUP($A307,Input_Raw!$A:$A,Input_Raw!$AR:$AR),"")</f>
        <v/>
      </c>
      <c r="G307" s="298" t="str">
        <f>IFERROR(_xlfn.XLOOKUP($A307,Input_Raw!$A:$A,Input_Raw!$R:$R),"")</f>
        <v/>
      </c>
      <c r="H307" s="298"/>
      <c r="I307" s="298" t="str">
        <f>IFERROR(_xlfn.XLOOKUP($A307,Input_Raw!$A:$A,Input_Raw!$Q:$Q),"")</f>
        <v/>
      </c>
      <c r="J307" s="298"/>
      <c r="K307" s="298" t="str">
        <f>IFERROR(_xlfn.XLOOKUP($A307,Input_Raw!$A:$A,Input_Raw!S:S),"")</f>
        <v/>
      </c>
      <c r="L307" s="298" t="str">
        <f>IFERROR(_xlfn.XLOOKUP($A307,Input_Raw!$A:$A,Input_Raw!T:T),"")</f>
        <v/>
      </c>
      <c r="M307" s="298" t="str">
        <f>IFERROR(_xlfn.XLOOKUP($A307,Input_Raw!$A:$A,Input_Raw!W:W),"")</f>
        <v/>
      </c>
      <c r="N307" s="298" t="str">
        <f>IFERROR(_xlfn.XLOOKUP($A307,Input_Raw!$A:$A,Input_Raw!X:X),"")</f>
        <v/>
      </c>
      <c r="O307" s="299" t="str">
        <f>IFERROR(1-(SUMIF(Plant_BD!$B:$B,$A307,Plant_BD!$AL:$AL)/($AA307+SUMIF(Plant_BD!$B:$B,$A307,Plant_BD!$AL:$AL))),"")</f>
        <v/>
      </c>
      <c r="P307" s="299"/>
      <c r="Q307" s="300"/>
      <c r="R307" s="299" t="str">
        <f>IFERROR(1-(SUMIF(Grid_BD!$B:$B,$A307,Grid_BD!$V:$V)/($AA307+SUMIF(Grid_BD!$B:$B,$A307,Grid_BD!$V:$V))),"")</f>
        <v/>
      </c>
      <c r="S307" s="295"/>
      <c r="T307" s="300"/>
      <c r="U307" s="301" t="str">
        <f t="shared" si="26"/>
        <v/>
      </c>
      <c r="V307" s="301" t="str">
        <f>IFERROR(_xlfn.XLOOKUP($A307,Input_Raw!$A:$A,Input_Raw!$AX:$AX),"")</f>
        <v/>
      </c>
      <c r="W307" s="302" t="str">
        <f t="shared" si="27"/>
        <v/>
      </c>
      <c r="X307" s="294" t="str">
        <f>IFERROR(_xlfn.XLOOKUP($A307,Input_Raw!$A:$A,Input_Raw!$AA:$AA),"")</f>
        <v/>
      </c>
      <c r="Y307" s="294" t="str">
        <f>IFERROR(_xlfn.XLOOKUP($A307,Input_Raw!$A:$A,Input_Raw!$AS:$AS),"")</f>
        <v/>
      </c>
      <c r="Z307" s="294"/>
      <c r="AA307" s="294" t="str">
        <f>IFERROR(_xlfn.XLOOKUP($A307,Input_Raw!$A:$A,Input_Raw!$AT:$AT),"")</f>
        <v/>
      </c>
      <c r="AB307" s="294" t="str">
        <f>IFERROR(_xlfn.XLOOKUP($A307,Input_Raw!$A:$A,Input_Raw!$AU:$AU),"")</f>
        <v/>
      </c>
      <c r="AC307" s="303">
        <f>IFERROR(_xlfn.XLOOKUP($D307,'Modelling New'!$D:$D,'Modelling New'!P:P),"")</f>
        <v>5.6322580645161286</v>
      </c>
      <c r="AD307" s="294">
        <f>IFERROR(_xlfn.XLOOKUP($D307,'Modelling New'!$D:$D,'Modelling New'!T:T)*1000,"")</f>
        <v>661640.34620924492</v>
      </c>
      <c r="AE307" s="304">
        <f>IFERROR(_xlfn.XLOOKUP($D307,'Modelling New'!$D:$D,'Modelling New'!$O:$O),"")</f>
        <v>0.87017312513200951</v>
      </c>
      <c r="AF307" s="304">
        <f>IFERROR(_xlfn.XLOOKUP($D307,'Modelling New'!$D:$D,'Modelling New'!$W:$W),"")</f>
        <v>0.2042099833979151</v>
      </c>
      <c r="AG307" s="304">
        <f>IFERROR(_xlfn.XLOOKUP($D307,'Modelling New'!$D:$D,'Modelling New'!$AE:$AE),"")</f>
        <v>0.995</v>
      </c>
      <c r="AH307" s="304">
        <f>IFERROR(_xlfn.XLOOKUP($D307,'Modelling New'!$D:$D,'Modelling New'!$AF:$AF),"")</f>
        <v>0.995</v>
      </c>
      <c r="AI307" s="295"/>
      <c r="AJ307" s="295"/>
      <c r="AK307" s="295"/>
      <c r="AL307" s="295"/>
      <c r="AM307" s="295"/>
      <c r="AN307" s="305"/>
      <c r="AO307" s="302"/>
      <c r="AP307" s="302"/>
      <c r="AQ307" s="302"/>
      <c r="AR307" s="294">
        <f>_xlfn.XLOOKUP($D307,'Modelling New'!$D:$D,'Modelling New'!$N:$N)</f>
        <v>135</v>
      </c>
      <c r="AS307" s="294" t="str">
        <f t="shared" si="28"/>
        <v/>
      </c>
    </row>
    <row r="308" spans="1:45">
      <c r="A308" s="293">
        <f t="shared" si="29"/>
        <v>46051</v>
      </c>
      <c r="B308" s="294">
        <f>YEAR(Daily_KPI[[#This Row],[Date]])+IF(MONTH(Daily_KPI[[#This Row],[Date]])&gt;=4,1,0)</f>
        <v>2026</v>
      </c>
      <c r="C308" s="295">
        <f>YEAR(Daily_KPI[[#This Row],[Date]])</f>
        <v>2026</v>
      </c>
      <c r="D308" s="296">
        <f>Daily_KPI[[#This Row],[Date]]-DAY(Daily_KPI[[#This Row],[Date]])+1</f>
        <v>46023</v>
      </c>
      <c r="E308" s="295">
        <f t="shared" si="25"/>
        <v>31</v>
      </c>
      <c r="F308" s="297" t="str">
        <f>IFERROR(_xlfn.XLOOKUP($A308,Input_Raw!$A:$A,Input_Raw!$AR:$AR),"")</f>
        <v/>
      </c>
      <c r="G308" s="298" t="str">
        <f>IFERROR(_xlfn.XLOOKUP($A308,Input_Raw!$A:$A,Input_Raw!$R:$R),"")</f>
        <v/>
      </c>
      <c r="H308" s="298"/>
      <c r="I308" s="298" t="str">
        <f>IFERROR(_xlfn.XLOOKUP($A308,Input_Raw!$A:$A,Input_Raw!$Q:$Q),"")</f>
        <v/>
      </c>
      <c r="J308" s="298"/>
      <c r="K308" s="298" t="str">
        <f>IFERROR(_xlfn.XLOOKUP($A308,Input_Raw!$A:$A,Input_Raw!S:S),"")</f>
        <v/>
      </c>
      <c r="L308" s="298" t="str">
        <f>IFERROR(_xlfn.XLOOKUP($A308,Input_Raw!$A:$A,Input_Raw!T:T),"")</f>
        <v/>
      </c>
      <c r="M308" s="298" t="str">
        <f>IFERROR(_xlfn.XLOOKUP($A308,Input_Raw!$A:$A,Input_Raw!W:W),"")</f>
        <v/>
      </c>
      <c r="N308" s="298" t="str">
        <f>IFERROR(_xlfn.XLOOKUP($A308,Input_Raw!$A:$A,Input_Raw!X:X),"")</f>
        <v/>
      </c>
      <c r="O308" s="299" t="str">
        <f>IFERROR(1-(SUMIF(Plant_BD!$B:$B,$A308,Plant_BD!$AL:$AL)/($AA308+SUMIF(Plant_BD!$B:$B,$A308,Plant_BD!$AL:$AL))),"")</f>
        <v/>
      </c>
      <c r="P308" s="299"/>
      <c r="Q308" s="300"/>
      <c r="R308" s="299" t="str">
        <f>IFERROR(1-(SUMIF(Grid_BD!$B:$B,$A308,Grid_BD!$V:$V)/($AA308+SUMIF(Grid_BD!$B:$B,$A308,Grid_BD!$V:$V))),"")</f>
        <v/>
      </c>
      <c r="S308" s="295"/>
      <c r="T308" s="300"/>
      <c r="U308" s="301" t="str">
        <f t="shared" si="26"/>
        <v/>
      </c>
      <c r="V308" s="301" t="str">
        <f>IFERROR(_xlfn.XLOOKUP($A308,Input_Raw!$A:$A,Input_Raw!$AX:$AX),"")</f>
        <v/>
      </c>
      <c r="W308" s="302" t="str">
        <f t="shared" si="27"/>
        <v/>
      </c>
      <c r="X308" s="294" t="str">
        <f>IFERROR(_xlfn.XLOOKUP($A308,Input_Raw!$A:$A,Input_Raw!$AA:$AA),"")</f>
        <v/>
      </c>
      <c r="Y308" s="294" t="str">
        <f>IFERROR(_xlfn.XLOOKUP($A308,Input_Raw!$A:$A,Input_Raw!$AS:$AS),"")</f>
        <v/>
      </c>
      <c r="Z308" s="294"/>
      <c r="AA308" s="294" t="str">
        <f>IFERROR(_xlfn.XLOOKUP($A308,Input_Raw!$A:$A,Input_Raw!$AT:$AT),"")</f>
        <v/>
      </c>
      <c r="AB308" s="294" t="str">
        <f>IFERROR(_xlfn.XLOOKUP($A308,Input_Raw!$A:$A,Input_Raw!$AU:$AU),"")</f>
        <v/>
      </c>
      <c r="AC308" s="303">
        <f>IFERROR(_xlfn.XLOOKUP($D308,'Modelling New'!$D:$D,'Modelling New'!P:P),"")</f>
        <v>5.6322580645161286</v>
      </c>
      <c r="AD308" s="294">
        <f>IFERROR(_xlfn.XLOOKUP($D308,'Modelling New'!$D:$D,'Modelling New'!T:T)*1000,"")</f>
        <v>661640.34620924492</v>
      </c>
      <c r="AE308" s="304">
        <f>IFERROR(_xlfn.XLOOKUP($D308,'Modelling New'!$D:$D,'Modelling New'!$O:$O),"")</f>
        <v>0.87017312513200951</v>
      </c>
      <c r="AF308" s="304">
        <f>IFERROR(_xlfn.XLOOKUP($D308,'Modelling New'!$D:$D,'Modelling New'!$W:$W),"")</f>
        <v>0.2042099833979151</v>
      </c>
      <c r="AG308" s="304">
        <f>IFERROR(_xlfn.XLOOKUP($D308,'Modelling New'!$D:$D,'Modelling New'!$AE:$AE),"")</f>
        <v>0.995</v>
      </c>
      <c r="AH308" s="304">
        <f>IFERROR(_xlfn.XLOOKUP($D308,'Modelling New'!$D:$D,'Modelling New'!$AF:$AF),"")</f>
        <v>0.995</v>
      </c>
      <c r="AI308" s="295"/>
      <c r="AJ308" s="295"/>
      <c r="AK308" s="295"/>
      <c r="AL308" s="295"/>
      <c r="AM308" s="295"/>
      <c r="AN308" s="305"/>
      <c r="AO308" s="302"/>
      <c r="AP308" s="302"/>
      <c r="AQ308" s="302"/>
      <c r="AR308" s="294">
        <f>_xlfn.XLOOKUP($D308,'Modelling New'!$D:$D,'Modelling New'!$N:$N)</f>
        <v>135</v>
      </c>
      <c r="AS308" s="294" t="str">
        <f t="shared" si="28"/>
        <v/>
      </c>
    </row>
    <row r="309" spans="1:45">
      <c r="A309" s="293">
        <f t="shared" si="29"/>
        <v>46052</v>
      </c>
      <c r="B309" s="294">
        <f>YEAR(Daily_KPI[[#This Row],[Date]])+IF(MONTH(Daily_KPI[[#This Row],[Date]])&gt;=4,1,0)</f>
        <v>2026</v>
      </c>
      <c r="C309" s="295">
        <f>YEAR(Daily_KPI[[#This Row],[Date]])</f>
        <v>2026</v>
      </c>
      <c r="D309" s="296">
        <f>Daily_KPI[[#This Row],[Date]]-DAY(Daily_KPI[[#This Row],[Date]])+1</f>
        <v>46023</v>
      </c>
      <c r="E309" s="295">
        <f t="shared" si="25"/>
        <v>31</v>
      </c>
      <c r="F309" s="297" t="str">
        <f>IFERROR(_xlfn.XLOOKUP($A309,Input_Raw!$A:$A,Input_Raw!$AR:$AR),"")</f>
        <v/>
      </c>
      <c r="G309" s="298" t="str">
        <f>IFERROR(_xlfn.XLOOKUP($A309,Input_Raw!$A:$A,Input_Raw!$R:$R),"")</f>
        <v/>
      </c>
      <c r="H309" s="298"/>
      <c r="I309" s="298" t="str">
        <f>IFERROR(_xlfn.XLOOKUP($A309,Input_Raw!$A:$A,Input_Raw!$Q:$Q),"")</f>
        <v/>
      </c>
      <c r="J309" s="298"/>
      <c r="K309" s="298" t="str">
        <f>IFERROR(_xlfn.XLOOKUP($A309,Input_Raw!$A:$A,Input_Raw!S:S),"")</f>
        <v/>
      </c>
      <c r="L309" s="298" t="str">
        <f>IFERROR(_xlfn.XLOOKUP($A309,Input_Raw!$A:$A,Input_Raw!T:T),"")</f>
        <v/>
      </c>
      <c r="M309" s="298" t="str">
        <f>IFERROR(_xlfn.XLOOKUP($A309,Input_Raw!$A:$A,Input_Raw!W:W),"")</f>
        <v/>
      </c>
      <c r="N309" s="298" t="str">
        <f>IFERROR(_xlfn.XLOOKUP($A309,Input_Raw!$A:$A,Input_Raw!X:X),"")</f>
        <v/>
      </c>
      <c r="O309" s="299" t="str">
        <f>IFERROR(1-(SUMIF(Plant_BD!$B:$B,$A309,Plant_BD!$AL:$AL)/($AA309+SUMIF(Plant_BD!$B:$B,$A309,Plant_BD!$AL:$AL))),"")</f>
        <v/>
      </c>
      <c r="P309" s="299"/>
      <c r="Q309" s="300"/>
      <c r="R309" s="299" t="str">
        <f>IFERROR(1-(SUMIF(Grid_BD!$B:$B,$A309,Grid_BD!$V:$V)/($AA309+SUMIF(Grid_BD!$B:$B,$A309,Grid_BD!$V:$V))),"")</f>
        <v/>
      </c>
      <c r="S309" s="295"/>
      <c r="T309" s="300"/>
      <c r="U309" s="301" t="str">
        <f t="shared" si="26"/>
        <v/>
      </c>
      <c r="V309" s="301" t="str">
        <f>IFERROR(_xlfn.XLOOKUP($A309,Input_Raw!$A:$A,Input_Raw!$AX:$AX),"")</f>
        <v/>
      </c>
      <c r="W309" s="302" t="str">
        <f t="shared" si="27"/>
        <v/>
      </c>
      <c r="X309" s="294" t="str">
        <f>IFERROR(_xlfn.XLOOKUP($A309,Input_Raw!$A:$A,Input_Raw!$AA:$AA),"")</f>
        <v/>
      </c>
      <c r="Y309" s="294" t="str">
        <f>IFERROR(_xlfn.XLOOKUP($A309,Input_Raw!$A:$A,Input_Raw!$AS:$AS),"")</f>
        <v/>
      </c>
      <c r="Z309" s="294"/>
      <c r="AA309" s="294" t="str">
        <f>IFERROR(_xlfn.XLOOKUP($A309,Input_Raw!$A:$A,Input_Raw!$AT:$AT),"")</f>
        <v/>
      </c>
      <c r="AB309" s="294" t="str">
        <f>IFERROR(_xlfn.XLOOKUP($A309,Input_Raw!$A:$A,Input_Raw!$AU:$AU),"")</f>
        <v/>
      </c>
      <c r="AC309" s="303">
        <f>IFERROR(_xlfn.XLOOKUP($D309,'Modelling New'!$D:$D,'Modelling New'!P:P),"")</f>
        <v>5.6322580645161286</v>
      </c>
      <c r="AD309" s="294">
        <f>IFERROR(_xlfn.XLOOKUP($D309,'Modelling New'!$D:$D,'Modelling New'!T:T)*1000,"")</f>
        <v>661640.34620924492</v>
      </c>
      <c r="AE309" s="304">
        <f>IFERROR(_xlfn.XLOOKUP($D309,'Modelling New'!$D:$D,'Modelling New'!$O:$O),"")</f>
        <v>0.87017312513200951</v>
      </c>
      <c r="AF309" s="304">
        <f>IFERROR(_xlfn.XLOOKUP($D309,'Modelling New'!$D:$D,'Modelling New'!$W:$W),"")</f>
        <v>0.2042099833979151</v>
      </c>
      <c r="AG309" s="304">
        <f>IFERROR(_xlfn.XLOOKUP($D309,'Modelling New'!$D:$D,'Modelling New'!$AE:$AE),"")</f>
        <v>0.995</v>
      </c>
      <c r="AH309" s="304">
        <f>IFERROR(_xlfn.XLOOKUP($D309,'Modelling New'!$D:$D,'Modelling New'!$AF:$AF),"")</f>
        <v>0.995</v>
      </c>
      <c r="AI309" s="295"/>
      <c r="AJ309" s="295"/>
      <c r="AK309" s="295"/>
      <c r="AL309" s="295"/>
      <c r="AM309" s="295"/>
      <c r="AN309" s="305"/>
      <c r="AO309" s="302"/>
      <c r="AP309" s="302"/>
      <c r="AQ309" s="302"/>
      <c r="AR309" s="294">
        <f>_xlfn.XLOOKUP($D309,'Modelling New'!$D:$D,'Modelling New'!$N:$N)</f>
        <v>135</v>
      </c>
      <c r="AS309" s="294" t="str">
        <f t="shared" si="28"/>
        <v/>
      </c>
    </row>
    <row r="310" spans="1:45">
      <c r="A310" s="293">
        <f t="shared" si="29"/>
        <v>46053</v>
      </c>
      <c r="B310" s="294">
        <f>YEAR(Daily_KPI[[#This Row],[Date]])+IF(MONTH(Daily_KPI[[#This Row],[Date]])&gt;=4,1,0)</f>
        <v>2026</v>
      </c>
      <c r="C310" s="295">
        <f>YEAR(Daily_KPI[[#This Row],[Date]])</f>
        <v>2026</v>
      </c>
      <c r="D310" s="296">
        <f>Daily_KPI[[#This Row],[Date]]-DAY(Daily_KPI[[#This Row],[Date]])+1</f>
        <v>46023</v>
      </c>
      <c r="E310" s="295">
        <f t="shared" si="25"/>
        <v>31</v>
      </c>
      <c r="F310" s="297" t="str">
        <f>IFERROR(_xlfn.XLOOKUP($A310,Input_Raw!$A:$A,Input_Raw!$AR:$AR),"")</f>
        <v/>
      </c>
      <c r="G310" s="298" t="str">
        <f>IFERROR(_xlfn.XLOOKUP($A310,Input_Raw!$A:$A,Input_Raw!$R:$R),"")</f>
        <v/>
      </c>
      <c r="H310" s="298"/>
      <c r="I310" s="298" t="str">
        <f>IFERROR(_xlfn.XLOOKUP($A310,Input_Raw!$A:$A,Input_Raw!$Q:$Q),"")</f>
        <v/>
      </c>
      <c r="J310" s="298"/>
      <c r="K310" s="298" t="str">
        <f>IFERROR(_xlfn.XLOOKUP($A310,Input_Raw!$A:$A,Input_Raw!S:S),"")</f>
        <v/>
      </c>
      <c r="L310" s="298" t="str">
        <f>IFERROR(_xlfn.XLOOKUP($A310,Input_Raw!$A:$A,Input_Raw!T:T),"")</f>
        <v/>
      </c>
      <c r="M310" s="298" t="str">
        <f>IFERROR(_xlfn.XLOOKUP($A310,Input_Raw!$A:$A,Input_Raw!W:W),"")</f>
        <v/>
      </c>
      <c r="N310" s="298" t="str">
        <f>IFERROR(_xlfn.XLOOKUP($A310,Input_Raw!$A:$A,Input_Raw!X:X),"")</f>
        <v/>
      </c>
      <c r="O310" s="299" t="str">
        <f>IFERROR(1-(SUMIF(Plant_BD!$B:$B,$A310,Plant_BD!$AL:$AL)/($AA310+SUMIF(Plant_BD!$B:$B,$A310,Plant_BD!$AL:$AL))),"")</f>
        <v/>
      </c>
      <c r="P310" s="299"/>
      <c r="Q310" s="300"/>
      <c r="R310" s="299" t="str">
        <f>IFERROR(1-(SUMIF(Grid_BD!$B:$B,$A310,Grid_BD!$V:$V)/($AA310+SUMIF(Grid_BD!$B:$B,$A310,Grid_BD!$V:$V))),"")</f>
        <v/>
      </c>
      <c r="S310" s="295"/>
      <c r="T310" s="300"/>
      <c r="U310" s="301" t="str">
        <f t="shared" si="26"/>
        <v/>
      </c>
      <c r="V310" s="301" t="str">
        <f>IFERROR(_xlfn.XLOOKUP($A310,Input_Raw!$A:$A,Input_Raw!$AX:$AX),"")</f>
        <v/>
      </c>
      <c r="W310" s="302" t="str">
        <f t="shared" si="27"/>
        <v/>
      </c>
      <c r="X310" s="294" t="str">
        <f>IFERROR(_xlfn.XLOOKUP($A310,Input_Raw!$A:$A,Input_Raw!$AA:$AA),"")</f>
        <v/>
      </c>
      <c r="Y310" s="294" t="str">
        <f>IFERROR(_xlfn.XLOOKUP($A310,Input_Raw!$A:$A,Input_Raw!$AS:$AS),"")</f>
        <v/>
      </c>
      <c r="Z310" s="294"/>
      <c r="AA310" s="294" t="str">
        <f>IFERROR(_xlfn.XLOOKUP($A310,Input_Raw!$A:$A,Input_Raw!$AT:$AT),"")</f>
        <v/>
      </c>
      <c r="AB310" s="294" t="str">
        <f>IFERROR(_xlfn.XLOOKUP($A310,Input_Raw!$A:$A,Input_Raw!$AU:$AU),"")</f>
        <v/>
      </c>
      <c r="AC310" s="303">
        <f>IFERROR(_xlfn.XLOOKUP($D310,'Modelling New'!$D:$D,'Modelling New'!P:P),"")</f>
        <v>5.6322580645161286</v>
      </c>
      <c r="AD310" s="294">
        <f>IFERROR(_xlfn.XLOOKUP($D310,'Modelling New'!$D:$D,'Modelling New'!T:T)*1000,"")</f>
        <v>661640.34620924492</v>
      </c>
      <c r="AE310" s="304">
        <f>IFERROR(_xlfn.XLOOKUP($D310,'Modelling New'!$D:$D,'Modelling New'!$O:$O),"")</f>
        <v>0.87017312513200951</v>
      </c>
      <c r="AF310" s="304">
        <f>IFERROR(_xlfn.XLOOKUP($D310,'Modelling New'!$D:$D,'Modelling New'!$W:$W),"")</f>
        <v>0.2042099833979151</v>
      </c>
      <c r="AG310" s="304">
        <f>IFERROR(_xlfn.XLOOKUP($D310,'Modelling New'!$D:$D,'Modelling New'!$AE:$AE),"")</f>
        <v>0.995</v>
      </c>
      <c r="AH310" s="304">
        <f>IFERROR(_xlfn.XLOOKUP($D310,'Modelling New'!$D:$D,'Modelling New'!$AF:$AF),"")</f>
        <v>0.995</v>
      </c>
      <c r="AI310" s="295"/>
      <c r="AJ310" s="295"/>
      <c r="AK310" s="295"/>
      <c r="AL310" s="295"/>
      <c r="AM310" s="295"/>
      <c r="AN310" s="305"/>
      <c r="AO310" s="302"/>
      <c r="AP310" s="302"/>
      <c r="AQ310" s="302"/>
      <c r="AR310" s="294">
        <f>_xlfn.XLOOKUP($D310,'Modelling New'!$D:$D,'Modelling New'!$N:$N)</f>
        <v>135</v>
      </c>
      <c r="AS310" s="294" t="str">
        <f t="shared" si="28"/>
        <v/>
      </c>
    </row>
    <row r="311" spans="1:45">
      <c r="A311" s="293">
        <f t="shared" si="29"/>
        <v>46054</v>
      </c>
      <c r="B311" s="294">
        <f>YEAR(Daily_KPI[[#This Row],[Date]])+IF(MONTH(Daily_KPI[[#This Row],[Date]])&gt;=4,1,0)</f>
        <v>2026</v>
      </c>
      <c r="C311" s="295">
        <f>YEAR(Daily_KPI[[#This Row],[Date]])</f>
        <v>2026</v>
      </c>
      <c r="D311" s="296">
        <f>Daily_KPI[[#This Row],[Date]]-DAY(Daily_KPI[[#This Row],[Date]])+1</f>
        <v>46054</v>
      </c>
      <c r="E311" s="295">
        <f t="shared" si="25"/>
        <v>28</v>
      </c>
      <c r="F311" s="297" t="str">
        <f>IFERROR(_xlfn.XLOOKUP($A311,Input_Raw!$A:$A,Input_Raw!$AR:$AR),"")</f>
        <v/>
      </c>
      <c r="G311" s="298" t="str">
        <f>IFERROR(_xlfn.XLOOKUP($A311,Input_Raw!$A:$A,Input_Raw!$R:$R),"")</f>
        <v/>
      </c>
      <c r="H311" s="298"/>
      <c r="I311" s="298" t="str">
        <f>IFERROR(_xlfn.XLOOKUP($A311,Input_Raw!$A:$A,Input_Raw!$Q:$Q),"")</f>
        <v/>
      </c>
      <c r="J311" s="298"/>
      <c r="K311" s="298" t="str">
        <f>IFERROR(_xlfn.XLOOKUP($A311,Input_Raw!$A:$A,Input_Raw!S:S),"")</f>
        <v/>
      </c>
      <c r="L311" s="298" t="str">
        <f>IFERROR(_xlfn.XLOOKUP($A311,Input_Raw!$A:$A,Input_Raw!T:T),"")</f>
        <v/>
      </c>
      <c r="M311" s="298" t="str">
        <f>IFERROR(_xlfn.XLOOKUP($A311,Input_Raw!$A:$A,Input_Raw!W:W),"")</f>
        <v/>
      </c>
      <c r="N311" s="298" t="str">
        <f>IFERROR(_xlfn.XLOOKUP($A311,Input_Raw!$A:$A,Input_Raw!X:X),"")</f>
        <v/>
      </c>
      <c r="O311" s="299" t="str">
        <f>IFERROR(1-(SUMIF(Plant_BD!$B:$B,$A311,Plant_BD!$AL:$AL)/($AA311+SUMIF(Plant_BD!$B:$B,$A311,Plant_BD!$AL:$AL))),"")</f>
        <v/>
      </c>
      <c r="P311" s="299"/>
      <c r="Q311" s="300"/>
      <c r="R311" s="299" t="str">
        <f>IFERROR(1-(SUMIF(Grid_BD!$B:$B,$A311,Grid_BD!$V:$V)/($AA311+SUMIF(Grid_BD!$B:$B,$A311,Grid_BD!$V:$V))),"")</f>
        <v/>
      </c>
      <c r="S311" s="295"/>
      <c r="T311" s="300"/>
      <c r="U311" s="301" t="str">
        <f t="shared" si="26"/>
        <v/>
      </c>
      <c r="V311" s="301" t="str">
        <f>IFERROR(_xlfn.XLOOKUP($A311,Input_Raw!$A:$A,Input_Raw!$AX:$AX),"")</f>
        <v/>
      </c>
      <c r="W311" s="302" t="str">
        <f t="shared" si="27"/>
        <v/>
      </c>
      <c r="X311" s="294" t="str">
        <f>IFERROR(_xlfn.XLOOKUP($A311,Input_Raw!$A:$A,Input_Raw!$AA:$AA),"")</f>
        <v/>
      </c>
      <c r="Y311" s="294" t="str">
        <f>IFERROR(_xlfn.XLOOKUP($A311,Input_Raw!$A:$A,Input_Raw!$AS:$AS),"")</f>
        <v/>
      </c>
      <c r="Z311" s="294"/>
      <c r="AA311" s="294" t="str">
        <f>IFERROR(_xlfn.XLOOKUP($A311,Input_Raw!$A:$A,Input_Raw!$AT:$AT),"")</f>
        <v/>
      </c>
      <c r="AB311" s="294" t="str">
        <f>IFERROR(_xlfn.XLOOKUP($A311,Input_Raw!$A:$A,Input_Raw!$AU:$AU),"")</f>
        <v/>
      </c>
      <c r="AC311" s="303">
        <f>IFERROR(_xlfn.XLOOKUP($D311,'Modelling New'!$D:$D,'Modelling New'!P:P),"")</f>
        <v>6.3607142857142858</v>
      </c>
      <c r="AD311" s="294">
        <f>IFERROR(_xlfn.XLOOKUP($D311,'Modelling New'!$D:$D,'Modelling New'!T:T)*1000,"")</f>
        <v>737121.34795786918</v>
      </c>
      <c r="AE311" s="304">
        <f>IFERROR(_xlfn.XLOOKUP($D311,'Modelling New'!$D:$D,'Modelling New'!$O:$O),"")</f>
        <v>0.85841902147442506</v>
      </c>
      <c r="AF311" s="304">
        <f>IFERROR(_xlfn.XLOOKUP($D311,'Modelling New'!$D:$D,'Modelling New'!$W:$W),"")</f>
        <v>0.22750658887588554</v>
      </c>
      <c r="AG311" s="304">
        <f>IFERROR(_xlfn.XLOOKUP($D311,'Modelling New'!$D:$D,'Modelling New'!$AE:$AE),"")</f>
        <v>0.995</v>
      </c>
      <c r="AH311" s="304">
        <f>IFERROR(_xlfn.XLOOKUP($D311,'Modelling New'!$D:$D,'Modelling New'!$AF:$AF),"")</f>
        <v>0.995</v>
      </c>
      <c r="AI311" s="295"/>
      <c r="AJ311" s="295"/>
      <c r="AK311" s="295"/>
      <c r="AL311" s="295"/>
      <c r="AM311" s="295"/>
      <c r="AN311" s="305"/>
      <c r="AO311" s="302"/>
      <c r="AP311" s="302"/>
      <c r="AQ311" s="302"/>
      <c r="AR311" s="294">
        <f>_xlfn.XLOOKUP($D311,'Modelling New'!$D:$D,'Modelling New'!$N:$N)</f>
        <v>135</v>
      </c>
      <c r="AS311" s="294" t="str">
        <f t="shared" si="28"/>
        <v/>
      </c>
    </row>
    <row r="312" spans="1:45">
      <c r="A312" s="293">
        <f t="shared" si="29"/>
        <v>46055</v>
      </c>
      <c r="B312" s="294">
        <f>YEAR(Daily_KPI[[#This Row],[Date]])+IF(MONTH(Daily_KPI[[#This Row],[Date]])&gt;=4,1,0)</f>
        <v>2026</v>
      </c>
      <c r="C312" s="295">
        <f>YEAR(Daily_KPI[[#This Row],[Date]])</f>
        <v>2026</v>
      </c>
      <c r="D312" s="296">
        <f>Daily_KPI[[#This Row],[Date]]-DAY(Daily_KPI[[#This Row],[Date]])+1</f>
        <v>46054</v>
      </c>
      <c r="E312" s="295">
        <f t="shared" si="25"/>
        <v>28</v>
      </c>
      <c r="F312" s="297" t="str">
        <f>IFERROR(_xlfn.XLOOKUP($A312,Input_Raw!$A:$A,Input_Raw!$AR:$AR),"")</f>
        <v/>
      </c>
      <c r="G312" s="298" t="str">
        <f>IFERROR(_xlfn.XLOOKUP($A312,Input_Raw!$A:$A,Input_Raw!$R:$R),"")</f>
        <v/>
      </c>
      <c r="H312" s="298"/>
      <c r="I312" s="298" t="str">
        <f>IFERROR(_xlfn.XLOOKUP($A312,Input_Raw!$A:$A,Input_Raw!$Q:$Q),"")</f>
        <v/>
      </c>
      <c r="J312" s="298"/>
      <c r="K312" s="298" t="str">
        <f>IFERROR(_xlfn.XLOOKUP($A312,Input_Raw!$A:$A,Input_Raw!S:S),"")</f>
        <v/>
      </c>
      <c r="L312" s="298" t="str">
        <f>IFERROR(_xlfn.XLOOKUP($A312,Input_Raw!$A:$A,Input_Raw!T:T),"")</f>
        <v/>
      </c>
      <c r="M312" s="298" t="str">
        <f>IFERROR(_xlfn.XLOOKUP($A312,Input_Raw!$A:$A,Input_Raw!W:W),"")</f>
        <v/>
      </c>
      <c r="N312" s="298" t="str">
        <f>IFERROR(_xlfn.XLOOKUP($A312,Input_Raw!$A:$A,Input_Raw!X:X),"")</f>
        <v/>
      </c>
      <c r="O312" s="299" t="str">
        <f>IFERROR(1-(SUMIF(Plant_BD!$B:$B,$A312,Plant_BD!$AL:$AL)/($AA312+SUMIF(Plant_BD!$B:$B,$A312,Plant_BD!$AL:$AL))),"")</f>
        <v/>
      </c>
      <c r="P312" s="299"/>
      <c r="Q312" s="300"/>
      <c r="R312" s="299" t="str">
        <f>IFERROR(1-(SUMIF(Grid_BD!$B:$B,$A312,Grid_BD!$V:$V)/($AA312+SUMIF(Grid_BD!$B:$B,$A312,Grid_BD!$V:$V))),"")</f>
        <v/>
      </c>
      <c r="S312" s="295"/>
      <c r="T312" s="300"/>
      <c r="U312" s="301" t="str">
        <f t="shared" si="26"/>
        <v/>
      </c>
      <c r="V312" s="301" t="str">
        <f>IFERROR(_xlfn.XLOOKUP($A312,Input_Raw!$A:$A,Input_Raw!$AX:$AX),"")</f>
        <v/>
      </c>
      <c r="W312" s="302" t="str">
        <f t="shared" si="27"/>
        <v/>
      </c>
      <c r="X312" s="294" t="str">
        <f>IFERROR(_xlfn.XLOOKUP($A312,Input_Raw!$A:$A,Input_Raw!$AA:$AA),"")</f>
        <v/>
      </c>
      <c r="Y312" s="294" t="str">
        <f>IFERROR(_xlfn.XLOOKUP($A312,Input_Raw!$A:$A,Input_Raw!$AS:$AS),"")</f>
        <v/>
      </c>
      <c r="Z312" s="294"/>
      <c r="AA312" s="294" t="str">
        <f>IFERROR(_xlfn.XLOOKUP($A312,Input_Raw!$A:$A,Input_Raw!$AT:$AT),"")</f>
        <v/>
      </c>
      <c r="AB312" s="294" t="str">
        <f>IFERROR(_xlfn.XLOOKUP($A312,Input_Raw!$A:$A,Input_Raw!$AU:$AU),"")</f>
        <v/>
      </c>
      <c r="AC312" s="303">
        <f>IFERROR(_xlfn.XLOOKUP($D312,'Modelling New'!$D:$D,'Modelling New'!P:P),"")</f>
        <v>6.3607142857142858</v>
      </c>
      <c r="AD312" s="294">
        <f>IFERROR(_xlfn.XLOOKUP($D312,'Modelling New'!$D:$D,'Modelling New'!T:T)*1000,"")</f>
        <v>737121.34795786918</v>
      </c>
      <c r="AE312" s="304">
        <f>IFERROR(_xlfn.XLOOKUP($D312,'Modelling New'!$D:$D,'Modelling New'!$O:$O),"")</f>
        <v>0.85841902147442506</v>
      </c>
      <c r="AF312" s="304">
        <f>IFERROR(_xlfn.XLOOKUP($D312,'Modelling New'!$D:$D,'Modelling New'!$W:$W),"")</f>
        <v>0.22750658887588554</v>
      </c>
      <c r="AG312" s="304">
        <f>IFERROR(_xlfn.XLOOKUP($D312,'Modelling New'!$D:$D,'Modelling New'!$AE:$AE),"")</f>
        <v>0.995</v>
      </c>
      <c r="AH312" s="304">
        <f>IFERROR(_xlfn.XLOOKUP($D312,'Modelling New'!$D:$D,'Modelling New'!$AF:$AF),"")</f>
        <v>0.995</v>
      </c>
      <c r="AI312" s="295"/>
      <c r="AJ312" s="295"/>
      <c r="AK312" s="295"/>
      <c r="AL312" s="295"/>
      <c r="AM312" s="295"/>
      <c r="AN312" s="305"/>
      <c r="AO312" s="302"/>
      <c r="AP312" s="302"/>
      <c r="AQ312" s="302"/>
      <c r="AR312" s="294">
        <f>_xlfn.XLOOKUP($D312,'Modelling New'!$D:$D,'Modelling New'!$N:$N)</f>
        <v>135</v>
      </c>
      <c r="AS312" s="294" t="str">
        <f t="shared" si="28"/>
        <v/>
      </c>
    </row>
    <row r="313" spans="1:45">
      <c r="A313" s="293">
        <f t="shared" si="29"/>
        <v>46056</v>
      </c>
      <c r="B313" s="294">
        <f>YEAR(Daily_KPI[[#This Row],[Date]])+IF(MONTH(Daily_KPI[[#This Row],[Date]])&gt;=4,1,0)</f>
        <v>2026</v>
      </c>
      <c r="C313" s="295">
        <f>YEAR(Daily_KPI[[#This Row],[Date]])</f>
        <v>2026</v>
      </c>
      <c r="D313" s="296">
        <f>Daily_KPI[[#This Row],[Date]]-DAY(Daily_KPI[[#This Row],[Date]])+1</f>
        <v>46054</v>
      </c>
      <c r="E313" s="295">
        <f t="shared" si="25"/>
        <v>28</v>
      </c>
      <c r="F313" s="297" t="str">
        <f>IFERROR(_xlfn.XLOOKUP($A313,Input_Raw!$A:$A,Input_Raw!$AR:$AR),"")</f>
        <v/>
      </c>
      <c r="G313" s="298" t="str">
        <f>IFERROR(_xlfn.XLOOKUP($A313,Input_Raw!$A:$A,Input_Raw!$R:$R),"")</f>
        <v/>
      </c>
      <c r="H313" s="298"/>
      <c r="I313" s="298" t="str">
        <f>IFERROR(_xlfn.XLOOKUP($A313,Input_Raw!$A:$A,Input_Raw!$Q:$Q),"")</f>
        <v/>
      </c>
      <c r="J313" s="298"/>
      <c r="K313" s="298" t="str">
        <f>IFERROR(_xlfn.XLOOKUP($A313,Input_Raw!$A:$A,Input_Raw!S:S),"")</f>
        <v/>
      </c>
      <c r="L313" s="298" t="str">
        <f>IFERROR(_xlfn.XLOOKUP($A313,Input_Raw!$A:$A,Input_Raw!T:T),"")</f>
        <v/>
      </c>
      <c r="M313" s="298" t="str">
        <f>IFERROR(_xlfn.XLOOKUP($A313,Input_Raw!$A:$A,Input_Raw!W:W),"")</f>
        <v/>
      </c>
      <c r="N313" s="298" t="str">
        <f>IFERROR(_xlfn.XLOOKUP($A313,Input_Raw!$A:$A,Input_Raw!X:X),"")</f>
        <v/>
      </c>
      <c r="O313" s="299" t="str">
        <f>IFERROR(1-(SUMIF(Plant_BD!$B:$B,$A313,Plant_BD!$AL:$AL)/($AA313+SUMIF(Plant_BD!$B:$B,$A313,Plant_BD!$AL:$AL))),"")</f>
        <v/>
      </c>
      <c r="P313" s="299"/>
      <c r="Q313" s="300"/>
      <c r="R313" s="299" t="str">
        <f>IFERROR(1-(SUMIF(Grid_BD!$B:$B,$A313,Grid_BD!$V:$V)/($AA313+SUMIF(Grid_BD!$B:$B,$A313,Grid_BD!$V:$V))),"")</f>
        <v/>
      </c>
      <c r="S313" s="295"/>
      <c r="T313" s="300"/>
      <c r="U313" s="301" t="str">
        <f t="shared" si="26"/>
        <v/>
      </c>
      <c r="V313" s="301" t="str">
        <f>IFERROR(_xlfn.XLOOKUP($A313,Input_Raw!$A:$A,Input_Raw!$AX:$AX),"")</f>
        <v/>
      </c>
      <c r="W313" s="302" t="str">
        <f t="shared" si="27"/>
        <v/>
      </c>
      <c r="X313" s="294" t="str">
        <f>IFERROR(_xlfn.XLOOKUP($A313,Input_Raw!$A:$A,Input_Raw!$AA:$AA),"")</f>
        <v/>
      </c>
      <c r="Y313" s="294" t="str">
        <f>IFERROR(_xlfn.XLOOKUP($A313,Input_Raw!$A:$A,Input_Raw!$AS:$AS),"")</f>
        <v/>
      </c>
      <c r="Z313" s="294"/>
      <c r="AA313" s="294" t="str">
        <f>IFERROR(_xlfn.XLOOKUP($A313,Input_Raw!$A:$A,Input_Raw!$AT:$AT),"")</f>
        <v/>
      </c>
      <c r="AB313" s="294" t="str">
        <f>IFERROR(_xlfn.XLOOKUP($A313,Input_Raw!$A:$A,Input_Raw!$AU:$AU),"")</f>
        <v/>
      </c>
      <c r="AC313" s="303">
        <f>IFERROR(_xlfn.XLOOKUP($D313,'Modelling New'!$D:$D,'Modelling New'!P:P),"")</f>
        <v>6.3607142857142858</v>
      </c>
      <c r="AD313" s="294">
        <f>IFERROR(_xlfn.XLOOKUP($D313,'Modelling New'!$D:$D,'Modelling New'!T:T)*1000,"")</f>
        <v>737121.34795786918</v>
      </c>
      <c r="AE313" s="304">
        <f>IFERROR(_xlfn.XLOOKUP($D313,'Modelling New'!$D:$D,'Modelling New'!$O:$O),"")</f>
        <v>0.85841902147442506</v>
      </c>
      <c r="AF313" s="304">
        <f>IFERROR(_xlfn.XLOOKUP($D313,'Modelling New'!$D:$D,'Modelling New'!$W:$W),"")</f>
        <v>0.22750658887588554</v>
      </c>
      <c r="AG313" s="304">
        <f>IFERROR(_xlfn.XLOOKUP($D313,'Modelling New'!$D:$D,'Modelling New'!$AE:$AE),"")</f>
        <v>0.995</v>
      </c>
      <c r="AH313" s="304">
        <f>IFERROR(_xlfn.XLOOKUP($D313,'Modelling New'!$D:$D,'Modelling New'!$AF:$AF),"")</f>
        <v>0.995</v>
      </c>
      <c r="AI313" s="295"/>
      <c r="AJ313" s="295"/>
      <c r="AK313" s="295"/>
      <c r="AL313" s="295"/>
      <c r="AM313" s="295"/>
      <c r="AN313" s="305"/>
      <c r="AO313" s="302"/>
      <c r="AP313" s="302"/>
      <c r="AQ313" s="302"/>
      <c r="AR313" s="294">
        <f>_xlfn.XLOOKUP($D313,'Modelling New'!$D:$D,'Modelling New'!$N:$N)</f>
        <v>135</v>
      </c>
      <c r="AS313" s="294" t="str">
        <f t="shared" si="28"/>
        <v/>
      </c>
    </row>
    <row r="314" spans="1:45">
      <c r="A314" s="293">
        <f t="shared" si="29"/>
        <v>46057</v>
      </c>
      <c r="B314" s="294">
        <f>YEAR(Daily_KPI[[#This Row],[Date]])+IF(MONTH(Daily_KPI[[#This Row],[Date]])&gt;=4,1,0)</f>
        <v>2026</v>
      </c>
      <c r="C314" s="295">
        <f>YEAR(Daily_KPI[[#This Row],[Date]])</f>
        <v>2026</v>
      </c>
      <c r="D314" s="296">
        <f>Daily_KPI[[#This Row],[Date]]-DAY(Daily_KPI[[#This Row],[Date]])+1</f>
        <v>46054</v>
      </c>
      <c r="E314" s="295">
        <f t="shared" si="25"/>
        <v>28</v>
      </c>
      <c r="F314" s="297" t="str">
        <f>IFERROR(_xlfn.XLOOKUP($A314,Input_Raw!$A:$A,Input_Raw!$AR:$AR),"")</f>
        <v/>
      </c>
      <c r="G314" s="298" t="str">
        <f>IFERROR(_xlfn.XLOOKUP($A314,Input_Raw!$A:$A,Input_Raw!$R:$R),"")</f>
        <v/>
      </c>
      <c r="H314" s="298"/>
      <c r="I314" s="298" t="str">
        <f>IFERROR(_xlfn.XLOOKUP($A314,Input_Raw!$A:$A,Input_Raw!$Q:$Q),"")</f>
        <v/>
      </c>
      <c r="J314" s="298"/>
      <c r="K314" s="298" t="str">
        <f>IFERROR(_xlfn.XLOOKUP($A314,Input_Raw!$A:$A,Input_Raw!S:S),"")</f>
        <v/>
      </c>
      <c r="L314" s="298" t="str">
        <f>IFERROR(_xlfn.XLOOKUP($A314,Input_Raw!$A:$A,Input_Raw!T:T),"")</f>
        <v/>
      </c>
      <c r="M314" s="298" t="str">
        <f>IFERROR(_xlfn.XLOOKUP($A314,Input_Raw!$A:$A,Input_Raw!W:W),"")</f>
        <v/>
      </c>
      <c r="N314" s="298" t="str">
        <f>IFERROR(_xlfn.XLOOKUP($A314,Input_Raw!$A:$A,Input_Raw!X:X),"")</f>
        <v/>
      </c>
      <c r="O314" s="299" t="str">
        <f>IFERROR(1-(SUMIF(Plant_BD!$B:$B,$A314,Plant_BD!$AL:$AL)/($AA314+SUMIF(Plant_BD!$B:$B,$A314,Plant_BD!$AL:$AL))),"")</f>
        <v/>
      </c>
      <c r="P314" s="299"/>
      <c r="Q314" s="300"/>
      <c r="R314" s="299" t="str">
        <f>IFERROR(1-(SUMIF(Grid_BD!$B:$B,$A314,Grid_BD!$V:$V)/($AA314+SUMIF(Grid_BD!$B:$B,$A314,Grid_BD!$V:$V))),"")</f>
        <v/>
      </c>
      <c r="S314" s="295"/>
      <c r="T314" s="300"/>
      <c r="U314" s="301" t="str">
        <f t="shared" si="26"/>
        <v/>
      </c>
      <c r="V314" s="301" t="str">
        <f>IFERROR(_xlfn.XLOOKUP($A314,Input_Raw!$A:$A,Input_Raw!$AX:$AX),"")</f>
        <v/>
      </c>
      <c r="W314" s="302" t="str">
        <f t="shared" si="27"/>
        <v/>
      </c>
      <c r="X314" s="294" t="str">
        <f>IFERROR(_xlfn.XLOOKUP($A314,Input_Raw!$A:$A,Input_Raw!$AA:$AA),"")</f>
        <v/>
      </c>
      <c r="Y314" s="294" t="str">
        <f>IFERROR(_xlfn.XLOOKUP($A314,Input_Raw!$A:$A,Input_Raw!$AS:$AS),"")</f>
        <v/>
      </c>
      <c r="Z314" s="294"/>
      <c r="AA314" s="294" t="str">
        <f>IFERROR(_xlfn.XLOOKUP($A314,Input_Raw!$A:$A,Input_Raw!$AT:$AT),"")</f>
        <v/>
      </c>
      <c r="AB314" s="294" t="str">
        <f>IFERROR(_xlfn.XLOOKUP($A314,Input_Raw!$A:$A,Input_Raw!$AU:$AU),"")</f>
        <v/>
      </c>
      <c r="AC314" s="303">
        <f>IFERROR(_xlfn.XLOOKUP($D314,'Modelling New'!$D:$D,'Modelling New'!P:P),"")</f>
        <v>6.3607142857142858</v>
      </c>
      <c r="AD314" s="294">
        <f>IFERROR(_xlfn.XLOOKUP($D314,'Modelling New'!$D:$D,'Modelling New'!T:T)*1000,"")</f>
        <v>737121.34795786918</v>
      </c>
      <c r="AE314" s="304">
        <f>IFERROR(_xlfn.XLOOKUP($D314,'Modelling New'!$D:$D,'Modelling New'!$O:$O),"")</f>
        <v>0.85841902147442506</v>
      </c>
      <c r="AF314" s="304">
        <f>IFERROR(_xlfn.XLOOKUP($D314,'Modelling New'!$D:$D,'Modelling New'!$W:$W),"")</f>
        <v>0.22750658887588554</v>
      </c>
      <c r="AG314" s="304">
        <f>IFERROR(_xlfn.XLOOKUP($D314,'Modelling New'!$D:$D,'Modelling New'!$AE:$AE),"")</f>
        <v>0.995</v>
      </c>
      <c r="AH314" s="304">
        <f>IFERROR(_xlfn.XLOOKUP($D314,'Modelling New'!$D:$D,'Modelling New'!$AF:$AF),"")</f>
        <v>0.995</v>
      </c>
      <c r="AI314" s="295"/>
      <c r="AJ314" s="295"/>
      <c r="AK314" s="295"/>
      <c r="AL314" s="295"/>
      <c r="AM314" s="295"/>
      <c r="AN314" s="305"/>
      <c r="AO314" s="302"/>
      <c r="AP314" s="302"/>
      <c r="AQ314" s="302"/>
      <c r="AR314" s="294">
        <f>_xlfn.XLOOKUP($D314,'Modelling New'!$D:$D,'Modelling New'!$N:$N)</f>
        <v>135</v>
      </c>
      <c r="AS314" s="294" t="str">
        <f t="shared" si="28"/>
        <v/>
      </c>
    </row>
    <row r="315" spans="1:45">
      <c r="A315" s="293">
        <f t="shared" si="29"/>
        <v>46058</v>
      </c>
      <c r="B315" s="294">
        <f>YEAR(Daily_KPI[[#This Row],[Date]])+IF(MONTH(Daily_KPI[[#This Row],[Date]])&gt;=4,1,0)</f>
        <v>2026</v>
      </c>
      <c r="C315" s="295">
        <f>YEAR(Daily_KPI[[#This Row],[Date]])</f>
        <v>2026</v>
      </c>
      <c r="D315" s="296">
        <f>Daily_KPI[[#This Row],[Date]]-DAY(Daily_KPI[[#This Row],[Date]])+1</f>
        <v>46054</v>
      </c>
      <c r="E315" s="295">
        <f t="shared" si="25"/>
        <v>28</v>
      </c>
      <c r="F315" s="297" t="str">
        <f>IFERROR(_xlfn.XLOOKUP($A315,Input_Raw!$A:$A,Input_Raw!$AR:$AR),"")</f>
        <v/>
      </c>
      <c r="G315" s="298" t="str">
        <f>IFERROR(_xlfn.XLOOKUP($A315,Input_Raw!$A:$A,Input_Raw!$R:$R),"")</f>
        <v/>
      </c>
      <c r="H315" s="298"/>
      <c r="I315" s="298" t="str">
        <f>IFERROR(_xlfn.XLOOKUP($A315,Input_Raw!$A:$A,Input_Raw!$Q:$Q),"")</f>
        <v/>
      </c>
      <c r="J315" s="298"/>
      <c r="K315" s="298" t="str">
        <f>IFERROR(_xlfn.XLOOKUP($A315,Input_Raw!$A:$A,Input_Raw!S:S),"")</f>
        <v/>
      </c>
      <c r="L315" s="298" t="str">
        <f>IFERROR(_xlfn.XLOOKUP($A315,Input_Raw!$A:$A,Input_Raw!T:T),"")</f>
        <v/>
      </c>
      <c r="M315" s="298" t="str">
        <f>IFERROR(_xlfn.XLOOKUP($A315,Input_Raw!$A:$A,Input_Raw!W:W),"")</f>
        <v/>
      </c>
      <c r="N315" s="298" t="str">
        <f>IFERROR(_xlfn.XLOOKUP($A315,Input_Raw!$A:$A,Input_Raw!X:X),"")</f>
        <v/>
      </c>
      <c r="O315" s="299" t="str">
        <f>IFERROR(1-(SUMIF(Plant_BD!$B:$B,$A315,Plant_BD!$AL:$AL)/($AA315+SUMIF(Plant_BD!$B:$B,$A315,Plant_BD!$AL:$AL))),"")</f>
        <v/>
      </c>
      <c r="P315" s="299"/>
      <c r="Q315" s="300"/>
      <c r="R315" s="299" t="str">
        <f>IFERROR(1-(SUMIF(Grid_BD!$B:$B,$A315,Grid_BD!$V:$V)/($AA315+SUMIF(Grid_BD!$B:$B,$A315,Grid_BD!$V:$V))),"")</f>
        <v/>
      </c>
      <c r="S315" s="295"/>
      <c r="T315" s="300"/>
      <c r="U315" s="301" t="str">
        <f t="shared" si="26"/>
        <v/>
      </c>
      <c r="V315" s="301" t="str">
        <f>IFERROR(_xlfn.XLOOKUP($A315,Input_Raw!$A:$A,Input_Raw!$AX:$AX),"")</f>
        <v/>
      </c>
      <c r="W315" s="302" t="str">
        <f t="shared" si="27"/>
        <v/>
      </c>
      <c r="X315" s="294" t="str">
        <f>IFERROR(_xlfn.XLOOKUP($A315,Input_Raw!$A:$A,Input_Raw!$AA:$AA),"")</f>
        <v/>
      </c>
      <c r="Y315" s="294" t="str">
        <f>IFERROR(_xlfn.XLOOKUP($A315,Input_Raw!$A:$A,Input_Raw!$AS:$AS),"")</f>
        <v/>
      </c>
      <c r="Z315" s="294"/>
      <c r="AA315" s="294" t="str">
        <f>IFERROR(_xlfn.XLOOKUP($A315,Input_Raw!$A:$A,Input_Raw!$AT:$AT),"")</f>
        <v/>
      </c>
      <c r="AB315" s="294" t="str">
        <f>IFERROR(_xlfn.XLOOKUP($A315,Input_Raw!$A:$A,Input_Raw!$AU:$AU),"")</f>
        <v/>
      </c>
      <c r="AC315" s="303">
        <f>IFERROR(_xlfn.XLOOKUP($D315,'Modelling New'!$D:$D,'Modelling New'!P:P),"")</f>
        <v>6.3607142857142858</v>
      </c>
      <c r="AD315" s="294">
        <f>IFERROR(_xlfn.XLOOKUP($D315,'Modelling New'!$D:$D,'Modelling New'!T:T)*1000,"")</f>
        <v>737121.34795786918</v>
      </c>
      <c r="AE315" s="304">
        <f>IFERROR(_xlfn.XLOOKUP($D315,'Modelling New'!$D:$D,'Modelling New'!$O:$O),"")</f>
        <v>0.85841902147442506</v>
      </c>
      <c r="AF315" s="304">
        <f>IFERROR(_xlfn.XLOOKUP($D315,'Modelling New'!$D:$D,'Modelling New'!$W:$W),"")</f>
        <v>0.22750658887588554</v>
      </c>
      <c r="AG315" s="304">
        <f>IFERROR(_xlfn.XLOOKUP($D315,'Modelling New'!$D:$D,'Modelling New'!$AE:$AE),"")</f>
        <v>0.995</v>
      </c>
      <c r="AH315" s="304">
        <f>IFERROR(_xlfn.XLOOKUP($D315,'Modelling New'!$D:$D,'Modelling New'!$AF:$AF),"")</f>
        <v>0.995</v>
      </c>
      <c r="AI315" s="295"/>
      <c r="AJ315" s="295"/>
      <c r="AK315" s="295"/>
      <c r="AL315" s="295"/>
      <c r="AM315" s="295"/>
      <c r="AN315" s="305"/>
      <c r="AO315" s="302"/>
      <c r="AP315" s="302"/>
      <c r="AQ315" s="302"/>
      <c r="AR315" s="294">
        <f>_xlfn.XLOOKUP($D315,'Modelling New'!$D:$D,'Modelling New'!$N:$N)</f>
        <v>135</v>
      </c>
      <c r="AS315" s="294" t="str">
        <f t="shared" si="28"/>
        <v/>
      </c>
    </row>
    <row r="316" spans="1:45">
      <c r="A316" s="293">
        <f t="shared" si="29"/>
        <v>46059</v>
      </c>
      <c r="B316" s="294">
        <f>YEAR(Daily_KPI[[#This Row],[Date]])+IF(MONTH(Daily_KPI[[#This Row],[Date]])&gt;=4,1,0)</f>
        <v>2026</v>
      </c>
      <c r="C316" s="295">
        <f>YEAR(Daily_KPI[[#This Row],[Date]])</f>
        <v>2026</v>
      </c>
      <c r="D316" s="296">
        <f>Daily_KPI[[#This Row],[Date]]-DAY(Daily_KPI[[#This Row],[Date]])+1</f>
        <v>46054</v>
      </c>
      <c r="E316" s="295">
        <f t="shared" si="25"/>
        <v>28</v>
      </c>
      <c r="F316" s="297" t="str">
        <f>IFERROR(_xlfn.XLOOKUP($A316,Input_Raw!$A:$A,Input_Raw!$AR:$AR),"")</f>
        <v/>
      </c>
      <c r="G316" s="298" t="str">
        <f>IFERROR(_xlfn.XLOOKUP($A316,Input_Raw!$A:$A,Input_Raw!$R:$R),"")</f>
        <v/>
      </c>
      <c r="H316" s="298"/>
      <c r="I316" s="298" t="str">
        <f>IFERROR(_xlfn.XLOOKUP($A316,Input_Raw!$A:$A,Input_Raw!$Q:$Q),"")</f>
        <v/>
      </c>
      <c r="J316" s="298"/>
      <c r="K316" s="298" t="str">
        <f>IFERROR(_xlfn.XLOOKUP($A316,Input_Raw!$A:$A,Input_Raw!S:S),"")</f>
        <v/>
      </c>
      <c r="L316" s="298" t="str">
        <f>IFERROR(_xlfn.XLOOKUP($A316,Input_Raw!$A:$A,Input_Raw!T:T),"")</f>
        <v/>
      </c>
      <c r="M316" s="298" t="str">
        <f>IFERROR(_xlfn.XLOOKUP($A316,Input_Raw!$A:$A,Input_Raw!W:W),"")</f>
        <v/>
      </c>
      <c r="N316" s="298" t="str">
        <f>IFERROR(_xlfn.XLOOKUP($A316,Input_Raw!$A:$A,Input_Raw!X:X),"")</f>
        <v/>
      </c>
      <c r="O316" s="299" t="str">
        <f>IFERROR(1-(SUMIF(Plant_BD!$B:$B,$A316,Plant_BD!$AL:$AL)/($AA316+SUMIF(Plant_BD!$B:$B,$A316,Plant_BD!$AL:$AL))),"")</f>
        <v/>
      </c>
      <c r="P316" s="299"/>
      <c r="Q316" s="300"/>
      <c r="R316" s="299" t="str">
        <f>IFERROR(1-(SUMIF(Grid_BD!$B:$B,$A316,Grid_BD!$V:$V)/($AA316+SUMIF(Grid_BD!$B:$B,$A316,Grid_BD!$V:$V))),"")</f>
        <v/>
      </c>
      <c r="S316" s="295"/>
      <c r="T316" s="300"/>
      <c r="U316" s="301" t="str">
        <f t="shared" si="26"/>
        <v/>
      </c>
      <c r="V316" s="301" t="str">
        <f>IFERROR(_xlfn.XLOOKUP($A316,Input_Raw!$A:$A,Input_Raw!$AX:$AX),"")</f>
        <v/>
      </c>
      <c r="W316" s="302" t="str">
        <f t="shared" si="27"/>
        <v/>
      </c>
      <c r="X316" s="294" t="str">
        <f>IFERROR(_xlfn.XLOOKUP($A316,Input_Raw!$A:$A,Input_Raw!$AA:$AA),"")</f>
        <v/>
      </c>
      <c r="Y316" s="294" t="str">
        <f>IFERROR(_xlfn.XLOOKUP($A316,Input_Raw!$A:$A,Input_Raw!$AS:$AS),"")</f>
        <v/>
      </c>
      <c r="Z316" s="294"/>
      <c r="AA316" s="294" t="str">
        <f>IFERROR(_xlfn.XLOOKUP($A316,Input_Raw!$A:$A,Input_Raw!$AT:$AT),"")</f>
        <v/>
      </c>
      <c r="AB316" s="294" t="str">
        <f>IFERROR(_xlfn.XLOOKUP($A316,Input_Raw!$A:$A,Input_Raw!$AU:$AU),"")</f>
        <v/>
      </c>
      <c r="AC316" s="303">
        <f>IFERROR(_xlfn.XLOOKUP($D316,'Modelling New'!$D:$D,'Modelling New'!P:P),"")</f>
        <v>6.3607142857142858</v>
      </c>
      <c r="AD316" s="294">
        <f>IFERROR(_xlfn.XLOOKUP($D316,'Modelling New'!$D:$D,'Modelling New'!T:T)*1000,"")</f>
        <v>737121.34795786918</v>
      </c>
      <c r="AE316" s="304">
        <f>IFERROR(_xlfn.XLOOKUP($D316,'Modelling New'!$D:$D,'Modelling New'!$O:$O),"")</f>
        <v>0.85841902147442506</v>
      </c>
      <c r="AF316" s="304">
        <f>IFERROR(_xlfn.XLOOKUP($D316,'Modelling New'!$D:$D,'Modelling New'!$W:$W),"")</f>
        <v>0.22750658887588554</v>
      </c>
      <c r="AG316" s="304">
        <f>IFERROR(_xlfn.XLOOKUP($D316,'Modelling New'!$D:$D,'Modelling New'!$AE:$AE),"")</f>
        <v>0.995</v>
      </c>
      <c r="AH316" s="304">
        <f>IFERROR(_xlfn.XLOOKUP($D316,'Modelling New'!$D:$D,'Modelling New'!$AF:$AF),"")</f>
        <v>0.995</v>
      </c>
      <c r="AI316" s="295"/>
      <c r="AJ316" s="295"/>
      <c r="AK316" s="295"/>
      <c r="AL316" s="295"/>
      <c r="AM316" s="295"/>
      <c r="AN316" s="305"/>
      <c r="AO316" s="302"/>
      <c r="AP316" s="302"/>
      <c r="AQ316" s="302"/>
      <c r="AR316" s="294">
        <f>_xlfn.XLOOKUP($D316,'Modelling New'!$D:$D,'Modelling New'!$N:$N)</f>
        <v>135</v>
      </c>
      <c r="AS316" s="294" t="str">
        <f t="shared" si="28"/>
        <v/>
      </c>
    </row>
    <row r="317" spans="1:45">
      <c r="A317" s="293">
        <f t="shared" si="29"/>
        <v>46060</v>
      </c>
      <c r="B317" s="294">
        <f>YEAR(Daily_KPI[[#This Row],[Date]])+IF(MONTH(Daily_KPI[[#This Row],[Date]])&gt;=4,1,0)</f>
        <v>2026</v>
      </c>
      <c r="C317" s="295">
        <f>YEAR(Daily_KPI[[#This Row],[Date]])</f>
        <v>2026</v>
      </c>
      <c r="D317" s="296">
        <f>Daily_KPI[[#This Row],[Date]]-DAY(Daily_KPI[[#This Row],[Date]])+1</f>
        <v>46054</v>
      </c>
      <c r="E317" s="295">
        <f t="shared" si="25"/>
        <v>28</v>
      </c>
      <c r="F317" s="297" t="str">
        <f>IFERROR(_xlfn.XLOOKUP($A317,Input_Raw!$A:$A,Input_Raw!$AR:$AR),"")</f>
        <v/>
      </c>
      <c r="G317" s="298" t="str">
        <f>IFERROR(_xlfn.XLOOKUP($A317,Input_Raw!$A:$A,Input_Raw!$R:$R),"")</f>
        <v/>
      </c>
      <c r="H317" s="298"/>
      <c r="I317" s="298" t="str">
        <f>IFERROR(_xlfn.XLOOKUP($A317,Input_Raw!$A:$A,Input_Raw!$Q:$Q),"")</f>
        <v/>
      </c>
      <c r="J317" s="298"/>
      <c r="K317" s="298" t="str">
        <f>IFERROR(_xlfn.XLOOKUP($A317,Input_Raw!$A:$A,Input_Raw!S:S),"")</f>
        <v/>
      </c>
      <c r="L317" s="298" t="str">
        <f>IFERROR(_xlfn.XLOOKUP($A317,Input_Raw!$A:$A,Input_Raw!T:T),"")</f>
        <v/>
      </c>
      <c r="M317" s="298" t="str">
        <f>IFERROR(_xlfn.XLOOKUP($A317,Input_Raw!$A:$A,Input_Raw!W:W),"")</f>
        <v/>
      </c>
      <c r="N317" s="298" t="str">
        <f>IFERROR(_xlfn.XLOOKUP($A317,Input_Raw!$A:$A,Input_Raw!X:X),"")</f>
        <v/>
      </c>
      <c r="O317" s="299" t="str">
        <f>IFERROR(1-(SUMIF(Plant_BD!$B:$B,$A317,Plant_BD!$AL:$AL)/($AA317+SUMIF(Plant_BD!$B:$B,$A317,Plant_BD!$AL:$AL))),"")</f>
        <v/>
      </c>
      <c r="P317" s="299"/>
      <c r="Q317" s="300"/>
      <c r="R317" s="299" t="str">
        <f>IFERROR(1-(SUMIF(Grid_BD!$B:$B,$A317,Grid_BD!$V:$V)/($AA317+SUMIF(Grid_BD!$B:$B,$A317,Grid_BD!$V:$V))),"")</f>
        <v/>
      </c>
      <c r="S317" s="295"/>
      <c r="T317" s="300"/>
      <c r="U317" s="301" t="str">
        <f t="shared" si="26"/>
        <v/>
      </c>
      <c r="V317" s="301" t="str">
        <f>IFERROR(_xlfn.XLOOKUP($A317,Input_Raw!$A:$A,Input_Raw!$AX:$AX),"")</f>
        <v/>
      </c>
      <c r="W317" s="302" t="str">
        <f t="shared" si="27"/>
        <v/>
      </c>
      <c r="X317" s="294" t="str">
        <f>IFERROR(_xlfn.XLOOKUP($A317,Input_Raw!$A:$A,Input_Raw!$AA:$AA),"")</f>
        <v/>
      </c>
      <c r="Y317" s="294" t="str">
        <f>IFERROR(_xlfn.XLOOKUP($A317,Input_Raw!$A:$A,Input_Raw!$AS:$AS),"")</f>
        <v/>
      </c>
      <c r="Z317" s="294"/>
      <c r="AA317" s="294" t="str">
        <f>IFERROR(_xlfn.XLOOKUP($A317,Input_Raw!$A:$A,Input_Raw!$AT:$AT),"")</f>
        <v/>
      </c>
      <c r="AB317" s="294" t="str">
        <f>IFERROR(_xlfn.XLOOKUP($A317,Input_Raw!$A:$A,Input_Raw!$AU:$AU),"")</f>
        <v/>
      </c>
      <c r="AC317" s="303">
        <f>IFERROR(_xlfn.XLOOKUP($D317,'Modelling New'!$D:$D,'Modelling New'!P:P),"")</f>
        <v>6.3607142857142858</v>
      </c>
      <c r="AD317" s="294">
        <f>IFERROR(_xlfn.XLOOKUP($D317,'Modelling New'!$D:$D,'Modelling New'!T:T)*1000,"")</f>
        <v>737121.34795786918</v>
      </c>
      <c r="AE317" s="304">
        <f>IFERROR(_xlfn.XLOOKUP($D317,'Modelling New'!$D:$D,'Modelling New'!$O:$O),"")</f>
        <v>0.85841902147442506</v>
      </c>
      <c r="AF317" s="304">
        <f>IFERROR(_xlfn.XLOOKUP($D317,'Modelling New'!$D:$D,'Modelling New'!$W:$W),"")</f>
        <v>0.22750658887588554</v>
      </c>
      <c r="AG317" s="304">
        <f>IFERROR(_xlfn.XLOOKUP($D317,'Modelling New'!$D:$D,'Modelling New'!$AE:$AE),"")</f>
        <v>0.995</v>
      </c>
      <c r="AH317" s="304">
        <f>IFERROR(_xlfn.XLOOKUP($D317,'Modelling New'!$D:$D,'Modelling New'!$AF:$AF),"")</f>
        <v>0.995</v>
      </c>
      <c r="AI317" s="295"/>
      <c r="AJ317" s="295"/>
      <c r="AK317" s="295"/>
      <c r="AL317" s="295"/>
      <c r="AM317" s="295"/>
      <c r="AN317" s="305"/>
      <c r="AO317" s="302"/>
      <c r="AP317" s="302"/>
      <c r="AQ317" s="302"/>
      <c r="AR317" s="294">
        <f>_xlfn.XLOOKUP($D317,'Modelling New'!$D:$D,'Modelling New'!$N:$N)</f>
        <v>135</v>
      </c>
      <c r="AS317" s="294" t="str">
        <f t="shared" si="28"/>
        <v/>
      </c>
    </row>
    <row r="318" spans="1:45">
      <c r="A318" s="293">
        <f t="shared" si="29"/>
        <v>46061</v>
      </c>
      <c r="B318" s="294">
        <f>YEAR(Daily_KPI[[#This Row],[Date]])+IF(MONTH(Daily_KPI[[#This Row],[Date]])&gt;=4,1,0)</f>
        <v>2026</v>
      </c>
      <c r="C318" s="295">
        <f>YEAR(Daily_KPI[[#This Row],[Date]])</f>
        <v>2026</v>
      </c>
      <c r="D318" s="296">
        <f>Daily_KPI[[#This Row],[Date]]-DAY(Daily_KPI[[#This Row],[Date]])+1</f>
        <v>46054</v>
      </c>
      <c r="E318" s="295">
        <f t="shared" si="25"/>
        <v>28</v>
      </c>
      <c r="F318" s="297" t="str">
        <f>IFERROR(_xlfn.XLOOKUP($A318,Input_Raw!$A:$A,Input_Raw!$AR:$AR),"")</f>
        <v/>
      </c>
      <c r="G318" s="298" t="str">
        <f>IFERROR(_xlfn.XLOOKUP($A318,Input_Raw!$A:$A,Input_Raw!$R:$R),"")</f>
        <v/>
      </c>
      <c r="H318" s="298"/>
      <c r="I318" s="298" t="str">
        <f>IFERROR(_xlfn.XLOOKUP($A318,Input_Raw!$A:$A,Input_Raw!$Q:$Q),"")</f>
        <v/>
      </c>
      <c r="J318" s="298"/>
      <c r="K318" s="298" t="str">
        <f>IFERROR(_xlfn.XLOOKUP($A318,Input_Raw!$A:$A,Input_Raw!S:S),"")</f>
        <v/>
      </c>
      <c r="L318" s="298" t="str">
        <f>IFERROR(_xlfn.XLOOKUP($A318,Input_Raw!$A:$A,Input_Raw!T:T),"")</f>
        <v/>
      </c>
      <c r="M318" s="298" t="str">
        <f>IFERROR(_xlfn.XLOOKUP($A318,Input_Raw!$A:$A,Input_Raw!W:W),"")</f>
        <v/>
      </c>
      <c r="N318" s="298" t="str">
        <f>IFERROR(_xlfn.XLOOKUP($A318,Input_Raw!$A:$A,Input_Raw!X:X),"")</f>
        <v/>
      </c>
      <c r="O318" s="299" t="str">
        <f>IFERROR(1-(SUMIF(Plant_BD!$B:$B,$A318,Plant_BD!$AL:$AL)/($AA318+SUMIF(Plant_BD!$B:$B,$A318,Plant_BD!$AL:$AL))),"")</f>
        <v/>
      </c>
      <c r="P318" s="299"/>
      <c r="Q318" s="300"/>
      <c r="R318" s="299" t="str">
        <f>IFERROR(1-(SUMIF(Grid_BD!$B:$B,$A318,Grid_BD!$V:$V)/($AA318+SUMIF(Grid_BD!$B:$B,$A318,Grid_BD!$V:$V))),"")</f>
        <v/>
      </c>
      <c r="S318" s="295"/>
      <c r="T318" s="300"/>
      <c r="U318" s="301" t="str">
        <f t="shared" si="26"/>
        <v/>
      </c>
      <c r="V318" s="301" t="str">
        <f>IFERROR(_xlfn.XLOOKUP($A318,Input_Raw!$A:$A,Input_Raw!$AX:$AX),"")</f>
        <v/>
      </c>
      <c r="W318" s="302" t="str">
        <f t="shared" si="27"/>
        <v/>
      </c>
      <c r="X318" s="294" t="str">
        <f>IFERROR(_xlfn.XLOOKUP($A318,Input_Raw!$A:$A,Input_Raw!$AA:$AA),"")</f>
        <v/>
      </c>
      <c r="Y318" s="294" t="str">
        <f>IFERROR(_xlfn.XLOOKUP($A318,Input_Raw!$A:$A,Input_Raw!$AS:$AS),"")</f>
        <v/>
      </c>
      <c r="Z318" s="294"/>
      <c r="AA318" s="294" t="str">
        <f>IFERROR(_xlfn.XLOOKUP($A318,Input_Raw!$A:$A,Input_Raw!$AT:$AT),"")</f>
        <v/>
      </c>
      <c r="AB318" s="294" t="str">
        <f>IFERROR(_xlfn.XLOOKUP($A318,Input_Raw!$A:$A,Input_Raw!$AU:$AU),"")</f>
        <v/>
      </c>
      <c r="AC318" s="303">
        <f>IFERROR(_xlfn.XLOOKUP($D318,'Modelling New'!$D:$D,'Modelling New'!P:P),"")</f>
        <v>6.3607142857142858</v>
      </c>
      <c r="AD318" s="294">
        <f>IFERROR(_xlfn.XLOOKUP($D318,'Modelling New'!$D:$D,'Modelling New'!T:T)*1000,"")</f>
        <v>737121.34795786918</v>
      </c>
      <c r="AE318" s="304">
        <f>IFERROR(_xlfn.XLOOKUP($D318,'Modelling New'!$D:$D,'Modelling New'!$O:$O),"")</f>
        <v>0.85841902147442506</v>
      </c>
      <c r="AF318" s="304">
        <f>IFERROR(_xlfn.XLOOKUP($D318,'Modelling New'!$D:$D,'Modelling New'!$W:$W),"")</f>
        <v>0.22750658887588554</v>
      </c>
      <c r="AG318" s="304">
        <f>IFERROR(_xlfn.XLOOKUP($D318,'Modelling New'!$D:$D,'Modelling New'!$AE:$AE),"")</f>
        <v>0.995</v>
      </c>
      <c r="AH318" s="304">
        <f>IFERROR(_xlfn.XLOOKUP($D318,'Modelling New'!$D:$D,'Modelling New'!$AF:$AF),"")</f>
        <v>0.995</v>
      </c>
      <c r="AI318" s="295"/>
      <c r="AJ318" s="295"/>
      <c r="AK318" s="295"/>
      <c r="AL318" s="295"/>
      <c r="AM318" s="295"/>
      <c r="AN318" s="305"/>
      <c r="AO318" s="302"/>
      <c r="AP318" s="302"/>
      <c r="AQ318" s="302"/>
      <c r="AR318" s="294">
        <f>_xlfn.XLOOKUP($D318,'Modelling New'!$D:$D,'Modelling New'!$N:$N)</f>
        <v>135</v>
      </c>
      <c r="AS318" s="294" t="str">
        <f t="shared" si="28"/>
        <v/>
      </c>
    </row>
    <row r="319" spans="1:45">
      <c r="A319" s="293">
        <f t="shared" si="29"/>
        <v>46062</v>
      </c>
      <c r="B319" s="294">
        <f>YEAR(Daily_KPI[[#This Row],[Date]])+IF(MONTH(Daily_KPI[[#This Row],[Date]])&gt;=4,1,0)</f>
        <v>2026</v>
      </c>
      <c r="C319" s="295">
        <f>YEAR(Daily_KPI[[#This Row],[Date]])</f>
        <v>2026</v>
      </c>
      <c r="D319" s="296">
        <f>Daily_KPI[[#This Row],[Date]]-DAY(Daily_KPI[[#This Row],[Date]])+1</f>
        <v>46054</v>
      </c>
      <c r="E319" s="295">
        <f t="shared" si="25"/>
        <v>28</v>
      </c>
      <c r="F319" s="297" t="str">
        <f>IFERROR(_xlfn.XLOOKUP($A319,Input_Raw!$A:$A,Input_Raw!$AR:$AR),"")</f>
        <v/>
      </c>
      <c r="G319" s="298" t="str">
        <f>IFERROR(_xlfn.XLOOKUP($A319,Input_Raw!$A:$A,Input_Raw!$R:$R),"")</f>
        <v/>
      </c>
      <c r="H319" s="298"/>
      <c r="I319" s="298" t="str">
        <f>IFERROR(_xlfn.XLOOKUP($A319,Input_Raw!$A:$A,Input_Raw!$Q:$Q),"")</f>
        <v/>
      </c>
      <c r="J319" s="298"/>
      <c r="K319" s="298" t="str">
        <f>IFERROR(_xlfn.XLOOKUP($A319,Input_Raw!$A:$A,Input_Raw!S:S),"")</f>
        <v/>
      </c>
      <c r="L319" s="298" t="str">
        <f>IFERROR(_xlfn.XLOOKUP($A319,Input_Raw!$A:$A,Input_Raw!T:T),"")</f>
        <v/>
      </c>
      <c r="M319" s="298" t="str">
        <f>IFERROR(_xlfn.XLOOKUP($A319,Input_Raw!$A:$A,Input_Raw!W:W),"")</f>
        <v/>
      </c>
      <c r="N319" s="298" t="str">
        <f>IFERROR(_xlfn.XLOOKUP($A319,Input_Raw!$A:$A,Input_Raw!X:X),"")</f>
        <v/>
      </c>
      <c r="O319" s="299" t="str">
        <f>IFERROR(1-(SUMIF(Plant_BD!$B:$B,$A319,Plant_BD!$AL:$AL)/($AA319+SUMIF(Plant_BD!$B:$B,$A319,Plant_BD!$AL:$AL))),"")</f>
        <v/>
      </c>
      <c r="P319" s="299"/>
      <c r="Q319" s="300"/>
      <c r="R319" s="299" t="str">
        <f>IFERROR(1-(SUMIF(Grid_BD!$B:$B,$A319,Grid_BD!$V:$V)/($AA319+SUMIF(Grid_BD!$B:$B,$A319,Grid_BD!$V:$V))),"")</f>
        <v/>
      </c>
      <c r="S319" s="295"/>
      <c r="T319" s="300"/>
      <c r="U319" s="301" t="str">
        <f t="shared" si="26"/>
        <v/>
      </c>
      <c r="V319" s="301" t="str">
        <f>IFERROR(_xlfn.XLOOKUP($A319,Input_Raw!$A:$A,Input_Raw!$AX:$AX),"")</f>
        <v/>
      </c>
      <c r="W319" s="302" t="str">
        <f t="shared" si="27"/>
        <v/>
      </c>
      <c r="X319" s="294" t="str">
        <f>IFERROR(_xlfn.XLOOKUP($A319,Input_Raw!$A:$A,Input_Raw!$AA:$AA),"")</f>
        <v/>
      </c>
      <c r="Y319" s="294" t="str">
        <f>IFERROR(_xlfn.XLOOKUP($A319,Input_Raw!$A:$A,Input_Raw!$AS:$AS),"")</f>
        <v/>
      </c>
      <c r="Z319" s="294"/>
      <c r="AA319" s="294" t="str">
        <f>IFERROR(_xlfn.XLOOKUP($A319,Input_Raw!$A:$A,Input_Raw!$AT:$AT),"")</f>
        <v/>
      </c>
      <c r="AB319" s="294" t="str">
        <f>IFERROR(_xlfn.XLOOKUP($A319,Input_Raw!$A:$A,Input_Raw!$AU:$AU),"")</f>
        <v/>
      </c>
      <c r="AC319" s="303">
        <f>IFERROR(_xlfn.XLOOKUP($D319,'Modelling New'!$D:$D,'Modelling New'!P:P),"")</f>
        <v>6.3607142857142858</v>
      </c>
      <c r="AD319" s="294">
        <f>IFERROR(_xlfn.XLOOKUP($D319,'Modelling New'!$D:$D,'Modelling New'!T:T)*1000,"")</f>
        <v>737121.34795786918</v>
      </c>
      <c r="AE319" s="304">
        <f>IFERROR(_xlfn.XLOOKUP($D319,'Modelling New'!$D:$D,'Modelling New'!$O:$O),"")</f>
        <v>0.85841902147442506</v>
      </c>
      <c r="AF319" s="304">
        <f>IFERROR(_xlfn.XLOOKUP($D319,'Modelling New'!$D:$D,'Modelling New'!$W:$W),"")</f>
        <v>0.22750658887588554</v>
      </c>
      <c r="AG319" s="304">
        <f>IFERROR(_xlfn.XLOOKUP($D319,'Modelling New'!$D:$D,'Modelling New'!$AE:$AE),"")</f>
        <v>0.995</v>
      </c>
      <c r="AH319" s="304">
        <f>IFERROR(_xlfn.XLOOKUP($D319,'Modelling New'!$D:$D,'Modelling New'!$AF:$AF),"")</f>
        <v>0.995</v>
      </c>
      <c r="AI319" s="295"/>
      <c r="AJ319" s="295"/>
      <c r="AK319" s="295"/>
      <c r="AL319" s="295"/>
      <c r="AM319" s="295"/>
      <c r="AN319" s="305"/>
      <c r="AO319" s="302"/>
      <c r="AP319" s="302"/>
      <c r="AQ319" s="302"/>
      <c r="AR319" s="294">
        <f>_xlfn.XLOOKUP($D319,'Modelling New'!$D:$D,'Modelling New'!$N:$N)</f>
        <v>135</v>
      </c>
      <c r="AS319" s="294" t="str">
        <f t="shared" si="28"/>
        <v/>
      </c>
    </row>
    <row r="320" spans="1:45">
      <c r="A320" s="293">
        <f t="shared" si="29"/>
        <v>46063</v>
      </c>
      <c r="B320" s="294">
        <f>YEAR(Daily_KPI[[#This Row],[Date]])+IF(MONTH(Daily_KPI[[#This Row],[Date]])&gt;=4,1,0)</f>
        <v>2026</v>
      </c>
      <c r="C320" s="295">
        <f>YEAR(Daily_KPI[[#This Row],[Date]])</f>
        <v>2026</v>
      </c>
      <c r="D320" s="296">
        <f>Daily_KPI[[#This Row],[Date]]-DAY(Daily_KPI[[#This Row],[Date]])+1</f>
        <v>46054</v>
      </c>
      <c r="E320" s="295">
        <f t="shared" si="25"/>
        <v>28</v>
      </c>
      <c r="F320" s="297" t="str">
        <f>IFERROR(_xlfn.XLOOKUP($A320,Input_Raw!$A:$A,Input_Raw!$AR:$AR),"")</f>
        <v/>
      </c>
      <c r="G320" s="298" t="str">
        <f>IFERROR(_xlfn.XLOOKUP($A320,Input_Raw!$A:$A,Input_Raw!$R:$R),"")</f>
        <v/>
      </c>
      <c r="H320" s="298"/>
      <c r="I320" s="298" t="str">
        <f>IFERROR(_xlfn.XLOOKUP($A320,Input_Raw!$A:$A,Input_Raw!$Q:$Q),"")</f>
        <v/>
      </c>
      <c r="J320" s="298"/>
      <c r="K320" s="298" t="str">
        <f>IFERROR(_xlfn.XLOOKUP($A320,Input_Raw!$A:$A,Input_Raw!S:S),"")</f>
        <v/>
      </c>
      <c r="L320" s="298" t="str">
        <f>IFERROR(_xlfn.XLOOKUP($A320,Input_Raw!$A:$A,Input_Raw!T:T),"")</f>
        <v/>
      </c>
      <c r="M320" s="298" t="str">
        <f>IFERROR(_xlfn.XLOOKUP($A320,Input_Raw!$A:$A,Input_Raw!W:W),"")</f>
        <v/>
      </c>
      <c r="N320" s="298" t="str">
        <f>IFERROR(_xlfn.XLOOKUP($A320,Input_Raw!$A:$A,Input_Raw!X:X),"")</f>
        <v/>
      </c>
      <c r="O320" s="299" t="str">
        <f>IFERROR(1-(SUMIF(Plant_BD!$B:$B,$A320,Plant_BD!$AL:$AL)/($AA320+SUMIF(Plant_BD!$B:$B,$A320,Plant_BD!$AL:$AL))),"")</f>
        <v/>
      </c>
      <c r="P320" s="299"/>
      <c r="Q320" s="300"/>
      <c r="R320" s="299" t="str">
        <f>IFERROR(1-(SUMIF(Grid_BD!$B:$B,$A320,Grid_BD!$V:$V)/($AA320+SUMIF(Grid_BD!$B:$B,$A320,Grid_BD!$V:$V))),"")</f>
        <v/>
      </c>
      <c r="S320" s="295"/>
      <c r="T320" s="300"/>
      <c r="U320" s="301" t="str">
        <f t="shared" si="26"/>
        <v/>
      </c>
      <c r="V320" s="301" t="str">
        <f>IFERROR(_xlfn.XLOOKUP($A320,Input_Raw!$A:$A,Input_Raw!$AX:$AX),"")</f>
        <v/>
      </c>
      <c r="W320" s="302" t="str">
        <f t="shared" si="27"/>
        <v/>
      </c>
      <c r="X320" s="294" t="str">
        <f>IFERROR(_xlfn.XLOOKUP($A320,Input_Raw!$A:$A,Input_Raw!$AA:$AA),"")</f>
        <v/>
      </c>
      <c r="Y320" s="294" t="str">
        <f>IFERROR(_xlfn.XLOOKUP($A320,Input_Raw!$A:$A,Input_Raw!$AS:$AS),"")</f>
        <v/>
      </c>
      <c r="Z320" s="294"/>
      <c r="AA320" s="294" t="str">
        <f>IFERROR(_xlfn.XLOOKUP($A320,Input_Raw!$A:$A,Input_Raw!$AT:$AT),"")</f>
        <v/>
      </c>
      <c r="AB320" s="294" t="str">
        <f>IFERROR(_xlfn.XLOOKUP($A320,Input_Raw!$A:$A,Input_Raw!$AU:$AU),"")</f>
        <v/>
      </c>
      <c r="AC320" s="303">
        <f>IFERROR(_xlfn.XLOOKUP($D320,'Modelling New'!$D:$D,'Modelling New'!P:P),"")</f>
        <v>6.3607142857142858</v>
      </c>
      <c r="AD320" s="294">
        <f>IFERROR(_xlfn.XLOOKUP($D320,'Modelling New'!$D:$D,'Modelling New'!T:T)*1000,"")</f>
        <v>737121.34795786918</v>
      </c>
      <c r="AE320" s="304">
        <f>IFERROR(_xlfn.XLOOKUP($D320,'Modelling New'!$D:$D,'Modelling New'!$O:$O),"")</f>
        <v>0.85841902147442506</v>
      </c>
      <c r="AF320" s="304">
        <f>IFERROR(_xlfn.XLOOKUP($D320,'Modelling New'!$D:$D,'Modelling New'!$W:$W),"")</f>
        <v>0.22750658887588554</v>
      </c>
      <c r="AG320" s="304">
        <f>IFERROR(_xlfn.XLOOKUP($D320,'Modelling New'!$D:$D,'Modelling New'!$AE:$AE),"")</f>
        <v>0.995</v>
      </c>
      <c r="AH320" s="304">
        <f>IFERROR(_xlfn.XLOOKUP($D320,'Modelling New'!$D:$D,'Modelling New'!$AF:$AF),"")</f>
        <v>0.995</v>
      </c>
      <c r="AI320" s="295"/>
      <c r="AJ320" s="295"/>
      <c r="AK320" s="295"/>
      <c r="AL320" s="295"/>
      <c r="AM320" s="295"/>
      <c r="AN320" s="305"/>
      <c r="AO320" s="302"/>
      <c r="AP320" s="302"/>
      <c r="AQ320" s="302"/>
      <c r="AR320" s="294">
        <f>_xlfn.XLOOKUP($D320,'Modelling New'!$D:$D,'Modelling New'!$N:$N)</f>
        <v>135</v>
      </c>
      <c r="AS320" s="294" t="str">
        <f t="shared" si="28"/>
        <v/>
      </c>
    </row>
    <row r="321" spans="1:45">
      <c r="A321" s="293">
        <f t="shared" si="29"/>
        <v>46064</v>
      </c>
      <c r="B321" s="294">
        <f>YEAR(Daily_KPI[[#This Row],[Date]])+IF(MONTH(Daily_KPI[[#This Row],[Date]])&gt;=4,1,0)</f>
        <v>2026</v>
      </c>
      <c r="C321" s="295">
        <f>YEAR(Daily_KPI[[#This Row],[Date]])</f>
        <v>2026</v>
      </c>
      <c r="D321" s="296">
        <f>Daily_KPI[[#This Row],[Date]]-DAY(Daily_KPI[[#This Row],[Date]])+1</f>
        <v>46054</v>
      </c>
      <c r="E321" s="295">
        <f t="shared" si="25"/>
        <v>28</v>
      </c>
      <c r="F321" s="297" t="str">
        <f>IFERROR(_xlfn.XLOOKUP($A321,Input_Raw!$A:$A,Input_Raw!$AR:$AR),"")</f>
        <v/>
      </c>
      <c r="G321" s="298" t="str">
        <f>IFERROR(_xlfn.XLOOKUP($A321,Input_Raw!$A:$A,Input_Raw!$R:$R),"")</f>
        <v/>
      </c>
      <c r="H321" s="298"/>
      <c r="I321" s="298" t="str">
        <f>IFERROR(_xlfn.XLOOKUP($A321,Input_Raw!$A:$A,Input_Raw!$Q:$Q),"")</f>
        <v/>
      </c>
      <c r="J321" s="298"/>
      <c r="K321" s="298" t="str">
        <f>IFERROR(_xlfn.XLOOKUP($A321,Input_Raw!$A:$A,Input_Raw!S:S),"")</f>
        <v/>
      </c>
      <c r="L321" s="298" t="str">
        <f>IFERROR(_xlfn.XLOOKUP($A321,Input_Raw!$A:$A,Input_Raw!T:T),"")</f>
        <v/>
      </c>
      <c r="M321" s="298" t="str">
        <f>IFERROR(_xlfn.XLOOKUP($A321,Input_Raw!$A:$A,Input_Raw!W:W),"")</f>
        <v/>
      </c>
      <c r="N321" s="298" t="str">
        <f>IFERROR(_xlfn.XLOOKUP($A321,Input_Raw!$A:$A,Input_Raw!X:X),"")</f>
        <v/>
      </c>
      <c r="O321" s="299" t="str">
        <f>IFERROR(1-(SUMIF(Plant_BD!$B:$B,$A321,Plant_BD!$AL:$AL)/($AA321+SUMIF(Plant_BD!$B:$B,$A321,Plant_BD!$AL:$AL))),"")</f>
        <v/>
      </c>
      <c r="P321" s="299"/>
      <c r="Q321" s="300"/>
      <c r="R321" s="299" t="str">
        <f>IFERROR(1-(SUMIF(Grid_BD!$B:$B,$A321,Grid_BD!$V:$V)/($AA321+SUMIF(Grid_BD!$B:$B,$A321,Grid_BD!$V:$V))),"")</f>
        <v/>
      </c>
      <c r="S321" s="295"/>
      <c r="T321" s="300"/>
      <c r="U321" s="301" t="str">
        <f t="shared" si="26"/>
        <v/>
      </c>
      <c r="V321" s="301" t="str">
        <f>IFERROR(_xlfn.XLOOKUP($A321,Input_Raw!$A:$A,Input_Raw!$AX:$AX),"")</f>
        <v/>
      </c>
      <c r="W321" s="302" t="str">
        <f t="shared" si="27"/>
        <v/>
      </c>
      <c r="X321" s="294" t="str">
        <f>IFERROR(_xlfn.XLOOKUP($A321,Input_Raw!$A:$A,Input_Raw!$AA:$AA),"")</f>
        <v/>
      </c>
      <c r="Y321" s="294" t="str">
        <f>IFERROR(_xlfn.XLOOKUP($A321,Input_Raw!$A:$A,Input_Raw!$AS:$AS),"")</f>
        <v/>
      </c>
      <c r="Z321" s="294"/>
      <c r="AA321" s="294" t="str">
        <f>IFERROR(_xlfn.XLOOKUP($A321,Input_Raw!$A:$A,Input_Raw!$AT:$AT),"")</f>
        <v/>
      </c>
      <c r="AB321" s="294" t="str">
        <f>IFERROR(_xlfn.XLOOKUP($A321,Input_Raw!$A:$A,Input_Raw!$AU:$AU),"")</f>
        <v/>
      </c>
      <c r="AC321" s="303">
        <f>IFERROR(_xlfn.XLOOKUP($D321,'Modelling New'!$D:$D,'Modelling New'!P:P),"")</f>
        <v>6.3607142857142858</v>
      </c>
      <c r="AD321" s="294">
        <f>IFERROR(_xlfn.XLOOKUP($D321,'Modelling New'!$D:$D,'Modelling New'!T:T)*1000,"")</f>
        <v>737121.34795786918</v>
      </c>
      <c r="AE321" s="304">
        <f>IFERROR(_xlfn.XLOOKUP($D321,'Modelling New'!$D:$D,'Modelling New'!$O:$O),"")</f>
        <v>0.85841902147442506</v>
      </c>
      <c r="AF321" s="304">
        <f>IFERROR(_xlfn.XLOOKUP($D321,'Modelling New'!$D:$D,'Modelling New'!$W:$W),"")</f>
        <v>0.22750658887588554</v>
      </c>
      <c r="AG321" s="304">
        <f>IFERROR(_xlfn.XLOOKUP($D321,'Modelling New'!$D:$D,'Modelling New'!$AE:$AE),"")</f>
        <v>0.995</v>
      </c>
      <c r="AH321" s="304">
        <f>IFERROR(_xlfn.XLOOKUP($D321,'Modelling New'!$D:$D,'Modelling New'!$AF:$AF),"")</f>
        <v>0.995</v>
      </c>
      <c r="AI321" s="295"/>
      <c r="AJ321" s="295"/>
      <c r="AK321" s="295"/>
      <c r="AL321" s="295"/>
      <c r="AM321" s="295"/>
      <c r="AN321" s="305"/>
      <c r="AO321" s="302"/>
      <c r="AP321" s="302"/>
      <c r="AQ321" s="302"/>
      <c r="AR321" s="294">
        <f>_xlfn.XLOOKUP($D321,'Modelling New'!$D:$D,'Modelling New'!$N:$N)</f>
        <v>135</v>
      </c>
      <c r="AS321" s="294" t="str">
        <f t="shared" si="28"/>
        <v/>
      </c>
    </row>
    <row r="322" spans="1:45">
      <c r="A322" s="293">
        <f t="shared" si="29"/>
        <v>46065</v>
      </c>
      <c r="B322" s="294">
        <f>YEAR(Daily_KPI[[#This Row],[Date]])+IF(MONTH(Daily_KPI[[#This Row],[Date]])&gt;=4,1,0)</f>
        <v>2026</v>
      </c>
      <c r="C322" s="295">
        <f>YEAR(Daily_KPI[[#This Row],[Date]])</f>
        <v>2026</v>
      </c>
      <c r="D322" s="296">
        <f>Daily_KPI[[#This Row],[Date]]-DAY(Daily_KPI[[#This Row],[Date]])+1</f>
        <v>46054</v>
      </c>
      <c r="E322" s="295">
        <f t="shared" si="25"/>
        <v>28</v>
      </c>
      <c r="F322" s="297" t="str">
        <f>IFERROR(_xlfn.XLOOKUP($A322,Input_Raw!$A:$A,Input_Raw!$AR:$AR),"")</f>
        <v/>
      </c>
      <c r="G322" s="298" t="str">
        <f>IFERROR(_xlfn.XLOOKUP($A322,Input_Raw!$A:$A,Input_Raw!$R:$R),"")</f>
        <v/>
      </c>
      <c r="H322" s="298"/>
      <c r="I322" s="298" t="str">
        <f>IFERROR(_xlfn.XLOOKUP($A322,Input_Raw!$A:$A,Input_Raw!$Q:$Q),"")</f>
        <v/>
      </c>
      <c r="J322" s="298"/>
      <c r="K322" s="298" t="str">
        <f>IFERROR(_xlfn.XLOOKUP($A322,Input_Raw!$A:$A,Input_Raw!S:S),"")</f>
        <v/>
      </c>
      <c r="L322" s="298" t="str">
        <f>IFERROR(_xlfn.XLOOKUP($A322,Input_Raw!$A:$A,Input_Raw!T:T),"")</f>
        <v/>
      </c>
      <c r="M322" s="298" t="str">
        <f>IFERROR(_xlfn.XLOOKUP($A322,Input_Raw!$A:$A,Input_Raw!W:W),"")</f>
        <v/>
      </c>
      <c r="N322" s="298" t="str">
        <f>IFERROR(_xlfn.XLOOKUP($A322,Input_Raw!$A:$A,Input_Raw!X:X),"")</f>
        <v/>
      </c>
      <c r="O322" s="299" t="str">
        <f>IFERROR(1-(SUMIF(Plant_BD!$B:$B,$A322,Plant_BD!$AL:$AL)/($AA322+SUMIF(Plant_BD!$B:$B,$A322,Plant_BD!$AL:$AL))),"")</f>
        <v/>
      </c>
      <c r="P322" s="299"/>
      <c r="Q322" s="300"/>
      <c r="R322" s="299" t="str">
        <f>IFERROR(1-(SUMIF(Grid_BD!$B:$B,$A322,Grid_BD!$V:$V)/($AA322+SUMIF(Grid_BD!$B:$B,$A322,Grid_BD!$V:$V))),"")</f>
        <v/>
      </c>
      <c r="S322" s="295"/>
      <c r="T322" s="300"/>
      <c r="U322" s="301" t="str">
        <f t="shared" si="26"/>
        <v/>
      </c>
      <c r="V322" s="301" t="str">
        <f>IFERROR(_xlfn.XLOOKUP($A322,Input_Raw!$A:$A,Input_Raw!$AX:$AX),"")</f>
        <v/>
      </c>
      <c r="W322" s="302" t="str">
        <f t="shared" si="27"/>
        <v/>
      </c>
      <c r="X322" s="294" t="str">
        <f>IFERROR(_xlfn.XLOOKUP($A322,Input_Raw!$A:$A,Input_Raw!$AA:$AA),"")</f>
        <v/>
      </c>
      <c r="Y322" s="294" t="str">
        <f>IFERROR(_xlfn.XLOOKUP($A322,Input_Raw!$A:$A,Input_Raw!$AS:$AS),"")</f>
        <v/>
      </c>
      <c r="Z322" s="294"/>
      <c r="AA322" s="294" t="str">
        <f>IFERROR(_xlfn.XLOOKUP($A322,Input_Raw!$A:$A,Input_Raw!$AT:$AT),"")</f>
        <v/>
      </c>
      <c r="AB322" s="294" t="str">
        <f>IFERROR(_xlfn.XLOOKUP($A322,Input_Raw!$A:$A,Input_Raw!$AU:$AU),"")</f>
        <v/>
      </c>
      <c r="AC322" s="303">
        <f>IFERROR(_xlfn.XLOOKUP($D322,'Modelling New'!$D:$D,'Modelling New'!P:P),"")</f>
        <v>6.3607142857142858</v>
      </c>
      <c r="AD322" s="294">
        <f>IFERROR(_xlfn.XLOOKUP($D322,'Modelling New'!$D:$D,'Modelling New'!T:T)*1000,"")</f>
        <v>737121.34795786918</v>
      </c>
      <c r="AE322" s="304">
        <f>IFERROR(_xlfn.XLOOKUP($D322,'Modelling New'!$D:$D,'Modelling New'!$O:$O),"")</f>
        <v>0.85841902147442506</v>
      </c>
      <c r="AF322" s="304">
        <f>IFERROR(_xlfn.XLOOKUP($D322,'Modelling New'!$D:$D,'Modelling New'!$W:$W),"")</f>
        <v>0.22750658887588554</v>
      </c>
      <c r="AG322" s="304">
        <f>IFERROR(_xlfn.XLOOKUP($D322,'Modelling New'!$D:$D,'Modelling New'!$AE:$AE),"")</f>
        <v>0.995</v>
      </c>
      <c r="AH322" s="304">
        <f>IFERROR(_xlfn.XLOOKUP($D322,'Modelling New'!$D:$D,'Modelling New'!$AF:$AF),"")</f>
        <v>0.995</v>
      </c>
      <c r="AI322" s="295"/>
      <c r="AJ322" s="295"/>
      <c r="AK322" s="295"/>
      <c r="AL322" s="295"/>
      <c r="AM322" s="295"/>
      <c r="AN322" s="305"/>
      <c r="AO322" s="302"/>
      <c r="AP322" s="302"/>
      <c r="AQ322" s="302"/>
      <c r="AR322" s="294">
        <f>_xlfn.XLOOKUP($D322,'Modelling New'!$D:$D,'Modelling New'!$N:$N)</f>
        <v>135</v>
      </c>
      <c r="AS322" s="294" t="str">
        <f t="shared" si="28"/>
        <v/>
      </c>
    </row>
    <row r="323" spans="1:45">
      <c r="A323" s="293">
        <f t="shared" si="29"/>
        <v>46066</v>
      </c>
      <c r="B323" s="294">
        <f>YEAR(Daily_KPI[[#This Row],[Date]])+IF(MONTH(Daily_KPI[[#This Row],[Date]])&gt;=4,1,0)</f>
        <v>2026</v>
      </c>
      <c r="C323" s="295">
        <f>YEAR(Daily_KPI[[#This Row],[Date]])</f>
        <v>2026</v>
      </c>
      <c r="D323" s="296">
        <f>Daily_KPI[[#This Row],[Date]]-DAY(Daily_KPI[[#This Row],[Date]])+1</f>
        <v>46054</v>
      </c>
      <c r="E323" s="295">
        <f t="shared" si="25"/>
        <v>28</v>
      </c>
      <c r="F323" s="297" t="str">
        <f>IFERROR(_xlfn.XLOOKUP($A323,Input_Raw!$A:$A,Input_Raw!$AR:$AR),"")</f>
        <v/>
      </c>
      <c r="G323" s="298" t="str">
        <f>IFERROR(_xlfn.XLOOKUP($A323,Input_Raw!$A:$A,Input_Raw!$R:$R),"")</f>
        <v/>
      </c>
      <c r="H323" s="298"/>
      <c r="I323" s="298" t="str">
        <f>IFERROR(_xlfn.XLOOKUP($A323,Input_Raw!$A:$A,Input_Raw!$Q:$Q),"")</f>
        <v/>
      </c>
      <c r="J323" s="298"/>
      <c r="K323" s="298" t="str">
        <f>IFERROR(_xlfn.XLOOKUP($A323,Input_Raw!$A:$A,Input_Raw!S:S),"")</f>
        <v/>
      </c>
      <c r="L323" s="298" t="str">
        <f>IFERROR(_xlfn.XLOOKUP($A323,Input_Raw!$A:$A,Input_Raw!T:T),"")</f>
        <v/>
      </c>
      <c r="M323" s="298" t="str">
        <f>IFERROR(_xlfn.XLOOKUP($A323,Input_Raw!$A:$A,Input_Raw!W:W),"")</f>
        <v/>
      </c>
      <c r="N323" s="298" t="str">
        <f>IFERROR(_xlfn.XLOOKUP($A323,Input_Raw!$A:$A,Input_Raw!X:X),"")</f>
        <v/>
      </c>
      <c r="O323" s="299" t="str">
        <f>IFERROR(1-(SUMIF(Plant_BD!$B:$B,$A323,Plant_BD!$AL:$AL)/($AA323+SUMIF(Plant_BD!$B:$B,$A323,Plant_BD!$AL:$AL))),"")</f>
        <v/>
      </c>
      <c r="P323" s="299"/>
      <c r="Q323" s="300"/>
      <c r="R323" s="299" t="str">
        <f>IFERROR(1-(SUMIF(Grid_BD!$B:$B,$A323,Grid_BD!$V:$V)/($AA323+SUMIF(Grid_BD!$B:$B,$A323,Grid_BD!$V:$V))),"")</f>
        <v/>
      </c>
      <c r="S323" s="295"/>
      <c r="T323" s="300"/>
      <c r="U323" s="301" t="str">
        <f t="shared" si="26"/>
        <v/>
      </c>
      <c r="V323" s="301" t="str">
        <f>IFERROR(_xlfn.XLOOKUP($A323,Input_Raw!$A:$A,Input_Raw!$AX:$AX),"")</f>
        <v/>
      </c>
      <c r="W323" s="302" t="str">
        <f t="shared" si="27"/>
        <v/>
      </c>
      <c r="X323" s="294" t="str">
        <f>IFERROR(_xlfn.XLOOKUP($A323,Input_Raw!$A:$A,Input_Raw!$AA:$AA),"")</f>
        <v/>
      </c>
      <c r="Y323" s="294" t="str">
        <f>IFERROR(_xlfn.XLOOKUP($A323,Input_Raw!$A:$A,Input_Raw!$AS:$AS),"")</f>
        <v/>
      </c>
      <c r="Z323" s="294"/>
      <c r="AA323" s="294" t="str">
        <f>IFERROR(_xlfn.XLOOKUP($A323,Input_Raw!$A:$A,Input_Raw!$AT:$AT),"")</f>
        <v/>
      </c>
      <c r="AB323" s="294" t="str">
        <f>IFERROR(_xlfn.XLOOKUP($A323,Input_Raw!$A:$A,Input_Raw!$AU:$AU),"")</f>
        <v/>
      </c>
      <c r="AC323" s="303">
        <f>IFERROR(_xlfn.XLOOKUP($D323,'Modelling New'!$D:$D,'Modelling New'!P:P),"")</f>
        <v>6.3607142857142858</v>
      </c>
      <c r="AD323" s="294">
        <f>IFERROR(_xlfn.XLOOKUP($D323,'Modelling New'!$D:$D,'Modelling New'!T:T)*1000,"")</f>
        <v>737121.34795786918</v>
      </c>
      <c r="AE323" s="304">
        <f>IFERROR(_xlfn.XLOOKUP($D323,'Modelling New'!$D:$D,'Modelling New'!$O:$O),"")</f>
        <v>0.85841902147442506</v>
      </c>
      <c r="AF323" s="304">
        <f>IFERROR(_xlfn.XLOOKUP($D323,'Modelling New'!$D:$D,'Modelling New'!$W:$W),"")</f>
        <v>0.22750658887588554</v>
      </c>
      <c r="AG323" s="304">
        <f>IFERROR(_xlfn.XLOOKUP($D323,'Modelling New'!$D:$D,'Modelling New'!$AE:$AE),"")</f>
        <v>0.995</v>
      </c>
      <c r="AH323" s="304">
        <f>IFERROR(_xlfn.XLOOKUP($D323,'Modelling New'!$D:$D,'Modelling New'!$AF:$AF),"")</f>
        <v>0.995</v>
      </c>
      <c r="AI323" s="295"/>
      <c r="AJ323" s="295"/>
      <c r="AK323" s="295"/>
      <c r="AL323" s="295"/>
      <c r="AM323" s="295"/>
      <c r="AN323" s="305"/>
      <c r="AO323" s="302"/>
      <c r="AP323" s="302"/>
      <c r="AQ323" s="302"/>
      <c r="AR323" s="294">
        <f>_xlfn.XLOOKUP($D323,'Modelling New'!$D:$D,'Modelling New'!$N:$N)</f>
        <v>135</v>
      </c>
      <c r="AS323" s="294" t="str">
        <f t="shared" si="28"/>
        <v/>
      </c>
    </row>
    <row r="324" spans="1:45">
      <c r="A324" s="293">
        <f t="shared" si="29"/>
        <v>46067</v>
      </c>
      <c r="B324" s="294">
        <f>YEAR(Daily_KPI[[#This Row],[Date]])+IF(MONTH(Daily_KPI[[#This Row],[Date]])&gt;=4,1,0)</f>
        <v>2026</v>
      </c>
      <c r="C324" s="295">
        <f>YEAR(Daily_KPI[[#This Row],[Date]])</f>
        <v>2026</v>
      </c>
      <c r="D324" s="296">
        <f>Daily_KPI[[#This Row],[Date]]-DAY(Daily_KPI[[#This Row],[Date]])+1</f>
        <v>46054</v>
      </c>
      <c r="E324" s="295">
        <f t="shared" si="25"/>
        <v>28</v>
      </c>
      <c r="F324" s="297" t="str">
        <f>IFERROR(_xlfn.XLOOKUP($A324,Input_Raw!$A:$A,Input_Raw!$AR:$AR),"")</f>
        <v/>
      </c>
      <c r="G324" s="298" t="str">
        <f>IFERROR(_xlfn.XLOOKUP($A324,Input_Raw!$A:$A,Input_Raw!$R:$R),"")</f>
        <v/>
      </c>
      <c r="H324" s="298"/>
      <c r="I324" s="298" t="str">
        <f>IFERROR(_xlfn.XLOOKUP($A324,Input_Raw!$A:$A,Input_Raw!$Q:$Q),"")</f>
        <v/>
      </c>
      <c r="J324" s="298"/>
      <c r="K324" s="298" t="str">
        <f>IFERROR(_xlfn.XLOOKUP($A324,Input_Raw!$A:$A,Input_Raw!S:S),"")</f>
        <v/>
      </c>
      <c r="L324" s="298" t="str">
        <f>IFERROR(_xlfn.XLOOKUP($A324,Input_Raw!$A:$A,Input_Raw!T:T),"")</f>
        <v/>
      </c>
      <c r="M324" s="298" t="str">
        <f>IFERROR(_xlfn.XLOOKUP($A324,Input_Raw!$A:$A,Input_Raw!W:W),"")</f>
        <v/>
      </c>
      <c r="N324" s="298" t="str">
        <f>IFERROR(_xlfn.XLOOKUP($A324,Input_Raw!$A:$A,Input_Raw!X:X),"")</f>
        <v/>
      </c>
      <c r="O324" s="299" t="str">
        <f>IFERROR(1-(SUMIF(Plant_BD!$B:$B,$A324,Plant_BD!$AL:$AL)/($AA324+SUMIF(Plant_BD!$B:$B,$A324,Plant_BD!$AL:$AL))),"")</f>
        <v/>
      </c>
      <c r="P324" s="299"/>
      <c r="Q324" s="300"/>
      <c r="R324" s="299" t="str">
        <f>IFERROR(1-(SUMIF(Grid_BD!$B:$B,$A324,Grid_BD!$V:$V)/($AA324+SUMIF(Grid_BD!$B:$B,$A324,Grid_BD!$V:$V))),"")</f>
        <v/>
      </c>
      <c r="S324" s="295"/>
      <c r="T324" s="300"/>
      <c r="U324" s="301" t="str">
        <f t="shared" si="26"/>
        <v/>
      </c>
      <c r="V324" s="301" t="str">
        <f>IFERROR(_xlfn.XLOOKUP($A324,Input_Raw!$A:$A,Input_Raw!$AX:$AX),"")</f>
        <v/>
      </c>
      <c r="W324" s="302" t="str">
        <f t="shared" si="27"/>
        <v/>
      </c>
      <c r="X324" s="294" t="str">
        <f>IFERROR(_xlfn.XLOOKUP($A324,Input_Raw!$A:$A,Input_Raw!$AA:$AA),"")</f>
        <v/>
      </c>
      <c r="Y324" s="294" t="str">
        <f>IFERROR(_xlfn.XLOOKUP($A324,Input_Raw!$A:$A,Input_Raw!$AS:$AS),"")</f>
        <v/>
      </c>
      <c r="Z324" s="294"/>
      <c r="AA324" s="294" t="str">
        <f>IFERROR(_xlfn.XLOOKUP($A324,Input_Raw!$A:$A,Input_Raw!$AT:$AT),"")</f>
        <v/>
      </c>
      <c r="AB324" s="294" t="str">
        <f>IFERROR(_xlfn.XLOOKUP($A324,Input_Raw!$A:$A,Input_Raw!$AU:$AU),"")</f>
        <v/>
      </c>
      <c r="AC324" s="303">
        <f>IFERROR(_xlfn.XLOOKUP($D324,'Modelling New'!$D:$D,'Modelling New'!P:P),"")</f>
        <v>6.3607142857142858</v>
      </c>
      <c r="AD324" s="294">
        <f>IFERROR(_xlfn.XLOOKUP($D324,'Modelling New'!$D:$D,'Modelling New'!T:T)*1000,"")</f>
        <v>737121.34795786918</v>
      </c>
      <c r="AE324" s="304">
        <f>IFERROR(_xlfn.XLOOKUP($D324,'Modelling New'!$D:$D,'Modelling New'!$O:$O),"")</f>
        <v>0.85841902147442506</v>
      </c>
      <c r="AF324" s="304">
        <f>IFERROR(_xlfn.XLOOKUP($D324,'Modelling New'!$D:$D,'Modelling New'!$W:$W),"")</f>
        <v>0.22750658887588554</v>
      </c>
      <c r="AG324" s="304">
        <f>IFERROR(_xlfn.XLOOKUP($D324,'Modelling New'!$D:$D,'Modelling New'!$AE:$AE),"")</f>
        <v>0.995</v>
      </c>
      <c r="AH324" s="304">
        <f>IFERROR(_xlfn.XLOOKUP($D324,'Modelling New'!$D:$D,'Modelling New'!$AF:$AF),"")</f>
        <v>0.995</v>
      </c>
      <c r="AI324" s="295"/>
      <c r="AJ324" s="295"/>
      <c r="AK324" s="295"/>
      <c r="AL324" s="295"/>
      <c r="AM324" s="295"/>
      <c r="AN324" s="305"/>
      <c r="AO324" s="302"/>
      <c r="AP324" s="302"/>
      <c r="AQ324" s="302"/>
      <c r="AR324" s="294">
        <f>_xlfn.XLOOKUP($D324,'Modelling New'!$D:$D,'Modelling New'!$N:$N)</f>
        <v>135</v>
      </c>
      <c r="AS324" s="294" t="str">
        <f t="shared" si="28"/>
        <v/>
      </c>
    </row>
    <row r="325" spans="1:45">
      <c r="A325" s="293">
        <f t="shared" si="29"/>
        <v>46068</v>
      </c>
      <c r="B325" s="294">
        <f>YEAR(Daily_KPI[[#This Row],[Date]])+IF(MONTH(Daily_KPI[[#This Row],[Date]])&gt;=4,1,0)</f>
        <v>2026</v>
      </c>
      <c r="C325" s="295">
        <f>YEAR(Daily_KPI[[#This Row],[Date]])</f>
        <v>2026</v>
      </c>
      <c r="D325" s="296">
        <f>Daily_KPI[[#This Row],[Date]]-DAY(Daily_KPI[[#This Row],[Date]])+1</f>
        <v>46054</v>
      </c>
      <c r="E325" s="295">
        <f t="shared" si="25"/>
        <v>28</v>
      </c>
      <c r="F325" s="297" t="str">
        <f>IFERROR(_xlfn.XLOOKUP($A325,Input_Raw!$A:$A,Input_Raw!$AR:$AR),"")</f>
        <v/>
      </c>
      <c r="G325" s="298" t="str">
        <f>IFERROR(_xlfn.XLOOKUP($A325,Input_Raw!$A:$A,Input_Raw!$R:$R),"")</f>
        <v/>
      </c>
      <c r="H325" s="298"/>
      <c r="I325" s="298" t="str">
        <f>IFERROR(_xlfn.XLOOKUP($A325,Input_Raw!$A:$A,Input_Raw!$Q:$Q),"")</f>
        <v/>
      </c>
      <c r="J325" s="298"/>
      <c r="K325" s="298" t="str">
        <f>IFERROR(_xlfn.XLOOKUP($A325,Input_Raw!$A:$A,Input_Raw!S:S),"")</f>
        <v/>
      </c>
      <c r="L325" s="298" t="str">
        <f>IFERROR(_xlfn.XLOOKUP($A325,Input_Raw!$A:$A,Input_Raw!T:T),"")</f>
        <v/>
      </c>
      <c r="M325" s="298" t="str">
        <f>IFERROR(_xlfn.XLOOKUP($A325,Input_Raw!$A:$A,Input_Raw!W:W),"")</f>
        <v/>
      </c>
      <c r="N325" s="298" t="str">
        <f>IFERROR(_xlfn.XLOOKUP($A325,Input_Raw!$A:$A,Input_Raw!X:X),"")</f>
        <v/>
      </c>
      <c r="O325" s="299" t="str">
        <f>IFERROR(1-(SUMIF(Plant_BD!$B:$B,$A325,Plant_BD!$AL:$AL)/($AA325+SUMIF(Plant_BD!$B:$B,$A325,Plant_BD!$AL:$AL))),"")</f>
        <v/>
      </c>
      <c r="P325" s="299"/>
      <c r="Q325" s="300"/>
      <c r="R325" s="299" t="str">
        <f>IFERROR(1-(SUMIF(Grid_BD!$B:$B,$A325,Grid_BD!$V:$V)/($AA325+SUMIF(Grid_BD!$B:$B,$A325,Grid_BD!$V:$V))),"")</f>
        <v/>
      </c>
      <c r="S325" s="295"/>
      <c r="T325" s="300"/>
      <c r="U325" s="301" t="str">
        <f t="shared" si="26"/>
        <v/>
      </c>
      <c r="V325" s="301" t="str">
        <f>IFERROR(_xlfn.XLOOKUP($A325,Input_Raw!$A:$A,Input_Raw!$AX:$AX),"")</f>
        <v/>
      </c>
      <c r="W325" s="302" t="str">
        <f t="shared" si="27"/>
        <v/>
      </c>
      <c r="X325" s="294" t="str">
        <f>IFERROR(_xlfn.XLOOKUP($A325,Input_Raw!$A:$A,Input_Raw!$AA:$AA),"")</f>
        <v/>
      </c>
      <c r="Y325" s="294" t="str">
        <f>IFERROR(_xlfn.XLOOKUP($A325,Input_Raw!$A:$A,Input_Raw!$AS:$AS),"")</f>
        <v/>
      </c>
      <c r="Z325" s="294"/>
      <c r="AA325" s="294" t="str">
        <f>IFERROR(_xlfn.XLOOKUP($A325,Input_Raw!$A:$A,Input_Raw!$AT:$AT),"")</f>
        <v/>
      </c>
      <c r="AB325" s="294" t="str">
        <f>IFERROR(_xlfn.XLOOKUP($A325,Input_Raw!$A:$A,Input_Raw!$AU:$AU),"")</f>
        <v/>
      </c>
      <c r="AC325" s="303">
        <f>IFERROR(_xlfn.XLOOKUP($D325,'Modelling New'!$D:$D,'Modelling New'!P:P),"")</f>
        <v>6.3607142857142858</v>
      </c>
      <c r="AD325" s="294">
        <f>IFERROR(_xlfn.XLOOKUP($D325,'Modelling New'!$D:$D,'Modelling New'!T:T)*1000,"")</f>
        <v>737121.34795786918</v>
      </c>
      <c r="AE325" s="304">
        <f>IFERROR(_xlfn.XLOOKUP($D325,'Modelling New'!$D:$D,'Modelling New'!$O:$O),"")</f>
        <v>0.85841902147442506</v>
      </c>
      <c r="AF325" s="304">
        <f>IFERROR(_xlfn.XLOOKUP($D325,'Modelling New'!$D:$D,'Modelling New'!$W:$W),"")</f>
        <v>0.22750658887588554</v>
      </c>
      <c r="AG325" s="304">
        <f>IFERROR(_xlfn.XLOOKUP($D325,'Modelling New'!$D:$D,'Modelling New'!$AE:$AE),"")</f>
        <v>0.995</v>
      </c>
      <c r="AH325" s="304">
        <f>IFERROR(_xlfn.XLOOKUP($D325,'Modelling New'!$D:$D,'Modelling New'!$AF:$AF),"")</f>
        <v>0.995</v>
      </c>
      <c r="AI325" s="295"/>
      <c r="AJ325" s="295"/>
      <c r="AK325" s="295"/>
      <c r="AL325" s="295"/>
      <c r="AM325" s="295"/>
      <c r="AN325" s="305"/>
      <c r="AO325" s="302"/>
      <c r="AP325" s="302"/>
      <c r="AQ325" s="302"/>
      <c r="AR325" s="294">
        <f>_xlfn.XLOOKUP($D325,'Modelling New'!$D:$D,'Modelling New'!$N:$N)</f>
        <v>135</v>
      </c>
      <c r="AS325" s="294" t="str">
        <f t="shared" si="28"/>
        <v/>
      </c>
    </row>
    <row r="326" spans="1:45">
      <c r="A326" s="293">
        <f t="shared" si="29"/>
        <v>46069</v>
      </c>
      <c r="B326" s="294">
        <f>YEAR(Daily_KPI[[#This Row],[Date]])+IF(MONTH(Daily_KPI[[#This Row],[Date]])&gt;=4,1,0)</f>
        <v>2026</v>
      </c>
      <c r="C326" s="295">
        <f>YEAR(Daily_KPI[[#This Row],[Date]])</f>
        <v>2026</v>
      </c>
      <c r="D326" s="296">
        <f>Daily_KPI[[#This Row],[Date]]-DAY(Daily_KPI[[#This Row],[Date]])+1</f>
        <v>46054</v>
      </c>
      <c r="E326" s="295">
        <f t="shared" si="25"/>
        <v>28</v>
      </c>
      <c r="F326" s="297" t="str">
        <f>IFERROR(_xlfn.XLOOKUP($A326,Input_Raw!$A:$A,Input_Raw!$AR:$AR),"")</f>
        <v/>
      </c>
      <c r="G326" s="298" t="str">
        <f>IFERROR(_xlfn.XLOOKUP($A326,Input_Raw!$A:$A,Input_Raw!$R:$R),"")</f>
        <v/>
      </c>
      <c r="H326" s="298"/>
      <c r="I326" s="298" t="str">
        <f>IFERROR(_xlfn.XLOOKUP($A326,Input_Raw!$A:$A,Input_Raw!$Q:$Q),"")</f>
        <v/>
      </c>
      <c r="J326" s="298"/>
      <c r="K326" s="298" t="str">
        <f>IFERROR(_xlfn.XLOOKUP($A326,Input_Raw!$A:$A,Input_Raw!S:S),"")</f>
        <v/>
      </c>
      <c r="L326" s="298" t="str">
        <f>IFERROR(_xlfn.XLOOKUP($A326,Input_Raw!$A:$A,Input_Raw!T:T),"")</f>
        <v/>
      </c>
      <c r="M326" s="298" t="str">
        <f>IFERROR(_xlfn.XLOOKUP($A326,Input_Raw!$A:$A,Input_Raw!W:W),"")</f>
        <v/>
      </c>
      <c r="N326" s="298" t="str">
        <f>IFERROR(_xlfn.XLOOKUP($A326,Input_Raw!$A:$A,Input_Raw!X:X),"")</f>
        <v/>
      </c>
      <c r="O326" s="299" t="str">
        <f>IFERROR(1-(SUMIF(Plant_BD!$B:$B,$A326,Plant_BD!$AL:$AL)/($AA326+SUMIF(Plant_BD!$B:$B,$A326,Plant_BD!$AL:$AL))),"")</f>
        <v/>
      </c>
      <c r="P326" s="299"/>
      <c r="Q326" s="300"/>
      <c r="R326" s="299" t="str">
        <f>IFERROR(1-(SUMIF(Grid_BD!$B:$B,$A326,Grid_BD!$V:$V)/($AA326+SUMIF(Grid_BD!$B:$B,$A326,Grid_BD!$V:$V))),"")</f>
        <v/>
      </c>
      <c r="S326" s="295"/>
      <c r="T326" s="300"/>
      <c r="U326" s="301" t="str">
        <f t="shared" si="26"/>
        <v/>
      </c>
      <c r="V326" s="301" t="str">
        <f>IFERROR(_xlfn.XLOOKUP($A326,Input_Raw!$A:$A,Input_Raw!$AX:$AX),"")</f>
        <v/>
      </c>
      <c r="W326" s="302" t="str">
        <f t="shared" si="27"/>
        <v/>
      </c>
      <c r="X326" s="294" t="str">
        <f>IFERROR(_xlfn.XLOOKUP($A326,Input_Raw!$A:$A,Input_Raw!$AA:$AA),"")</f>
        <v/>
      </c>
      <c r="Y326" s="294" t="str">
        <f>IFERROR(_xlfn.XLOOKUP($A326,Input_Raw!$A:$A,Input_Raw!$AS:$AS),"")</f>
        <v/>
      </c>
      <c r="Z326" s="294"/>
      <c r="AA326" s="294" t="str">
        <f>IFERROR(_xlfn.XLOOKUP($A326,Input_Raw!$A:$A,Input_Raw!$AT:$AT),"")</f>
        <v/>
      </c>
      <c r="AB326" s="294" t="str">
        <f>IFERROR(_xlfn.XLOOKUP($A326,Input_Raw!$A:$A,Input_Raw!$AU:$AU),"")</f>
        <v/>
      </c>
      <c r="AC326" s="303">
        <f>IFERROR(_xlfn.XLOOKUP($D326,'Modelling New'!$D:$D,'Modelling New'!P:P),"")</f>
        <v>6.3607142857142858</v>
      </c>
      <c r="AD326" s="294">
        <f>IFERROR(_xlfn.XLOOKUP($D326,'Modelling New'!$D:$D,'Modelling New'!T:T)*1000,"")</f>
        <v>737121.34795786918</v>
      </c>
      <c r="AE326" s="304">
        <f>IFERROR(_xlfn.XLOOKUP($D326,'Modelling New'!$D:$D,'Modelling New'!$O:$O),"")</f>
        <v>0.85841902147442506</v>
      </c>
      <c r="AF326" s="304">
        <f>IFERROR(_xlfn.XLOOKUP($D326,'Modelling New'!$D:$D,'Modelling New'!$W:$W),"")</f>
        <v>0.22750658887588554</v>
      </c>
      <c r="AG326" s="304">
        <f>IFERROR(_xlfn.XLOOKUP($D326,'Modelling New'!$D:$D,'Modelling New'!$AE:$AE),"")</f>
        <v>0.995</v>
      </c>
      <c r="AH326" s="304">
        <f>IFERROR(_xlfn.XLOOKUP($D326,'Modelling New'!$D:$D,'Modelling New'!$AF:$AF),"")</f>
        <v>0.995</v>
      </c>
      <c r="AI326" s="295"/>
      <c r="AJ326" s="295"/>
      <c r="AK326" s="295"/>
      <c r="AL326" s="295"/>
      <c r="AM326" s="295"/>
      <c r="AN326" s="305"/>
      <c r="AO326" s="302"/>
      <c r="AP326" s="302"/>
      <c r="AQ326" s="302"/>
      <c r="AR326" s="294">
        <f>_xlfn.XLOOKUP($D326,'Modelling New'!$D:$D,'Modelling New'!$N:$N)</f>
        <v>135</v>
      </c>
      <c r="AS326" s="294" t="str">
        <f t="shared" si="28"/>
        <v/>
      </c>
    </row>
    <row r="327" spans="1:45">
      <c r="A327" s="293">
        <f t="shared" si="29"/>
        <v>46070</v>
      </c>
      <c r="B327" s="294">
        <f>YEAR(Daily_KPI[[#This Row],[Date]])+IF(MONTH(Daily_KPI[[#This Row],[Date]])&gt;=4,1,0)</f>
        <v>2026</v>
      </c>
      <c r="C327" s="295">
        <f>YEAR(Daily_KPI[[#This Row],[Date]])</f>
        <v>2026</v>
      </c>
      <c r="D327" s="296">
        <f>Daily_KPI[[#This Row],[Date]]-DAY(Daily_KPI[[#This Row],[Date]])+1</f>
        <v>46054</v>
      </c>
      <c r="E327" s="295">
        <f t="shared" si="25"/>
        <v>28</v>
      </c>
      <c r="F327" s="297" t="str">
        <f>IFERROR(_xlfn.XLOOKUP($A327,Input_Raw!$A:$A,Input_Raw!$AR:$AR),"")</f>
        <v/>
      </c>
      <c r="G327" s="298" t="str">
        <f>IFERROR(_xlfn.XLOOKUP($A327,Input_Raw!$A:$A,Input_Raw!$R:$R),"")</f>
        <v/>
      </c>
      <c r="H327" s="298"/>
      <c r="I327" s="298" t="str">
        <f>IFERROR(_xlfn.XLOOKUP($A327,Input_Raw!$A:$A,Input_Raw!$Q:$Q),"")</f>
        <v/>
      </c>
      <c r="J327" s="298"/>
      <c r="K327" s="298" t="str">
        <f>IFERROR(_xlfn.XLOOKUP($A327,Input_Raw!$A:$A,Input_Raw!S:S),"")</f>
        <v/>
      </c>
      <c r="L327" s="298" t="str">
        <f>IFERROR(_xlfn.XLOOKUP($A327,Input_Raw!$A:$A,Input_Raw!T:T),"")</f>
        <v/>
      </c>
      <c r="M327" s="298" t="str">
        <f>IFERROR(_xlfn.XLOOKUP($A327,Input_Raw!$A:$A,Input_Raw!W:W),"")</f>
        <v/>
      </c>
      <c r="N327" s="298" t="str">
        <f>IFERROR(_xlfn.XLOOKUP($A327,Input_Raw!$A:$A,Input_Raw!X:X),"")</f>
        <v/>
      </c>
      <c r="O327" s="299" t="str">
        <f>IFERROR(1-(SUMIF(Plant_BD!$B:$B,$A327,Plant_BD!$AL:$AL)/($AA327+SUMIF(Plant_BD!$B:$B,$A327,Plant_BD!$AL:$AL))),"")</f>
        <v/>
      </c>
      <c r="P327" s="299"/>
      <c r="Q327" s="300"/>
      <c r="R327" s="299" t="str">
        <f>IFERROR(1-(SUMIF(Grid_BD!$B:$B,$A327,Grid_BD!$V:$V)/($AA327+SUMIF(Grid_BD!$B:$B,$A327,Grid_BD!$V:$V))),"")</f>
        <v/>
      </c>
      <c r="S327" s="295"/>
      <c r="T327" s="300"/>
      <c r="U327" s="301" t="str">
        <f t="shared" si="26"/>
        <v/>
      </c>
      <c r="V327" s="301" t="str">
        <f>IFERROR(_xlfn.XLOOKUP($A327,Input_Raw!$A:$A,Input_Raw!$AX:$AX),"")</f>
        <v/>
      </c>
      <c r="W327" s="302" t="str">
        <f t="shared" si="27"/>
        <v/>
      </c>
      <c r="X327" s="294" t="str">
        <f>IFERROR(_xlfn.XLOOKUP($A327,Input_Raw!$A:$A,Input_Raw!$AA:$AA),"")</f>
        <v/>
      </c>
      <c r="Y327" s="294" t="str">
        <f>IFERROR(_xlfn.XLOOKUP($A327,Input_Raw!$A:$A,Input_Raw!$AS:$AS),"")</f>
        <v/>
      </c>
      <c r="Z327" s="294"/>
      <c r="AA327" s="294" t="str">
        <f>IFERROR(_xlfn.XLOOKUP($A327,Input_Raw!$A:$A,Input_Raw!$AT:$AT),"")</f>
        <v/>
      </c>
      <c r="AB327" s="294" t="str">
        <f>IFERROR(_xlfn.XLOOKUP($A327,Input_Raw!$A:$A,Input_Raw!$AU:$AU),"")</f>
        <v/>
      </c>
      <c r="AC327" s="303">
        <f>IFERROR(_xlfn.XLOOKUP($D327,'Modelling New'!$D:$D,'Modelling New'!P:P),"")</f>
        <v>6.3607142857142858</v>
      </c>
      <c r="AD327" s="294">
        <f>IFERROR(_xlfn.XLOOKUP($D327,'Modelling New'!$D:$D,'Modelling New'!T:T)*1000,"")</f>
        <v>737121.34795786918</v>
      </c>
      <c r="AE327" s="304">
        <f>IFERROR(_xlfn.XLOOKUP($D327,'Modelling New'!$D:$D,'Modelling New'!$O:$O),"")</f>
        <v>0.85841902147442506</v>
      </c>
      <c r="AF327" s="304">
        <f>IFERROR(_xlfn.XLOOKUP($D327,'Modelling New'!$D:$D,'Modelling New'!$W:$W),"")</f>
        <v>0.22750658887588554</v>
      </c>
      <c r="AG327" s="304">
        <f>IFERROR(_xlfn.XLOOKUP($D327,'Modelling New'!$D:$D,'Modelling New'!$AE:$AE),"")</f>
        <v>0.995</v>
      </c>
      <c r="AH327" s="304">
        <f>IFERROR(_xlfn.XLOOKUP($D327,'Modelling New'!$D:$D,'Modelling New'!$AF:$AF),"")</f>
        <v>0.995</v>
      </c>
      <c r="AI327" s="295"/>
      <c r="AJ327" s="295"/>
      <c r="AK327" s="295"/>
      <c r="AL327" s="295"/>
      <c r="AM327" s="295"/>
      <c r="AN327" s="305"/>
      <c r="AO327" s="302"/>
      <c r="AP327" s="302"/>
      <c r="AQ327" s="302"/>
      <c r="AR327" s="294">
        <f>_xlfn.XLOOKUP($D327,'Modelling New'!$D:$D,'Modelling New'!$N:$N)</f>
        <v>135</v>
      </c>
      <c r="AS327" s="294" t="str">
        <f t="shared" si="28"/>
        <v/>
      </c>
    </row>
    <row r="328" spans="1:45">
      <c r="A328" s="293">
        <f t="shared" si="29"/>
        <v>46071</v>
      </c>
      <c r="B328" s="294">
        <f>YEAR(Daily_KPI[[#This Row],[Date]])+IF(MONTH(Daily_KPI[[#This Row],[Date]])&gt;=4,1,0)</f>
        <v>2026</v>
      </c>
      <c r="C328" s="295">
        <f>YEAR(Daily_KPI[[#This Row],[Date]])</f>
        <v>2026</v>
      </c>
      <c r="D328" s="296">
        <f>Daily_KPI[[#This Row],[Date]]-DAY(Daily_KPI[[#This Row],[Date]])+1</f>
        <v>46054</v>
      </c>
      <c r="E328" s="295">
        <f t="shared" si="25"/>
        <v>28</v>
      </c>
      <c r="F328" s="297" t="str">
        <f>IFERROR(_xlfn.XLOOKUP($A328,Input_Raw!$A:$A,Input_Raw!$AR:$AR),"")</f>
        <v/>
      </c>
      <c r="G328" s="298" t="str">
        <f>IFERROR(_xlfn.XLOOKUP($A328,Input_Raw!$A:$A,Input_Raw!$R:$R),"")</f>
        <v/>
      </c>
      <c r="H328" s="298"/>
      <c r="I328" s="298" t="str">
        <f>IFERROR(_xlfn.XLOOKUP($A328,Input_Raw!$A:$A,Input_Raw!$Q:$Q),"")</f>
        <v/>
      </c>
      <c r="J328" s="298"/>
      <c r="K328" s="298" t="str">
        <f>IFERROR(_xlfn.XLOOKUP($A328,Input_Raw!$A:$A,Input_Raw!S:S),"")</f>
        <v/>
      </c>
      <c r="L328" s="298" t="str">
        <f>IFERROR(_xlfn.XLOOKUP($A328,Input_Raw!$A:$A,Input_Raw!T:T),"")</f>
        <v/>
      </c>
      <c r="M328" s="298" t="str">
        <f>IFERROR(_xlfn.XLOOKUP($A328,Input_Raw!$A:$A,Input_Raw!W:W),"")</f>
        <v/>
      </c>
      <c r="N328" s="298" t="str">
        <f>IFERROR(_xlfn.XLOOKUP($A328,Input_Raw!$A:$A,Input_Raw!X:X),"")</f>
        <v/>
      </c>
      <c r="O328" s="299" t="str">
        <f>IFERROR(1-(SUMIF(Plant_BD!$B:$B,$A328,Plant_BD!$AL:$AL)/($AA328+SUMIF(Plant_BD!$B:$B,$A328,Plant_BD!$AL:$AL))),"")</f>
        <v/>
      </c>
      <c r="P328" s="299"/>
      <c r="Q328" s="300"/>
      <c r="R328" s="299" t="str">
        <f>IFERROR(1-(SUMIF(Grid_BD!$B:$B,$A328,Grid_BD!$V:$V)/($AA328+SUMIF(Grid_BD!$B:$B,$A328,Grid_BD!$V:$V))),"")</f>
        <v/>
      </c>
      <c r="S328" s="295"/>
      <c r="T328" s="300"/>
      <c r="U328" s="301" t="str">
        <f t="shared" si="26"/>
        <v/>
      </c>
      <c r="V328" s="301" t="str">
        <f>IFERROR(_xlfn.XLOOKUP($A328,Input_Raw!$A:$A,Input_Raw!$AX:$AX),"")</f>
        <v/>
      </c>
      <c r="W328" s="302" t="str">
        <f t="shared" si="27"/>
        <v/>
      </c>
      <c r="X328" s="294" t="str">
        <f>IFERROR(_xlfn.XLOOKUP($A328,Input_Raw!$A:$A,Input_Raw!$AA:$AA),"")</f>
        <v/>
      </c>
      <c r="Y328" s="294" t="str">
        <f>IFERROR(_xlfn.XLOOKUP($A328,Input_Raw!$A:$A,Input_Raw!$AS:$AS),"")</f>
        <v/>
      </c>
      <c r="Z328" s="294"/>
      <c r="AA328" s="294" t="str">
        <f>IFERROR(_xlfn.XLOOKUP($A328,Input_Raw!$A:$A,Input_Raw!$AT:$AT),"")</f>
        <v/>
      </c>
      <c r="AB328" s="294" t="str">
        <f>IFERROR(_xlfn.XLOOKUP($A328,Input_Raw!$A:$A,Input_Raw!$AU:$AU),"")</f>
        <v/>
      </c>
      <c r="AC328" s="303">
        <f>IFERROR(_xlfn.XLOOKUP($D328,'Modelling New'!$D:$D,'Modelling New'!P:P),"")</f>
        <v>6.3607142857142858</v>
      </c>
      <c r="AD328" s="294">
        <f>IFERROR(_xlfn.XLOOKUP($D328,'Modelling New'!$D:$D,'Modelling New'!T:T)*1000,"")</f>
        <v>737121.34795786918</v>
      </c>
      <c r="AE328" s="304">
        <f>IFERROR(_xlfn.XLOOKUP($D328,'Modelling New'!$D:$D,'Modelling New'!$O:$O),"")</f>
        <v>0.85841902147442506</v>
      </c>
      <c r="AF328" s="304">
        <f>IFERROR(_xlfn.XLOOKUP($D328,'Modelling New'!$D:$D,'Modelling New'!$W:$W),"")</f>
        <v>0.22750658887588554</v>
      </c>
      <c r="AG328" s="304">
        <f>IFERROR(_xlfn.XLOOKUP($D328,'Modelling New'!$D:$D,'Modelling New'!$AE:$AE),"")</f>
        <v>0.995</v>
      </c>
      <c r="AH328" s="304">
        <f>IFERROR(_xlfn.XLOOKUP($D328,'Modelling New'!$D:$D,'Modelling New'!$AF:$AF),"")</f>
        <v>0.995</v>
      </c>
      <c r="AI328" s="295"/>
      <c r="AJ328" s="295"/>
      <c r="AK328" s="295"/>
      <c r="AL328" s="295"/>
      <c r="AM328" s="295"/>
      <c r="AN328" s="305"/>
      <c r="AO328" s="302"/>
      <c r="AP328" s="302"/>
      <c r="AQ328" s="302"/>
      <c r="AR328" s="294">
        <f>_xlfn.XLOOKUP($D328,'Modelling New'!$D:$D,'Modelling New'!$N:$N)</f>
        <v>135</v>
      </c>
      <c r="AS328" s="294" t="str">
        <f t="shared" si="28"/>
        <v/>
      </c>
    </row>
    <row r="329" spans="1:45">
      <c r="A329" s="293">
        <f t="shared" si="29"/>
        <v>46072</v>
      </c>
      <c r="B329" s="294">
        <f>YEAR(Daily_KPI[[#This Row],[Date]])+IF(MONTH(Daily_KPI[[#This Row],[Date]])&gt;=4,1,0)</f>
        <v>2026</v>
      </c>
      <c r="C329" s="295">
        <f>YEAR(Daily_KPI[[#This Row],[Date]])</f>
        <v>2026</v>
      </c>
      <c r="D329" s="296">
        <f>Daily_KPI[[#This Row],[Date]]-DAY(Daily_KPI[[#This Row],[Date]])+1</f>
        <v>46054</v>
      </c>
      <c r="E329" s="295">
        <f t="shared" si="25"/>
        <v>28</v>
      </c>
      <c r="F329" s="297" t="str">
        <f>IFERROR(_xlfn.XLOOKUP($A329,Input_Raw!$A:$A,Input_Raw!$AR:$AR),"")</f>
        <v/>
      </c>
      <c r="G329" s="298" t="str">
        <f>IFERROR(_xlfn.XLOOKUP($A329,Input_Raw!$A:$A,Input_Raw!$R:$R),"")</f>
        <v/>
      </c>
      <c r="H329" s="298"/>
      <c r="I329" s="298" t="str">
        <f>IFERROR(_xlfn.XLOOKUP($A329,Input_Raw!$A:$A,Input_Raw!$Q:$Q),"")</f>
        <v/>
      </c>
      <c r="J329" s="298"/>
      <c r="K329" s="298" t="str">
        <f>IFERROR(_xlfn.XLOOKUP($A329,Input_Raw!$A:$A,Input_Raw!S:S),"")</f>
        <v/>
      </c>
      <c r="L329" s="298" t="str">
        <f>IFERROR(_xlfn.XLOOKUP($A329,Input_Raw!$A:$A,Input_Raw!T:T),"")</f>
        <v/>
      </c>
      <c r="M329" s="298" t="str">
        <f>IFERROR(_xlfn.XLOOKUP($A329,Input_Raw!$A:$A,Input_Raw!W:W),"")</f>
        <v/>
      </c>
      <c r="N329" s="298" t="str">
        <f>IFERROR(_xlfn.XLOOKUP($A329,Input_Raw!$A:$A,Input_Raw!X:X),"")</f>
        <v/>
      </c>
      <c r="O329" s="299" t="str">
        <f>IFERROR(1-(SUMIF(Plant_BD!$B:$B,$A329,Plant_BD!$AL:$AL)/($AA329+SUMIF(Plant_BD!$B:$B,$A329,Plant_BD!$AL:$AL))),"")</f>
        <v/>
      </c>
      <c r="P329" s="299"/>
      <c r="Q329" s="300"/>
      <c r="R329" s="299" t="str">
        <f>IFERROR(1-(SUMIF(Grid_BD!$B:$B,$A329,Grid_BD!$V:$V)/($AA329+SUMIF(Grid_BD!$B:$B,$A329,Grid_BD!$V:$V))),"")</f>
        <v/>
      </c>
      <c r="S329" s="295"/>
      <c r="T329" s="300"/>
      <c r="U329" s="301" t="str">
        <f t="shared" si="26"/>
        <v/>
      </c>
      <c r="V329" s="301" t="str">
        <f>IFERROR(_xlfn.XLOOKUP($A329,Input_Raw!$A:$A,Input_Raw!$AX:$AX),"")</f>
        <v/>
      </c>
      <c r="W329" s="302" t="str">
        <f t="shared" si="27"/>
        <v/>
      </c>
      <c r="X329" s="294" t="str">
        <f>IFERROR(_xlfn.XLOOKUP($A329,Input_Raw!$A:$A,Input_Raw!$AA:$AA),"")</f>
        <v/>
      </c>
      <c r="Y329" s="294" t="str">
        <f>IFERROR(_xlfn.XLOOKUP($A329,Input_Raw!$A:$A,Input_Raw!$AS:$AS),"")</f>
        <v/>
      </c>
      <c r="Z329" s="294"/>
      <c r="AA329" s="294" t="str">
        <f>IFERROR(_xlfn.XLOOKUP($A329,Input_Raw!$A:$A,Input_Raw!$AT:$AT),"")</f>
        <v/>
      </c>
      <c r="AB329" s="294" t="str">
        <f>IFERROR(_xlfn.XLOOKUP($A329,Input_Raw!$A:$A,Input_Raw!$AU:$AU),"")</f>
        <v/>
      </c>
      <c r="AC329" s="303">
        <f>IFERROR(_xlfn.XLOOKUP($D329,'Modelling New'!$D:$D,'Modelling New'!P:P),"")</f>
        <v>6.3607142857142858</v>
      </c>
      <c r="AD329" s="294">
        <f>IFERROR(_xlfn.XLOOKUP($D329,'Modelling New'!$D:$D,'Modelling New'!T:T)*1000,"")</f>
        <v>737121.34795786918</v>
      </c>
      <c r="AE329" s="304">
        <f>IFERROR(_xlfn.XLOOKUP($D329,'Modelling New'!$D:$D,'Modelling New'!$O:$O),"")</f>
        <v>0.85841902147442506</v>
      </c>
      <c r="AF329" s="304">
        <f>IFERROR(_xlfn.XLOOKUP($D329,'Modelling New'!$D:$D,'Modelling New'!$W:$W),"")</f>
        <v>0.22750658887588554</v>
      </c>
      <c r="AG329" s="304">
        <f>IFERROR(_xlfn.XLOOKUP($D329,'Modelling New'!$D:$D,'Modelling New'!$AE:$AE),"")</f>
        <v>0.995</v>
      </c>
      <c r="AH329" s="304">
        <f>IFERROR(_xlfn.XLOOKUP($D329,'Modelling New'!$D:$D,'Modelling New'!$AF:$AF),"")</f>
        <v>0.995</v>
      </c>
      <c r="AI329" s="295"/>
      <c r="AJ329" s="295"/>
      <c r="AK329" s="295"/>
      <c r="AL329" s="295"/>
      <c r="AM329" s="295"/>
      <c r="AN329" s="305"/>
      <c r="AO329" s="302"/>
      <c r="AP329" s="302"/>
      <c r="AQ329" s="302"/>
      <c r="AR329" s="294">
        <f>_xlfn.XLOOKUP($D329,'Modelling New'!$D:$D,'Modelling New'!$N:$N)</f>
        <v>135</v>
      </c>
      <c r="AS329" s="294" t="str">
        <f t="shared" si="28"/>
        <v/>
      </c>
    </row>
    <row r="330" spans="1:45">
      <c r="A330" s="293">
        <f t="shared" si="29"/>
        <v>46073</v>
      </c>
      <c r="B330" s="294">
        <f>YEAR(Daily_KPI[[#This Row],[Date]])+IF(MONTH(Daily_KPI[[#This Row],[Date]])&gt;=4,1,0)</f>
        <v>2026</v>
      </c>
      <c r="C330" s="295">
        <f>YEAR(Daily_KPI[[#This Row],[Date]])</f>
        <v>2026</v>
      </c>
      <c r="D330" s="296">
        <f>Daily_KPI[[#This Row],[Date]]-DAY(Daily_KPI[[#This Row],[Date]])+1</f>
        <v>46054</v>
      </c>
      <c r="E330" s="295">
        <f t="shared" ref="E330:E369" si="30">DAY(EOMONTH(A330,0))</f>
        <v>28</v>
      </c>
      <c r="F330" s="297" t="str">
        <f>IFERROR(_xlfn.XLOOKUP($A330,Input_Raw!$A:$A,Input_Raw!$AR:$AR),"")</f>
        <v/>
      </c>
      <c r="G330" s="298" t="str">
        <f>IFERROR(_xlfn.XLOOKUP($A330,Input_Raw!$A:$A,Input_Raw!$R:$R),"")</f>
        <v/>
      </c>
      <c r="H330" s="298"/>
      <c r="I330" s="298" t="str">
        <f>IFERROR(_xlfn.XLOOKUP($A330,Input_Raw!$A:$A,Input_Raw!$Q:$Q),"")</f>
        <v/>
      </c>
      <c r="J330" s="298"/>
      <c r="K330" s="298" t="str">
        <f>IFERROR(_xlfn.XLOOKUP($A330,Input_Raw!$A:$A,Input_Raw!S:S),"")</f>
        <v/>
      </c>
      <c r="L330" s="298" t="str">
        <f>IFERROR(_xlfn.XLOOKUP($A330,Input_Raw!$A:$A,Input_Raw!T:T),"")</f>
        <v/>
      </c>
      <c r="M330" s="298" t="str">
        <f>IFERROR(_xlfn.XLOOKUP($A330,Input_Raw!$A:$A,Input_Raw!W:W),"")</f>
        <v/>
      </c>
      <c r="N330" s="298" t="str">
        <f>IFERROR(_xlfn.XLOOKUP($A330,Input_Raw!$A:$A,Input_Raw!X:X),"")</f>
        <v/>
      </c>
      <c r="O330" s="299" t="str">
        <f>IFERROR(1-(SUMIF(Plant_BD!$B:$B,$A330,Plant_BD!$AL:$AL)/($AA330+SUMIF(Plant_BD!$B:$B,$A330,Plant_BD!$AL:$AL))),"")</f>
        <v/>
      </c>
      <c r="P330" s="299"/>
      <c r="Q330" s="300"/>
      <c r="R330" s="299" t="str">
        <f>IFERROR(1-(SUMIF(Grid_BD!$B:$B,$A330,Grid_BD!$V:$V)/($AA330+SUMIF(Grid_BD!$B:$B,$A330,Grid_BD!$V:$V))),"")</f>
        <v/>
      </c>
      <c r="S330" s="295"/>
      <c r="T330" s="300"/>
      <c r="U330" s="301" t="str">
        <f t="shared" ref="U330:U369" si="31">IFERROR(AA330/I330/AB330/1000,"")</f>
        <v/>
      </c>
      <c r="V330" s="301" t="str">
        <f>IFERROR(_xlfn.XLOOKUP($A330,Input_Raw!$A:$A,Input_Raw!$AX:$AX),"")</f>
        <v/>
      </c>
      <c r="W330" s="302" t="str">
        <f t="shared" ref="W330:W369" si="32">IFERROR(AA330/(24*AR330*1000),"")</f>
        <v/>
      </c>
      <c r="X330" s="294" t="str">
        <f>IFERROR(_xlfn.XLOOKUP($A330,Input_Raw!$A:$A,Input_Raw!$AA:$AA),"")</f>
        <v/>
      </c>
      <c r="Y330" s="294" t="str">
        <f>IFERROR(_xlfn.XLOOKUP($A330,Input_Raw!$A:$A,Input_Raw!$AS:$AS),"")</f>
        <v/>
      </c>
      <c r="Z330" s="294"/>
      <c r="AA330" s="294" t="str">
        <f>IFERROR(_xlfn.XLOOKUP($A330,Input_Raw!$A:$A,Input_Raw!$AT:$AT),"")</f>
        <v/>
      </c>
      <c r="AB330" s="294" t="str">
        <f>IFERROR(_xlfn.XLOOKUP($A330,Input_Raw!$A:$A,Input_Raw!$AU:$AU),"")</f>
        <v/>
      </c>
      <c r="AC330" s="303">
        <f>IFERROR(_xlfn.XLOOKUP($D330,'Modelling New'!$D:$D,'Modelling New'!P:P),"")</f>
        <v>6.3607142857142858</v>
      </c>
      <c r="AD330" s="294">
        <f>IFERROR(_xlfn.XLOOKUP($D330,'Modelling New'!$D:$D,'Modelling New'!T:T)*1000,"")</f>
        <v>737121.34795786918</v>
      </c>
      <c r="AE330" s="304">
        <f>IFERROR(_xlfn.XLOOKUP($D330,'Modelling New'!$D:$D,'Modelling New'!$O:$O),"")</f>
        <v>0.85841902147442506</v>
      </c>
      <c r="AF330" s="304">
        <f>IFERROR(_xlfn.XLOOKUP($D330,'Modelling New'!$D:$D,'Modelling New'!$W:$W),"")</f>
        <v>0.22750658887588554</v>
      </c>
      <c r="AG330" s="304">
        <f>IFERROR(_xlfn.XLOOKUP($D330,'Modelling New'!$D:$D,'Modelling New'!$AE:$AE),"")</f>
        <v>0.995</v>
      </c>
      <c r="AH330" s="304">
        <f>IFERROR(_xlfn.XLOOKUP($D330,'Modelling New'!$D:$D,'Modelling New'!$AF:$AF),"")</f>
        <v>0.995</v>
      </c>
      <c r="AI330" s="295"/>
      <c r="AJ330" s="295"/>
      <c r="AK330" s="295"/>
      <c r="AL330" s="295"/>
      <c r="AM330" s="295"/>
      <c r="AN330" s="305"/>
      <c r="AO330" s="302"/>
      <c r="AP330" s="302"/>
      <c r="AQ330" s="302"/>
      <c r="AR330" s="294">
        <f>_xlfn.XLOOKUP($D330,'Modelling New'!$D:$D,'Modelling New'!$N:$N)</f>
        <v>135</v>
      </c>
      <c r="AS330" s="294" t="str">
        <f t="shared" ref="AS330:AS369" si="33">IFERROR((AD330/AR330)*AB330,"")</f>
        <v/>
      </c>
    </row>
    <row r="331" spans="1:45">
      <c r="A331" s="293">
        <f t="shared" si="29"/>
        <v>46074</v>
      </c>
      <c r="B331" s="294">
        <f>YEAR(Daily_KPI[[#This Row],[Date]])+IF(MONTH(Daily_KPI[[#This Row],[Date]])&gt;=4,1,0)</f>
        <v>2026</v>
      </c>
      <c r="C331" s="295">
        <f>YEAR(Daily_KPI[[#This Row],[Date]])</f>
        <v>2026</v>
      </c>
      <c r="D331" s="296">
        <f>Daily_KPI[[#This Row],[Date]]-DAY(Daily_KPI[[#This Row],[Date]])+1</f>
        <v>46054</v>
      </c>
      <c r="E331" s="295">
        <f t="shared" si="30"/>
        <v>28</v>
      </c>
      <c r="F331" s="297" t="str">
        <f>IFERROR(_xlfn.XLOOKUP($A331,Input_Raw!$A:$A,Input_Raw!$AR:$AR),"")</f>
        <v/>
      </c>
      <c r="G331" s="298" t="str">
        <f>IFERROR(_xlfn.XLOOKUP($A331,Input_Raw!$A:$A,Input_Raw!$R:$R),"")</f>
        <v/>
      </c>
      <c r="H331" s="298"/>
      <c r="I331" s="298" t="str">
        <f>IFERROR(_xlfn.XLOOKUP($A331,Input_Raw!$A:$A,Input_Raw!$Q:$Q),"")</f>
        <v/>
      </c>
      <c r="J331" s="298"/>
      <c r="K331" s="298" t="str">
        <f>IFERROR(_xlfn.XLOOKUP($A331,Input_Raw!$A:$A,Input_Raw!S:S),"")</f>
        <v/>
      </c>
      <c r="L331" s="298" t="str">
        <f>IFERROR(_xlfn.XLOOKUP($A331,Input_Raw!$A:$A,Input_Raw!T:T),"")</f>
        <v/>
      </c>
      <c r="M331" s="298" t="str">
        <f>IFERROR(_xlfn.XLOOKUP($A331,Input_Raw!$A:$A,Input_Raw!W:W),"")</f>
        <v/>
      </c>
      <c r="N331" s="298" t="str">
        <f>IFERROR(_xlfn.XLOOKUP($A331,Input_Raw!$A:$A,Input_Raw!X:X),"")</f>
        <v/>
      </c>
      <c r="O331" s="299" t="str">
        <f>IFERROR(1-(SUMIF(Plant_BD!$B:$B,$A331,Plant_BD!$AL:$AL)/($AA331+SUMIF(Plant_BD!$B:$B,$A331,Plant_BD!$AL:$AL))),"")</f>
        <v/>
      </c>
      <c r="P331" s="299"/>
      <c r="Q331" s="300"/>
      <c r="R331" s="299" t="str">
        <f>IFERROR(1-(SUMIF(Grid_BD!$B:$B,$A331,Grid_BD!$V:$V)/($AA331+SUMIF(Grid_BD!$B:$B,$A331,Grid_BD!$V:$V))),"")</f>
        <v/>
      </c>
      <c r="S331" s="295"/>
      <c r="T331" s="300"/>
      <c r="U331" s="301" t="str">
        <f t="shared" si="31"/>
        <v/>
      </c>
      <c r="V331" s="301" t="str">
        <f>IFERROR(_xlfn.XLOOKUP($A331,Input_Raw!$A:$A,Input_Raw!$AX:$AX),"")</f>
        <v/>
      </c>
      <c r="W331" s="302" t="str">
        <f t="shared" si="32"/>
        <v/>
      </c>
      <c r="X331" s="294" t="str">
        <f>IFERROR(_xlfn.XLOOKUP($A331,Input_Raw!$A:$A,Input_Raw!$AA:$AA),"")</f>
        <v/>
      </c>
      <c r="Y331" s="294" t="str">
        <f>IFERROR(_xlfn.XLOOKUP($A331,Input_Raw!$A:$A,Input_Raw!$AS:$AS),"")</f>
        <v/>
      </c>
      <c r="Z331" s="294"/>
      <c r="AA331" s="294" t="str">
        <f>IFERROR(_xlfn.XLOOKUP($A331,Input_Raw!$A:$A,Input_Raw!$AT:$AT),"")</f>
        <v/>
      </c>
      <c r="AB331" s="294" t="str">
        <f>IFERROR(_xlfn.XLOOKUP($A331,Input_Raw!$A:$A,Input_Raw!$AU:$AU),"")</f>
        <v/>
      </c>
      <c r="AC331" s="303">
        <f>IFERROR(_xlfn.XLOOKUP($D331,'Modelling New'!$D:$D,'Modelling New'!P:P),"")</f>
        <v>6.3607142857142858</v>
      </c>
      <c r="AD331" s="294">
        <f>IFERROR(_xlfn.XLOOKUP($D331,'Modelling New'!$D:$D,'Modelling New'!T:T)*1000,"")</f>
        <v>737121.34795786918</v>
      </c>
      <c r="AE331" s="304">
        <f>IFERROR(_xlfn.XLOOKUP($D331,'Modelling New'!$D:$D,'Modelling New'!$O:$O),"")</f>
        <v>0.85841902147442506</v>
      </c>
      <c r="AF331" s="304">
        <f>IFERROR(_xlfn.XLOOKUP($D331,'Modelling New'!$D:$D,'Modelling New'!$W:$W),"")</f>
        <v>0.22750658887588554</v>
      </c>
      <c r="AG331" s="304">
        <f>IFERROR(_xlfn.XLOOKUP($D331,'Modelling New'!$D:$D,'Modelling New'!$AE:$AE),"")</f>
        <v>0.995</v>
      </c>
      <c r="AH331" s="304">
        <f>IFERROR(_xlfn.XLOOKUP($D331,'Modelling New'!$D:$D,'Modelling New'!$AF:$AF),"")</f>
        <v>0.995</v>
      </c>
      <c r="AI331" s="295"/>
      <c r="AJ331" s="295"/>
      <c r="AK331" s="295"/>
      <c r="AL331" s="295"/>
      <c r="AM331" s="295"/>
      <c r="AN331" s="305"/>
      <c r="AO331" s="302"/>
      <c r="AP331" s="302"/>
      <c r="AQ331" s="302"/>
      <c r="AR331" s="294">
        <f>_xlfn.XLOOKUP($D331,'Modelling New'!$D:$D,'Modelling New'!$N:$N)</f>
        <v>135</v>
      </c>
      <c r="AS331" s="294" t="str">
        <f t="shared" si="33"/>
        <v/>
      </c>
    </row>
    <row r="332" spans="1:45">
      <c r="A332" s="293">
        <f t="shared" ref="A332:A369" si="34">A331+1</f>
        <v>46075</v>
      </c>
      <c r="B332" s="294">
        <f>YEAR(Daily_KPI[[#This Row],[Date]])+IF(MONTH(Daily_KPI[[#This Row],[Date]])&gt;=4,1,0)</f>
        <v>2026</v>
      </c>
      <c r="C332" s="295">
        <f>YEAR(Daily_KPI[[#This Row],[Date]])</f>
        <v>2026</v>
      </c>
      <c r="D332" s="296">
        <f>Daily_KPI[[#This Row],[Date]]-DAY(Daily_KPI[[#This Row],[Date]])+1</f>
        <v>46054</v>
      </c>
      <c r="E332" s="295">
        <f t="shared" si="30"/>
        <v>28</v>
      </c>
      <c r="F332" s="297" t="str">
        <f>IFERROR(_xlfn.XLOOKUP($A332,Input_Raw!$A:$A,Input_Raw!$AR:$AR),"")</f>
        <v/>
      </c>
      <c r="G332" s="298" t="str">
        <f>IFERROR(_xlfn.XLOOKUP($A332,Input_Raw!$A:$A,Input_Raw!$R:$R),"")</f>
        <v/>
      </c>
      <c r="H332" s="298"/>
      <c r="I332" s="298" t="str">
        <f>IFERROR(_xlfn.XLOOKUP($A332,Input_Raw!$A:$A,Input_Raw!$Q:$Q),"")</f>
        <v/>
      </c>
      <c r="J332" s="298"/>
      <c r="K332" s="298" t="str">
        <f>IFERROR(_xlfn.XLOOKUP($A332,Input_Raw!$A:$A,Input_Raw!S:S),"")</f>
        <v/>
      </c>
      <c r="L332" s="298" t="str">
        <f>IFERROR(_xlfn.XLOOKUP($A332,Input_Raw!$A:$A,Input_Raw!T:T),"")</f>
        <v/>
      </c>
      <c r="M332" s="298" t="str">
        <f>IFERROR(_xlfn.XLOOKUP($A332,Input_Raw!$A:$A,Input_Raw!W:W),"")</f>
        <v/>
      </c>
      <c r="N332" s="298" t="str">
        <f>IFERROR(_xlfn.XLOOKUP($A332,Input_Raw!$A:$A,Input_Raw!X:X),"")</f>
        <v/>
      </c>
      <c r="O332" s="299" t="str">
        <f>IFERROR(1-(SUMIF(Plant_BD!$B:$B,$A332,Plant_BD!$AL:$AL)/($AA332+SUMIF(Plant_BD!$B:$B,$A332,Plant_BD!$AL:$AL))),"")</f>
        <v/>
      </c>
      <c r="P332" s="299"/>
      <c r="Q332" s="300"/>
      <c r="R332" s="299" t="str">
        <f>IFERROR(1-(SUMIF(Grid_BD!$B:$B,$A332,Grid_BD!$V:$V)/($AA332+SUMIF(Grid_BD!$B:$B,$A332,Grid_BD!$V:$V))),"")</f>
        <v/>
      </c>
      <c r="S332" s="295"/>
      <c r="T332" s="300"/>
      <c r="U332" s="301" t="str">
        <f t="shared" si="31"/>
        <v/>
      </c>
      <c r="V332" s="301" t="str">
        <f>IFERROR(_xlfn.XLOOKUP($A332,Input_Raw!$A:$A,Input_Raw!$AX:$AX),"")</f>
        <v/>
      </c>
      <c r="W332" s="302" t="str">
        <f t="shared" si="32"/>
        <v/>
      </c>
      <c r="X332" s="294" t="str">
        <f>IFERROR(_xlfn.XLOOKUP($A332,Input_Raw!$A:$A,Input_Raw!$AA:$AA),"")</f>
        <v/>
      </c>
      <c r="Y332" s="294" t="str">
        <f>IFERROR(_xlfn.XLOOKUP($A332,Input_Raw!$A:$A,Input_Raw!$AS:$AS),"")</f>
        <v/>
      </c>
      <c r="Z332" s="294"/>
      <c r="AA332" s="294" t="str">
        <f>IFERROR(_xlfn.XLOOKUP($A332,Input_Raw!$A:$A,Input_Raw!$AT:$AT),"")</f>
        <v/>
      </c>
      <c r="AB332" s="294" t="str">
        <f>IFERROR(_xlfn.XLOOKUP($A332,Input_Raw!$A:$A,Input_Raw!$AU:$AU),"")</f>
        <v/>
      </c>
      <c r="AC332" s="303">
        <f>IFERROR(_xlfn.XLOOKUP($D332,'Modelling New'!$D:$D,'Modelling New'!P:P),"")</f>
        <v>6.3607142857142858</v>
      </c>
      <c r="AD332" s="294">
        <f>IFERROR(_xlfn.XLOOKUP($D332,'Modelling New'!$D:$D,'Modelling New'!T:T)*1000,"")</f>
        <v>737121.34795786918</v>
      </c>
      <c r="AE332" s="304">
        <f>IFERROR(_xlfn.XLOOKUP($D332,'Modelling New'!$D:$D,'Modelling New'!$O:$O),"")</f>
        <v>0.85841902147442506</v>
      </c>
      <c r="AF332" s="304">
        <f>IFERROR(_xlfn.XLOOKUP($D332,'Modelling New'!$D:$D,'Modelling New'!$W:$W),"")</f>
        <v>0.22750658887588554</v>
      </c>
      <c r="AG332" s="304">
        <f>IFERROR(_xlfn.XLOOKUP($D332,'Modelling New'!$D:$D,'Modelling New'!$AE:$AE),"")</f>
        <v>0.995</v>
      </c>
      <c r="AH332" s="304">
        <f>IFERROR(_xlfn.XLOOKUP($D332,'Modelling New'!$D:$D,'Modelling New'!$AF:$AF),"")</f>
        <v>0.995</v>
      </c>
      <c r="AI332" s="295"/>
      <c r="AJ332" s="295"/>
      <c r="AK332" s="295"/>
      <c r="AL332" s="295"/>
      <c r="AM332" s="295"/>
      <c r="AN332" s="305"/>
      <c r="AO332" s="302"/>
      <c r="AP332" s="302"/>
      <c r="AQ332" s="302"/>
      <c r="AR332" s="294">
        <f>_xlfn.XLOOKUP($D332,'Modelling New'!$D:$D,'Modelling New'!$N:$N)</f>
        <v>135</v>
      </c>
      <c r="AS332" s="294" t="str">
        <f t="shared" si="33"/>
        <v/>
      </c>
    </row>
    <row r="333" spans="1:45">
      <c r="A333" s="293">
        <f t="shared" si="34"/>
        <v>46076</v>
      </c>
      <c r="B333" s="294">
        <f>YEAR(Daily_KPI[[#This Row],[Date]])+IF(MONTH(Daily_KPI[[#This Row],[Date]])&gt;=4,1,0)</f>
        <v>2026</v>
      </c>
      <c r="C333" s="295">
        <f>YEAR(Daily_KPI[[#This Row],[Date]])</f>
        <v>2026</v>
      </c>
      <c r="D333" s="296">
        <f>Daily_KPI[[#This Row],[Date]]-DAY(Daily_KPI[[#This Row],[Date]])+1</f>
        <v>46054</v>
      </c>
      <c r="E333" s="295">
        <f t="shared" si="30"/>
        <v>28</v>
      </c>
      <c r="F333" s="297" t="str">
        <f>IFERROR(_xlfn.XLOOKUP($A333,Input_Raw!$A:$A,Input_Raw!$AR:$AR),"")</f>
        <v/>
      </c>
      <c r="G333" s="298" t="str">
        <f>IFERROR(_xlfn.XLOOKUP($A333,Input_Raw!$A:$A,Input_Raw!$R:$R),"")</f>
        <v/>
      </c>
      <c r="H333" s="298"/>
      <c r="I333" s="298" t="str">
        <f>IFERROR(_xlfn.XLOOKUP($A333,Input_Raw!$A:$A,Input_Raw!$Q:$Q),"")</f>
        <v/>
      </c>
      <c r="J333" s="298"/>
      <c r="K333" s="298" t="str">
        <f>IFERROR(_xlfn.XLOOKUP($A333,Input_Raw!$A:$A,Input_Raw!S:S),"")</f>
        <v/>
      </c>
      <c r="L333" s="298" t="str">
        <f>IFERROR(_xlfn.XLOOKUP($A333,Input_Raw!$A:$A,Input_Raw!T:T),"")</f>
        <v/>
      </c>
      <c r="M333" s="298" t="str">
        <f>IFERROR(_xlfn.XLOOKUP($A333,Input_Raw!$A:$A,Input_Raw!W:W),"")</f>
        <v/>
      </c>
      <c r="N333" s="298" t="str">
        <f>IFERROR(_xlfn.XLOOKUP($A333,Input_Raw!$A:$A,Input_Raw!X:X),"")</f>
        <v/>
      </c>
      <c r="O333" s="299" t="str">
        <f>IFERROR(1-(SUMIF(Plant_BD!$B:$B,$A333,Plant_BD!$AL:$AL)/($AA333+SUMIF(Plant_BD!$B:$B,$A333,Plant_BD!$AL:$AL))),"")</f>
        <v/>
      </c>
      <c r="P333" s="299"/>
      <c r="Q333" s="300"/>
      <c r="R333" s="299" t="str">
        <f>IFERROR(1-(SUMIF(Grid_BD!$B:$B,$A333,Grid_BD!$V:$V)/($AA333+SUMIF(Grid_BD!$B:$B,$A333,Grid_BD!$V:$V))),"")</f>
        <v/>
      </c>
      <c r="S333" s="295"/>
      <c r="T333" s="300"/>
      <c r="U333" s="301" t="str">
        <f t="shared" si="31"/>
        <v/>
      </c>
      <c r="V333" s="301" t="str">
        <f>IFERROR(_xlfn.XLOOKUP($A333,Input_Raw!$A:$A,Input_Raw!$AX:$AX),"")</f>
        <v/>
      </c>
      <c r="W333" s="302" t="str">
        <f t="shared" si="32"/>
        <v/>
      </c>
      <c r="X333" s="294" t="str">
        <f>IFERROR(_xlfn.XLOOKUP($A333,Input_Raw!$A:$A,Input_Raw!$AA:$AA),"")</f>
        <v/>
      </c>
      <c r="Y333" s="294" t="str">
        <f>IFERROR(_xlfn.XLOOKUP($A333,Input_Raw!$A:$A,Input_Raw!$AS:$AS),"")</f>
        <v/>
      </c>
      <c r="Z333" s="294"/>
      <c r="AA333" s="294" t="str">
        <f>IFERROR(_xlfn.XLOOKUP($A333,Input_Raw!$A:$A,Input_Raw!$AT:$AT),"")</f>
        <v/>
      </c>
      <c r="AB333" s="294" t="str">
        <f>IFERROR(_xlfn.XLOOKUP($A333,Input_Raw!$A:$A,Input_Raw!$AU:$AU),"")</f>
        <v/>
      </c>
      <c r="AC333" s="303">
        <f>IFERROR(_xlfn.XLOOKUP($D333,'Modelling New'!$D:$D,'Modelling New'!P:P),"")</f>
        <v>6.3607142857142858</v>
      </c>
      <c r="AD333" s="294">
        <f>IFERROR(_xlfn.XLOOKUP($D333,'Modelling New'!$D:$D,'Modelling New'!T:T)*1000,"")</f>
        <v>737121.34795786918</v>
      </c>
      <c r="AE333" s="304">
        <f>IFERROR(_xlfn.XLOOKUP($D333,'Modelling New'!$D:$D,'Modelling New'!$O:$O),"")</f>
        <v>0.85841902147442506</v>
      </c>
      <c r="AF333" s="304">
        <f>IFERROR(_xlfn.XLOOKUP($D333,'Modelling New'!$D:$D,'Modelling New'!$W:$W),"")</f>
        <v>0.22750658887588554</v>
      </c>
      <c r="AG333" s="304">
        <f>IFERROR(_xlfn.XLOOKUP($D333,'Modelling New'!$D:$D,'Modelling New'!$AE:$AE),"")</f>
        <v>0.995</v>
      </c>
      <c r="AH333" s="304">
        <f>IFERROR(_xlfn.XLOOKUP($D333,'Modelling New'!$D:$D,'Modelling New'!$AF:$AF),"")</f>
        <v>0.995</v>
      </c>
      <c r="AI333" s="295"/>
      <c r="AJ333" s="295"/>
      <c r="AK333" s="295"/>
      <c r="AL333" s="295"/>
      <c r="AM333" s="295"/>
      <c r="AN333" s="305"/>
      <c r="AO333" s="302"/>
      <c r="AP333" s="302"/>
      <c r="AQ333" s="302"/>
      <c r="AR333" s="294">
        <f>_xlfn.XLOOKUP($D333,'Modelling New'!$D:$D,'Modelling New'!$N:$N)</f>
        <v>135</v>
      </c>
      <c r="AS333" s="294" t="str">
        <f t="shared" si="33"/>
        <v/>
      </c>
    </row>
    <row r="334" spans="1:45">
      <c r="A334" s="293">
        <f t="shared" si="34"/>
        <v>46077</v>
      </c>
      <c r="B334" s="294">
        <f>YEAR(Daily_KPI[[#This Row],[Date]])+IF(MONTH(Daily_KPI[[#This Row],[Date]])&gt;=4,1,0)</f>
        <v>2026</v>
      </c>
      <c r="C334" s="295">
        <f>YEAR(Daily_KPI[[#This Row],[Date]])</f>
        <v>2026</v>
      </c>
      <c r="D334" s="296">
        <f>Daily_KPI[[#This Row],[Date]]-DAY(Daily_KPI[[#This Row],[Date]])+1</f>
        <v>46054</v>
      </c>
      <c r="E334" s="295">
        <f t="shared" si="30"/>
        <v>28</v>
      </c>
      <c r="F334" s="297" t="str">
        <f>IFERROR(_xlfn.XLOOKUP($A334,Input_Raw!$A:$A,Input_Raw!$AR:$AR),"")</f>
        <v/>
      </c>
      <c r="G334" s="298" t="str">
        <f>IFERROR(_xlfn.XLOOKUP($A334,Input_Raw!$A:$A,Input_Raw!$R:$R),"")</f>
        <v/>
      </c>
      <c r="H334" s="298"/>
      <c r="I334" s="298" t="str">
        <f>IFERROR(_xlfn.XLOOKUP($A334,Input_Raw!$A:$A,Input_Raw!$Q:$Q),"")</f>
        <v/>
      </c>
      <c r="J334" s="298"/>
      <c r="K334" s="298" t="str">
        <f>IFERROR(_xlfn.XLOOKUP($A334,Input_Raw!$A:$A,Input_Raw!S:S),"")</f>
        <v/>
      </c>
      <c r="L334" s="298" t="str">
        <f>IFERROR(_xlfn.XLOOKUP($A334,Input_Raw!$A:$A,Input_Raw!T:T),"")</f>
        <v/>
      </c>
      <c r="M334" s="298" t="str">
        <f>IFERROR(_xlfn.XLOOKUP($A334,Input_Raw!$A:$A,Input_Raw!W:W),"")</f>
        <v/>
      </c>
      <c r="N334" s="298" t="str">
        <f>IFERROR(_xlfn.XLOOKUP($A334,Input_Raw!$A:$A,Input_Raw!X:X),"")</f>
        <v/>
      </c>
      <c r="O334" s="299" t="str">
        <f>IFERROR(1-(SUMIF(Plant_BD!$B:$B,$A334,Plant_BD!$AL:$AL)/($AA334+SUMIF(Plant_BD!$B:$B,$A334,Plant_BD!$AL:$AL))),"")</f>
        <v/>
      </c>
      <c r="P334" s="299"/>
      <c r="Q334" s="300"/>
      <c r="R334" s="299" t="str">
        <f>IFERROR(1-(SUMIF(Grid_BD!$B:$B,$A334,Grid_BD!$V:$V)/($AA334+SUMIF(Grid_BD!$B:$B,$A334,Grid_BD!$V:$V))),"")</f>
        <v/>
      </c>
      <c r="S334" s="295"/>
      <c r="T334" s="300"/>
      <c r="U334" s="301" t="str">
        <f t="shared" si="31"/>
        <v/>
      </c>
      <c r="V334" s="301" t="str">
        <f>IFERROR(_xlfn.XLOOKUP($A334,Input_Raw!$A:$A,Input_Raw!$AX:$AX),"")</f>
        <v/>
      </c>
      <c r="W334" s="302" t="str">
        <f t="shared" si="32"/>
        <v/>
      </c>
      <c r="X334" s="294" t="str">
        <f>IFERROR(_xlfn.XLOOKUP($A334,Input_Raw!$A:$A,Input_Raw!$AA:$AA),"")</f>
        <v/>
      </c>
      <c r="Y334" s="294" t="str">
        <f>IFERROR(_xlfn.XLOOKUP($A334,Input_Raw!$A:$A,Input_Raw!$AS:$AS),"")</f>
        <v/>
      </c>
      <c r="Z334" s="294"/>
      <c r="AA334" s="294" t="str">
        <f>IFERROR(_xlfn.XLOOKUP($A334,Input_Raw!$A:$A,Input_Raw!$AT:$AT),"")</f>
        <v/>
      </c>
      <c r="AB334" s="294" t="str">
        <f>IFERROR(_xlfn.XLOOKUP($A334,Input_Raw!$A:$A,Input_Raw!$AU:$AU),"")</f>
        <v/>
      </c>
      <c r="AC334" s="303">
        <f>IFERROR(_xlfn.XLOOKUP($D334,'Modelling New'!$D:$D,'Modelling New'!P:P),"")</f>
        <v>6.3607142857142858</v>
      </c>
      <c r="AD334" s="294">
        <f>IFERROR(_xlfn.XLOOKUP($D334,'Modelling New'!$D:$D,'Modelling New'!T:T)*1000,"")</f>
        <v>737121.34795786918</v>
      </c>
      <c r="AE334" s="304">
        <f>IFERROR(_xlfn.XLOOKUP($D334,'Modelling New'!$D:$D,'Modelling New'!$O:$O),"")</f>
        <v>0.85841902147442506</v>
      </c>
      <c r="AF334" s="304">
        <f>IFERROR(_xlfn.XLOOKUP($D334,'Modelling New'!$D:$D,'Modelling New'!$W:$W),"")</f>
        <v>0.22750658887588554</v>
      </c>
      <c r="AG334" s="304">
        <f>IFERROR(_xlfn.XLOOKUP($D334,'Modelling New'!$D:$D,'Modelling New'!$AE:$AE),"")</f>
        <v>0.995</v>
      </c>
      <c r="AH334" s="304">
        <f>IFERROR(_xlfn.XLOOKUP($D334,'Modelling New'!$D:$D,'Modelling New'!$AF:$AF),"")</f>
        <v>0.995</v>
      </c>
      <c r="AI334" s="295"/>
      <c r="AJ334" s="295"/>
      <c r="AK334" s="295"/>
      <c r="AL334" s="295"/>
      <c r="AM334" s="295"/>
      <c r="AN334" s="305"/>
      <c r="AO334" s="302"/>
      <c r="AP334" s="302"/>
      <c r="AQ334" s="302"/>
      <c r="AR334" s="294">
        <f>_xlfn.XLOOKUP($D334,'Modelling New'!$D:$D,'Modelling New'!$N:$N)</f>
        <v>135</v>
      </c>
      <c r="AS334" s="294" t="str">
        <f t="shared" si="33"/>
        <v/>
      </c>
    </row>
    <row r="335" spans="1:45">
      <c r="A335" s="293">
        <f t="shared" si="34"/>
        <v>46078</v>
      </c>
      <c r="B335" s="294">
        <f>YEAR(Daily_KPI[[#This Row],[Date]])+IF(MONTH(Daily_KPI[[#This Row],[Date]])&gt;=4,1,0)</f>
        <v>2026</v>
      </c>
      <c r="C335" s="295">
        <f>YEAR(Daily_KPI[[#This Row],[Date]])</f>
        <v>2026</v>
      </c>
      <c r="D335" s="296">
        <f>Daily_KPI[[#This Row],[Date]]-DAY(Daily_KPI[[#This Row],[Date]])+1</f>
        <v>46054</v>
      </c>
      <c r="E335" s="295">
        <f t="shared" si="30"/>
        <v>28</v>
      </c>
      <c r="F335" s="297" t="str">
        <f>IFERROR(_xlfn.XLOOKUP($A335,Input_Raw!$A:$A,Input_Raw!$AR:$AR),"")</f>
        <v/>
      </c>
      <c r="G335" s="298" t="str">
        <f>IFERROR(_xlfn.XLOOKUP($A335,Input_Raw!$A:$A,Input_Raw!$R:$R),"")</f>
        <v/>
      </c>
      <c r="H335" s="298"/>
      <c r="I335" s="298" t="str">
        <f>IFERROR(_xlfn.XLOOKUP($A335,Input_Raw!$A:$A,Input_Raw!$Q:$Q),"")</f>
        <v/>
      </c>
      <c r="J335" s="298"/>
      <c r="K335" s="298" t="str">
        <f>IFERROR(_xlfn.XLOOKUP($A335,Input_Raw!$A:$A,Input_Raw!S:S),"")</f>
        <v/>
      </c>
      <c r="L335" s="298" t="str">
        <f>IFERROR(_xlfn.XLOOKUP($A335,Input_Raw!$A:$A,Input_Raw!T:T),"")</f>
        <v/>
      </c>
      <c r="M335" s="298" t="str">
        <f>IFERROR(_xlfn.XLOOKUP($A335,Input_Raw!$A:$A,Input_Raw!W:W),"")</f>
        <v/>
      </c>
      <c r="N335" s="298" t="str">
        <f>IFERROR(_xlfn.XLOOKUP($A335,Input_Raw!$A:$A,Input_Raw!X:X),"")</f>
        <v/>
      </c>
      <c r="O335" s="299" t="str">
        <f>IFERROR(1-(SUMIF(Plant_BD!$B:$B,$A335,Plant_BD!$AL:$AL)/($AA335+SUMIF(Plant_BD!$B:$B,$A335,Plant_BD!$AL:$AL))),"")</f>
        <v/>
      </c>
      <c r="P335" s="299"/>
      <c r="Q335" s="300"/>
      <c r="R335" s="299" t="str">
        <f>IFERROR(1-(SUMIF(Grid_BD!$B:$B,$A335,Grid_BD!$V:$V)/($AA335+SUMIF(Grid_BD!$B:$B,$A335,Grid_BD!$V:$V))),"")</f>
        <v/>
      </c>
      <c r="S335" s="295"/>
      <c r="T335" s="300"/>
      <c r="U335" s="301" t="str">
        <f t="shared" si="31"/>
        <v/>
      </c>
      <c r="V335" s="301" t="str">
        <f>IFERROR(_xlfn.XLOOKUP($A335,Input_Raw!$A:$A,Input_Raw!$AX:$AX),"")</f>
        <v/>
      </c>
      <c r="W335" s="302" t="str">
        <f t="shared" si="32"/>
        <v/>
      </c>
      <c r="X335" s="294" t="str">
        <f>IFERROR(_xlfn.XLOOKUP($A335,Input_Raw!$A:$A,Input_Raw!$AA:$AA),"")</f>
        <v/>
      </c>
      <c r="Y335" s="294" t="str">
        <f>IFERROR(_xlfn.XLOOKUP($A335,Input_Raw!$A:$A,Input_Raw!$AS:$AS),"")</f>
        <v/>
      </c>
      <c r="Z335" s="294"/>
      <c r="AA335" s="294" t="str">
        <f>IFERROR(_xlfn.XLOOKUP($A335,Input_Raw!$A:$A,Input_Raw!$AT:$AT),"")</f>
        <v/>
      </c>
      <c r="AB335" s="294" t="str">
        <f>IFERROR(_xlfn.XLOOKUP($A335,Input_Raw!$A:$A,Input_Raw!$AU:$AU),"")</f>
        <v/>
      </c>
      <c r="AC335" s="303">
        <f>IFERROR(_xlfn.XLOOKUP($D335,'Modelling New'!$D:$D,'Modelling New'!P:P),"")</f>
        <v>6.3607142857142858</v>
      </c>
      <c r="AD335" s="294">
        <f>IFERROR(_xlfn.XLOOKUP($D335,'Modelling New'!$D:$D,'Modelling New'!T:T)*1000,"")</f>
        <v>737121.34795786918</v>
      </c>
      <c r="AE335" s="304">
        <f>IFERROR(_xlfn.XLOOKUP($D335,'Modelling New'!$D:$D,'Modelling New'!$O:$O),"")</f>
        <v>0.85841902147442506</v>
      </c>
      <c r="AF335" s="304">
        <f>IFERROR(_xlfn.XLOOKUP($D335,'Modelling New'!$D:$D,'Modelling New'!$W:$W),"")</f>
        <v>0.22750658887588554</v>
      </c>
      <c r="AG335" s="304">
        <f>IFERROR(_xlfn.XLOOKUP($D335,'Modelling New'!$D:$D,'Modelling New'!$AE:$AE),"")</f>
        <v>0.995</v>
      </c>
      <c r="AH335" s="304">
        <f>IFERROR(_xlfn.XLOOKUP($D335,'Modelling New'!$D:$D,'Modelling New'!$AF:$AF),"")</f>
        <v>0.995</v>
      </c>
      <c r="AI335" s="295"/>
      <c r="AJ335" s="295"/>
      <c r="AK335" s="295"/>
      <c r="AL335" s="295"/>
      <c r="AM335" s="295"/>
      <c r="AN335" s="305"/>
      <c r="AO335" s="302"/>
      <c r="AP335" s="302"/>
      <c r="AQ335" s="302"/>
      <c r="AR335" s="294">
        <f>_xlfn.XLOOKUP($D335,'Modelling New'!$D:$D,'Modelling New'!$N:$N)</f>
        <v>135</v>
      </c>
      <c r="AS335" s="294" t="str">
        <f t="shared" si="33"/>
        <v/>
      </c>
    </row>
    <row r="336" spans="1:45">
      <c r="A336" s="293">
        <f t="shared" si="34"/>
        <v>46079</v>
      </c>
      <c r="B336" s="294">
        <f>YEAR(Daily_KPI[[#This Row],[Date]])+IF(MONTH(Daily_KPI[[#This Row],[Date]])&gt;=4,1,0)</f>
        <v>2026</v>
      </c>
      <c r="C336" s="295">
        <f>YEAR(Daily_KPI[[#This Row],[Date]])</f>
        <v>2026</v>
      </c>
      <c r="D336" s="296">
        <f>Daily_KPI[[#This Row],[Date]]-DAY(Daily_KPI[[#This Row],[Date]])+1</f>
        <v>46054</v>
      </c>
      <c r="E336" s="295">
        <f t="shared" si="30"/>
        <v>28</v>
      </c>
      <c r="F336" s="297" t="str">
        <f>IFERROR(_xlfn.XLOOKUP($A336,Input_Raw!$A:$A,Input_Raw!$AR:$AR),"")</f>
        <v/>
      </c>
      <c r="G336" s="298" t="str">
        <f>IFERROR(_xlfn.XLOOKUP($A336,Input_Raw!$A:$A,Input_Raw!$R:$R),"")</f>
        <v/>
      </c>
      <c r="H336" s="298"/>
      <c r="I336" s="298" t="str">
        <f>IFERROR(_xlfn.XLOOKUP($A336,Input_Raw!$A:$A,Input_Raw!$Q:$Q),"")</f>
        <v/>
      </c>
      <c r="J336" s="298"/>
      <c r="K336" s="298" t="str">
        <f>IFERROR(_xlfn.XLOOKUP($A336,Input_Raw!$A:$A,Input_Raw!S:S),"")</f>
        <v/>
      </c>
      <c r="L336" s="298" t="str">
        <f>IFERROR(_xlfn.XLOOKUP($A336,Input_Raw!$A:$A,Input_Raw!T:T),"")</f>
        <v/>
      </c>
      <c r="M336" s="298" t="str">
        <f>IFERROR(_xlfn.XLOOKUP($A336,Input_Raw!$A:$A,Input_Raw!W:W),"")</f>
        <v/>
      </c>
      <c r="N336" s="298" t="str">
        <f>IFERROR(_xlfn.XLOOKUP($A336,Input_Raw!$A:$A,Input_Raw!X:X),"")</f>
        <v/>
      </c>
      <c r="O336" s="299" t="str">
        <f>IFERROR(1-(SUMIF(Plant_BD!$B:$B,$A336,Plant_BD!$AL:$AL)/($AA336+SUMIF(Plant_BD!$B:$B,$A336,Plant_BD!$AL:$AL))),"")</f>
        <v/>
      </c>
      <c r="P336" s="299"/>
      <c r="Q336" s="300"/>
      <c r="R336" s="299" t="str">
        <f>IFERROR(1-(SUMIF(Grid_BD!$B:$B,$A336,Grid_BD!$V:$V)/($AA336+SUMIF(Grid_BD!$B:$B,$A336,Grid_BD!$V:$V))),"")</f>
        <v/>
      </c>
      <c r="S336" s="295"/>
      <c r="T336" s="300"/>
      <c r="U336" s="301" t="str">
        <f t="shared" si="31"/>
        <v/>
      </c>
      <c r="V336" s="301" t="str">
        <f>IFERROR(_xlfn.XLOOKUP($A336,Input_Raw!$A:$A,Input_Raw!$AX:$AX),"")</f>
        <v/>
      </c>
      <c r="W336" s="302" t="str">
        <f t="shared" si="32"/>
        <v/>
      </c>
      <c r="X336" s="294" t="str">
        <f>IFERROR(_xlfn.XLOOKUP($A336,Input_Raw!$A:$A,Input_Raw!$AA:$AA),"")</f>
        <v/>
      </c>
      <c r="Y336" s="294" t="str">
        <f>IFERROR(_xlfn.XLOOKUP($A336,Input_Raw!$A:$A,Input_Raw!$AS:$AS),"")</f>
        <v/>
      </c>
      <c r="Z336" s="294"/>
      <c r="AA336" s="294" t="str">
        <f>IFERROR(_xlfn.XLOOKUP($A336,Input_Raw!$A:$A,Input_Raw!$AT:$AT),"")</f>
        <v/>
      </c>
      <c r="AB336" s="294" t="str">
        <f>IFERROR(_xlfn.XLOOKUP($A336,Input_Raw!$A:$A,Input_Raw!$AU:$AU),"")</f>
        <v/>
      </c>
      <c r="AC336" s="303">
        <f>IFERROR(_xlfn.XLOOKUP($D336,'Modelling New'!$D:$D,'Modelling New'!P:P),"")</f>
        <v>6.3607142857142858</v>
      </c>
      <c r="AD336" s="294">
        <f>IFERROR(_xlfn.XLOOKUP($D336,'Modelling New'!$D:$D,'Modelling New'!T:T)*1000,"")</f>
        <v>737121.34795786918</v>
      </c>
      <c r="AE336" s="304">
        <f>IFERROR(_xlfn.XLOOKUP($D336,'Modelling New'!$D:$D,'Modelling New'!$O:$O),"")</f>
        <v>0.85841902147442506</v>
      </c>
      <c r="AF336" s="304">
        <f>IFERROR(_xlfn.XLOOKUP($D336,'Modelling New'!$D:$D,'Modelling New'!$W:$W),"")</f>
        <v>0.22750658887588554</v>
      </c>
      <c r="AG336" s="304">
        <f>IFERROR(_xlfn.XLOOKUP($D336,'Modelling New'!$D:$D,'Modelling New'!$AE:$AE),"")</f>
        <v>0.995</v>
      </c>
      <c r="AH336" s="304">
        <f>IFERROR(_xlfn.XLOOKUP($D336,'Modelling New'!$D:$D,'Modelling New'!$AF:$AF),"")</f>
        <v>0.995</v>
      </c>
      <c r="AI336" s="295"/>
      <c r="AJ336" s="295"/>
      <c r="AK336" s="295"/>
      <c r="AL336" s="295"/>
      <c r="AM336" s="295"/>
      <c r="AN336" s="305"/>
      <c r="AO336" s="302"/>
      <c r="AP336" s="302"/>
      <c r="AQ336" s="302"/>
      <c r="AR336" s="294">
        <f>_xlfn.XLOOKUP($D336,'Modelling New'!$D:$D,'Modelling New'!$N:$N)</f>
        <v>135</v>
      </c>
      <c r="AS336" s="294" t="str">
        <f t="shared" si="33"/>
        <v/>
      </c>
    </row>
    <row r="337" spans="1:45">
      <c r="A337" s="293">
        <f t="shared" si="34"/>
        <v>46080</v>
      </c>
      <c r="B337" s="294">
        <f>YEAR(Daily_KPI[[#This Row],[Date]])+IF(MONTH(Daily_KPI[[#This Row],[Date]])&gt;=4,1,0)</f>
        <v>2026</v>
      </c>
      <c r="C337" s="295">
        <f>YEAR(Daily_KPI[[#This Row],[Date]])</f>
        <v>2026</v>
      </c>
      <c r="D337" s="296">
        <f>Daily_KPI[[#This Row],[Date]]-DAY(Daily_KPI[[#This Row],[Date]])+1</f>
        <v>46054</v>
      </c>
      <c r="E337" s="295">
        <f t="shared" si="30"/>
        <v>28</v>
      </c>
      <c r="F337" s="297" t="str">
        <f>IFERROR(_xlfn.XLOOKUP($A337,Input_Raw!$A:$A,Input_Raw!$AR:$AR),"")</f>
        <v/>
      </c>
      <c r="G337" s="298" t="str">
        <f>IFERROR(_xlfn.XLOOKUP($A337,Input_Raw!$A:$A,Input_Raw!$R:$R),"")</f>
        <v/>
      </c>
      <c r="H337" s="298"/>
      <c r="I337" s="298" t="str">
        <f>IFERROR(_xlfn.XLOOKUP($A337,Input_Raw!$A:$A,Input_Raw!$Q:$Q),"")</f>
        <v/>
      </c>
      <c r="J337" s="298"/>
      <c r="K337" s="298" t="str">
        <f>IFERROR(_xlfn.XLOOKUP($A337,Input_Raw!$A:$A,Input_Raw!S:S),"")</f>
        <v/>
      </c>
      <c r="L337" s="298" t="str">
        <f>IFERROR(_xlfn.XLOOKUP($A337,Input_Raw!$A:$A,Input_Raw!T:T),"")</f>
        <v/>
      </c>
      <c r="M337" s="298" t="str">
        <f>IFERROR(_xlfn.XLOOKUP($A337,Input_Raw!$A:$A,Input_Raw!W:W),"")</f>
        <v/>
      </c>
      <c r="N337" s="298" t="str">
        <f>IFERROR(_xlfn.XLOOKUP($A337,Input_Raw!$A:$A,Input_Raw!X:X),"")</f>
        <v/>
      </c>
      <c r="O337" s="299" t="str">
        <f>IFERROR(1-(SUMIF(Plant_BD!$B:$B,$A337,Plant_BD!$AL:$AL)/($AA337+SUMIF(Plant_BD!$B:$B,$A337,Plant_BD!$AL:$AL))),"")</f>
        <v/>
      </c>
      <c r="P337" s="299"/>
      <c r="Q337" s="300"/>
      <c r="R337" s="299" t="str">
        <f>IFERROR(1-(SUMIF(Grid_BD!$B:$B,$A337,Grid_BD!$V:$V)/($AA337+SUMIF(Grid_BD!$B:$B,$A337,Grid_BD!$V:$V))),"")</f>
        <v/>
      </c>
      <c r="S337" s="295"/>
      <c r="T337" s="300"/>
      <c r="U337" s="301" t="str">
        <f t="shared" si="31"/>
        <v/>
      </c>
      <c r="V337" s="301" t="str">
        <f>IFERROR(_xlfn.XLOOKUP($A337,Input_Raw!$A:$A,Input_Raw!$AX:$AX),"")</f>
        <v/>
      </c>
      <c r="W337" s="302" t="str">
        <f t="shared" si="32"/>
        <v/>
      </c>
      <c r="X337" s="294" t="str">
        <f>IFERROR(_xlfn.XLOOKUP($A337,Input_Raw!$A:$A,Input_Raw!$AA:$AA),"")</f>
        <v/>
      </c>
      <c r="Y337" s="294" t="str">
        <f>IFERROR(_xlfn.XLOOKUP($A337,Input_Raw!$A:$A,Input_Raw!$AS:$AS),"")</f>
        <v/>
      </c>
      <c r="Z337" s="294"/>
      <c r="AA337" s="294" t="str">
        <f>IFERROR(_xlfn.XLOOKUP($A337,Input_Raw!$A:$A,Input_Raw!$AT:$AT),"")</f>
        <v/>
      </c>
      <c r="AB337" s="294" t="str">
        <f>IFERROR(_xlfn.XLOOKUP($A337,Input_Raw!$A:$A,Input_Raw!$AU:$AU),"")</f>
        <v/>
      </c>
      <c r="AC337" s="303">
        <f>IFERROR(_xlfn.XLOOKUP($D337,'Modelling New'!$D:$D,'Modelling New'!P:P),"")</f>
        <v>6.3607142857142858</v>
      </c>
      <c r="AD337" s="294">
        <f>IFERROR(_xlfn.XLOOKUP($D337,'Modelling New'!$D:$D,'Modelling New'!T:T)*1000,"")</f>
        <v>737121.34795786918</v>
      </c>
      <c r="AE337" s="304">
        <f>IFERROR(_xlfn.XLOOKUP($D337,'Modelling New'!$D:$D,'Modelling New'!$O:$O),"")</f>
        <v>0.85841902147442506</v>
      </c>
      <c r="AF337" s="304">
        <f>IFERROR(_xlfn.XLOOKUP($D337,'Modelling New'!$D:$D,'Modelling New'!$W:$W),"")</f>
        <v>0.22750658887588554</v>
      </c>
      <c r="AG337" s="304">
        <f>IFERROR(_xlfn.XLOOKUP($D337,'Modelling New'!$D:$D,'Modelling New'!$AE:$AE),"")</f>
        <v>0.995</v>
      </c>
      <c r="AH337" s="304">
        <f>IFERROR(_xlfn.XLOOKUP($D337,'Modelling New'!$D:$D,'Modelling New'!$AF:$AF),"")</f>
        <v>0.995</v>
      </c>
      <c r="AI337" s="295"/>
      <c r="AJ337" s="295"/>
      <c r="AK337" s="295"/>
      <c r="AL337" s="295"/>
      <c r="AM337" s="295"/>
      <c r="AN337" s="305"/>
      <c r="AO337" s="302"/>
      <c r="AP337" s="302"/>
      <c r="AQ337" s="302"/>
      <c r="AR337" s="294">
        <f>_xlfn.XLOOKUP($D337,'Modelling New'!$D:$D,'Modelling New'!$N:$N)</f>
        <v>135</v>
      </c>
      <c r="AS337" s="294" t="str">
        <f t="shared" si="33"/>
        <v/>
      </c>
    </row>
    <row r="338" spans="1:45">
      <c r="A338" s="293">
        <f t="shared" si="34"/>
        <v>46081</v>
      </c>
      <c r="B338" s="294">
        <f>YEAR(Daily_KPI[[#This Row],[Date]])+IF(MONTH(Daily_KPI[[#This Row],[Date]])&gt;=4,1,0)</f>
        <v>2026</v>
      </c>
      <c r="C338" s="295">
        <f>YEAR(Daily_KPI[[#This Row],[Date]])</f>
        <v>2026</v>
      </c>
      <c r="D338" s="296">
        <f>Daily_KPI[[#This Row],[Date]]-DAY(Daily_KPI[[#This Row],[Date]])+1</f>
        <v>46054</v>
      </c>
      <c r="E338" s="295">
        <f t="shared" si="30"/>
        <v>28</v>
      </c>
      <c r="F338" s="297" t="str">
        <f>IFERROR(_xlfn.XLOOKUP($A338,Input_Raw!$A:$A,Input_Raw!$AR:$AR),"")</f>
        <v/>
      </c>
      <c r="G338" s="298" t="str">
        <f>IFERROR(_xlfn.XLOOKUP($A338,Input_Raw!$A:$A,Input_Raw!$R:$R),"")</f>
        <v/>
      </c>
      <c r="H338" s="298"/>
      <c r="I338" s="298" t="str">
        <f>IFERROR(_xlfn.XLOOKUP($A338,Input_Raw!$A:$A,Input_Raw!$Q:$Q),"")</f>
        <v/>
      </c>
      <c r="J338" s="298"/>
      <c r="K338" s="298" t="str">
        <f>IFERROR(_xlfn.XLOOKUP($A338,Input_Raw!$A:$A,Input_Raw!S:S),"")</f>
        <v/>
      </c>
      <c r="L338" s="298" t="str">
        <f>IFERROR(_xlfn.XLOOKUP($A338,Input_Raw!$A:$A,Input_Raw!T:T),"")</f>
        <v/>
      </c>
      <c r="M338" s="298" t="str">
        <f>IFERROR(_xlfn.XLOOKUP($A338,Input_Raw!$A:$A,Input_Raw!W:W),"")</f>
        <v/>
      </c>
      <c r="N338" s="298" t="str">
        <f>IFERROR(_xlfn.XLOOKUP($A338,Input_Raw!$A:$A,Input_Raw!X:X),"")</f>
        <v/>
      </c>
      <c r="O338" s="299" t="str">
        <f>IFERROR(1-(SUMIF(Plant_BD!$B:$B,$A338,Plant_BD!$AL:$AL)/($AA338+SUMIF(Plant_BD!$B:$B,$A338,Plant_BD!$AL:$AL))),"")</f>
        <v/>
      </c>
      <c r="P338" s="299"/>
      <c r="Q338" s="300"/>
      <c r="R338" s="299" t="str">
        <f>IFERROR(1-(SUMIF(Grid_BD!$B:$B,$A338,Grid_BD!$V:$V)/($AA338+SUMIF(Grid_BD!$B:$B,$A338,Grid_BD!$V:$V))),"")</f>
        <v/>
      </c>
      <c r="S338" s="295"/>
      <c r="T338" s="300"/>
      <c r="U338" s="301" t="str">
        <f t="shared" si="31"/>
        <v/>
      </c>
      <c r="V338" s="301" t="str">
        <f>IFERROR(_xlfn.XLOOKUP($A338,Input_Raw!$A:$A,Input_Raw!$AX:$AX),"")</f>
        <v/>
      </c>
      <c r="W338" s="302" t="str">
        <f t="shared" si="32"/>
        <v/>
      </c>
      <c r="X338" s="294" t="str">
        <f>IFERROR(_xlfn.XLOOKUP($A338,Input_Raw!$A:$A,Input_Raw!$AA:$AA),"")</f>
        <v/>
      </c>
      <c r="Y338" s="294" t="str">
        <f>IFERROR(_xlfn.XLOOKUP($A338,Input_Raw!$A:$A,Input_Raw!$AS:$AS),"")</f>
        <v/>
      </c>
      <c r="Z338" s="294"/>
      <c r="AA338" s="294" t="str">
        <f>IFERROR(_xlfn.XLOOKUP($A338,Input_Raw!$A:$A,Input_Raw!$AT:$AT),"")</f>
        <v/>
      </c>
      <c r="AB338" s="294" t="str">
        <f>IFERROR(_xlfn.XLOOKUP($A338,Input_Raw!$A:$A,Input_Raw!$AU:$AU),"")</f>
        <v/>
      </c>
      <c r="AC338" s="303">
        <f>IFERROR(_xlfn.XLOOKUP($D338,'Modelling New'!$D:$D,'Modelling New'!P:P),"")</f>
        <v>6.3607142857142858</v>
      </c>
      <c r="AD338" s="294">
        <f>IFERROR(_xlfn.XLOOKUP($D338,'Modelling New'!$D:$D,'Modelling New'!T:T)*1000,"")</f>
        <v>737121.34795786918</v>
      </c>
      <c r="AE338" s="304">
        <f>IFERROR(_xlfn.XLOOKUP($D338,'Modelling New'!$D:$D,'Modelling New'!$O:$O),"")</f>
        <v>0.85841902147442506</v>
      </c>
      <c r="AF338" s="304">
        <f>IFERROR(_xlfn.XLOOKUP($D338,'Modelling New'!$D:$D,'Modelling New'!$W:$W),"")</f>
        <v>0.22750658887588554</v>
      </c>
      <c r="AG338" s="304">
        <f>IFERROR(_xlfn.XLOOKUP($D338,'Modelling New'!$D:$D,'Modelling New'!$AE:$AE),"")</f>
        <v>0.995</v>
      </c>
      <c r="AH338" s="304">
        <f>IFERROR(_xlfn.XLOOKUP($D338,'Modelling New'!$D:$D,'Modelling New'!$AF:$AF),"")</f>
        <v>0.995</v>
      </c>
      <c r="AI338" s="295"/>
      <c r="AJ338" s="295"/>
      <c r="AK338" s="295"/>
      <c r="AL338" s="295"/>
      <c r="AM338" s="295"/>
      <c r="AN338" s="305"/>
      <c r="AO338" s="302"/>
      <c r="AP338" s="302"/>
      <c r="AQ338" s="302"/>
      <c r="AR338" s="294">
        <f>_xlfn.XLOOKUP($D338,'Modelling New'!$D:$D,'Modelling New'!$N:$N)</f>
        <v>135</v>
      </c>
      <c r="AS338" s="294" t="str">
        <f t="shared" si="33"/>
        <v/>
      </c>
    </row>
    <row r="339" spans="1:45">
      <c r="A339" s="293">
        <f t="shared" si="34"/>
        <v>46082</v>
      </c>
      <c r="B339" s="294">
        <f>YEAR(Daily_KPI[[#This Row],[Date]])+IF(MONTH(Daily_KPI[[#This Row],[Date]])&gt;=4,1,0)</f>
        <v>2026</v>
      </c>
      <c r="C339" s="295">
        <f>YEAR(Daily_KPI[[#This Row],[Date]])</f>
        <v>2026</v>
      </c>
      <c r="D339" s="296">
        <f>Daily_KPI[[#This Row],[Date]]-DAY(Daily_KPI[[#This Row],[Date]])+1</f>
        <v>46082</v>
      </c>
      <c r="E339" s="295">
        <f t="shared" si="30"/>
        <v>31</v>
      </c>
      <c r="F339" s="297" t="str">
        <f>IFERROR(_xlfn.XLOOKUP($A339,Input_Raw!$A:$A,Input_Raw!$AR:$AR),"")</f>
        <v/>
      </c>
      <c r="G339" s="298" t="str">
        <f>IFERROR(_xlfn.XLOOKUP($A339,Input_Raw!$A:$A,Input_Raw!$R:$R),"")</f>
        <v/>
      </c>
      <c r="H339" s="298"/>
      <c r="I339" s="298" t="str">
        <f>IFERROR(_xlfn.XLOOKUP($A339,Input_Raw!$A:$A,Input_Raw!$Q:$Q),"")</f>
        <v/>
      </c>
      <c r="J339" s="298"/>
      <c r="K339" s="298" t="str">
        <f>IFERROR(_xlfn.XLOOKUP($A339,Input_Raw!$A:$A,Input_Raw!S:S),"")</f>
        <v/>
      </c>
      <c r="L339" s="298" t="str">
        <f>IFERROR(_xlfn.XLOOKUP($A339,Input_Raw!$A:$A,Input_Raw!T:T),"")</f>
        <v/>
      </c>
      <c r="M339" s="298" t="str">
        <f>IFERROR(_xlfn.XLOOKUP($A339,Input_Raw!$A:$A,Input_Raw!W:W),"")</f>
        <v/>
      </c>
      <c r="N339" s="298" t="str">
        <f>IFERROR(_xlfn.XLOOKUP($A339,Input_Raw!$A:$A,Input_Raw!X:X),"")</f>
        <v/>
      </c>
      <c r="O339" s="299" t="str">
        <f>IFERROR(1-(SUMIF(Plant_BD!$B:$B,$A339,Plant_BD!$AL:$AL)/($AA339+SUMIF(Plant_BD!$B:$B,$A339,Plant_BD!$AL:$AL))),"")</f>
        <v/>
      </c>
      <c r="P339" s="299"/>
      <c r="Q339" s="300"/>
      <c r="R339" s="299" t="str">
        <f>IFERROR(1-(SUMIF(Grid_BD!$B:$B,$A339,Grid_BD!$V:$V)/($AA339+SUMIF(Grid_BD!$B:$B,$A339,Grid_BD!$V:$V))),"")</f>
        <v/>
      </c>
      <c r="S339" s="295"/>
      <c r="T339" s="300"/>
      <c r="U339" s="301" t="str">
        <f t="shared" si="31"/>
        <v/>
      </c>
      <c r="V339" s="301" t="str">
        <f>IFERROR(_xlfn.XLOOKUP($A339,Input_Raw!$A:$A,Input_Raw!$AX:$AX),"")</f>
        <v/>
      </c>
      <c r="W339" s="302" t="str">
        <f t="shared" si="32"/>
        <v/>
      </c>
      <c r="X339" s="294" t="str">
        <f>IFERROR(_xlfn.XLOOKUP($A339,Input_Raw!$A:$A,Input_Raw!$AA:$AA),"")</f>
        <v/>
      </c>
      <c r="Y339" s="294" t="str">
        <f>IFERROR(_xlfn.XLOOKUP($A339,Input_Raw!$A:$A,Input_Raw!$AS:$AS),"")</f>
        <v/>
      </c>
      <c r="Z339" s="294"/>
      <c r="AA339" s="294" t="str">
        <f>IFERROR(_xlfn.XLOOKUP($A339,Input_Raw!$A:$A,Input_Raw!$AT:$AT),"")</f>
        <v/>
      </c>
      <c r="AB339" s="294" t="str">
        <f>IFERROR(_xlfn.XLOOKUP($A339,Input_Raw!$A:$A,Input_Raw!$AU:$AU),"")</f>
        <v/>
      </c>
      <c r="AC339" s="303">
        <f>IFERROR(_xlfn.XLOOKUP($D339,'Modelling New'!$D:$D,'Modelling New'!P:P),"")</f>
        <v>6.870967741935484</v>
      </c>
      <c r="AD339" s="294">
        <f>IFERROR(_xlfn.XLOOKUP($D339,'Modelling New'!$D:$D,'Modelling New'!T:T)*1000,"")</f>
        <v>762147.62241353071</v>
      </c>
      <c r="AE339" s="304">
        <f>IFERROR(_xlfn.XLOOKUP($D339,'Modelling New'!$D:$D,'Modelling New'!$O:$O),"")</f>
        <v>0.82165106224376472</v>
      </c>
      <c r="AF339" s="304">
        <f>IFERROR(_xlfn.XLOOKUP($D339,'Modelling New'!$D:$D,'Modelling New'!$W:$W),"")</f>
        <v>0.23523074765849714</v>
      </c>
      <c r="AG339" s="304">
        <f>IFERROR(_xlfn.XLOOKUP($D339,'Modelling New'!$D:$D,'Modelling New'!$AE:$AE),"")</f>
        <v>0.995</v>
      </c>
      <c r="AH339" s="304">
        <f>IFERROR(_xlfn.XLOOKUP($D339,'Modelling New'!$D:$D,'Modelling New'!$AF:$AF),"")</f>
        <v>0.995</v>
      </c>
      <c r="AI339" s="295"/>
      <c r="AJ339" s="295"/>
      <c r="AK339" s="295"/>
      <c r="AL339" s="295"/>
      <c r="AM339" s="295"/>
      <c r="AN339" s="305"/>
      <c r="AO339" s="302"/>
      <c r="AP339" s="302"/>
      <c r="AQ339" s="302"/>
      <c r="AR339" s="294">
        <f>_xlfn.XLOOKUP($D339,'Modelling New'!$D:$D,'Modelling New'!$N:$N)</f>
        <v>135</v>
      </c>
      <c r="AS339" s="294" t="str">
        <f t="shared" si="33"/>
        <v/>
      </c>
    </row>
    <row r="340" spans="1:45">
      <c r="A340" s="293">
        <f t="shared" si="34"/>
        <v>46083</v>
      </c>
      <c r="B340" s="294">
        <f>YEAR(Daily_KPI[[#This Row],[Date]])+IF(MONTH(Daily_KPI[[#This Row],[Date]])&gt;=4,1,0)</f>
        <v>2026</v>
      </c>
      <c r="C340" s="295">
        <f>YEAR(Daily_KPI[[#This Row],[Date]])</f>
        <v>2026</v>
      </c>
      <c r="D340" s="296">
        <f>Daily_KPI[[#This Row],[Date]]-DAY(Daily_KPI[[#This Row],[Date]])+1</f>
        <v>46082</v>
      </c>
      <c r="E340" s="295">
        <f t="shared" si="30"/>
        <v>31</v>
      </c>
      <c r="F340" s="297" t="str">
        <f>IFERROR(_xlfn.XLOOKUP($A340,Input_Raw!$A:$A,Input_Raw!$AR:$AR),"")</f>
        <v/>
      </c>
      <c r="G340" s="298" t="str">
        <f>IFERROR(_xlfn.XLOOKUP($A340,Input_Raw!$A:$A,Input_Raw!$R:$R),"")</f>
        <v/>
      </c>
      <c r="H340" s="298"/>
      <c r="I340" s="298" t="str">
        <f>IFERROR(_xlfn.XLOOKUP($A340,Input_Raw!$A:$A,Input_Raw!$Q:$Q),"")</f>
        <v/>
      </c>
      <c r="J340" s="298"/>
      <c r="K340" s="298" t="str">
        <f>IFERROR(_xlfn.XLOOKUP($A340,Input_Raw!$A:$A,Input_Raw!S:S),"")</f>
        <v/>
      </c>
      <c r="L340" s="298" t="str">
        <f>IFERROR(_xlfn.XLOOKUP($A340,Input_Raw!$A:$A,Input_Raw!T:T),"")</f>
        <v/>
      </c>
      <c r="M340" s="298" t="str">
        <f>IFERROR(_xlfn.XLOOKUP($A340,Input_Raw!$A:$A,Input_Raw!W:W),"")</f>
        <v/>
      </c>
      <c r="N340" s="298" t="str">
        <f>IFERROR(_xlfn.XLOOKUP($A340,Input_Raw!$A:$A,Input_Raw!X:X),"")</f>
        <v/>
      </c>
      <c r="O340" s="299" t="str">
        <f>IFERROR(1-(SUMIF(Plant_BD!$B:$B,$A340,Plant_BD!$AL:$AL)/($AA340+SUMIF(Plant_BD!$B:$B,$A340,Plant_BD!$AL:$AL))),"")</f>
        <v/>
      </c>
      <c r="P340" s="299"/>
      <c r="Q340" s="300"/>
      <c r="R340" s="299" t="str">
        <f>IFERROR(1-(SUMIF(Grid_BD!$B:$B,$A340,Grid_BD!$V:$V)/($AA340+SUMIF(Grid_BD!$B:$B,$A340,Grid_BD!$V:$V))),"")</f>
        <v/>
      </c>
      <c r="S340" s="295"/>
      <c r="T340" s="300"/>
      <c r="U340" s="301" t="str">
        <f t="shared" si="31"/>
        <v/>
      </c>
      <c r="V340" s="301" t="str">
        <f>IFERROR(_xlfn.XLOOKUP($A340,Input_Raw!$A:$A,Input_Raw!$AX:$AX),"")</f>
        <v/>
      </c>
      <c r="W340" s="302" t="str">
        <f t="shared" si="32"/>
        <v/>
      </c>
      <c r="X340" s="294" t="str">
        <f>IFERROR(_xlfn.XLOOKUP($A340,Input_Raw!$A:$A,Input_Raw!$AA:$AA),"")</f>
        <v/>
      </c>
      <c r="Y340" s="294" t="str">
        <f>IFERROR(_xlfn.XLOOKUP($A340,Input_Raw!$A:$A,Input_Raw!$AS:$AS),"")</f>
        <v/>
      </c>
      <c r="Z340" s="294"/>
      <c r="AA340" s="294" t="str">
        <f>IFERROR(_xlfn.XLOOKUP($A340,Input_Raw!$A:$A,Input_Raw!$AT:$AT),"")</f>
        <v/>
      </c>
      <c r="AB340" s="294" t="str">
        <f>IFERROR(_xlfn.XLOOKUP($A340,Input_Raw!$A:$A,Input_Raw!$AU:$AU),"")</f>
        <v/>
      </c>
      <c r="AC340" s="303">
        <f>IFERROR(_xlfn.XLOOKUP($D340,'Modelling New'!$D:$D,'Modelling New'!P:P),"")</f>
        <v>6.870967741935484</v>
      </c>
      <c r="AD340" s="294">
        <f>IFERROR(_xlfn.XLOOKUP($D340,'Modelling New'!$D:$D,'Modelling New'!T:T)*1000,"")</f>
        <v>762147.62241353071</v>
      </c>
      <c r="AE340" s="304">
        <f>IFERROR(_xlfn.XLOOKUP($D340,'Modelling New'!$D:$D,'Modelling New'!$O:$O),"")</f>
        <v>0.82165106224376472</v>
      </c>
      <c r="AF340" s="304">
        <f>IFERROR(_xlfn.XLOOKUP($D340,'Modelling New'!$D:$D,'Modelling New'!$W:$W),"")</f>
        <v>0.23523074765849714</v>
      </c>
      <c r="AG340" s="304">
        <f>IFERROR(_xlfn.XLOOKUP($D340,'Modelling New'!$D:$D,'Modelling New'!$AE:$AE),"")</f>
        <v>0.995</v>
      </c>
      <c r="AH340" s="304">
        <f>IFERROR(_xlfn.XLOOKUP($D340,'Modelling New'!$D:$D,'Modelling New'!$AF:$AF),"")</f>
        <v>0.995</v>
      </c>
      <c r="AI340" s="295"/>
      <c r="AJ340" s="295"/>
      <c r="AK340" s="295"/>
      <c r="AL340" s="295"/>
      <c r="AM340" s="295"/>
      <c r="AN340" s="305"/>
      <c r="AO340" s="302"/>
      <c r="AP340" s="302"/>
      <c r="AQ340" s="302"/>
      <c r="AR340" s="294">
        <f>_xlfn.XLOOKUP($D340,'Modelling New'!$D:$D,'Modelling New'!$N:$N)</f>
        <v>135</v>
      </c>
      <c r="AS340" s="294" t="str">
        <f t="shared" si="33"/>
        <v/>
      </c>
    </row>
    <row r="341" spans="1:45">
      <c r="A341" s="293">
        <f t="shared" si="34"/>
        <v>46084</v>
      </c>
      <c r="B341" s="294">
        <f>YEAR(Daily_KPI[[#This Row],[Date]])+IF(MONTH(Daily_KPI[[#This Row],[Date]])&gt;=4,1,0)</f>
        <v>2026</v>
      </c>
      <c r="C341" s="295">
        <f>YEAR(Daily_KPI[[#This Row],[Date]])</f>
        <v>2026</v>
      </c>
      <c r="D341" s="296">
        <f>Daily_KPI[[#This Row],[Date]]-DAY(Daily_KPI[[#This Row],[Date]])+1</f>
        <v>46082</v>
      </c>
      <c r="E341" s="295">
        <f t="shared" si="30"/>
        <v>31</v>
      </c>
      <c r="F341" s="297" t="str">
        <f>IFERROR(_xlfn.XLOOKUP($A341,Input_Raw!$A:$A,Input_Raw!$AR:$AR),"")</f>
        <v/>
      </c>
      <c r="G341" s="298" t="str">
        <f>IFERROR(_xlfn.XLOOKUP($A341,Input_Raw!$A:$A,Input_Raw!$R:$R),"")</f>
        <v/>
      </c>
      <c r="H341" s="298"/>
      <c r="I341" s="298" t="str">
        <f>IFERROR(_xlfn.XLOOKUP($A341,Input_Raw!$A:$A,Input_Raw!$Q:$Q),"")</f>
        <v/>
      </c>
      <c r="J341" s="298"/>
      <c r="K341" s="298" t="str">
        <f>IFERROR(_xlfn.XLOOKUP($A341,Input_Raw!$A:$A,Input_Raw!S:S),"")</f>
        <v/>
      </c>
      <c r="L341" s="298" t="str">
        <f>IFERROR(_xlfn.XLOOKUP($A341,Input_Raw!$A:$A,Input_Raw!T:T),"")</f>
        <v/>
      </c>
      <c r="M341" s="298" t="str">
        <f>IFERROR(_xlfn.XLOOKUP($A341,Input_Raw!$A:$A,Input_Raw!W:W),"")</f>
        <v/>
      </c>
      <c r="N341" s="298" t="str">
        <f>IFERROR(_xlfn.XLOOKUP($A341,Input_Raw!$A:$A,Input_Raw!X:X),"")</f>
        <v/>
      </c>
      <c r="O341" s="299" t="str">
        <f>IFERROR(1-(SUMIF(Plant_BD!$B:$B,$A341,Plant_BD!$AL:$AL)/($AA341+SUMIF(Plant_BD!$B:$B,$A341,Plant_BD!$AL:$AL))),"")</f>
        <v/>
      </c>
      <c r="P341" s="299"/>
      <c r="Q341" s="300"/>
      <c r="R341" s="299" t="str">
        <f>IFERROR(1-(SUMIF(Grid_BD!$B:$B,$A341,Grid_BD!$V:$V)/($AA341+SUMIF(Grid_BD!$B:$B,$A341,Grid_BD!$V:$V))),"")</f>
        <v/>
      </c>
      <c r="S341" s="295"/>
      <c r="T341" s="300"/>
      <c r="U341" s="301" t="str">
        <f t="shared" si="31"/>
        <v/>
      </c>
      <c r="V341" s="301" t="str">
        <f>IFERROR(_xlfn.XLOOKUP($A341,Input_Raw!$A:$A,Input_Raw!$AX:$AX),"")</f>
        <v/>
      </c>
      <c r="W341" s="302" t="str">
        <f t="shared" si="32"/>
        <v/>
      </c>
      <c r="X341" s="294" t="str">
        <f>IFERROR(_xlfn.XLOOKUP($A341,Input_Raw!$A:$A,Input_Raw!$AA:$AA),"")</f>
        <v/>
      </c>
      <c r="Y341" s="294" t="str">
        <f>IFERROR(_xlfn.XLOOKUP($A341,Input_Raw!$A:$A,Input_Raw!$AS:$AS),"")</f>
        <v/>
      </c>
      <c r="Z341" s="294"/>
      <c r="AA341" s="294" t="str">
        <f>IFERROR(_xlfn.XLOOKUP($A341,Input_Raw!$A:$A,Input_Raw!$AT:$AT),"")</f>
        <v/>
      </c>
      <c r="AB341" s="294" t="str">
        <f>IFERROR(_xlfn.XLOOKUP($A341,Input_Raw!$A:$A,Input_Raw!$AU:$AU),"")</f>
        <v/>
      </c>
      <c r="AC341" s="303">
        <f>IFERROR(_xlfn.XLOOKUP($D341,'Modelling New'!$D:$D,'Modelling New'!P:P),"")</f>
        <v>6.870967741935484</v>
      </c>
      <c r="AD341" s="294">
        <f>IFERROR(_xlfn.XLOOKUP($D341,'Modelling New'!$D:$D,'Modelling New'!T:T)*1000,"")</f>
        <v>762147.62241353071</v>
      </c>
      <c r="AE341" s="304">
        <f>IFERROR(_xlfn.XLOOKUP($D341,'Modelling New'!$D:$D,'Modelling New'!$O:$O),"")</f>
        <v>0.82165106224376472</v>
      </c>
      <c r="AF341" s="304">
        <f>IFERROR(_xlfn.XLOOKUP($D341,'Modelling New'!$D:$D,'Modelling New'!$W:$W),"")</f>
        <v>0.23523074765849714</v>
      </c>
      <c r="AG341" s="304">
        <f>IFERROR(_xlfn.XLOOKUP($D341,'Modelling New'!$D:$D,'Modelling New'!$AE:$AE),"")</f>
        <v>0.995</v>
      </c>
      <c r="AH341" s="304">
        <f>IFERROR(_xlfn.XLOOKUP($D341,'Modelling New'!$D:$D,'Modelling New'!$AF:$AF),"")</f>
        <v>0.995</v>
      </c>
      <c r="AI341" s="295"/>
      <c r="AJ341" s="295"/>
      <c r="AK341" s="295"/>
      <c r="AL341" s="295"/>
      <c r="AM341" s="295"/>
      <c r="AN341" s="305"/>
      <c r="AO341" s="302"/>
      <c r="AP341" s="302"/>
      <c r="AQ341" s="302"/>
      <c r="AR341" s="294">
        <f>_xlfn.XLOOKUP($D341,'Modelling New'!$D:$D,'Modelling New'!$N:$N)</f>
        <v>135</v>
      </c>
      <c r="AS341" s="294" t="str">
        <f t="shared" si="33"/>
        <v/>
      </c>
    </row>
    <row r="342" spans="1:45">
      <c r="A342" s="293">
        <f t="shared" si="34"/>
        <v>46085</v>
      </c>
      <c r="B342" s="294">
        <f>YEAR(Daily_KPI[[#This Row],[Date]])+IF(MONTH(Daily_KPI[[#This Row],[Date]])&gt;=4,1,0)</f>
        <v>2026</v>
      </c>
      <c r="C342" s="295">
        <f>YEAR(Daily_KPI[[#This Row],[Date]])</f>
        <v>2026</v>
      </c>
      <c r="D342" s="296">
        <f>Daily_KPI[[#This Row],[Date]]-DAY(Daily_KPI[[#This Row],[Date]])+1</f>
        <v>46082</v>
      </c>
      <c r="E342" s="295">
        <f t="shared" si="30"/>
        <v>31</v>
      </c>
      <c r="F342" s="297" t="str">
        <f>IFERROR(_xlfn.XLOOKUP($A342,Input_Raw!$A:$A,Input_Raw!$AR:$AR),"")</f>
        <v/>
      </c>
      <c r="G342" s="298" t="str">
        <f>IFERROR(_xlfn.XLOOKUP($A342,Input_Raw!$A:$A,Input_Raw!$R:$R),"")</f>
        <v/>
      </c>
      <c r="H342" s="298"/>
      <c r="I342" s="298" t="str">
        <f>IFERROR(_xlfn.XLOOKUP($A342,Input_Raw!$A:$A,Input_Raw!$Q:$Q),"")</f>
        <v/>
      </c>
      <c r="J342" s="298"/>
      <c r="K342" s="298" t="str">
        <f>IFERROR(_xlfn.XLOOKUP($A342,Input_Raw!$A:$A,Input_Raw!S:S),"")</f>
        <v/>
      </c>
      <c r="L342" s="298" t="str">
        <f>IFERROR(_xlfn.XLOOKUP($A342,Input_Raw!$A:$A,Input_Raw!T:T),"")</f>
        <v/>
      </c>
      <c r="M342" s="298" t="str">
        <f>IFERROR(_xlfn.XLOOKUP($A342,Input_Raw!$A:$A,Input_Raw!W:W),"")</f>
        <v/>
      </c>
      <c r="N342" s="298" t="str">
        <f>IFERROR(_xlfn.XLOOKUP($A342,Input_Raw!$A:$A,Input_Raw!X:X),"")</f>
        <v/>
      </c>
      <c r="O342" s="299" t="str">
        <f>IFERROR(1-(SUMIF(Plant_BD!$B:$B,$A342,Plant_BD!$AL:$AL)/($AA342+SUMIF(Plant_BD!$B:$B,$A342,Plant_BD!$AL:$AL))),"")</f>
        <v/>
      </c>
      <c r="P342" s="299"/>
      <c r="Q342" s="300"/>
      <c r="R342" s="299" t="str">
        <f>IFERROR(1-(SUMIF(Grid_BD!$B:$B,$A342,Grid_BD!$V:$V)/($AA342+SUMIF(Grid_BD!$B:$B,$A342,Grid_BD!$V:$V))),"")</f>
        <v/>
      </c>
      <c r="S342" s="295"/>
      <c r="T342" s="300"/>
      <c r="U342" s="301" t="str">
        <f t="shared" si="31"/>
        <v/>
      </c>
      <c r="V342" s="301" t="str">
        <f>IFERROR(_xlfn.XLOOKUP($A342,Input_Raw!$A:$A,Input_Raw!$AX:$AX),"")</f>
        <v/>
      </c>
      <c r="W342" s="302" t="str">
        <f t="shared" si="32"/>
        <v/>
      </c>
      <c r="X342" s="294" t="str">
        <f>IFERROR(_xlfn.XLOOKUP($A342,Input_Raw!$A:$A,Input_Raw!$AA:$AA),"")</f>
        <v/>
      </c>
      <c r="Y342" s="294" t="str">
        <f>IFERROR(_xlfn.XLOOKUP($A342,Input_Raw!$A:$A,Input_Raw!$AS:$AS),"")</f>
        <v/>
      </c>
      <c r="Z342" s="294"/>
      <c r="AA342" s="294" t="str">
        <f>IFERROR(_xlfn.XLOOKUP($A342,Input_Raw!$A:$A,Input_Raw!$AT:$AT),"")</f>
        <v/>
      </c>
      <c r="AB342" s="294" t="str">
        <f>IFERROR(_xlfn.XLOOKUP($A342,Input_Raw!$A:$A,Input_Raw!$AU:$AU),"")</f>
        <v/>
      </c>
      <c r="AC342" s="303">
        <f>IFERROR(_xlfn.XLOOKUP($D342,'Modelling New'!$D:$D,'Modelling New'!P:P),"")</f>
        <v>6.870967741935484</v>
      </c>
      <c r="AD342" s="294">
        <f>IFERROR(_xlfn.XLOOKUP($D342,'Modelling New'!$D:$D,'Modelling New'!T:T)*1000,"")</f>
        <v>762147.62241353071</v>
      </c>
      <c r="AE342" s="304">
        <f>IFERROR(_xlfn.XLOOKUP($D342,'Modelling New'!$D:$D,'Modelling New'!$O:$O),"")</f>
        <v>0.82165106224376472</v>
      </c>
      <c r="AF342" s="304">
        <f>IFERROR(_xlfn.XLOOKUP($D342,'Modelling New'!$D:$D,'Modelling New'!$W:$W),"")</f>
        <v>0.23523074765849714</v>
      </c>
      <c r="AG342" s="304">
        <f>IFERROR(_xlfn.XLOOKUP($D342,'Modelling New'!$D:$D,'Modelling New'!$AE:$AE),"")</f>
        <v>0.995</v>
      </c>
      <c r="AH342" s="304">
        <f>IFERROR(_xlfn.XLOOKUP($D342,'Modelling New'!$D:$D,'Modelling New'!$AF:$AF),"")</f>
        <v>0.995</v>
      </c>
      <c r="AI342" s="295"/>
      <c r="AJ342" s="295"/>
      <c r="AK342" s="295"/>
      <c r="AL342" s="295"/>
      <c r="AM342" s="295"/>
      <c r="AN342" s="305"/>
      <c r="AO342" s="302"/>
      <c r="AP342" s="302"/>
      <c r="AQ342" s="302"/>
      <c r="AR342" s="294">
        <f>_xlfn.XLOOKUP($D342,'Modelling New'!$D:$D,'Modelling New'!$N:$N)</f>
        <v>135</v>
      </c>
      <c r="AS342" s="294" t="str">
        <f t="shared" si="33"/>
        <v/>
      </c>
    </row>
    <row r="343" spans="1:45">
      <c r="A343" s="293">
        <f t="shared" si="34"/>
        <v>46086</v>
      </c>
      <c r="B343" s="294">
        <f>YEAR(Daily_KPI[[#This Row],[Date]])+IF(MONTH(Daily_KPI[[#This Row],[Date]])&gt;=4,1,0)</f>
        <v>2026</v>
      </c>
      <c r="C343" s="295">
        <f>YEAR(Daily_KPI[[#This Row],[Date]])</f>
        <v>2026</v>
      </c>
      <c r="D343" s="296">
        <f>Daily_KPI[[#This Row],[Date]]-DAY(Daily_KPI[[#This Row],[Date]])+1</f>
        <v>46082</v>
      </c>
      <c r="E343" s="295">
        <f t="shared" si="30"/>
        <v>31</v>
      </c>
      <c r="F343" s="297" t="str">
        <f>IFERROR(_xlfn.XLOOKUP($A343,Input_Raw!$A:$A,Input_Raw!$AR:$AR),"")</f>
        <v/>
      </c>
      <c r="G343" s="298" t="str">
        <f>IFERROR(_xlfn.XLOOKUP($A343,Input_Raw!$A:$A,Input_Raw!$R:$R),"")</f>
        <v/>
      </c>
      <c r="H343" s="298"/>
      <c r="I343" s="298" t="str">
        <f>IFERROR(_xlfn.XLOOKUP($A343,Input_Raw!$A:$A,Input_Raw!$Q:$Q),"")</f>
        <v/>
      </c>
      <c r="J343" s="298"/>
      <c r="K343" s="298" t="str">
        <f>IFERROR(_xlfn.XLOOKUP($A343,Input_Raw!$A:$A,Input_Raw!S:S),"")</f>
        <v/>
      </c>
      <c r="L343" s="298" t="str">
        <f>IFERROR(_xlfn.XLOOKUP($A343,Input_Raw!$A:$A,Input_Raw!T:T),"")</f>
        <v/>
      </c>
      <c r="M343" s="298" t="str">
        <f>IFERROR(_xlfn.XLOOKUP($A343,Input_Raw!$A:$A,Input_Raw!W:W),"")</f>
        <v/>
      </c>
      <c r="N343" s="298" t="str">
        <f>IFERROR(_xlfn.XLOOKUP($A343,Input_Raw!$A:$A,Input_Raw!X:X),"")</f>
        <v/>
      </c>
      <c r="O343" s="299" t="str">
        <f>IFERROR(1-(SUMIF(Plant_BD!$B:$B,$A343,Plant_BD!$AL:$AL)/($AA343+SUMIF(Plant_BD!$B:$B,$A343,Plant_BD!$AL:$AL))),"")</f>
        <v/>
      </c>
      <c r="P343" s="299"/>
      <c r="Q343" s="300"/>
      <c r="R343" s="299" t="str">
        <f>IFERROR(1-(SUMIF(Grid_BD!$B:$B,$A343,Grid_BD!$V:$V)/($AA343+SUMIF(Grid_BD!$B:$B,$A343,Grid_BD!$V:$V))),"")</f>
        <v/>
      </c>
      <c r="S343" s="295"/>
      <c r="T343" s="300"/>
      <c r="U343" s="301" t="str">
        <f t="shared" si="31"/>
        <v/>
      </c>
      <c r="V343" s="301" t="str">
        <f>IFERROR(_xlfn.XLOOKUP($A343,Input_Raw!$A:$A,Input_Raw!$AX:$AX),"")</f>
        <v/>
      </c>
      <c r="W343" s="302" t="str">
        <f t="shared" si="32"/>
        <v/>
      </c>
      <c r="X343" s="294" t="str">
        <f>IFERROR(_xlfn.XLOOKUP($A343,Input_Raw!$A:$A,Input_Raw!$AA:$AA),"")</f>
        <v/>
      </c>
      <c r="Y343" s="294" t="str">
        <f>IFERROR(_xlfn.XLOOKUP($A343,Input_Raw!$A:$A,Input_Raw!$AS:$AS),"")</f>
        <v/>
      </c>
      <c r="Z343" s="294"/>
      <c r="AA343" s="294" t="str">
        <f>IFERROR(_xlfn.XLOOKUP($A343,Input_Raw!$A:$A,Input_Raw!$AT:$AT),"")</f>
        <v/>
      </c>
      <c r="AB343" s="294" t="str">
        <f>IFERROR(_xlfn.XLOOKUP($A343,Input_Raw!$A:$A,Input_Raw!$AU:$AU),"")</f>
        <v/>
      </c>
      <c r="AC343" s="303">
        <f>IFERROR(_xlfn.XLOOKUP($D343,'Modelling New'!$D:$D,'Modelling New'!P:P),"")</f>
        <v>6.870967741935484</v>
      </c>
      <c r="AD343" s="294">
        <f>IFERROR(_xlfn.XLOOKUP($D343,'Modelling New'!$D:$D,'Modelling New'!T:T)*1000,"")</f>
        <v>762147.62241353071</v>
      </c>
      <c r="AE343" s="304">
        <f>IFERROR(_xlfn.XLOOKUP($D343,'Modelling New'!$D:$D,'Modelling New'!$O:$O),"")</f>
        <v>0.82165106224376472</v>
      </c>
      <c r="AF343" s="304">
        <f>IFERROR(_xlfn.XLOOKUP($D343,'Modelling New'!$D:$D,'Modelling New'!$W:$W),"")</f>
        <v>0.23523074765849714</v>
      </c>
      <c r="AG343" s="304">
        <f>IFERROR(_xlfn.XLOOKUP($D343,'Modelling New'!$D:$D,'Modelling New'!$AE:$AE),"")</f>
        <v>0.995</v>
      </c>
      <c r="AH343" s="304">
        <f>IFERROR(_xlfn.XLOOKUP($D343,'Modelling New'!$D:$D,'Modelling New'!$AF:$AF),"")</f>
        <v>0.995</v>
      </c>
      <c r="AI343" s="295"/>
      <c r="AJ343" s="295"/>
      <c r="AK343" s="295"/>
      <c r="AL343" s="295"/>
      <c r="AM343" s="295"/>
      <c r="AN343" s="305"/>
      <c r="AO343" s="302"/>
      <c r="AP343" s="302"/>
      <c r="AQ343" s="302"/>
      <c r="AR343" s="294">
        <f>_xlfn.XLOOKUP($D343,'Modelling New'!$D:$D,'Modelling New'!$N:$N)</f>
        <v>135</v>
      </c>
      <c r="AS343" s="294" t="str">
        <f t="shared" si="33"/>
        <v/>
      </c>
    </row>
    <row r="344" spans="1:45">
      <c r="A344" s="293">
        <f t="shared" si="34"/>
        <v>46087</v>
      </c>
      <c r="B344" s="294">
        <f>YEAR(Daily_KPI[[#This Row],[Date]])+IF(MONTH(Daily_KPI[[#This Row],[Date]])&gt;=4,1,0)</f>
        <v>2026</v>
      </c>
      <c r="C344" s="295">
        <f>YEAR(Daily_KPI[[#This Row],[Date]])</f>
        <v>2026</v>
      </c>
      <c r="D344" s="296">
        <f>Daily_KPI[[#This Row],[Date]]-DAY(Daily_KPI[[#This Row],[Date]])+1</f>
        <v>46082</v>
      </c>
      <c r="E344" s="295">
        <f t="shared" si="30"/>
        <v>31</v>
      </c>
      <c r="F344" s="297" t="str">
        <f>IFERROR(_xlfn.XLOOKUP($A344,Input_Raw!$A:$A,Input_Raw!$AR:$AR),"")</f>
        <v/>
      </c>
      <c r="G344" s="298" t="str">
        <f>IFERROR(_xlfn.XLOOKUP($A344,Input_Raw!$A:$A,Input_Raw!$R:$R),"")</f>
        <v/>
      </c>
      <c r="H344" s="298"/>
      <c r="I344" s="298" t="str">
        <f>IFERROR(_xlfn.XLOOKUP($A344,Input_Raw!$A:$A,Input_Raw!$Q:$Q),"")</f>
        <v/>
      </c>
      <c r="J344" s="298"/>
      <c r="K344" s="298" t="str">
        <f>IFERROR(_xlfn.XLOOKUP($A344,Input_Raw!$A:$A,Input_Raw!S:S),"")</f>
        <v/>
      </c>
      <c r="L344" s="298" t="str">
        <f>IFERROR(_xlfn.XLOOKUP($A344,Input_Raw!$A:$A,Input_Raw!T:T),"")</f>
        <v/>
      </c>
      <c r="M344" s="298" t="str">
        <f>IFERROR(_xlfn.XLOOKUP($A344,Input_Raw!$A:$A,Input_Raw!W:W),"")</f>
        <v/>
      </c>
      <c r="N344" s="298" t="str">
        <f>IFERROR(_xlfn.XLOOKUP($A344,Input_Raw!$A:$A,Input_Raw!X:X),"")</f>
        <v/>
      </c>
      <c r="O344" s="299" t="str">
        <f>IFERROR(1-(SUMIF(Plant_BD!$B:$B,$A344,Plant_BD!$AL:$AL)/($AA344+SUMIF(Plant_BD!$B:$B,$A344,Plant_BD!$AL:$AL))),"")</f>
        <v/>
      </c>
      <c r="P344" s="299"/>
      <c r="Q344" s="300"/>
      <c r="R344" s="299" t="str">
        <f>IFERROR(1-(SUMIF(Grid_BD!$B:$B,$A344,Grid_BD!$V:$V)/($AA344+SUMIF(Grid_BD!$B:$B,$A344,Grid_BD!$V:$V))),"")</f>
        <v/>
      </c>
      <c r="S344" s="295"/>
      <c r="T344" s="300"/>
      <c r="U344" s="301" t="str">
        <f t="shared" si="31"/>
        <v/>
      </c>
      <c r="V344" s="301" t="str">
        <f>IFERROR(_xlfn.XLOOKUP($A344,Input_Raw!$A:$A,Input_Raw!$AX:$AX),"")</f>
        <v/>
      </c>
      <c r="W344" s="302" t="str">
        <f t="shared" si="32"/>
        <v/>
      </c>
      <c r="X344" s="294" t="str">
        <f>IFERROR(_xlfn.XLOOKUP($A344,Input_Raw!$A:$A,Input_Raw!$AA:$AA),"")</f>
        <v/>
      </c>
      <c r="Y344" s="294" t="str">
        <f>IFERROR(_xlfn.XLOOKUP($A344,Input_Raw!$A:$A,Input_Raw!$AS:$AS),"")</f>
        <v/>
      </c>
      <c r="Z344" s="294"/>
      <c r="AA344" s="294" t="str">
        <f>IFERROR(_xlfn.XLOOKUP($A344,Input_Raw!$A:$A,Input_Raw!$AT:$AT),"")</f>
        <v/>
      </c>
      <c r="AB344" s="294" t="str">
        <f>IFERROR(_xlfn.XLOOKUP($A344,Input_Raw!$A:$A,Input_Raw!$AU:$AU),"")</f>
        <v/>
      </c>
      <c r="AC344" s="303">
        <f>IFERROR(_xlfn.XLOOKUP($D344,'Modelling New'!$D:$D,'Modelling New'!P:P),"")</f>
        <v>6.870967741935484</v>
      </c>
      <c r="AD344" s="294">
        <f>IFERROR(_xlfn.XLOOKUP($D344,'Modelling New'!$D:$D,'Modelling New'!T:T)*1000,"")</f>
        <v>762147.62241353071</v>
      </c>
      <c r="AE344" s="304">
        <f>IFERROR(_xlfn.XLOOKUP($D344,'Modelling New'!$D:$D,'Modelling New'!$O:$O),"")</f>
        <v>0.82165106224376472</v>
      </c>
      <c r="AF344" s="304">
        <f>IFERROR(_xlfn.XLOOKUP($D344,'Modelling New'!$D:$D,'Modelling New'!$W:$W),"")</f>
        <v>0.23523074765849714</v>
      </c>
      <c r="AG344" s="304">
        <f>IFERROR(_xlfn.XLOOKUP($D344,'Modelling New'!$D:$D,'Modelling New'!$AE:$AE),"")</f>
        <v>0.995</v>
      </c>
      <c r="AH344" s="304">
        <f>IFERROR(_xlfn.XLOOKUP($D344,'Modelling New'!$D:$D,'Modelling New'!$AF:$AF),"")</f>
        <v>0.995</v>
      </c>
      <c r="AI344" s="295"/>
      <c r="AJ344" s="295"/>
      <c r="AK344" s="295"/>
      <c r="AL344" s="295"/>
      <c r="AM344" s="295"/>
      <c r="AN344" s="305"/>
      <c r="AO344" s="302"/>
      <c r="AP344" s="302"/>
      <c r="AQ344" s="302"/>
      <c r="AR344" s="294">
        <f>_xlfn.XLOOKUP($D344,'Modelling New'!$D:$D,'Modelling New'!$N:$N)</f>
        <v>135</v>
      </c>
      <c r="AS344" s="294" t="str">
        <f t="shared" si="33"/>
        <v/>
      </c>
    </row>
    <row r="345" spans="1:45">
      <c r="A345" s="293">
        <f t="shared" si="34"/>
        <v>46088</v>
      </c>
      <c r="B345" s="294">
        <f>YEAR(Daily_KPI[[#This Row],[Date]])+IF(MONTH(Daily_KPI[[#This Row],[Date]])&gt;=4,1,0)</f>
        <v>2026</v>
      </c>
      <c r="C345" s="295">
        <f>YEAR(Daily_KPI[[#This Row],[Date]])</f>
        <v>2026</v>
      </c>
      <c r="D345" s="296">
        <f>Daily_KPI[[#This Row],[Date]]-DAY(Daily_KPI[[#This Row],[Date]])+1</f>
        <v>46082</v>
      </c>
      <c r="E345" s="295">
        <f t="shared" si="30"/>
        <v>31</v>
      </c>
      <c r="F345" s="297" t="str">
        <f>IFERROR(_xlfn.XLOOKUP($A345,Input_Raw!$A:$A,Input_Raw!$AR:$AR),"")</f>
        <v/>
      </c>
      <c r="G345" s="298" t="str">
        <f>IFERROR(_xlfn.XLOOKUP($A345,Input_Raw!$A:$A,Input_Raw!$R:$R),"")</f>
        <v/>
      </c>
      <c r="H345" s="298"/>
      <c r="I345" s="298" t="str">
        <f>IFERROR(_xlfn.XLOOKUP($A345,Input_Raw!$A:$A,Input_Raw!$Q:$Q),"")</f>
        <v/>
      </c>
      <c r="J345" s="298"/>
      <c r="K345" s="298" t="str">
        <f>IFERROR(_xlfn.XLOOKUP($A345,Input_Raw!$A:$A,Input_Raw!S:S),"")</f>
        <v/>
      </c>
      <c r="L345" s="298" t="str">
        <f>IFERROR(_xlfn.XLOOKUP($A345,Input_Raw!$A:$A,Input_Raw!T:T),"")</f>
        <v/>
      </c>
      <c r="M345" s="298" t="str">
        <f>IFERROR(_xlfn.XLOOKUP($A345,Input_Raw!$A:$A,Input_Raw!W:W),"")</f>
        <v/>
      </c>
      <c r="N345" s="298" t="str">
        <f>IFERROR(_xlfn.XLOOKUP($A345,Input_Raw!$A:$A,Input_Raw!X:X),"")</f>
        <v/>
      </c>
      <c r="O345" s="299" t="str">
        <f>IFERROR(1-(SUMIF(Plant_BD!$B:$B,$A345,Plant_BD!$AL:$AL)/($AA345+SUMIF(Plant_BD!$B:$B,$A345,Plant_BD!$AL:$AL))),"")</f>
        <v/>
      </c>
      <c r="P345" s="299"/>
      <c r="Q345" s="300"/>
      <c r="R345" s="299" t="str">
        <f>IFERROR(1-(SUMIF(Grid_BD!$B:$B,$A345,Grid_BD!$V:$V)/($AA345+SUMIF(Grid_BD!$B:$B,$A345,Grid_BD!$V:$V))),"")</f>
        <v/>
      </c>
      <c r="S345" s="295"/>
      <c r="T345" s="300"/>
      <c r="U345" s="301" t="str">
        <f t="shared" si="31"/>
        <v/>
      </c>
      <c r="V345" s="301" t="str">
        <f>IFERROR(_xlfn.XLOOKUP($A345,Input_Raw!$A:$A,Input_Raw!$AX:$AX),"")</f>
        <v/>
      </c>
      <c r="W345" s="302" t="str">
        <f t="shared" si="32"/>
        <v/>
      </c>
      <c r="X345" s="294" t="str">
        <f>IFERROR(_xlfn.XLOOKUP($A345,Input_Raw!$A:$A,Input_Raw!$AA:$AA),"")</f>
        <v/>
      </c>
      <c r="Y345" s="294" t="str">
        <f>IFERROR(_xlfn.XLOOKUP($A345,Input_Raw!$A:$A,Input_Raw!$AS:$AS),"")</f>
        <v/>
      </c>
      <c r="Z345" s="294"/>
      <c r="AA345" s="294" t="str">
        <f>IFERROR(_xlfn.XLOOKUP($A345,Input_Raw!$A:$A,Input_Raw!$AT:$AT),"")</f>
        <v/>
      </c>
      <c r="AB345" s="294" t="str">
        <f>IFERROR(_xlfn.XLOOKUP($A345,Input_Raw!$A:$A,Input_Raw!$AU:$AU),"")</f>
        <v/>
      </c>
      <c r="AC345" s="303">
        <f>IFERROR(_xlfn.XLOOKUP($D345,'Modelling New'!$D:$D,'Modelling New'!P:P),"")</f>
        <v>6.870967741935484</v>
      </c>
      <c r="AD345" s="294">
        <f>IFERROR(_xlfn.XLOOKUP($D345,'Modelling New'!$D:$D,'Modelling New'!T:T)*1000,"")</f>
        <v>762147.62241353071</v>
      </c>
      <c r="AE345" s="304">
        <f>IFERROR(_xlfn.XLOOKUP($D345,'Modelling New'!$D:$D,'Modelling New'!$O:$O),"")</f>
        <v>0.82165106224376472</v>
      </c>
      <c r="AF345" s="304">
        <f>IFERROR(_xlfn.XLOOKUP($D345,'Modelling New'!$D:$D,'Modelling New'!$W:$W),"")</f>
        <v>0.23523074765849714</v>
      </c>
      <c r="AG345" s="304">
        <f>IFERROR(_xlfn.XLOOKUP($D345,'Modelling New'!$D:$D,'Modelling New'!$AE:$AE),"")</f>
        <v>0.995</v>
      </c>
      <c r="AH345" s="304">
        <f>IFERROR(_xlfn.XLOOKUP($D345,'Modelling New'!$D:$D,'Modelling New'!$AF:$AF),"")</f>
        <v>0.995</v>
      </c>
      <c r="AI345" s="295"/>
      <c r="AJ345" s="295"/>
      <c r="AK345" s="295"/>
      <c r="AL345" s="295"/>
      <c r="AM345" s="295"/>
      <c r="AN345" s="305"/>
      <c r="AO345" s="302"/>
      <c r="AP345" s="302"/>
      <c r="AQ345" s="302"/>
      <c r="AR345" s="294">
        <f>_xlfn.XLOOKUP($D345,'Modelling New'!$D:$D,'Modelling New'!$N:$N)</f>
        <v>135</v>
      </c>
      <c r="AS345" s="294" t="str">
        <f t="shared" si="33"/>
        <v/>
      </c>
    </row>
    <row r="346" spans="1:45">
      <c r="A346" s="293">
        <f t="shared" si="34"/>
        <v>46089</v>
      </c>
      <c r="B346" s="294">
        <f>YEAR(Daily_KPI[[#This Row],[Date]])+IF(MONTH(Daily_KPI[[#This Row],[Date]])&gt;=4,1,0)</f>
        <v>2026</v>
      </c>
      <c r="C346" s="295">
        <f>YEAR(Daily_KPI[[#This Row],[Date]])</f>
        <v>2026</v>
      </c>
      <c r="D346" s="296">
        <f>Daily_KPI[[#This Row],[Date]]-DAY(Daily_KPI[[#This Row],[Date]])+1</f>
        <v>46082</v>
      </c>
      <c r="E346" s="295">
        <f t="shared" si="30"/>
        <v>31</v>
      </c>
      <c r="F346" s="297" t="str">
        <f>IFERROR(_xlfn.XLOOKUP($A346,Input_Raw!$A:$A,Input_Raw!$AR:$AR),"")</f>
        <v/>
      </c>
      <c r="G346" s="298" t="str">
        <f>IFERROR(_xlfn.XLOOKUP($A346,Input_Raw!$A:$A,Input_Raw!$R:$R),"")</f>
        <v/>
      </c>
      <c r="H346" s="298"/>
      <c r="I346" s="298" t="str">
        <f>IFERROR(_xlfn.XLOOKUP($A346,Input_Raw!$A:$A,Input_Raw!$Q:$Q),"")</f>
        <v/>
      </c>
      <c r="J346" s="298"/>
      <c r="K346" s="298" t="str">
        <f>IFERROR(_xlfn.XLOOKUP($A346,Input_Raw!$A:$A,Input_Raw!S:S),"")</f>
        <v/>
      </c>
      <c r="L346" s="298" t="str">
        <f>IFERROR(_xlfn.XLOOKUP($A346,Input_Raw!$A:$A,Input_Raw!T:T),"")</f>
        <v/>
      </c>
      <c r="M346" s="298" t="str">
        <f>IFERROR(_xlfn.XLOOKUP($A346,Input_Raw!$A:$A,Input_Raw!W:W),"")</f>
        <v/>
      </c>
      <c r="N346" s="298" t="str">
        <f>IFERROR(_xlfn.XLOOKUP($A346,Input_Raw!$A:$A,Input_Raw!X:X),"")</f>
        <v/>
      </c>
      <c r="O346" s="299" t="str">
        <f>IFERROR(1-(SUMIF(Plant_BD!$B:$B,$A346,Plant_BD!$AL:$AL)/($AA346+SUMIF(Plant_BD!$B:$B,$A346,Plant_BD!$AL:$AL))),"")</f>
        <v/>
      </c>
      <c r="P346" s="299"/>
      <c r="Q346" s="300"/>
      <c r="R346" s="299" t="str">
        <f>IFERROR(1-(SUMIF(Grid_BD!$B:$B,$A346,Grid_BD!$V:$V)/($AA346+SUMIF(Grid_BD!$B:$B,$A346,Grid_BD!$V:$V))),"")</f>
        <v/>
      </c>
      <c r="S346" s="295"/>
      <c r="T346" s="300"/>
      <c r="U346" s="301" t="str">
        <f t="shared" si="31"/>
        <v/>
      </c>
      <c r="V346" s="301" t="str">
        <f>IFERROR(_xlfn.XLOOKUP($A346,Input_Raw!$A:$A,Input_Raw!$AX:$AX),"")</f>
        <v/>
      </c>
      <c r="W346" s="302" t="str">
        <f t="shared" si="32"/>
        <v/>
      </c>
      <c r="X346" s="294" t="str">
        <f>IFERROR(_xlfn.XLOOKUP($A346,Input_Raw!$A:$A,Input_Raw!$AA:$AA),"")</f>
        <v/>
      </c>
      <c r="Y346" s="294" t="str">
        <f>IFERROR(_xlfn.XLOOKUP($A346,Input_Raw!$A:$A,Input_Raw!$AS:$AS),"")</f>
        <v/>
      </c>
      <c r="Z346" s="294"/>
      <c r="AA346" s="294" t="str">
        <f>IFERROR(_xlfn.XLOOKUP($A346,Input_Raw!$A:$A,Input_Raw!$AT:$AT),"")</f>
        <v/>
      </c>
      <c r="AB346" s="294" t="str">
        <f>IFERROR(_xlfn.XLOOKUP($A346,Input_Raw!$A:$A,Input_Raw!$AU:$AU),"")</f>
        <v/>
      </c>
      <c r="AC346" s="303">
        <f>IFERROR(_xlfn.XLOOKUP($D346,'Modelling New'!$D:$D,'Modelling New'!P:P),"")</f>
        <v>6.870967741935484</v>
      </c>
      <c r="AD346" s="294">
        <f>IFERROR(_xlfn.XLOOKUP($D346,'Modelling New'!$D:$D,'Modelling New'!T:T)*1000,"")</f>
        <v>762147.62241353071</v>
      </c>
      <c r="AE346" s="304">
        <f>IFERROR(_xlfn.XLOOKUP($D346,'Modelling New'!$D:$D,'Modelling New'!$O:$O),"")</f>
        <v>0.82165106224376472</v>
      </c>
      <c r="AF346" s="304">
        <f>IFERROR(_xlfn.XLOOKUP($D346,'Modelling New'!$D:$D,'Modelling New'!$W:$W),"")</f>
        <v>0.23523074765849714</v>
      </c>
      <c r="AG346" s="304">
        <f>IFERROR(_xlfn.XLOOKUP($D346,'Modelling New'!$D:$D,'Modelling New'!$AE:$AE),"")</f>
        <v>0.995</v>
      </c>
      <c r="AH346" s="304">
        <f>IFERROR(_xlfn.XLOOKUP($D346,'Modelling New'!$D:$D,'Modelling New'!$AF:$AF),"")</f>
        <v>0.995</v>
      </c>
      <c r="AI346" s="295"/>
      <c r="AJ346" s="295"/>
      <c r="AK346" s="295"/>
      <c r="AL346" s="295"/>
      <c r="AM346" s="295"/>
      <c r="AN346" s="305"/>
      <c r="AO346" s="302"/>
      <c r="AP346" s="302"/>
      <c r="AQ346" s="302"/>
      <c r="AR346" s="294">
        <f>_xlfn.XLOOKUP($D346,'Modelling New'!$D:$D,'Modelling New'!$N:$N)</f>
        <v>135</v>
      </c>
      <c r="AS346" s="294" t="str">
        <f t="shared" si="33"/>
        <v/>
      </c>
    </row>
    <row r="347" spans="1:45">
      <c r="A347" s="293">
        <f t="shared" si="34"/>
        <v>46090</v>
      </c>
      <c r="B347" s="294">
        <f>YEAR(Daily_KPI[[#This Row],[Date]])+IF(MONTH(Daily_KPI[[#This Row],[Date]])&gt;=4,1,0)</f>
        <v>2026</v>
      </c>
      <c r="C347" s="295">
        <f>YEAR(Daily_KPI[[#This Row],[Date]])</f>
        <v>2026</v>
      </c>
      <c r="D347" s="296">
        <f>Daily_KPI[[#This Row],[Date]]-DAY(Daily_KPI[[#This Row],[Date]])+1</f>
        <v>46082</v>
      </c>
      <c r="E347" s="295">
        <f t="shared" si="30"/>
        <v>31</v>
      </c>
      <c r="F347" s="297" t="str">
        <f>IFERROR(_xlfn.XLOOKUP($A347,Input_Raw!$A:$A,Input_Raw!$AR:$AR),"")</f>
        <v/>
      </c>
      <c r="G347" s="298" t="str">
        <f>IFERROR(_xlfn.XLOOKUP($A347,Input_Raw!$A:$A,Input_Raw!$R:$R),"")</f>
        <v/>
      </c>
      <c r="H347" s="298"/>
      <c r="I347" s="298" t="str">
        <f>IFERROR(_xlfn.XLOOKUP($A347,Input_Raw!$A:$A,Input_Raw!$Q:$Q),"")</f>
        <v/>
      </c>
      <c r="J347" s="298"/>
      <c r="K347" s="298" t="str">
        <f>IFERROR(_xlfn.XLOOKUP($A347,Input_Raw!$A:$A,Input_Raw!S:S),"")</f>
        <v/>
      </c>
      <c r="L347" s="298" t="str">
        <f>IFERROR(_xlfn.XLOOKUP($A347,Input_Raw!$A:$A,Input_Raw!T:T),"")</f>
        <v/>
      </c>
      <c r="M347" s="298" t="str">
        <f>IFERROR(_xlfn.XLOOKUP($A347,Input_Raw!$A:$A,Input_Raw!W:W),"")</f>
        <v/>
      </c>
      <c r="N347" s="298" t="str">
        <f>IFERROR(_xlfn.XLOOKUP($A347,Input_Raw!$A:$A,Input_Raw!X:X),"")</f>
        <v/>
      </c>
      <c r="O347" s="299" t="str">
        <f>IFERROR(1-(SUMIF(Plant_BD!$B:$B,$A347,Plant_BD!$AL:$AL)/($AA347+SUMIF(Plant_BD!$B:$B,$A347,Plant_BD!$AL:$AL))),"")</f>
        <v/>
      </c>
      <c r="P347" s="299"/>
      <c r="Q347" s="300"/>
      <c r="R347" s="299" t="str">
        <f>IFERROR(1-(SUMIF(Grid_BD!$B:$B,$A347,Grid_BD!$V:$V)/($AA347+SUMIF(Grid_BD!$B:$B,$A347,Grid_BD!$V:$V))),"")</f>
        <v/>
      </c>
      <c r="S347" s="295"/>
      <c r="T347" s="300"/>
      <c r="U347" s="301" t="str">
        <f t="shared" si="31"/>
        <v/>
      </c>
      <c r="V347" s="301" t="str">
        <f>IFERROR(_xlfn.XLOOKUP($A347,Input_Raw!$A:$A,Input_Raw!$AX:$AX),"")</f>
        <v/>
      </c>
      <c r="W347" s="302" t="str">
        <f t="shared" si="32"/>
        <v/>
      </c>
      <c r="X347" s="294" t="str">
        <f>IFERROR(_xlfn.XLOOKUP($A347,Input_Raw!$A:$A,Input_Raw!$AA:$AA),"")</f>
        <v/>
      </c>
      <c r="Y347" s="294" t="str">
        <f>IFERROR(_xlfn.XLOOKUP($A347,Input_Raw!$A:$A,Input_Raw!$AS:$AS),"")</f>
        <v/>
      </c>
      <c r="Z347" s="294"/>
      <c r="AA347" s="294" t="str">
        <f>IFERROR(_xlfn.XLOOKUP($A347,Input_Raw!$A:$A,Input_Raw!$AT:$AT),"")</f>
        <v/>
      </c>
      <c r="AB347" s="294" t="str">
        <f>IFERROR(_xlfn.XLOOKUP($A347,Input_Raw!$A:$A,Input_Raw!$AU:$AU),"")</f>
        <v/>
      </c>
      <c r="AC347" s="303">
        <f>IFERROR(_xlfn.XLOOKUP($D347,'Modelling New'!$D:$D,'Modelling New'!P:P),"")</f>
        <v>6.870967741935484</v>
      </c>
      <c r="AD347" s="294">
        <f>IFERROR(_xlfn.XLOOKUP($D347,'Modelling New'!$D:$D,'Modelling New'!T:T)*1000,"")</f>
        <v>762147.62241353071</v>
      </c>
      <c r="AE347" s="304">
        <f>IFERROR(_xlfn.XLOOKUP($D347,'Modelling New'!$D:$D,'Modelling New'!$O:$O),"")</f>
        <v>0.82165106224376472</v>
      </c>
      <c r="AF347" s="304">
        <f>IFERROR(_xlfn.XLOOKUP($D347,'Modelling New'!$D:$D,'Modelling New'!$W:$W),"")</f>
        <v>0.23523074765849714</v>
      </c>
      <c r="AG347" s="304">
        <f>IFERROR(_xlfn.XLOOKUP($D347,'Modelling New'!$D:$D,'Modelling New'!$AE:$AE),"")</f>
        <v>0.995</v>
      </c>
      <c r="AH347" s="304">
        <f>IFERROR(_xlfn.XLOOKUP($D347,'Modelling New'!$D:$D,'Modelling New'!$AF:$AF),"")</f>
        <v>0.995</v>
      </c>
      <c r="AI347" s="295"/>
      <c r="AJ347" s="295"/>
      <c r="AK347" s="295"/>
      <c r="AL347" s="295"/>
      <c r="AM347" s="295"/>
      <c r="AN347" s="305"/>
      <c r="AO347" s="302"/>
      <c r="AP347" s="302"/>
      <c r="AQ347" s="302"/>
      <c r="AR347" s="294">
        <f>_xlfn.XLOOKUP($D347,'Modelling New'!$D:$D,'Modelling New'!$N:$N)</f>
        <v>135</v>
      </c>
      <c r="AS347" s="294" t="str">
        <f t="shared" si="33"/>
        <v/>
      </c>
    </row>
    <row r="348" spans="1:45">
      <c r="A348" s="293">
        <f t="shared" si="34"/>
        <v>46091</v>
      </c>
      <c r="B348" s="294">
        <f>YEAR(Daily_KPI[[#This Row],[Date]])+IF(MONTH(Daily_KPI[[#This Row],[Date]])&gt;=4,1,0)</f>
        <v>2026</v>
      </c>
      <c r="C348" s="295">
        <f>YEAR(Daily_KPI[[#This Row],[Date]])</f>
        <v>2026</v>
      </c>
      <c r="D348" s="296">
        <f>Daily_KPI[[#This Row],[Date]]-DAY(Daily_KPI[[#This Row],[Date]])+1</f>
        <v>46082</v>
      </c>
      <c r="E348" s="295">
        <f t="shared" si="30"/>
        <v>31</v>
      </c>
      <c r="F348" s="297" t="str">
        <f>IFERROR(_xlfn.XLOOKUP($A348,Input_Raw!$A:$A,Input_Raw!$AR:$AR),"")</f>
        <v/>
      </c>
      <c r="G348" s="298" t="str">
        <f>IFERROR(_xlfn.XLOOKUP($A348,Input_Raw!$A:$A,Input_Raw!$R:$R),"")</f>
        <v/>
      </c>
      <c r="H348" s="298"/>
      <c r="I348" s="298" t="str">
        <f>IFERROR(_xlfn.XLOOKUP($A348,Input_Raw!$A:$A,Input_Raw!$Q:$Q),"")</f>
        <v/>
      </c>
      <c r="J348" s="298"/>
      <c r="K348" s="298" t="str">
        <f>IFERROR(_xlfn.XLOOKUP($A348,Input_Raw!$A:$A,Input_Raw!S:S),"")</f>
        <v/>
      </c>
      <c r="L348" s="298" t="str">
        <f>IFERROR(_xlfn.XLOOKUP($A348,Input_Raw!$A:$A,Input_Raw!T:T),"")</f>
        <v/>
      </c>
      <c r="M348" s="298" t="str">
        <f>IFERROR(_xlfn.XLOOKUP($A348,Input_Raw!$A:$A,Input_Raw!W:W),"")</f>
        <v/>
      </c>
      <c r="N348" s="298" t="str">
        <f>IFERROR(_xlfn.XLOOKUP($A348,Input_Raw!$A:$A,Input_Raw!X:X),"")</f>
        <v/>
      </c>
      <c r="O348" s="299" t="str">
        <f>IFERROR(1-(SUMIF(Plant_BD!$B:$B,$A348,Plant_BD!$AL:$AL)/($AA348+SUMIF(Plant_BD!$B:$B,$A348,Plant_BD!$AL:$AL))),"")</f>
        <v/>
      </c>
      <c r="P348" s="299"/>
      <c r="Q348" s="300"/>
      <c r="R348" s="299" t="str">
        <f>IFERROR(1-(SUMIF(Grid_BD!$B:$B,$A348,Grid_BD!$V:$V)/($AA348+SUMIF(Grid_BD!$B:$B,$A348,Grid_BD!$V:$V))),"")</f>
        <v/>
      </c>
      <c r="S348" s="295"/>
      <c r="T348" s="300"/>
      <c r="U348" s="301" t="str">
        <f t="shared" si="31"/>
        <v/>
      </c>
      <c r="V348" s="301" t="str">
        <f>IFERROR(_xlfn.XLOOKUP($A348,Input_Raw!$A:$A,Input_Raw!$AX:$AX),"")</f>
        <v/>
      </c>
      <c r="W348" s="302" t="str">
        <f t="shared" si="32"/>
        <v/>
      </c>
      <c r="X348" s="294" t="str">
        <f>IFERROR(_xlfn.XLOOKUP($A348,Input_Raw!$A:$A,Input_Raw!$AA:$AA),"")</f>
        <v/>
      </c>
      <c r="Y348" s="294" t="str">
        <f>IFERROR(_xlfn.XLOOKUP($A348,Input_Raw!$A:$A,Input_Raw!$AS:$AS),"")</f>
        <v/>
      </c>
      <c r="Z348" s="294"/>
      <c r="AA348" s="294" t="str">
        <f>IFERROR(_xlfn.XLOOKUP($A348,Input_Raw!$A:$A,Input_Raw!$AT:$AT),"")</f>
        <v/>
      </c>
      <c r="AB348" s="294" t="str">
        <f>IFERROR(_xlfn.XLOOKUP($A348,Input_Raw!$A:$A,Input_Raw!$AU:$AU),"")</f>
        <v/>
      </c>
      <c r="AC348" s="303">
        <f>IFERROR(_xlfn.XLOOKUP($D348,'Modelling New'!$D:$D,'Modelling New'!P:P),"")</f>
        <v>6.870967741935484</v>
      </c>
      <c r="AD348" s="294">
        <f>IFERROR(_xlfn.XLOOKUP($D348,'Modelling New'!$D:$D,'Modelling New'!T:T)*1000,"")</f>
        <v>762147.62241353071</v>
      </c>
      <c r="AE348" s="304">
        <f>IFERROR(_xlfn.XLOOKUP($D348,'Modelling New'!$D:$D,'Modelling New'!$O:$O),"")</f>
        <v>0.82165106224376472</v>
      </c>
      <c r="AF348" s="304">
        <f>IFERROR(_xlfn.XLOOKUP($D348,'Modelling New'!$D:$D,'Modelling New'!$W:$W),"")</f>
        <v>0.23523074765849714</v>
      </c>
      <c r="AG348" s="304">
        <f>IFERROR(_xlfn.XLOOKUP($D348,'Modelling New'!$D:$D,'Modelling New'!$AE:$AE),"")</f>
        <v>0.995</v>
      </c>
      <c r="AH348" s="304">
        <f>IFERROR(_xlfn.XLOOKUP($D348,'Modelling New'!$D:$D,'Modelling New'!$AF:$AF),"")</f>
        <v>0.995</v>
      </c>
      <c r="AI348" s="295"/>
      <c r="AJ348" s="295"/>
      <c r="AK348" s="295"/>
      <c r="AL348" s="295"/>
      <c r="AM348" s="295"/>
      <c r="AN348" s="305"/>
      <c r="AO348" s="302"/>
      <c r="AP348" s="302"/>
      <c r="AQ348" s="302"/>
      <c r="AR348" s="294">
        <f>_xlfn.XLOOKUP($D348,'Modelling New'!$D:$D,'Modelling New'!$N:$N)</f>
        <v>135</v>
      </c>
      <c r="AS348" s="294" t="str">
        <f t="shared" si="33"/>
        <v/>
      </c>
    </row>
    <row r="349" spans="1:45">
      <c r="A349" s="293">
        <f t="shared" si="34"/>
        <v>46092</v>
      </c>
      <c r="B349" s="294">
        <f>YEAR(Daily_KPI[[#This Row],[Date]])+IF(MONTH(Daily_KPI[[#This Row],[Date]])&gt;=4,1,0)</f>
        <v>2026</v>
      </c>
      <c r="C349" s="295">
        <f>YEAR(Daily_KPI[[#This Row],[Date]])</f>
        <v>2026</v>
      </c>
      <c r="D349" s="296">
        <f>Daily_KPI[[#This Row],[Date]]-DAY(Daily_KPI[[#This Row],[Date]])+1</f>
        <v>46082</v>
      </c>
      <c r="E349" s="295">
        <f t="shared" si="30"/>
        <v>31</v>
      </c>
      <c r="F349" s="297" t="str">
        <f>IFERROR(_xlfn.XLOOKUP($A349,Input_Raw!$A:$A,Input_Raw!$AR:$AR),"")</f>
        <v/>
      </c>
      <c r="G349" s="298" t="str">
        <f>IFERROR(_xlfn.XLOOKUP($A349,Input_Raw!$A:$A,Input_Raw!$R:$R),"")</f>
        <v/>
      </c>
      <c r="H349" s="298"/>
      <c r="I349" s="298" t="str">
        <f>IFERROR(_xlfn.XLOOKUP($A349,Input_Raw!$A:$A,Input_Raw!$Q:$Q),"")</f>
        <v/>
      </c>
      <c r="J349" s="298"/>
      <c r="K349" s="298" t="str">
        <f>IFERROR(_xlfn.XLOOKUP($A349,Input_Raw!$A:$A,Input_Raw!S:S),"")</f>
        <v/>
      </c>
      <c r="L349" s="298" t="str">
        <f>IFERROR(_xlfn.XLOOKUP($A349,Input_Raw!$A:$A,Input_Raw!T:T),"")</f>
        <v/>
      </c>
      <c r="M349" s="298" t="str">
        <f>IFERROR(_xlfn.XLOOKUP($A349,Input_Raw!$A:$A,Input_Raw!W:W),"")</f>
        <v/>
      </c>
      <c r="N349" s="298" t="str">
        <f>IFERROR(_xlfn.XLOOKUP($A349,Input_Raw!$A:$A,Input_Raw!X:X),"")</f>
        <v/>
      </c>
      <c r="O349" s="299" t="str">
        <f>IFERROR(1-(SUMIF(Plant_BD!$B:$B,$A349,Plant_BD!$AL:$AL)/($AA349+SUMIF(Plant_BD!$B:$B,$A349,Plant_BD!$AL:$AL))),"")</f>
        <v/>
      </c>
      <c r="P349" s="299"/>
      <c r="Q349" s="300"/>
      <c r="R349" s="299" t="str">
        <f>IFERROR(1-(SUMIF(Grid_BD!$B:$B,$A349,Grid_BD!$V:$V)/($AA349+SUMIF(Grid_BD!$B:$B,$A349,Grid_BD!$V:$V))),"")</f>
        <v/>
      </c>
      <c r="S349" s="295"/>
      <c r="T349" s="300"/>
      <c r="U349" s="301" t="str">
        <f t="shared" si="31"/>
        <v/>
      </c>
      <c r="V349" s="301" t="str">
        <f>IFERROR(_xlfn.XLOOKUP($A349,Input_Raw!$A:$A,Input_Raw!$AX:$AX),"")</f>
        <v/>
      </c>
      <c r="W349" s="302" t="str">
        <f t="shared" si="32"/>
        <v/>
      </c>
      <c r="X349" s="294" t="str">
        <f>IFERROR(_xlfn.XLOOKUP($A349,Input_Raw!$A:$A,Input_Raw!$AA:$AA),"")</f>
        <v/>
      </c>
      <c r="Y349" s="294" t="str">
        <f>IFERROR(_xlfn.XLOOKUP($A349,Input_Raw!$A:$A,Input_Raw!$AS:$AS),"")</f>
        <v/>
      </c>
      <c r="Z349" s="294"/>
      <c r="AA349" s="294" t="str">
        <f>IFERROR(_xlfn.XLOOKUP($A349,Input_Raw!$A:$A,Input_Raw!$AT:$AT),"")</f>
        <v/>
      </c>
      <c r="AB349" s="294" t="str">
        <f>IFERROR(_xlfn.XLOOKUP($A349,Input_Raw!$A:$A,Input_Raw!$AU:$AU),"")</f>
        <v/>
      </c>
      <c r="AC349" s="303">
        <f>IFERROR(_xlfn.XLOOKUP($D349,'Modelling New'!$D:$D,'Modelling New'!P:P),"")</f>
        <v>6.870967741935484</v>
      </c>
      <c r="AD349" s="294">
        <f>IFERROR(_xlfn.XLOOKUP($D349,'Modelling New'!$D:$D,'Modelling New'!T:T)*1000,"")</f>
        <v>762147.62241353071</v>
      </c>
      <c r="AE349" s="304">
        <f>IFERROR(_xlfn.XLOOKUP($D349,'Modelling New'!$D:$D,'Modelling New'!$O:$O),"")</f>
        <v>0.82165106224376472</v>
      </c>
      <c r="AF349" s="304">
        <f>IFERROR(_xlfn.XLOOKUP($D349,'Modelling New'!$D:$D,'Modelling New'!$W:$W),"")</f>
        <v>0.23523074765849714</v>
      </c>
      <c r="AG349" s="304">
        <f>IFERROR(_xlfn.XLOOKUP($D349,'Modelling New'!$D:$D,'Modelling New'!$AE:$AE),"")</f>
        <v>0.995</v>
      </c>
      <c r="AH349" s="304">
        <f>IFERROR(_xlfn.XLOOKUP($D349,'Modelling New'!$D:$D,'Modelling New'!$AF:$AF),"")</f>
        <v>0.995</v>
      </c>
      <c r="AI349" s="295"/>
      <c r="AJ349" s="295"/>
      <c r="AK349" s="295"/>
      <c r="AL349" s="295"/>
      <c r="AM349" s="295"/>
      <c r="AN349" s="305"/>
      <c r="AO349" s="302"/>
      <c r="AP349" s="302"/>
      <c r="AQ349" s="302"/>
      <c r="AR349" s="294">
        <f>_xlfn.XLOOKUP($D349,'Modelling New'!$D:$D,'Modelling New'!$N:$N)</f>
        <v>135</v>
      </c>
      <c r="AS349" s="294" t="str">
        <f t="shared" si="33"/>
        <v/>
      </c>
    </row>
    <row r="350" spans="1:45">
      <c r="A350" s="293">
        <f t="shared" si="34"/>
        <v>46093</v>
      </c>
      <c r="B350" s="294">
        <f>YEAR(Daily_KPI[[#This Row],[Date]])+IF(MONTH(Daily_KPI[[#This Row],[Date]])&gt;=4,1,0)</f>
        <v>2026</v>
      </c>
      <c r="C350" s="295">
        <f>YEAR(Daily_KPI[[#This Row],[Date]])</f>
        <v>2026</v>
      </c>
      <c r="D350" s="296">
        <f>Daily_KPI[[#This Row],[Date]]-DAY(Daily_KPI[[#This Row],[Date]])+1</f>
        <v>46082</v>
      </c>
      <c r="E350" s="295">
        <f t="shared" si="30"/>
        <v>31</v>
      </c>
      <c r="F350" s="297" t="str">
        <f>IFERROR(_xlfn.XLOOKUP($A350,Input_Raw!$A:$A,Input_Raw!$AR:$AR),"")</f>
        <v/>
      </c>
      <c r="G350" s="298" t="str">
        <f>IFERROR(_xlfn.XLOOKUP($A350,Input_Raw!$A:$A,Input_Raw!$R:$R),"")</f>
        <v/>
      </c>
      <c r="H350" s="298"/>
      <c r="I350" s="298" t="str">
        <f>IFERROR(_xlfn.XLOOKUP($A350,Input_Raw!$A:$A,Input_Raw!$Q:$Q),"")</f>
        <v/>
      </c>
      <c r="J350" s="298"/>
      <c r="K350" s="298" t="str">
        <f>IFERROR(_xlfn.XLOOKUP($A350,Input_Raw!$A:$A,Input_Raw!S:S),"")</f>
        <v/>
      </c>
      <c r="L350" s="298" t="str">
        <f>IFERROR(_xlfn.XLOOKUP($A350,Input_Raw!$A:$A,Input_Raw!T:T),"")</f>
        <v/>
      </c>
      <c r="M350" s="298" t="str">
        <f>IFERROR(_xlfn.XLOOKUP($A350,Input_Raw!$A:$A,Input_Raw!W:W),"")</f>
        <v/>
      </c>
      <c r="N350" s="298" t="str">
        <f>IFERROR(_xlfn.XLOOKUP($A350,Input_Raw!$A:$A,Input_Raw!X:X),"")</f>
        <v/>
      </c>
      <c r="O350" s="299" t="str">
        <f>IFERROR(1-(SUMIF(Plant_BD!$B:$B,$A350,Plant_BD!$AL:$AL)/($AA350+SUMIF(Plant_BD!$B:$B,$A350,Plant_BD!$AL:$AL))),"")</f>
        <v/>
      </c>
      <c r="P350" s="299"/>
      <c r="Q350" s="300"/>
      <c r="R350" s="299" t="str">
        <f>IFERROR(1-(SUMIF(Grid_BD!$B:$B,$A350,Grid_BD!$V:$V)/($AA350+SUMIF(Grid_BD!$B:$B,$A350,Grid_BD!$V:$V))),"")</f>
        <v/>
      </c>
      <c r="S350" s="295"/>
      <c r="T350" s="300"/>
      <c r="U350" s="301" t="str">
        <f t="shared" si="31"/>
        <v/>
      </c>
      <c r="V350" s="301" t="str">
        <f>IFERROR(_xlfn.XLOOKUP($A350,Input_Raw!$A:$A,Input_Raw!$AX:$AX),"")</f>
        <v/>
      </c>
      <c r="W350" s="302" t="str">
        <f t="shared" si="32"/>
        <v/>
      </c>
      <c r="X350" s="294" t="str">
        <f>IFERROR(_xlfn.XLOOKUP($A350,Input_Raw!$A:$A,Input_Raw!$AA:$AA),"")</f>
        <v/>
      </c>
      <c r="Y350" s="294" t="str">
        <f>IFERROR(_xlfn.XLOOKUP($A350,Input_Raw!$A:$A,Input_Raw!$AS:$AS),"")</f>
        <v/>
      </c>
      <c r="Z350" s="294"/>
      <c r="AA350" s="294" t="str">
        <f>IFERROR(_xlfn.XLOOKUP($A350,Input_Raw!$A:$A,Input_Raw!$AT:$AT),"")</f>
        <v/>
      </c>
      <c r="AB350" s="294" t="str">
        <f>IFERROR(_xlfn.XLOOKUP($A350,Input_Raw!$A:$A,Input_Raw!$AU:$AU),"")</f>
        <v/>
      </c>
      <c r="AC350" s="303">
        <f>IFERROR(_xlfn.XLOOKUP($D350,'Modelling New'!$D:$D,'Modelling New'!P:P),"")</f>
        <v>6.870967741935484</v>
      </c>
      <c r="AD350" s="294">
        <f>IFERROR(_xlfn.XLOOKUP($D350,'Modelling New'!$D:$D,'Modelling New'!T:T)*1000,"")</f>
        <v>762147.62241353071</v>
      </c>
      <c r="AE350" s="304">
        <f>IFERROR(_xlfn.XLOOKUP($D350,'Modelling New'!$D:$D,'Modelling New'!$O:$O),"")</f>
        <v>0.82165106224376472</v>
      </c>
      <c r="AF350" s="304">
        <f>IFERROR(_xlfn.XLOOKUP($D350,'Modelling New'!$D:$D,'Modelling New'!$W:$W),"")</f>
        <v>0.23523074765849714</v>
      </c>
      <c r="AG350" s="304">
        <f>IFERROR(_xlfn.XLOOKUP($D350,'Modelling New'!$D:$D,'Modelling New'!$AE:$AE),"")</f>
        <v>0.995</v>
      </c>
      <c r="AH350" s="304">
        <f>IFERROR(_xlfn.XLOOKUP($D350,'Modelling New'!$D:$D,'Modelling New'!$AF:$AF),"")</f>
        <v>0.995</v>
      </c>
      <c r="AI350" s="295"/>
      <c r="AJ350" s="295"/>
      <c r="AK350" s="295"/>
      <c r="AL350" s="295"/>
      <c r="AM350" s="295"/>
      <c r="AN350" s="305"/>
      <c r="AO350" s="302"/>
      <c r="AP350" s="302"/>
      <c r="AQ350" s="302"/>
      <c r="AR350" s="294">
        <f>_xlfn.XLOOKUP($D350,'Modelling New'!$D:$D,'Modelling New'!$N:$N)</f>
        <v>135</v>
      </c>
      <c r="AS350" s="294" t="str">
        <f t="shared" si="33"/>
        <v/>
      </c>
    </row>
    <row r="351" spans="1:45">
      <c r="A351" s="293">
        <f t="shared" si="34"/>
        <v>46094</v>
      </c>
      <c r="B351" s="294">
        <f>YEAR(Daily_KPI[[#This Row],[Date]])+IF(MONTH(Daily_KPI[[#This Row],[Date]])&gt;=4,1,0)</f>
        <v>2026</v>
      </c>
      <c r="C351" s="295">
        <f>YEAR(Daily_KPI[[#This Row],[Date]])</f>
        <v>2026</v>
      </c>
      <c r="D351" s="296">
        <f>Daily_KPI[[#This Row],[Date]]-DAY(Daily_KPI[[#This Row],[Date]])+1</f>
        <v>46082</v>
      </c>
      <c r="E351" s="295">
        <f t="shared" si="30"/>
        <v>31</v>
      </c>
      <c r="F351" s="297" t="str">
        <f>IFERROR(_xlfn.XLOOKUP($A351,Input_Raw!$A:$A,Input_Raw!$AR:$AR),"")</f>
        <v/>
      </c>
      <c r="G351" s="298" t="str">
        <f>IFERROR(_xlfn.XLOOKUP($A351,Input_Raw!$A:$A,Input_Raw!$R:$R),"")</f>
        <v/>
      </c>
      <c r="H351" s="298"/>
      <c r="I351" s="298" t="str">
        <f>IFERROR(_xlfn.XLOOKUP($A351,Input_Raw!$A:$A,Input_Raw!$Q:$Q),"")</f>
        <v/>
      </c>
      <c r="J351" s="298"/>
      <c r="K351" s="298" t="str">
        <f>IFERROR(_xlfn.XLOOKUP($A351,Input_Raw!$A:$A,Input_Raw!S:S),"")</f>
        <v/>
      </c>
      <c r="L351" s="298" t="str">
        <f>IFERROR(_xlfn.XLOOKUP($A351,Input_Raw!$A:$A,Input_Raw!T:T),"")</f>
        <v/>
      </c>
      <c r="M351" s="298" t="str">
        <f>IFERROR(_xlfn.XLOOKUP($A351,Input_Raw!$A:$A,Input_Raw!W:W),"")</f>
        <v/>
      </c>
      <c r="N351" s="298" t="str">
        <f>IFERROR(_xlfn.XLOOKUP($A351,Input_Raw!$A:$A,Input_Raw!X:X),"")</f>
        <v/>
      </c>
      <c r="O351" s="299" t="str">
        <f>IFERROR(1-(SUMIF(Plant_BD!$B:$B,$A351,Plant_BD!$AL:$AL)/($AA351+SUMIF(Plant_BD!$B:$B,$A351,Plant_BD!$AL:$AL))),"")</f>
        <v/>
      </c>
      <c r="P351" s="299"/>
      <c r="Q351" s="300"/>
      <c r="R351" s="299" t="str">
        <f>IFERROR(1-(SUMIF(Grid_BD!$B:$B,$A351,Grid_BD!$V:$V)/($AA351+SUMIF(Grid_BD!$B:$B,$A351,Grid_BD!$V:$V))),"")</f>
        <v/>
      </c>
      <c r="S351" s="295"/>
      <c r="T351" s="300"/>
      <c r="U351" s="301" t="str">
        <f t="shared" si="31"/>
        <v/>
      </c>
      <c r="V351" s="301" t="str">
        <f>IFERROR(_xlfn.XLOOKUP($A351,Input_Raw!$A:$A,Input_Raw!$AX:$AX),"")</f>
        <v/>
      </c>
      <c r="W351" s="302" t="str">
        <f t="shared" si="32"/>
        <v/>
      </c>
      <c r="X351" s="294" t="str">
        <f>IFERROR(_xlfn.XLOOKUP($A351,Input_Raw!$A:$A,Input_Raw!$AA:$AA),"")</f>
        <v/>
      </c>
      <c r="Y351" s="294" t="str">
        <f>IFERROR(_xlfn.XLOOKUP($A351,Input_Raw!$A:$A,Input_Raw!$AS:$AS),"")</f>
        <v/>
      </c>
      <c r="Z351" s="294"/>
      <c r="AA351" s="294" t="str">
        <f>IFERROR(_xlfn.XLOOKUP($A351,Input_Raw!$A:$A,Input_Raw!$AT:$AT),"")</f>
        <v/>
      </c>
      <c r="AB351" s="294" t="str">
        <f>IFERROR(_xlfn.XLOOKUP($A351,Input_Raw!$A:$A,Input_Raw!$AU:$AU),"")</f>
        <v/>
      </c>
      <c r="AC351" s="303">
        <f>IFERROR(_xlfn.XLOOKUP($D351,'Modelling New'!$D:$D,'Modelling New'!P:P),"")</f>
        <v>6.870967741935484</v>
      </c>
      <c r="AD351" s="294">
        <f>IFERROR(_xlfn.XLOOKUP($D351,'Modelling New'!$D:$D,'Modelling New'!T:T)*1000,"")</f>
        <v>762147.62241353071</v>
      </c>
      <c r="AE351" s="304">
        <f>IFERROR(_xlfn.XLOOKUP($D351,'Modelling New'!$D:$D,'Modelling New'!$O:$O),"")</f>
        <v>0.82165106224376472</v>
      </c>
      <c r="AF351" s="304">
        <f>IFERROR(_xlfn.XLOOKUP($D351,'Modelling New'!$D:$D,'Modelling New'!$W:$W),"")</f>
        <v>0.23523074765849714</v>
      </c>
      <c r="AG351" s="304">
        <f>IFERROR(_xlfn.XLOOKUP($D351,'Modelling New'!$D:$D,'Modelling New'!$AE:$AE),"")</f>
        <v>0.995</v>
      </c>
      <c r="AH351" s="304">
        <f>IFERROR(_xlfn.XLOOKUP($D351,'Modelling New'!$D:$D,'Modelling New'!$AF:$AF),"")</f>
        <v>0.995</v>
      </c>
      <c r="AI351" s="295"/>
      <c r="AJ351" s="295"/>
      <c r="AK351" s="295"/>
      <c r="AL351" s="295"/>
      <c r="AM351" s="295"/>
      <c r="AN351" s="305"/>
      <c r="AO351" s="302"/>
      <c r="AP351" s="302"/>
      <c r="AQ351" s="302"/>
      <c r="AR351" s="294">
        <f>_xlfn.XLOOKUP($D351,'Modelling New'!$D:$D,'Modelling New'!$N:$N)</f>
        <v>135</v>
      </c>
      <c r="AS351" s="294" t="str">
        <f t="shared" si="33"/>
        <v/>
      </c>
    </row>
    <row r="352" spans="1:45">
      <c r="A352" s="293">
        <f t="shared" si="34"/>
        <v>46095</v>
      </c>
      <c r="B352" s="294">
        <f>YEAR(Daily_KPI[[#This Row],[Date]])+IF(MONTH(Daily_KPI[[#This Row],[Date]])&gt;=4,1,0)</f>
        <v>2026</v>
      </c>
      <c r="C352" s="295">
        <f>YEAR(Daily_KPI[[#This Row],[Date]])</f>
        <v>2026</v>
      </c>
      <c r="D352" s="296">
        <f>Daily_KPI[[#This Row],[Date]]-DAY(Daily_KPI[[#This Row],[Date]])+1</f>
        <v>46082</v>
      </c>
      <c r="E352" s="295">
        <f t="shared" si="30"/>
        <v>31</v>
      </c>
      <c r="F352" s="297" t="str">
        <f>IFERROR(_xlfn.XLOOKUP($A352,Input_Raw!$A:$A,Input_Raw!$AR:$AR),"")</f>
        <v/>
      </c>
      <c r="G352" s="298" t="str">
        <f>IFERROR(_xlfn.XLOOKUP($A352,Input_Raw!$A:$A,Input_Raw!$R:$R),"")</f>
        <v/>
      </c>
      <c r="H352" s="298"/>
      <c r="I352" s="298" t="str">
        <f>IFERROR(_xlfn.XLOOKUP($A352,Input_Raw!$A:$A,Input_Raw!$Q:$Q),"")</f>
        <v/>
      </c>
      <c r="J352" s="298"/>
      <c r="K352" s="298" t="str">
        <f>IFERROR(_xlfn.XLOOKUP($A352,Input_Raw!$A:$A,Input_Raw!S:S),"")</f>
        <v/>
      </c>
      <c r="L352" s="298" t="str">
        <f>IFERROR(_xlfn.XLOOKUP($A352,Input_Raw!$A:$A,Input_Raw!T:T),"")</f>
        <v/>
      </c>
      <c r="M352" s="298" t="str">
        <f>IFERROR(_xlfn.XLOOKUP($A352,Input_Raw!$A:$A,Input_Raw!W:W),"")</f>
        <v/>
      </c>
      <c r="N352" s="298" t="str">
        <f>IFERROR(_xlfn.XLOOKUP($A352,Input_Raw!$A:$A,Input_Raw!X:X),"")</f>
        <v/>
      </c>
      <c r="O352" s="299" t="str">
        <f>IFERROR(1-(SUMIF(Plant_BD!$B:$B,$A352,Plant_BD!$AL:$AL)/($AA352+SUMIF(Plant_BD!$B:$B,$A352,Plant_BD!$AL:$AL))),"")</f>
        <v/>
      </c>
      <c r="P352" s="299"/>
      <c r="Q352" s="300"/>
      <c r="R352" s="299" t="str">
        <f>IFERROR(1-(SUMIF(Grid_BD!$B:$B,$A352,Grid_BD!$V:$V)/($AA352+SUMIF(Grid_BD!$B:$B,$A352,Grid_BD!$V:$V))),"")</f>
        <v/>
      </c>
      <c r="S352" s="295"/>
      <c r="T352" s="300"/>
      <c r="U352" s="301" t="str">
        <f t="shared" si="31"/>
        <v/>
      </c>
      <c r="V352" s="301" t="str">
        <f>IFERROR(_xlfn.XLOOKUP($A352,Input_Raw!$A:$A,Input_Raw!$AX:$AX),"")</f>
        <v/>
      </c>
      <c r="W352" s="302" t="str">
        <f t="shared" si="32"/>
        <v/>
      </c>
      <c r="X352" s="294" t="str">
        <f>IFERROR(_xlfn.XLOOKUP($A352,Input_Raw!$A:$A,Input_Raw!$AA:$AA),"")</f>
        <v/>
      </c>
      <c r="Y352" s="294" t="str">
        <f>IFERROR(_xlfn.XLOOKUP($A352,Input_Raw!$A:$A,Input_Raw!$AS:$AS),"")</f>
        <v/>
      </c>
      <c r="Z352" s="294"/>
      <c r="AA352" s="294" t="str">
        <f>IFERROR(_xlfn.XLOOKUP($A352,Input_Raw!$A:$A,Input_Raw!$AT:$AT),"")</f>
        <v/>
      </c>
      <c r="AB352" s="294" t="str">
        <f>IFERROR(_xlfn.XLOOKUP($A352,Input_Raw!$A:$A,Input_Raw!$AU:$AU),"")</f>
        <v/>
      </c>
      <c r="AC352" s="303">
        <f>IFERROR(_xlfn.XLOOKUP($D352,'Modelling New'!$D:$D,'Modelling New'!P:P),"")</f>
        <v>6.870967741935484</v>
      </c>
      <c r="AD352" s="294">
        <f>IFERROR(_xlfn.XLOOKUP($D352,'Modelling New'!$D:$D,'Modelling New'!T:T)*1000,"")</f>
        <v>762147.62241353071</v>
      </c>
      <c r="AE352" s="304">
        <f>IFERROR(_xlfn.XLOOKUP($D352,'Modelling New'!$D:$D,'Modelling New'!$O:$O),"")</f>
        <v>0.82165106224376472</v>
      </c>
      <c r="AF352" s="304">
        <f>IFERROR(_xlfn.XLOOKUP($D352,'Modelling New'!$D:$D,'Modelling New'!$W:$W),"")</f>
        <v>0.23523074765849714</v>
      </c>
      <c r="AG352" s="304">
        <f>IFERROR(_xlfn.XLOOKUP($D352,'Modelling New'!$D:$D,'Modelling New'!$AE:$AE),"")</f>
        <v>0.995</v>
      </c>
      <c r="AH352" s="304">
        <f>IFERROR(_xlfn.XLOOKUP($D352,'Modelling New'!$D:$D,'Modelling New'!$AF:$AF),"")</f>
        <v>0.995</v>
      </c>
      <c r="AI352" s="295"/>
      <c r="AJ352" s="295"/>
      <c r="AK352" s="295"/>
      <c r="AL352" s="295"/>
      <c r="AM352" s="295"/>
      <c r="AN352" s="305"/>
      <c r="AO352" s="302"/>
      <c r="AP352" s="302"/>
      <c r="AQ352" s="302"/>
      <c r="AR352" s="294">
        <f>_xlfn.XLOOKUP($D352,'Modelling New'!$D:$D,'Modelling New'!$N:$N)</f>
        <v>135</v>
      </c>
      <c r="AS352" s="294" t="str">
        <f t="shared" si="33"/>
        <v/>
      </c>
    </row>
    <row r="353" spans="1:45">
      <c r="A353" s="293">
        <f t="shared" si="34"/>
        <v>46096</v>
      </c>
      <c r="B353" s="294">
        <f>YEAR(Daily_KPI[[#This Row],[Date]])+IF(MONTH(Daily_KPI[[#This Row],[Date]])&gt;=4,1,0)</f>
        <v>2026</v>
      </c>
      <c r="C353" s="295">
        <f>YEAR(Daily_KPI[[#This Row],[Date]])</f>
        <v>2026</v>
      </c>
      <c r="D353" s="296">
        <f>Daily_KPI[[#This Row],[Date]]-DAY(Daily_KPI[[#This Row],[Date]])+1</f>
        <v>46082</v>
      </c>
      <c r="E353" s="295">
        <f t="shared" si="30"/>
        <v>31</v>
      </c>
      <c r="F353" s="297" t="str">
        <f>IFERROR(_xlfn.XLOOKUP($A353,Input_Raw!$A:$A,Input_Raw!$AR:$AR),"")</f>
        <v/>
      </c>
      <c r="G353" s="298" t="str">
        <f>IFERROR(_xlfn.XLOOKUP($A353,Input_Raw!$A:$A,Input_Raw!$R:$R),"")</f>
        <v/>
      </c>
      <c r="H353" s="298"/>
      <c r="I353" s="298" t="str">
        <f>IFERROR(_xlfn.XLOOKUP($A353,Input_Raw!$A:$A,Input_Raw!$Q:$Q),"")</f>
        <v/>
      </c>
      <c r="J353" s="298"/>
      <c r="K353" s="298" t="str">
        <f>IFERROR(_xlfn.XLOOKUP($A353,Input_Raw!$A:$A,Input_Raw!S:S),"")</f>
        <v/>
      </c>
      <c r="L353" s="298" t="str">
        <f>IFERROR(_xlfn.XLOOKUP($A353,Input_Raw!$A:$A,Input_Raw!T:T),"")</f>
        <v/>
      </c>
      <c r="M353" s="298" t="str">
        <f>IFERROR(_xlfn.XLOOKUP($A353,Input_Raw!$A:$A,Input_Raw!W:W),"")</f>
        <v/>
      </c>
      <c r="N353" s="298" t="str">
        <f>IFERROR(_xlfn.XLOOKUP($A353,Input_Raw!$A:$A,Input_Raw!X:X),"")</f>
        <v/>
      </c>
      <c r="O353" s="299" t="str">
        <f>IFERROR(1-(SUMIF(Plant_BD!$B:$B,$A353,Plant_BD!$AL:$AL)/($AA353+SUMIF(Plant_BD!$B:$B,$A353,Plant_BD!$AL:$AL))),"")</f>
        <v/>
      </c>
      <c r="P353" s="299"/>
      <c r="Q353" s="300"/>
      <c r="R353" s="299" t="str">
        <f>IFERROR(1-(SUMIF(Grid_BD!$B:$B,$A353,Grid_BD!$V:$V)/($AA353+SUMIF(Grid_BD!$B:$B,$A353,Grid_BD!$V:$V))),"")</f>
        <v/>
      </c>
      <c r="S353" s="295"/>
      <c r="T353" s="300"/>
      <c r="U353" s="301" t="str">
        <f t="shared" si="31"/>
        <v/>
      </c>
      <c r="V353" s="301" t="str">
        <f>IFERROR(_xlfn.XLOOKUP($A353,Input_Raw!$A:$A,Input_Raw!$AX:$AX),"")</f>
        <v/>
      </c>
      <c r="W353" s="302" t="str">
        <f t="shared" si="32"/>
        <v/>
      </c>
      <c r="X353" s="294" t="str">
        <f>IFERROR(_xlfn.XLOOKUP($A353,Input_Raw!$A:$A,Input_Raw!$AA:$AA),"")</f>
        <v/>
      </c>
      <c r="Y353" s="294" t="str">
        <f>IFERROR(_xlfn.XLOOKUP($A353,Input_Raw!$A:$A,Input_Raw!$AS:$AS),"")</f>
        <v/>
      </c>
      <c r="Z353" s="294"/>
      <c r="AA353" s="294" t="str">
        <f>IFERROR(_xlfn.XLOOKUP($A353,Input_Raw!$A:$A,Input_Raw!$AT:$AT),"")</f>
        <v/>
      </c>
      <c r="AB353" s="294" t="str">
        <f>IFERROR(_xlfn.XLOOKUP($A353,Input_Raw!$A:$A,Input_Raw!$AU:$AU),"")</f>
        <v/>
      </c>
      <c r="AC353" s="303">
        <f>IFERROR(_xlfn.XLOOKUP($D353,'Modelling New'!$D:$D,'Modelling New'!P:P),"")</f>
        <v>6.870967741935484</v>
      </c>
      <c r="AD353" s="294">
        <f>IFERROR(_xlfn.XLOOKUP($D353,'Modelling New'!$D:$D,'Modelling New'!T:T)*1000,"")</f>
        <v>762147.62241353071</v>
      </c>
      <c r="AE353" s="304">
        <f>IFERROR(_xlfn.XLOOKUP($D353,'Modelling New'!$D:$D,'Modelling New'!$O:$O),"")</f>
        <v>0.82165106224376472</v>
      </c>
      <c r="AF353" s="304">
        <f>IFERROR(_xlfn.XLOOKUP($D353,'Modelling New'!$D:$D,'Modelling New'!$W:$W),"")</f>
        <v>0.23523074765849714</v>
      </c>
      <c r="AG353" s="304">
        <f>IFERROR(_xlfn.XLOOKUP($D353,'Modelling New'!$D:$D,'Modelling New'!$AE:$AE),"")</f>
        <v>0.995</v>
      </c>
      <c r="AH353" s="304">
        <f>IFERROR(_xlfn.XLOOKUP($D353,'Modelling New'!$D:$D,'Modelling New'!$AF:$AF),"")</f>
        <v>0.995</v>
      </c>
      <c r="AI353" s="295"/>
      <c r="AJ353" s="295"/>
      <c r="AK353" s="295"/>
      <c r="AL353" s="295"/>
      <c r="AM353" s="295"/>
      <c r="AN353" s="305"/>
      <c r="AO353" s="302"/>
      <c r="AP353" s="302"/>
      <c r="AQ353" s="302"/>
      <c r="AR353" s="294">
        <f>_xlfn.XLOOKUP($D353,'Modelling New'!$D:$D,'Modelling New'!$N:$N)</f>
        <v>135</v>
      </c>
      <c r="AS353" s="294" t="str">
        <f t="shared" si="33"/>
        <v/>
      </c>
    </row>
    <row r="354" spans="1:45">
      <c r="A354" s="293">
        <f t="shared" si="34"/>
        <v>46097</v>
      </c>
      <c r="B354" s="294">
        <f>YEAR(Daily_KPI[[#This Row],[Date]])+IF(MONTH(Daily_KPI[[#This Row],[Date]])&gt;=4,1,0)</f>
        <v>2026</v>
      </c>
      <c r="C354" s="295">
        <f>YEAR(Daily_KPI[[#This Row],[Date]])</f>
        <v>2026</v>
      </c>
      <c r="D354" s="296">
        <f>Daily_KPI[[#This Row],[Date]]-DAY(Daily_KPI[[#This Row],[Date]])+1</f>
        <v>46082</v>
      </c>
      <c r="E354" s="295">
        <f t="shared" si="30"/>
        <v>31</v>
      </c>
      <c r="F354" s="297" t="str">
        <f>IFERROR(_xlfn.XLOOKUP($A354,Input_Raw!$A:$A,Input_Raw!$AR:$AR),"")</f>
        <v/>
      </c>
      <c r="G354" s="298" t="str">
        <f>IFERROR(_xlfn.XLOOKUP($A354,Input_Raw!$A:$A,Input_Raw!$R:$R),"")</f>
        <v/>
      </c>
      <c r="H354" s="298"/>
      <c r="I354" s="298" t="str">
        <f>IFERROR(_xlfn.XLOOKUP($A354,Input_Raw!$A:$A,Input_Raw!$Q:$Q),"")</f>
        <v/>
      </c>
      <c r="J354" s="298"/>
      <c r="K354" s="298" t="str">
        <f>IFERROR(_xlfn.XLOOKUP($A354,Input_Raw!$A:$A,Input_Raw!S:S),"")</f>
        <v/>
      </c>
      <c r="L354" s="298" t="str">
        <f>IFERROR(_xlfn.XLOOKUP($A354,Input_Raw!$A:$A,Input_Raw!T:T),"")</f>
        <v/>
      </c>
      <c r="M354" s="298" t="str">
        <f>IFERROR(_xlfn.XLOOKUP($A354,Input_Raw!$A:$A,Input_Raw!W:W),"")</f>
        <v/>
      </c>
      <c r="N354" s="298" t="str">
        <f>IFERROR(_xlfn.XLOOKUP($A354,Input_Raw!$A:$A,Input_Raw!X:X),"")</f>
        <v/>
      </c>
      <c r="O354" s="299" t="str">
        <f>IFERROR(1-(SUMIF(Plant_BD!$B:$B,$A354,Plant_BD!$AL:$AL)/($AA354+SUMIF(Plant_BD!$B:$B,$A354,Plant_BD!$AL:$AL))),"")</f>
        <v/>
      </c>
      <c r="P354" s="299"/>
      <c r="Q354" s="300"/>
      <c r="R354" s="299" t="str">
        <f>IFERROR(1-(SUMIF(Grid_BD!$B:$B,$A354,Grid_BD!$V:$V)/($AA354+SUMIF(Grid_BD!$B:$B,$A354,Grid_BD!$V:$V))),"")</f>
        <v/>
      </c>
      <c r="S354" s="295"/>
      <c r="T354" s="300"/>
      <c r="U354" s="301" t="str">
        <f t="shared" si="31"/>
        <v/>
      </c>
      <c r="V354" s="301" t="str">
        <f>IFERROR(_xlfn.XLOOKUP($A354,Input_Raw!$A:$A,Input_Raw!$AX:$AX),"")</f>
        <v/>
      </c>
      <c r="W354" s="302" t="str">
        <f t="shared" si="32"/>
        <v/>
      </c>
      <c r="X354" s="294" t="str">
        <f>IFERROR(_xlfn.XLOOKUP($A354,Input_Raw!$A:$A,Input_Raw!$AA:$AA),"")</f>
        <v/>
      </c>
      <c r="Y354" s="294" t="str">
        <f>IFERROR(_xlfn.XLOOKUP($A354,Input_Raw!$A:$A,Input_Raw!$AS:$AS),"")</f>
        <v/>
      </c>
      <c r="Z354" s="294"/>
      <c r="AA354" s="294" t="str">
        <f>IFERROR(_xlfn.XLOOKUP($A354,Input_Raw!$A:$A,Input_Raw!$AT:$AT),"")</f>
        <v/>
      </c>
      <c r="AB354" s="294" t="str">
        <f>IFERROR(_xlfn.XLOOKUP($A354,Input_Raw!$A:$A,Input_Raw!$AU:$AU),"")</f>
        <v/>
      </c>
      <c r="AC354" s="303">
        <f>IFERROR(_xlfn.XLOOKUP($D354,'Modelling New'!$D:$D,'Modelling New'!P:P),"")</f>
        <v>6.870967741935484</v>
      </c>
      <c r="AD354" s="294">
        <f>IFERROR(_xlfn.XLOOKUP($D354,'Modelling New'!$D:$D,'Modelling New'!T:T)*1000,"")</f>
        <v>762147.62241353071</v>
      </c>
      <c r="AE354" s="304">
        <f>IFERROR(_xlfn.XLOOKUP($D354,'Modelling New'!$D:$D,'Modelling New'!$O:$O),"")</f>
        <v>0.82165106224376472</v>
      </c>
      <c r="AF354" s="304">
        <f>IFERROR(_xlfn.XLOOKUP($D354,'Modelling New'!$D:$D,'Modelling New'!$W:$W),"")</f>
        <v>0.23523074765849714</v>
      </c>
      <c r="AG354" s="304">
        <f>IFERROR(_xlfn.XLOOKUP($D354,'Modelling New'!$D:$D,'Modelling New'!$AE:$AE),"")</f>
        <v>0.995</v>
      </c>
      <c r="AH354" s="304">
        <f>IFERROR(_xlfn.XLOOKUP($D354,'Modelling New'!$D:$D,'Modelling New'!$AF:$AF),"")</f>
        <v>0.995</v>
      </c>
      <c r="AI354" s="295"/>
      <c r="AJ354" s="295"/>
      <c r="AK354" s="295"/>
      <c r="AL354" s="295"/>
      <c r="AM354" s="295"/>
      <c r="AN354" s="305"/>
      <c r="AO354" s="302"/>
      <c r="AP354" s="302"/>
      <c r="AQ354" s="302"/>
      <c r="AR354" s="294">
        <f>_xlfn.XLOOKUP($D354,'Modelling New'!$D:$D,'Modelling New'!$N:$N)</f>
        <v>135</v>
      </c>
      <c r="AS354" s="294" t="str">
        <f t="shared" si="33"/>
        <v/>
      </c>
    </row>
    <row r="355" spans="1:45">
      <c r="A355" s="293">
        <f t="shared" si="34"/>
        <v>46098</v>
      </c>
      <c r="B355" s="294">
        <f>YEAR(Daily_KPI[[#This Row],[Date]])+IF(MONTH(Daily_KPI[[#This Row],[Date]])&gt;=4,1,0)</f>
        <v>2026</v>
      </c>
      <c r="C355" s="295">
        <f>YEAR(Daily_KPI[[#This Row],[Date]])</f>
        <v>2026</v>
      </c>
      <c r="D355" s="296">
        <f>Daily_KPI[[#This Row],[Date]]-DAY(Daily_KPI[[#This Row],[Date]])+1</f>
        <v>46082</v>
      </c>
      <c r="E355" s="295">
        <f t="shared" si="30"/>
        <v>31</v>
      </c>
      <c r="F355" s="297" t="str">
        <f>IFERROR(_xlfn.XLOOKUP($A355,Input_Raw!$A:$A,Input_Raw!$AR:$AR),"")</f>
        <v/>
      </c>
      <c r="G355" s="298" t="str">
        <f>IFERROR(_xlfn.XLOOKUP($A355,Input_Raw!$A:$A,Input_Raw!$R:$R),"")</f>
        <v/>
      </c>
      <c r="H355" s="298"/>
      <c r="I355" s="298" t="str">
        <f>IFERROR(_xlfn.XLOOKUP($A355,Input_Raw!$A:$A,Input_Raw!$Q:$Q),"")</f>
        <v/>
      </c>
      <c r="J355" s="298"/>
      <c r="K355" s="298" t="str">
        <f>IFERROR(_xlfn.XLOOKUP($A355,Input_Raw!$A:$A,Input_Raw!S:S),"")</f>
        <v/>
      </c>
      <c r="L355" s="298" t="str">
        <f>IFERROR(_xlfn.XLOOKUP($A355,Input_Raw!$A:$A,Input_Raw!T:T),"")</f>
        <v/>
      </c>
      <c r="M355" s="298" t="str">
        <f>IFERROR(_xlfn.XLOOKUP($A355,Input_Raw!$A:$A,Input_Raw!W:W),"")</f>
        <v/>
      </c>
      <c r="N355" s="298" t="str">
        <f>IFERROR(_xlfn.XLOOKUP($A355,Input_Raw!$A:$A,Input_Raw!X:X),"")</f>
        <v/>
      </c>
      <c r="O355" s="299" t="str">
        <f>IFERROR(1-(SUMIF(Plant_BD!$B:$B,$A355,Plant_BD!$AL:$AL)/($AA355+SUMIF(Plant_BD!$B:$B,$A355,Plant_BD!$AL:$AL))),"")</f>
        <v/>
      </c>
      <c r="P355" s="299"/>
      <c r="Q355" s="300"/>
      <c r="R355" s="299" t="str">
        <f>IFERROR(1-(SUMIF(Grid_BD!$B:$B,$A355,Grid_BD!$V:$V)/($AA355+SUMIF(Grid_BD!$B:$B,$A355,Grid_BD!$V:$V))),"")</f>
        <v/>
      </c>
      <c r="S355" s="295"/>
      <c r="T355" s="300"/>
      <c r="U355" s="301" t="str">
        <f t="shared" si="31"/>
        <v/>
      </c>
      <c r="V355" s="301" t="str">
        <f>IFERROR(_xlfn.XLOOKUP($A355,Input_Raw!$A:$A,Input_Raw!$AX:$AX),"")</f>
        <v/>
      </c>
      <c r="W355" s="302" t="str">
        <f t="shared" si="32"/>
        <v/>
      </c>
      <c r="X355" s="294" t="str">
        <f>IFERROR(_xlfn.XLOOKUP($A355,Input_Raw!$A:$A,Input_Raw!$AA:$AA),"")</f>
        <v/>
      </c>
      <c r="Y355" s="294" t="str">
        <f>IFERROR(_xlfn.XLOOKUP($A355,Input_Raw!$A:$A,Input_Raw!$AS:$AS),"")</f>
        <v/>
      </c>
      <c r="Z355" s="294"/>
      <c r="AA355" s="294" t="str">
        <f>IFERROR(_xlfn.XLOOKUP($A355,Input_Raw!$A:$A,Input_Raw!$AT:$AT),"")</f>
        <v/>
      </c>
      <c r="AB355" s="294" t="str">
        <f>IFERROR(_xlfn.XLOOKUP($A355,Input_Raw!$A:$A,Input_Raw!$AU:$AU),"")</f>
        <v/>
      </c>
      <c r="AC355" s="303">
        <f>IFERROR(_xlfn.XLOOKUP($D355,'Modelling New'!$D:$D,'Modelling New'!P:P),"")</f>
        <v>6.870967741935484</v>
      </c>
      <c r="AD355" s="294">
        <f>IFERROR(_xlfn.XLOOKUP($D355,'Modelling New'!$D:$D,'Modelling New'!T:T)*1000,"")</f>
        <v>762147.62241353071</v>
      </c>
      <c r="AE355" s="304">
        <f>IFERROR(_xlfn.XLOOKUP($D355,'Modelling New'!$D:$D,'Modelling New'!$O:$O),"")</f>
        <v>0.82165106224376472</v>
      </c>
      <c r="AF355" s="304">
        <f>IFERROR(_xlfn.XLOOKUP($D355,'Modelling New'!$D:$D,'Modelling New'!$W:$W),"")</f>
        <v>0.23523074765849714</v>
      </c>
      <c r="AG355" s="304">
        <f>IFERROR(_xlfn.XLOOKUP($D355,'Modelling New'!$D:$D,'Modelling New'!$AE:$AE),"")</f>
        <v>0.995</v>
      </c>
      <c r="AH355" s="304">
        <f>IFERROR(_xlfn.XLOOKUP($D355,'Modelling New'!$D:$D,'Modelling New'!$AF:$AF),"")</f>
        <v>0.995</v>
      </c>
      <c r="AI355" s="295"/>
      <c r="AJ355" s="295"/>
      <c r="AK355" s="295"/>
      <c r="AL355" s="295"/>
      <c r="AM355" s="295"/>
      <c r="AN355" s="305"/>
      <c r="AO355" s="302"/>
      <c r="AP355" s="302"/>
      <c r="AQ355" s="302"/>
      <c r="AR355" s="294">
        <f>_xlfn.XLOOKUP($D355,'Modelling New'!$D:$D,'Modelling New'!$N:$N)</f>
        <v>135</v>
      </c>
      <c r="AS355" s="294" t="str">
        <f t="shared" si="33"/>
        <v/>
      </c>
    </row>
    <row r="356" spans="1:45">
      <c r="A356" s="293">
        <f t="shared" si="34"/>
        <v>46099</v>
      </c>
      <c r="B356" s="294">
        <f>YEAR(Daily_KPI[[#This Row],[Date]])+IF(MONTH(Daily_KPI[[#This Row],[Date]])&gt;=4,1,0)</f>
        <v>2026</v>
      </c>
      <c r="C356" s="295">
        <f>YEAR(Daily_KPI[[#This Row],[Date]])</f>
        <v>2026</v>
      </c>
      <c r="D356" s="296">
        <f>Daily_KPI[[#This Row],[Date]]-DAY(Daily_KPI[[#This Row],[Date]])+1</f>
        <v>46082</v>
      </c>
      <c r="E356" s="295">
        <f t="shared" si="30"/>
        <v>31</v>
      </c>
      <c r="F356" s="297" t="str">
        <f>IFERROR(_xlfn.XLOOKUP($A356,Input_Raw!$A:$A,Input_Raw!$AR:$AR),"")</f>
        <v/>
      </c>
      <c r="G356" s="298" t="str">
        <f>IFERROR(_xlfn.XLOOKUP($A356,Input_Raw!$A:$A,Input_Raw!$R:$R),"")</f>
        <v/>
      </c>
      <c r="H356" s="298"/>
      <c r="I356" s="298" t="str">
        <f>IFERROR(_xlfn.XLOOKUP($A356,Input_Raw!$A:$A,Input_Raw!$Q:$Q),"")</f>
        <v/>
      </c>
      <c r="J356" s="298"/>
      <c r="K356" s="298" t="str">
        <f>IFERROR(_xlfn.XLOOKUP($A356,Input_Raw!$A:$A,Input_Raw!S:S),"")</f>
        <v/>
      </c>
      <c r="L356" s="298" t="str">
        <f>IFERROR(_xlfn.XLOOKUP($A356,Input_Raw!$A:$A,Input_Raw!T:T),"")</f>
        <v/>
      </c>
      <c r="M356" s="298" t="str">
        <f>IFERROR(_xlfn.XLOOKUP($A356,Input_Raw!$A:$A,Input_Raw!W:W),"")</f>
        <v/>
      </c>
      <c r="N356" s="298" t="str">
        <f>IFERROR(_xlfn.XLOOKUP($A356,Input_Raw!$A:$A,Input_Raw!X:X),"")</f>
        <v/>
      </c>
      <c r="O356" s="299" t="str">
        <f>IFERROR(1-(SUMIF(Plant_BD!$B:$B,$A356,Plant_BD!$AL:$AL)/($AA356+SUMIF(Plant_BD!$B:$B,$A356,Plant_BD!$AL:$AL))),"")</f>
        <v/>
      </c>
      <c r="P356" s="299"/>
      <c r="Q356" s="300"/>
      <c r="R356" s="299" t="str">
        <f>IFERROR(1-(SUMIF(Grid_BD!$B:$B,$A356,Grid_BD!$V:$V)/($AA356+SUMIF(Grid_BD!$B:$B,$A356,Grid_BD!$V:$V))),"")</f>
        <v/>
      </c>
      <c r="S356" s="295"/>
      <c r="T356" s="300"/>
      <c r="U356" s="301" t="str">
        <f t="shared" si="31"/>
        <v/>
      </c>
      <c r="V356" s="301" t="str">
        <f>IFERROR(_xlfn.XLOOKUP($A356,Input_Raw!$A:$A,Input_Raw!$AX:$AX),"")</f>
        <v/>
      </c>
      <c r="W356" s="302" t="str">
        <f t="shared" si="32"/>
        <v/>
      </c>
      <c r="X356" s="294" t="str">
        <f>IFERROR(_xlfn.XLOOKUP($A356,Input_Raw!$A:$A,Input_Raw!$AA:$AA),"")</f>
        <v/>
      </c>
      <c r="Y356" s="294" t="str">
        <f>IFERROR(_xlfn.XLOOKUP($A356,Input_Raw!$A:$A,Input_Raw!$AS:$AS),"")</f>
        <v/>
      </c>
      <c r="Z356" s="294"/>
      <c r="AA356" s="294" t="str">
        <f>IFERROR(_xlfn.XLOOKUP($A356,Input_Raw!$A:$A,Input_Raw!$AT:$AT),"")</f>
        <v/>
      </c>
      <c r="AB356" s="294" t="str">
        <f>IFERROR(_xlfn.XLOOKUP($A356,Input_Raw!$A:$A,Input_Raw!$AU:$AU),"")</f>
        <v/>
      </c>
      <c r="AC356" s="303">
        <f>IFERROR(_xlfn.XLOOKUP($D356,'Modelling New'!$D:$D,'Modelling New'!P:P),"")</f>
        <v>6.870967741935484</v>
      </c>
      <c r="AD356" s="294">
        <f>IFERROR(_xlfn.XLOOKUP($D356,'Modelling New'!$D:$D,'Modelling New'!T:T)*1000,"")</f>
        <v>762147.62241353071</v>
      </c>
      <c r="AE356" s="304">
        <f>IFERROR(_xlfn.XLOOKUP($D356,'Modelling New'!$D:$D,'Modelling New'!$O:$O),"")</f>
        <v>0.82165106224376472</v>
      </c>
      <c r="AF356" s="304">
        <f>IFERROR(_xlfn.XLOOKUP($D356,'Modelling New'!$D:$D,'Modelling New'!$W:$W),"")</f>
        <v>0.23523074765849714</v>
      </c>
      <c r="AG356" s="304">
        <f>IFERROR(_xlfn.XLOOKUP($D356,'Modelling New'!$D:$D,'Modelling New'!$AE:$AE),"")</f>
        <v>0.995</v>
      </c>
      <c r="AH356" s="304">
        <f>IFERROR(_xlfn.XLOOKUP($D356,'Modelling New'!$D:$D,'Modelling New'!$AF:$AF),"")</f>
        <v>0.995</v>
      </c>
      <c r="AI356" s="295"/>
      <c r="AJ356" s="295"/>
      <c r="AK356" s="295"/>
      <c r="AL356" s="295"/>
      <c r="AM356" s="295"/>
      <c r="AN356" s="305"/>
      <c r="AO356" s="302"/>
      <c r="AP356" s="302"/>
      <c r="AQ356" s="302"/>
      <c r="AR356" s="294">
        <f>_xlfn.XLOOKUP($D356,'Modelling New'!$D:$D,'Modelling New'!$N:$N)</f>
        <v>135</v>
      </c>
      <c r="AS356" s="294" t="str">
        <f t="shared" si="33"/>
        <v/>
      </c>
    </row>
    <row r="357" spans="1:45">
      <c r="A357" s="293">
        <f t="shared" si="34"/>
        <v>46100</v>
      </c>
      <c r="B357" s="294">
        <f>YEAR(Daily_KPI[[#This Row],[Date]])+IF(MONTH(Daily_KPI[[#This Row],[Date]])&gt;=4,1,0)</f>
        <v>2026</v>
      </c>
      <c r="C357" s="295">
        <f>YEAR(Daily_KPI[[#This Row],[Date]])</f>
        <v>2026</v>
      </c>
      <c r="D357" s="296">
        <f>Daily_KPI[[#This Row],[Date]]-DAY(Daily_KPI[[#This Row],[Date]])+1</f>
        <v>46082</v>
      </c>
      <c r="E357" s="295">
        <f t="shared" si="30"/>
        <v>31</v>
      </c>
      <c r="F357" s="297" t="str">
        <f>IFERROR(_xlfn.XLOOKUP($A357,Input_Raw!$A:$A,Input_Raw!$AR:$AR),"")</f>
        <v/>
      </c>
      <c r="G357" s="298" t="str">
        <f>IFERROR(_xlfn.XLOOKUP($A357,Input_Raw!$A:$A,Input_Raw!$R:$R),"")</f>
        <v/>
      </c>
      <c r="H357" s="298"/>
      <c r="I357" s="298" t="str">
        <f>IFERROR(_xlfn.XLOOKUP($A357,Input_Raw!$A:$A,Input_Raw!$Q:$Q),"")</f>
        <v/>
      </c>
      <c r="J357" s="298"/>
      <c r="K357" s="298" t="str">
        <f>IFERROR(_xlfn.XLOOKUP($A357,Input_Raw!$A:$A,Input_Raw!S:S),"")</f>
        <v/>
      </c>
      <c r="L357" s="298" t="str">
        <f>IFERROR(_xlfn.XLOOKUP($A357,Input_Raw!$A:$A,Input_Raw!T:T),"")</f>
        <v/>
      </c>
      <c r="M357" s="298" t="str">
        <f>IFERROR(_xlfn.XLOOKUP($A357,Input_Raw!$A:$A,Input_Raw!W:W),"")</f>
        <v/>
      </c>
      <c r="N357" s="298" t="str">
        <f>IFERROR(_xlfn.XLOOKUP($A357,Input_Raw!$A:$A,Input_Raw!X:X),"")</f>
        <v/>
      </c>
      <c r="O357" s="299" t="str">
        <f>IFERROR(1-(SUMIF(Plant_BD!$B:$B,$A357,Plant_BD!$AL:$AL)/($AA357+SUMIF(Plant_BD!$B:$B,$A357,Plant_BD!$AL:$AL))),"")</f>
        <v/>
      </c>
      <c r="P357" s="299"/>
      <c r="Q357" s="300"/>
      <c r="R357" s="299" t="str">
        <f>IFERROR(1-(SUMIF(Grid_BD!$B:$B,$A357,Grid_BD!$V:$V)/($AA357+SUMIF(Grid_BD!$B:$B,$A357,Grid_BD!$V:$V))),"")</f>
        <v/>
      </c>
      <c r="S357" s="295"/>
      <c r="T357" s="300"/>
      <c r="U357" s="301" t="str">
        <f t="shared" si="31"/>
        <v/>
      </c>
      <c r="V357" s="301" t="str">
        <f>IFERROR(_xlfn.XLOOKUP($A357,Input_Raw!$A:$A,Input_Raw!$AX:$AX),"")</f>
        <v/>
      </c>
      <c r="W357" s="302" t="str">
        <f t="shared" si="32"/>
        <v/>
      </c>
      <c r="X357" s="294" t="str">
        <f>IFERROR(_xlfn.XLOOKUP($A357,Input_Raw!$A:$A,Input_Raw!$AA:$AA),"")</f>
        <v/>
      </c>
      <c r="Y357" s="294" t="str">
        <f>IFERROR(_xlfn.XLOOKUP($A357,Input_Raw!$A:$A,Input_Raw!$AS:$AS),"")</f>
        <v/>
      </c>
      <c r="Z357" s="294"/>
      <c r="AA357" s="294" t="str">
        <f>IFERROR(_xlfn.XLOOKUP($A357,Input_Raw!$A:$A,Input_Raw!$AT:$AT),"")</f>
        <v/>
      </c>
      <c r="AB357" s="294" t="str">
        <f>IFERROR(_xlfn.XLOOKUP($A357,Input_Raw!$A:$A,Input_Raw!$AU:$AU),"")</f>
        <v/>
      </c>
      <c r="AC357" s="303">
        <f>IFERROR(_xlfn.XLOOKUP($D357,'Modelling New'!$D:$D,'Modelling New'!P:P),"")</f>
        <v>6.870967741935484</v>
      </c>
      <c r="AD357" s="294">
        <f>IFERROR(_xlfn.XLOOKUP($D357,'Modelling New'!$D:$D,'Modelling New'!T:T)*1000,"")</f>
        <v>762147.62241353071</v>
      </c>
      <c r="AE357" s="304">
        <f>IFERROR(_xlfn.XLOOKUP($D357,'Modelling New'!$D:$D,'Modelling New'!$O:$O),"")</f>
        <v>0.82165106224376472</v>
      </c>
      <c r="AF357" s="304">
        <f>IFERROR(_xlfn.XLOOKUP($D357,'Modelling New'!$D:$D,'Modelling New'!$W:$W),"")</f>
        <v>0.23523074765849714</v>
      </c>
      <c r="AG357" s="304">
        <f>IFERROR(_xlfn.XLOOKUP($D357,'Modelling New'!$D:$D,'Modelling New'!$AE:$AE),"")</f>
        <v>0.995</v>
      </c>
      <c r="AH357" s="304">
        <f>IFERROR(_xlfn.XLOOKUP($D357,'Modelling New'!$D:$D,'Modelling New'!$AF:$AF),"")</f>
        <v>0.995</v>
      </c>
      <c r="AI357" s="295"/>
      <c r="AJ357" s="295"/>
      <c r="AK357" s="295"/>
      <c r="AL357" s="295"/>
      <c r="AM357" s="295"/>
      <c r="AN357" s="305"/>
      <c r="AO357" s="302"/>
      <c r="AP357" s="302"/>
      <c r="AQ357" s="302"/>
      <c r="AR357" s="294">
        <f>_xlfn.XLOOKUP($D357,'Modelling New'!$D:$D,'Modelling New'!$N:$N)</f>
        <v>135</v>
      </c>
      <c r="AS357" s="294" t="str">
        <f t="shared" si="33"/>
        <v/>
      </c>
    </row>
    <row r="358" spans="1:45">
      <c r="A358" s="293">
        <f t="shared" si="34"/>
        <v>46101</v>
      </c>
      <c r="B358" s="294">
        <f>YEAR(Daily_KPI[[#This Row],[Date]])+IF(MONTH(Daily_KPI[[#This Row],[Date]])&gt;=4,1,0)</f>
        <v>2026</v>
      </c>
      <c r="C358" s="295">
        <f>YEAR(Daily_KPI[[#This Row],[Date]])</f>
        <v>2026</v>
      </c>
      <c r="D358" s="296">
        <f>Daily_KPI[[#This Row],[Date]]-DAY(Daily_KPI[[#This Row],[Date]])+1</f>
        <v>46082</v>
      </c>
      <c r="E358" s="295">
        <f t="shared" si="30"/>
        <v>31</v>
      </c>
      <c r="F358" s="297" t="str">
        <f>IFERROR(_xlfn.XLOOKUP($A358,Input_Raw!$A:$A,Input_Raw!$AR:$AR),"")</f>
        <v/>
      </c>
      <c r="G358" s="298" t="str">
        <f>IFERROR(_xlfn.XLOOKUP($A358,Input_Raw!$A:$A,Input_Raw!$R:$R),"")</f>
        <v/>
      </c>
      <c r="H358" s="298"/>
      <c r="I358" s="298" t="str">
        <f>IFERROR(_xlfn.XLOOKUP($A358,Input_Raw!$A:$A,Input_Raw!$Q:$Q),"")</f>
        <v/>
      </c>
      <c r="J358" s="298"/>
      <c r="K358" s="298" t="str">
        <f>IFERROR(_xlfn.XLOOKUP($A358,Input_Raw!$A:$A,Input_Raw!S:S),"")</f>
        <v/>
      </c>
      <c r="L358" s="298" t="str">
        <f>IFERROR(_xlfn.XLOOKUP($A358,Input_Raw!$A:$A,Input_Raw!T:T),"")</f>
        <v/>
      </c>
      <c r="M358" s="298" t="str">
        <f>IFERROR(_xlfn.XLOOKUP($A358,Input_Raw!$A:$A,Input_Raw!W:W),"")</f>
        <v/>
      </c>
      <c r="N358" s="298" t="str">
        <f>IFERROR(_xlfn.XLOOKUP($A358,Input_Raw!$A:$A,Input_Raw!X:X),"")</f>
        <v/>
      </c>
      <c r="O358" s="299" t="str">
        <f>IFERROR(1-(SUMIF(Plant_BD!$B:$B,$A358,Plant_BD!$AL:$AL)/($AA358+SUMIF(Plant_BD!$B:$B,$A358,Plant_BD!$AL:$AL))),"")</f>
        <v/>
      </c>
      <c r="P358" s="299"/>
      <c r="Q358" s="300"/>
      <c r="R358" s="299" t="str">
        <f>IFERROR(1-(SUMIF(Grid_BD!$B:$B,$A358,Grid_BD!$V:$V)/($AA358+SUMIF(Grid_BD!$B:$B,$A358,Grid_BD!$V:$V))),"")</f>
        <v/>
      </c>
      <c r="S358" s="295"/>
      <c r="T358" s="300"/>
      <c r="U358" s="301" t="str">
        <f t="shared" si="31"/>
        <v/>
      </c>
      <c r="V358" s="301" t="str">
        <f>IFERROR(_xlfn.XLOOKUP($A358,Input_Raw!$A:$A,Input_Raw!$AX:$AX),"")</f>
        <v/>
      </c>
      <c r="W358" s="302" t="str">
        <f t="shared" si="32"/>
        <v/>
      </c>
      <c r="X358" s="294" t="str">
        <f>IFERROR(_xlfn.XLOOKUP($A358,Input_Raw!$A:$A,Input_Raw!$AA:$AA),"")</f>
        <v/>
      </c>
      <c r="Y358" s="294" t="str">
        <f>IFERROR(_xlfn.XLOOKUP($A358,Input_Raw!$A:$A,Input_Raw!$AS:$AS),"")</f>
        <v/>
      </c>
      <c r="Z358" s="294"/>
      <c r="AA358" s="294" t="str">
        <f>IFERROR(_xlfn.XLOOKUP($A358,Input_Raw!$A:$A,Input_Raw!$AT:$AT),"")</f>
        <v/>
      </c>
      <c r="AB358" s="294" t="str">
        <f>IFERROR(_xlfn.XLOOKUP($A358,Input_Raw!$A:$A,Input_Raw!$AU:$AU),"")</f>
        <v/>
      </c>
      <c r="AC358" s="303">
        <f>IFERROR(_xlfn.XLOOKUP($D358,'Modelling New'!$D:$D,'Modelling New'!P:P),"")</f>
        <v>6.870967741935484</v>
      </c>
      <c r="AD358" s="294">
        <f>IFERROR(_xlfn.XLOOKUP($D358,'Modelling New'!$D:$D,'Modelling New'!T:T)*1000,"")</f>
        <v>762147.62241353071</v>
      </c>
      <c r="AE358" s="304">
        <f>IFERROR(_xlfn.XLOOKUP($D358,'Modelling New'!$D:$D,'Modelling New'!$O:$O),"")</f>
        <v>0.82165106224376472</v>
      </c>
      <c r="AF358" s="304">
        <f>IFERROR(_xlfn.XLOOKUP($D358,'Modelling New'!$D:$D,'Modelling New'!$W:$W),"")</f>
        <v>0.23523074765849714</v>
      </c>
      <c r="AG358" s="304">
        <f>IFERROR(_xlfn.XLOOKUP($D358,'Modelling New'!$D:$D,'Modelling New'!$AE:$AE),"")</f>
        <v>0.995</v>
      </c>
      <c r="AH358" s="304">
        <f>IFERROR(_xlfn.XLOOKUP($D358,'Modelling New'!$D:$D,'Modelling New'!$AF:$AF),"")</f>
        <v>0.995</v>
      </c>
      <c r="AI358" s="295"/>
      <c r="AJ358" s="295"/>
      <c r="AK358" s="295"/>
      <c r="AL358" s="295"/>
      <c r="AM358" s="295"/>
      <c r="AN358" s="305"/>
      <c r="AO358" s="302"/>
      <c r="AP358" s="302"/>
      <c r="AQ358" s="302"/>
      <c r="AR358" s="294">
        <f>_xlfn.XLOOKUP($D358,'Modelling New'!$D:$D,'Modelling New'!$N:$N)</f>
        <v>135</v>
      </c>
      <c r="AS358" s="294" t="str">
        <f t="shared" si="33"/>
        <v/>
      </c>
    </row>
    <row r="359" spans="1:45">
      <c r="A359" s="293">
        <f t="shared" si="34"/>
        <v>46102</v>
      </c>
      <c r="B359" s="294">
        <f>YEAR(Daily_KPI[[#This Row],[Date]])+IF(MONTH(Daily_KPI[[#This Row],[Date]])&gt;=4,1,0)</f>
        <v>2026</v>
      </c>
      <c r="C359" s="295">
        <f>YEAR(Daily_KPI[[#This Row],[Date]])</f>
        <v>2026</v>
      </c>
      <c r="D359" s="296">
        <f>Daily_KPI[[#This Row],[Date]]-DAY(Daily_KPI[[#This Row],[Date]])+1</f>
        <v>46082</v>
      </c>
      <c r="E359" s="295">
        <f t="shared" si="30"/>
        <v>31</v>
      </c>
      <c r="F359" s="297" t="str">
        <f>IFERROR(_xlfn.XLOOKUP($A359,Input_Raw!$A:$A,Input_Raw!$AR:$AR),"")</f>
        <v/>
      </c>
      <c r="G359" s="298" t="str">
        <f>IFERROR(_xlfn.XLOOKUP($A359,Input_Raw!$A:$A,Input_Raw!$R:$R),"")</f>
        <v/>
      </c>
      <c r="H359" s="298"/>
      <c r="I359" s="298" t="str">
        <f>IFERROR(_xlfn.XLOOKUP($A359,Input_Raw!$A:$A,Input_Raw!$Q:$Q),"")</f>
        <v/>
      </c>
      <c r="J359" s="298"/>
      <c r="K359" s="298" t="str">
        <f>IFERROR(_xlfn.XLOOKUP($A359,Input_Raw!$A:$A,Input_Raw!S:S),"")</f>
        <v/>
      </c>
      <c r="L359" s="298" t="str">
        <f>IFERROR(_xlfn.XLOOKUP($A359,Input_Raw!$A:$A,Input_Raw!T:T),"")</f>
        <v/>
      </c>
      <c r="M359" s="298" t="str">
        <f>IFERROR(_xlfn.XLOOKUP($A359,Input_Raw!$A:$A,Input_Raw!W:W),"")</f>
        <v/>
      </c>
      <c r="N359" s="298" t="str">
        <f>IFERROR(_xlfn.XLOOKUP($A359,Input_Raw!$A:$A,Input_Raw!X:X),"")</f>
        <v/>
      </c>
      <c r="O359" s="299" t="str">
        <f>IFERROR(1-(SUMIF(Plant_BD!$B:$B,$A359,Plant_BD!$AL:$AL)/($AA359+SUMIF(Plant_BD!$B:$B,$A359,Plant_BD!$AL:$AL))),"")</f>
        <v/>
      </c>
      <c r="P359" s="299"/>
      <c r="Q359" s="300"/>
      <c r="R359" s="299" t="str">
        <f>IFERROR(1-(SUMIF(Grid_BD!$B:$B,$A359,Grid_BD!$V:$V)/($AA359+SUMIF(Grid_BD!$B:$B,$A359,Grid_BD!$V:$V))),"")</f>
        <v/>
      </c>
      <c r="S359" s="295"/>
      <c r="T359" s="300"/>
      <c r="U359" s="301" t="str">
        <f t="shared" si="31"/>
        <v/>
      </c>
      <c r="V359" s="301" t="str">
        <f>IFERROR(_xlfn.XLOOKUP($A359,Input_Raw!$A:$A,Input_Raw!$AX:$AX),"")</f>
        <v/>
      </c>
      <c r="W359" s="302" t="str">
        <f t="shared" si="32"/>
        <v/>
      </c>
      <c r="X359" s="294" t="str">
        <f>IFERROR(_xlfn.XLOOKUP($A359,Input_Raw!$A:$A,Input_Raw!$AA:$AA),"")</f>
        <v/>
      </c>
      <c r="Y359" s="294" t="str">
        <f>IFERROR(_xlfn.XLOOKUP($A359,Input_Raw!$A:$A,Input_Raw!$AS:$AS),"")</f>
        <v/>
      </c>
      <c r="Z359" s="294"/>
      <c r="AA359" s="294" t="str">
        <f>IFERROR(_xlfn.XLOOKUP($A359,Input_Raw!$A:$A,Input_Raw!$AT:$AT),"")</f>
        <v/>
      </c>
      <c r="AB359" s="294" t="str">
        <f>IFERROR(_xlfn.XLOOKUP($A359,Input_Raw!$A:$A,Input_Raw!$AU:$AU),"")</f>
        <v/>
      </c>
      <c r="AC359" s="303">
        <f>IFERROR(_xlfn.XLOOKUP($D359,'Modelling New'!$D:$D,'Modelling New'!P:P),"")</f>
        <v>6.870967741935484</v>
      </c>
      <c r="AD359" s="294">
        <f>IFERROR(_xlfn.XLOOKUP($D359,'Modelling New'!$D:$D,'Modelling New'!T:T)*1000,"")</f>
        <v>762147.62241353071</v>
      </c>
      <c r="AE359" s="304">
        <f>IFERROR(_xlfn.XLOOKUP($D359,'Modelling New'!$D:$D,'Modelling New'!$O:$O),"")</f>
        <v>0.82165106224376472</v>
      </c>
      <c r="AF359" s="304">
        <f>IFERROR(_xlfn.XLOOKUP($D359,'Modelling New'!$D:$D,'Modelling New'!$W:$W),"")</f>
        <v>0.23523074765849714</v>
      </c>
      <c r="AG359" s="304">
        <f>IFERROR(_xlfn.XLOOKUP($D359,'Modelling New'!$D:$D,'Modelling New'!$AE:$AE),"")</f>
        <v>0.995</v>
      </c>
      <c r="AH359" s="304">
        <f>IFERROR(_xlfn.XLOOKUP($D359,'Modelling New'!$D:$D,'Modelling New'!$AF:$AF),"")</f>
        <v>0.995</v>
      </c>
      <c r="AI359" s="295"/>
      <c r="AJ359" s="295"/>
      <c r="AK359" s="295"/>
      <c r="AL359" s="295"/>
      <c r="AM359" s="295"/>
      <c r="AN359" s="305"/>
      <c r="AO359" s="302"/>
      <c r="AP359" s="302"/>
      <c r="AQ359" s="302"/>
      <c r="AR359" s="294">
        <f>_xlfn.XLOOKUP($D359,'Modelling New'!$D:$D,'Modelling New'!$N:$N)</f>
        <v>135</v>
      </c>
      <c r="AS359" s="294" t="str">
        <f t="shared" si="33"/>
        <v/>
      </c>
    </row>
    <row r="360" spans="1:45">
      <c r="A360" s="293">
        <f t="shared" si="34"/>
        <v>46103</v>
      </c>
      <c r="B360" s="294">
        <f>YEAR(Daily_KPI[[#This Row],[Date]])+IF(MONTH(Daily_KPI[[#This Row],[Date]])&gt;=4,1,0)</f>
        <v>2026</v>
      </c>
      <c r="C360" s="295">
        <f>YEAR(Daily_KPI[[#This Row],[Date]])</f>
        <v>2026</v>
      </c>
      <c r="D360" s="296">
        <f>Daily_KPI[[#This Row],[Date]]-DAY(Daily_KPI[[#This Row],[Date]])+1</f>
        <v>46082</v>
      </c>
      <c r="E360" s="295">
        <f t="shared" si="30"/>
        <v>31</v>
      </c>
      <c r="F360" s="297" t="str">
        <f>IFERROR(_xlfn.XLOOKUP($A360,Input_Raw!$A:$A,Input_Raw!$AR:$AR),"")</f>
        <v/>
      </c>
      <c r="G360" s="298" t="str">
        <f>IFERROR(_xlfn.XLOOKUP($A360,Input_Raw!$A:$A,Input_Raw!$R:$R),"")</f>
        <v/>
      </c>
      <c r="H360" s="298"/>
      <c r="I360" s="298" t="str">
        <f>IFERROR(_xlfn.XLOOKUP($A360,Input_Raw!$A:$A,Input_Raw!$Q:$Q),"")</f>
        <v/>
      </c>
      <c r="J360" s="298"/>
      <c r="K360" s="298" t="str">
        <f>IFERROR(_xlfn.XLOOKUP($A360,Input_Raw!$A:$A,Input_Raw!S:S),"")</f>
        <v/>
      </c>
      <c r="L360" s="298" t="str">
        <f>IFERROR(_xlfn.XLOOKUP($A360,Input_Raw!$A:$A,Input_Raw!T:T),"")</f>
        <v/>
      </c>
      <c r="M360" s="298" t="str">
        <f>IFERROR(_xlfn.XLOOKUP($A360,Input_Raw!$A:$A,Input_Raw!W:W),"")</f>
        <v/>
      </c>
      <c r="N360" s="298" t="str">
        <f>IFERROR(_xlfn.XLOOKUP($A360,Input_Raw!$A:$A,Input_Raw!X:X),"")</f>
        <v/>
      </c>
      <c r="O360" s="299" t="str">
        <f>IFERROR(1-(SUMIF(Plant_BD!$B:$B,$A360,Plant_BD!$AL:$AL)/($AA360+SUMIF(Plant_BD!$B:$B,$A360,Plant_BD!$AL:$AL))),"")</f>
        <v/>
      </c>
      <c r="P360" s="299"/>
      <c r="Q360" s="300"/>
      <c r="R360" s="299" t="str">
        <f>IFERROR(1-(SUMIF(Grid_BD!$B:$B,$A360,Grid_BD!$V:$V)/($AA360+SUMIF(Grid_BD!$B:$B,$A360,Grid_BD!$V:$V))),"")</f>
        <v/>
      </c>
      <c r="S360" s="295"/>
      <c r="T360" s="300"/>
      <c r="U360" s="301" t="str">
        <f t="shared" si="31"/>
        <v/>
      </c>
      <c r="V360" s="301" t="str">
        <f>IFERROR(_xlfn.XLOOKUP($A360,Input_Raw!$A:$A,Input_Raw!$AX:$AX),"")</f>
        <v/>
      </c>
      <c r="W360" s="302" t="str">
        <f t="shared" si="32"/>
        <v/>
      </c>
      <c r="X360" s="294" t="str">
        <f>IFERROR(_xlfn.XLOOKUP($A360,Input_Raw!$A:$A,Input_Raw!$AA:$AA),"")</f>
        <v/>
      </c>
      <c r="Y360" s="294" t="str">
        <f>IFERROR(_xlfn.XLOOKUP($A360,Input_Raw!$A:$A,Input_Raw!$AS:$AS),"")</f>
        <v/>
      </c>
      <c r="Z360" s="294"/>
      <c r="AA360" s="294" t="str">
        <f>IFERROR(_xlfn.XLOOKUP($A360,Input_Raw!$A:$A,Input_Raw!$AT:$AT),"")</f>
        <v/>
      </c>
      <c r="AB360" s="294" t="str">
        <f>IFERROR(_xlfn.XLOOKUP($A360,Input_Raw!$A:$A,Input_Raw!$AU:$AU),"")</f>
        <v/>
      </c>
      <c r="AC360" s="303">
        <f>IFERROR(_xlfn.XLOOKUP($D360,'Modelling New'!$D:$D,'Modelling New'!P:P),"")</f>
        <v>6.870967741935484</v>
      </c>
      <c r="AD360" s="294">
        <f>IFERROR(_xlfn.XLOOKUP($D360,'Modelling New'!$D:$D,'Modelling New'!T:T)*1000,"")</f>
        <v>762147.62241353071</v>
      </c>
      <c r="AE360" s="304">
        <f>IFERROR(_xlfn.XLOOKUP($D360,'Modelling New'!$D:$D,'Modelling New'!$O:$O),"")</f>
        <v>0.82165106224376472</v>
      </c>
      <c r="AF360" s="304">
        <f>IFERROR(_xlfn.XLOOKUP($D360,'Modelling New'!$D:$D,'Modelling New'!$W:$W),"")</f>
        <v>0.23523074765849714</v>
      </c>
      <c r="AG360" s="304">
        <f>IFERROR(_xlfn.XLOOKUP($D360,'Modelling New'!$D:$D,'Modelling New'!$AE:$AE),"")</f>
        <v>0.995</v>
      </c>
      <c r="AH360" s="304">
        <f>IFERROR(_xlfn.XLOOKUP($D360,'Modelling New'!$D:$D,'Modelling New'!$AF:$AF),"")</f>
        <v>0.995</v>
      </c>
      <c r="AI360" s="295"/>
      <c r="AJ360" s="295"/>
      <c r="AK360" s="295"/>
      <c r="AL360" s="295"/>
      <c r="AM360" s="295"/>
      <c r="AN360" s="305"/>
      <c r="AO360" s="302"/>
      <c r="AP360" s="302"/>
      <c r="AQ360" s="302"/>
      <c r="AR360" s="294">
        <f>_xlfn.XLOOKUP($D360,'Modelling New'!$D:$D,'Modelling New'!$N:$N)</f>
        <v>135</v>
      </c>
      <c r="AS360" s="294" t="str">
        <f t="shared" si="33"/>
        <v/>
      </c>
    </row>
    <row r="361" spans="1:45">
      <c r="A361" s="293">
        <f t="shared" si="34"/>
        <v>46104</v>
      </c>
      <c r="B361" s="294">
        <f>YEAR(Daily_KPI[[#This Row],[Date]])+IF(MONTH(Daily_KPI[[#This Row],[Date]])&gt;=4,1,0)</f>
        <v>2026</v>
      </c>
      <c r="C361" s="295">
        <f>YEAR(Daily_KPI[[#This Row],[Date]])</f>
        <v>2026</v>
      </c>
      <c r="D361" s="296">
        <f>Daily_KPI[[#This Row],[Date]]-DAY(Daily_KPI[[#This Row],[Date]])+1</f>
        <v>46082</v>
      </c>
      <c r="E361" s="295">
        <f t="shared" si="30"/>
        <v>31</v>
      </c>
      <c r="F361" s="297" t="str">
        <f>IFERROR(_xlfn.XLOOKUP($A361,Input_Raw!$A:$A,Input_Raw!$AR:$AR),"")</f>
        <v/>
      </c>
      <c r="G361" s="298" t="str">
        <f>IFERROR(_xlfn.XLOOKUP($A361,Input_Raw!$A:$A,Input_Raw!$R:$R),"")</f>
        <v/>
      </c>
      <c r="H361" s="298"/>
      <c r="I361" s="298" t="str">
        <f>IFERROR(_xlfn.XLOOKUP($A361,Input_Raw!$A:$A,Input_Raw!$Q:$Q),"")</f>
        <v/>
      </c>
      <c r="J361" s="298"/>
      <c r="K361" s="298" t="str">
        <f>IFERROR(_xlfn.XLOOKUP($A361,Input_Raw!$A:$A,Input_Raw!S:S),"")</f>
        <v/>
      </c>
      <c r="L361" s="298" t="str">
        <f>IFERROR(_xlfn.XLOOKUP($A361,Input_Raw!$A:$A,Input_Raw!T:T),"")</f>
        <v/>
      </c>
      <c r="M361" s="298" t="str">
        <f>IFERROR(_xlfn.XLOOKUP($A361,Input_Raw!$A:$A,Input_Raw!W:W),"")</f>
        <v/>
      </c>
      <c r="N361" s="298" t="str">
        <f>IFERROR(_xlfn.XLOOKUP($A361,Input_Raw!$A:$A,Input_Raw!X:X),"")</f>
        <v/>
      </c>
      <c r="O361" s="299" t="str">
        <f>IFERROR(1-(SUMIF(Plant_BD!$B:$B,$A361,Plant_BD!$AL:$AL)/($AA361+SUMIF(Plant_BD!$B:$B,$A361,Plant_BD!$AL:$AL))),"")</f>
        <v/>
      </c>
      <c r="P361" s="299"/>
      <c r="Q361" s="300"/>
      <c r="R361" s="299" t="str">
        <f>IFERROR(1-(SUMIF(Grid_BD!$B:$B,$A361,Grid_BD!$V:$V)/($AA361+SUMIF(Grid_BD!$B:$B,$A361,Grid_BD!$V:$V))),"")</f>
        <v/>
      </c>
      <c r="S361" s="295"/>
      <c r="T361" s="300"/>
      <c r="U361" s="301" t="str">
        <f t="shared" si="31"/>
        <v/>
      </c>
      <c r="V361" s="301" t="str">
        <f>IFERROR(_xlfn.XLOOKUP($A361,Input_Raw!$A:$A,Input_Raw!$AX:$AX),"")</f>
        <v/>
      </c>
      <c r="W361" s="302" t="str">
        <f t="shared" si="32"/>
        <v/>
      </c>
      <c r="X361" s="294" t="str">
        <f>IFERROR(_xlfn.XLOOKUP($A361,Input_Raw!$A:$A,Input_Raw!$AA:$AA),"")</f>
        <v/>
      </c>
      <c r="Y361" s="294" t="str">
        <f>IFERROR(_xlfn.XLOOKUP($A361,Input_Raw!$A:$A,Input_Raw!$AS:$AS),"")</f>
        <v/>
      </c>
      <c r="Z361" s="294"/>
      <c r="AA361" s="294" t="str">
        <f>IFERROR(_xlfn.XLOOKUP($A361,Input_Raw!$A:$A,Input_Raw!$AT:$AT),"")</f>
        <v/>
      </c>
      <c r="AB361" s="294" t="str">
        <f>IFERROR(_xlfn.XLOOKUP($A361,Input_Raw!$A:$A,Input_Raw!$AU:$AU),"")</f>
        <v/>
      </c>
      <c r="AC361" s="303">
        <f>IFERROR(_xlfn.XLOOKUP($D361,'Modelling New'!$D:$D,'Modelling New'!P:P),"")</f>
        <v>6.870967741935484</v>
      </c>
      <c r="AD361" s="294">
        <f>IFERROR(_xlfn.XLOOKUP($D361,'Modelling New'!$D:$D,'Modelling New'!T:T)*1000,"")</f>
        <v>762147.62241353071</v>
      </c>
      <c r="AE361" s="304">
        <f>IFERROR(_xlfn.XLOOKUP($D361,'Modelling New'!$D:$D,'Modelling New'!$O:$O),"")</f>
        <v>0.82165106224376472</v>
      </c>
      <c r="AF361" s="304">
        <f>IFERROR(_xlfn.XLOOKUP($D361,'Modelling New'!$D:$D,'Modelling New'!$W:$W),"")</f>
        <v>0.23523074765849714</v>
      </c>
      <c r="AG361" s="304">
        <f>IFERROR(_xlfn.XLOOKUP($D361,'Modelling New'!$D:$D,'Modelling New'!$AE:$AE),"")</f>
        <v>0.995</v>
      </c>
      <c r="AH361" s="304">
        <f>IFERROR(_xlfn.XLOOKUP($D361,'Modelling New'!$D:$D,'Modelling New'!$AF:$AF),"")</f>
        <v>0.995</v>
      </c>
      <c r="AI361" s="295"/>
      <c r="AJ361" s="295"/>
      <c r="AK361" s="295"/>
      <c r="AL361" s="295"/>
      <c r="AM361" s="295"/>
      <c r="AN361" s="305"/>
      <c r="AO361" s="302"/>
      <c r="AP361" s="302"/>
      <c r="AQ361" s="302"/>
      <c r="AR361" s="294">
        <f>_xlfn.XLOOKUP($D361,'Modelling New'!$D:$D,'Modelling New'!$N:$N)</f>
        <v>135</v>
      </c>
      <c r="AS361" s="294" t="str">
        <f t="shared" si="33"/>
        <v/>
      </c>
    </row>
    <row r="362" spans="1:45">
      <c r="A362" s="293">
        <f t="shared" si="34"/>
        <v>46105</v>
      </c>
      <c r="B362" s="294">
        <f>YEAR(Daily_KPI[[#This Row],[Date]])+IF(MONTH(Daily_KPI[[#This Row],[Date]])&gt;=4,1,0)</f>
        <v>2026</v>
      </c>
      <c r="C362" s="295">
        <f>YEAR(Daily_KPI[[#This Row],[Date]])</f>
        <v>2026</v>
      </c>
      <c r="D362" s="296">
        <f>Daily_KPI[[#This Row],[Date]]-DAY(Daily_KPI[[#This Row],[Date]])+1</f>
        <v>46082</v>
      </c>
      <c r="E362" s="295">
        <f t="shared" si="30"/>
        <v>31</v>
      </c>
      <c r="F362" s="297" t="str">
        <f>IFERROR(_xlfn.XLOOKUP($A362,Input_Raw!$A:$A,Input_Raw!$AR:$AR),"")</f>
        <v/>
      </c>
      <c r="G362" s="298" t="str">
        <f>IFERROR(_xlfn.XLOOKUP($A362,Input_Raw!$A:$A,Input_Raw!$R:$R),"")</f>
        <v/>
      </c>
      <c r="H362" s="298"/>
      <c r="I362" s="298" t="str">
        <f>IFERROR(_xlfn.XLOOKUP($A362,Input_Raw!$A:$A,Input_Raw!$Q:$Q),"")</f>
        <v/>
      </c>
      <c r="J362" s="298"/>
      <c r="K362" s="298" t="str">
        <f>IFERROR(_xlfn.XLOOKUP($A362,Input_Raw!$A:$A,Input_Raw!S:S),"")</f>
        <v/>
      </c>
      <c r="L362" s="298" t="str">
        <f>IFERROR(_xlfn.XLOOKUP($A362,Input_Raw!$A:$A,Input_Raw!T:T),"")</f>
        <v/>
      </c>
      <c r="M362" s="298" t="str">
        <f>IFERROR(_xlfn.XLOOKUP($A362,Input_Raw!$A:$A,Input_Raw!W:W),"")</f>
        <v/>
      </c>
      <c r="N362" s="298" t="str">
        <f>IFERROR(_xlfn.XLOOKUP($A362,Input_Raw!$A:$A,Input_Raw!X:X),"")</f>
        <v/>
      </c>
      <c r="O362" s="299" t="str">
        <f>IFERROR(1-(SUMIF(Plant_BD!$B:$B,$A362,Plant_BD!$AL:$AL)/($AA362+SUMIF(Plant_BD!$B:$B,$A362,Plant_BD!$AL:$AL))),"")</f>
        <v/>
      </c>
      <c r="P362" s="299"/>
      <c r="Q362" s="300"/>
      <c r="R362" s="299" t="str">
        <f>IFERROR(1-(SUMIF(Grid_BD!$B:$B,$A362,Grid_BD!$V:$V)/($AA362+SUMIF(Grid_BD!$B:$B,$A362,Grid_BD!$V:$V))),"")</f>
        <v/>
      </c>
      <c r="S362" s="295"/>
      <c r="T362" s="300"/>
      <c r="U362" s="301" t="str">
        <f t="shared" si="31"/>
        <v/>
      </c>
      <c r="V362" s="301" t="str">
        <f>IFERROR(_xlfn.XLOOKUP($A362,Input_Raw!$A:$A,Input_Raw!$AX:$AX),"")</f>
        <v/>
      </c>
      <c r="W362" s="302" t="str">
        <f t="shared" si="32"/>
        <v/>
      </c>
      <c r="X362" s="294" t="str">
        <f>IFERROR(_xlfn.XLOOKUP($A362,Input_Raw!$A:$A,Input_Raw!$AA:$AA),"")</f>
        <v/>
      </c>
      <c r="Y362" s="294" t="str">
        <f>IFERROR(_xlfn.XLOOKUP($A362,Input_Raw!$A:$A,Input_Raw!$AS:$AS),"")</f>
        <v/>
      </c>
      <c r="Z362" s="294"/>
      <c r="AA362" s="294" t="str">
        <f>IFERROR(_xlfn.XLOOKUP($A362,Input_Raw!$A:$A,Input_Raw!$AT:$AT),"")</f>
        <v/>
      </c>
      <c r="AB362" s="294" t="str">
        <f>IFERROR(_xlfn.XLOOKUP($A362,Input_Raw!$A:$A,Input_Raw!$AU:$AU),"")</f>
        <v/>
      </c>
      <c r="AC362" s="303">
        <f>IFERROR(_xlfn.XLOOKUP($D362,'Modelling New'!$D:$D,'Modelling New'!P:P),"")</f>
        <v>6.870967741935484</v>
      </c>
      <c r="AD362" s="294">
        <f>IFERROR(_xlfn.XLOOKUP($D362,'Modelling New'!$D:$D,'Modelling New'!T:T)*1000,"")</f>
        <v>762147.62241353071</v>
      </c>
      <c r="AE362" s="304">
        <f>IFERROR(_xlfn.XLOOKUP($D362,'Modelling New'!$D:$D,'Modelling New'!$O:$O),"")</f>
        <v>0.82165106224376472</v>
      </c>
      <c r="AF362" s="304">
        <f>IFERROR(_xlfn.XLOOKUP($D362,'Modelling New'!$D:$D,'Modelling New'!$W:$W),"")</f>
        <v>0.23523074765849714</v>
      </c>
      <c r="AG362" s="304">
        <f>IFERROR(_xlfn.XLOOKUP($D362,'Modelling New'!$D:$D,'Modelling New'!$AE:$AE),"")</f>
        <v>0.995</v>
      </c>
      <c r="AH362" s="304">
        <f>IFERROR(_xlfn.XLOOKUP($D362,'Modelling New'!$D:$D,'Modelling New'!$AF:$AF),"")</f>
        <v>0.995</v>
      </c>
      <c r="AI362" s="295"/>
      <c r="AJ362" s="295"/>
      <c r="AK362" s="295"/>
      <c r="AL362" s="295"/>
      <c r="AM362" s="295"/>
      <c r="AN362" s="305"/>
      <c r="AO362" s="302"/>
      <c r="AP362" s="302"/>
      <c r="AQ362" s="302"/>
      <c r="AR362" s="294">
        <f>_xlfn.XLOOKUP($D362,'Modelling New'!$D:$D,'Modelling New'!$N:$N)</f>
        <v>135</v>
      </c>
      <c r="AS362" s="294" t="str">
        <f t="shared" si="33"/>
        <v/>
      </c>
    </row>
    <row r="363" spans="1:45">
      <c r="A363" s="293">
        <f t="shared" si="34"/>
        <v>46106</v>
      </c>
      <c r="B363" s="294">
        <f>YEAR(Daily_KPI[[#This Row],[Date]])+IF(MONTH(Daily_KPI[[#This Row],[Date]])&gt;=4,1,0)</f>
        <v>2026</v>
      </c>
      <c r="C363" s="295">
        <f>YEAR(Daily_KPI[[#This Row],[Date]])</f>
        <v>2026</v>
      </c>
      <c r="D363" s="296">
        <f>Daily_KPI[[#This Row],[Date]]-DAY(Daily_KPI[[#This Row],[Date]])+1</f>
        <v>46082</v>
      </c>
      <c r="E363" s="295">
        <f t="shared" si="30"/>
        <v>31</v>
      </c>
      <c r="F363" s="297" t="str">
        <f>IFERROR(_xlfn.XLOOKUP($A363,Input_Raw!$A:$A,Input_Raw!$AR:$AR),"")</f>
        <v/>
      </c>
      <c r="G363" s="298" t="str">
        <f>IFERROR(_xlfn.XLOOKUP($A363,Input_Raw!$A:$A,Input_Raw!$R:$R),"")</f>
        <v/>
      </c>
      <c r="H363" s="298"/>
      <c r="I363" s="298" t="str">
        <f>IFERROR(_xlfn.XLOOKUP($A363,Input_Raw!$A:$A,Input_Raw!$Q:$Q),"")</f>
        <v/>
      </c>
      <c r="J363" s="298"/>
      <c r="K363" s="298" t="str">
        <f>IFERROR(_xlfn.XLOOKUP($A363,Input_Raw!$A:$A,Input_Raw!S:S),"")</f>
        <v/>
      </c>
      <c r="L363" s="298" t="str">
        <f>IFERROR(_xlfn.XLOOKUP($A363,Input_Raw!$A:$A,Input_Raw!T:T),"")</f>
        <v/>
      </c>
      <c r="M363" s="298" t="str">
        <f>IFERROR(_xlfn.XLOOKUP($A363,Input_Raw!$A:$A,Input_Raw!W:W),"")</f>
        <v/>
      </c>
      <c r="N363" s="298" t="str">
        <f>IFERROR(_xlfn.XLOOKUP($A363,Input_Raw!$A:$A,Input_Raw!X:X),"")</f>
        <v/>
      </c>
      <c r="O363" s="299" t="str">
        <f>IFERROR(1-(SUMIF(Plant_BD!$B:$B,$A363,Plant_BD!$AL:$AL)/($AA363+SUMIF(Plant_BD!$B:$B,$A363,Plant_BD!$AL:$AL))),"")</f>
        <v/>
      </c>
      <c r="P363" s="299"/>
      <c r="Q363" s="300"/>
      <c r="R363" s="299" t="str">
        <f>IFERROR(1-(SUMIF(Grid_BD!$B:$B,$A363,Grid_BD!$V:$V)/($AA363+SUMIF(Grid_BD!$B:$B,$A363,Grid_BD!$V:$V))),"")</f>
        <v/>
      </c>
      <c r="S363" s="295"/>
      <c r="T363" s="300"/>
      <c r="U363" s="301" t="str">
        <f t="shared" si="31"/>
        <v/>
      </c>
      <c r="V363" s="301" t="str">
        <f>IFERROR(_xlfn.XLOOKUP($A363,Input_Raw!$A:$A,Input_Raw!$AX:$AX),"")</f>
        <v/>
      </c>
      <c r="W363" s="302" t="str">
        <f t="shared" si="32"/>
        <v/>
      </c>
      <c r="X363" s="294" t="str">
        <f>IFERROR(_xlfn.XLOOKUP($A363,Input_Raw!$A:$A,Input_Raw!$AA:$AA),"")</f>
        <v/>
      </c>
      <c r="Y363" s="294" t="str">
        <f>IFERROR(_xlfn.XLOOKUP($A363,Input_Raw!$A:$A,Input_Raw!$AS:$AS),"")</f>
        <v/>
      </c>
      <c r="Z363" s="294"/>
      <c r="AA363" s="294" t="str">
        <f>IFERROR(_xlfn.XLOOKUP($A363,Input_Raw!$A:$A,Input_Raw!$AT:$AT),"")</f>
        <v/>
      </c>
      <c r="AB363" s="294" t="str">
        <f>IFERROR(_xlfn.XLOOKUP($A363,Input_Raw!$A:$A,Input_Raw!$AU:$AU),"")</f>
        <v/>
      </c>
      <c r="AC363" s="303">
        <f>IFERROR(_xlfn.XLOOKUP($D363,'Modelling New'!$D:$D,'Modelling New'!P:P),"")</f>
        <v>6.870967741935484</v>
      </c>
      <c r="AD363" s="294">
        <f>IFERROR(_xlfn.XLOOKUP($D363,'Modelling New'!$D:$D,'Modelling New'!T:T)*1000,"")</f>
        <v>762147.62241353071</v>
      </c>
      <c r="AE363" s="304">
        <f>IFERROR(_xlfn.XLOOKUP($D363,'Modelling New'!$D:$D,'Modelling New'!$O:$O),"")</f>
        <v>0.82165106224376472</v>
      </c>
      <c r="AF363" s="304">
        <f>IFERROR(_xlfn.XLOOKUP($D363,'Modelling New'!$D:$D,'Modelling New'!$W:$W),"")</f>
        <v>0.23523074765849714</v>
      </c>
      <c r="AG363" s="304">
        <f>IFERROR(_xlfn.XLOOKUP($D363,'Modelling New'!$D:$D,'Modelling New'!$AE:$AE),"")</f>
        <v>0.995</v>
      </c>
      <c r="AH363" s="304">
        <f>IFERROR(_xlfn.XLOOKUP($D363,'Modelling New'!$D:$D,'Modelling New'!$AF:$AF),"")</f>
        <v>0.995</v>
      </c>
      <c r="AI363" s="295"/>
      <c r="AJ363" s="295"/>
      <c r="AK363" s="295"/>
      <c r="AL363" s="295"/>
      <c r="AM363" s="295"/>
      <c r="AN363" s="305"/>
      <c r="AO363" s="302"/>
      <c r="AP363" s="302"/>
      <c r="AQ363" s="302"/>
      <c r="AR363" s="294">
        <f>_xlfn.XLOOKUP($D363,'Modelling New'!$D:$D,'Modelling New'!$N:$N)</f>
        <v>135</v>
      </c>
      <c r="AS363" s="294" t="str">
        <f t="shared" si="33"/>
        <v/>
      </c>
    </row>
    <row r="364" spans="1:45">
      <c r="A364" s="293">
        <f t="shared" si="34"/>
        <v>46107</v>
      </c>
      <c r="B364" s="294">
        <f>YEAR(Daily_KPI[[#This Row],[Date]])+IF(MONTH(Daily_KPI[[#This Row],[Date]])&gt;=4,1,0)</f>
        <v>2026</v>
      </c>
      <c r="C364" s="295">
        <f>YEAR(Daily_KPI[[#This Row],[Date]])</f>
        <v>2026</v>
      </c>
      <c r="D364" s="296">
        <f>Daily_KPI[[#This Row],[Date]]-DAY(Daily_KPI[[#This Row],[Date]])+1</f>
        <v>46082</v>
      </c>
      <c r="E364" s="295">
        <f t="shared" si="30"/>
        <v>31</v>
      </c>
      <c r="F364" s="297" t="str">
        <f>IFERROR(_xlfn.XLOOKUP($A364,Input_Raw!$A:$A,Input_Raw!$AR:$AR),"")</f>
        <v/>
      </c>
      <c r="G364" s="298" t="str">
        <f>IFERROR(_xlfn.XLOOKUP($A364,Input_Raw!$A:$A,Input_Raw!$R:$R),"")</f>
        <v/>
      </c>
      <c r="H364" s="298"/>
      <c r="I364" s="298" t="str">
        <f>IFERROR(_xlfn.XLOOKUP($A364,Input_Raw!$A:$A,Input_Raw!$Q:$Q),"")</f>
        <v/>
      </c>
      <c r="J364" s="298"/>
      <c r="K364" s="298" t="str">
        <f>IFERROR(_xlfn.XLOOKUP($A364,Input_Raw!$A:$A,Input_Raw!S:S),"")</f>
        <v/>
      </c>
      <c r="L364" s="298" t="str">
        <f>IFERROR(_xlfn.XLOOKUP($A364,Input_Raw!$A:$A,Input_Raw!T:T),"")</f>
        <v/>
      </c>
      <c r="M364" s="298" t="str">
        <f>IFERROR(_xlfn.XLOOKUP($A364,Input_Raw!$A:$A,Input_Raw!W:W),"")</f>
        <v/>
      </c>
      <c r="N364" s="298" t="str">
        <f>IFERROR(_xlfn.XLOOKUP($A364,Input_Raw!$A:$A,Input_Raw!X:X),"")</f>
        <v/>
      </c>
      <c r="O364" s="299" t="str">
        <f>IFERROR(1-(SUMIF(Plant_BD!$B:$B,$A364,Plant_BD!$AL:$AL)/($AA364+SUMIF(Plant_BD!$B:$B,$A364,Plant_BD!$AL:$AL))),"")</f>
        <v/>
      </c>
      <c r="P364" s="299"/>
      <c r="Q364" s="300"/>
      <c r="R364" s="299" t="str">
        <f>IFERROR(1-(SUMIF(Grid_BD!$B:$B,$A364,Grid_BD!$V:$V)/($AA364+SUMIF(Grid_BD!$B:$B,$A364,Grid_BD!$V:$V))),"")</f>
        <v/>
      </c>
      <c r="S364" s="295"/>
      <c r="T364" s="300"/>
      <c r="U364" s="301" t="str">
        <f t="shared" si="31"/>
        <v/>
      </c>
      <c r="V364" s="301" t="str">
        <f>IFERROR(_xlfn.XLOOKUP($A364,Input_Raw!$A:$A,Input_Raw!$AX:$AX),"")</f>
        <v/>
      </c>
      <c r="W364" s="302" t="str">
        <f t="shared" si="32"/>
        <v/>
      </c>
      <c r="X364" s="294" t="str">
        <f>IFERROR(_xlfn.XLOOKUP($A364,Input_Raw!$A:$A,Input_Raw!$AA:$AA),"")</f>
        <v/>
      </c>
      <c r="Y364" s="294" t="str">
        <f>IFERROR(_xlfn.XLOOKUP($A364,Input_Raw!$A:$A,Input_Raw!$AS:$AS),"")</f>
        <v/>
      </c>
      <c r="Z364" s="294"/>
      <c r="AA364" s="294" t="str">
        <f>IFERROR(_xlfn.XLOOKUP($A364,Input_Raw!$A:$A,Input_Raw!$AT:$AT),"")</f>
        <v/>
      </c>
      <c r="AB364" s="294" t="str">
        <f>IFERROR(_xlfn.XLOOKUP($A364,Input_Raw!$A:$A,Input_Raw!$AU:$AU),"")</f>
        <v/>
      </c>
      <c r="AC364" s="303">
        <f>IFERROR(_xlfn.XLOOKUP($D364,'Modelling New'!$D:$D,'Modelling New'!P:P),"")</f>
        <v>6.870967741935484</v>
      </c>
      <c r="AD364" s="294">
        <f>IFERROR(_xlfn.XLOOKUP($D364,'Modelling New'!$D:$D,'Modelling New'!T:T)*1000,"")</f>
        <v>762147.62241353071</v>
      </c>
      <c r="AE364" s="304">
        <f>IFERROR(_xlfn.XLOOKUP($D364,'Modelling New'!$D:$D,'Modelling New'!$O:$O),"")</f>
        <v>0.82165106224376472</v>
      </c>
      <c r="AF364" s="304">
        <f>IFERROR(_xlfn.XLOOKUP($D364,'Modelling New'!$D:$D,'Modelling New'!$W:$W),"")</f>
        <v>0.23523074765849714</v>
      </c>
      <c r="AG364" s="304">
        <f>IFERROR(_xlfn.XLOOKUP($D364,'Modelling New'!$D:$D,'Modelling New'!$AE:$AE),"")</f>
        <v>0.995</v>
      </c>
      <c r="AH364" s="304">
        <f>IFERROR(_xlfn.XLOOKUP($D364,'Modelling New'!$D:$D,'Modelling New'!$AF:$AF),"")</f>
        <v>0.995</v>
      </c>
      <c r="AI364" s="295"/>
      <c r="AJ364" s="295"/>
      <c r="AK364" s="295"/>
      <c r="AL364" s="295"/>
      <c r="AM364" s="295"/>
      <c r="AN364" s="305"/>
      <c r="AO364" s="302"/>
      <c r="AP364" s="302"/>
      <c r="AQ364" s="302"/>
      <c r="AR364" s="294">
        <f>_xlfn.XLOOKUP($D364,'Modelling New'!$D:$D,'Modelling New'!$N:$N)</f>
        <v>135</v>
      </c>
      <c r="AS364" s="294" t="str">
        <f t="shared" si="33"/>
        <v/>
      </c>
    </row>
    <row r="365" spans="1:45">
      <c r="A365" s="293">
        <f t="shared" si="34"/>
        <v>46108</v>
      </c>
      <c r="B365" s="294">
        <f>YEAR(Daily_KPI[[#This Row],[Date]])+IF(MONTH(Daily_KPI[[#This Row],[Date]])&gt;=4,1,0)</f>
        <v>2026</v>
      </c>
      <c r="C365" s="295">
        <f>YEAR(Daily_KPI[[#This Row],[Date]])</f>
        <v>2026</v>
      </c>
      <c r="D365" s="296">
        <f>Daily_KPI[[#This Row],[Date]]-DAY(Daily_KPI[[#This Row],[Date]])+1</f>
        <v>46082</v>
      </c>
      <c r="E365" s="295">
        <f t="shared" si="30"/>
        <v>31</v>
      </c>
      <c r="F365" s="297" t="str">
        <f>IFERROR(_xlfn.XLOOKUP($A365,Input_Raw!$A:$A,Input_Raw!$AR:$AR),"")</f>
        <v/>
      </c>
      <c r="G365" s="298" t="str">
        <f>IFERROR(_xlfn.XLOOKUP($A365,Input_Raw!$A:$A,Input_Raw!$R:$R),"")</f>
        <v/>
      </c>
      <c r="H365" s="298"/>
      <c r="I365" s="298" t="str">
        <f>IFERROR(_xlfn.XLOOKUP($A365,Input_Raw!$A:$A,Input_Raw!$Q:$Q),"")</f>
        <v/>
      </c>
      <c r="J365" s="298"/>
      <c r="K365" s="298" t="str">
        <f>IFERROR(_xlfn.XLOOKUP($A365,Input_Raw!$A:$A,Input_Raw!S:S),"")</f>
        <v/>
      </c>
      <c r="L365" s="298" t="str">
        <f>IFERROR(_xlfn.XLOOKUP($A365,Input_Raw!$A:$A,Input_Raw!T:T),"")</f>
        <v/>
      </c>
      <c r="M365" s="298" t="str">
        <f>IFERROR(_xlfn.XLOOKUP($A365,Input_Raw!$A:$A,Input_Raw!W:W),"")</f>
        <v/>
      </c>
      <c r="N365" s="298" t="str">
        <f>IFERROR(_xlfn.XLOOKUP($A365,Input_Raw!$A:$A,Input_Raw!X:X),"")</f>
        <v/>
      </c>
      <c r="O365" s="299" t="str">
        <f>IFERROR(1-(SUMIF(Plant_BD!$B:$B,$A365,Plant_BD!$AL:$AL)/($AA365+SUMIF(Plant_BD!$B:$B,$A365,Plant_BD!$AL:$AL))),"")</f>
        <v/>
      </c>
      <c r="P365" s="299"/>
      <c r="Q365" s="300"/>
      <c r="R365" s="299" t="str">
        <f>IFERROR(1-(SUMIF(Grid_BD!$B:$B,$A365,Grid_BD!$V:$V)/($AA365+SUMIF(Grid_BD!$B:$B,$A365,Grid_BD!$V:$V))),"")</f>
        <v/>
      </c>
      <c r="S365" s="295"/>
      <c r="T365" s="300"/>
      <c r="U365" s="301" t="str">
        <f t="shared" si="31"/>
        <v/>
      </c>
      <c r="V365" s="301" t="str">
        <f>IFERROR(_xlfn.XLOOKUP($A365,Input_Raw!$A:$A,Input_Raw!$AX:$AX),"")</f>
        <v/>
      </c>
      <c r="W365" s="302" t="str">
        <f t="shared" si="32"/>
        <v/>
      </c>
      <c r="X365" s="294" t="str">
        <f>IFERROR(_xlfn.XLOOKUP($A365,Input_Raw!$A:$A,Input_Raw!$AA:$AA),"")</f>
        <v/>
      </c>
      <c r="Y365" s="294" t="str">
        <f>IFERROR(_xlfn.XLOOKUP($A365,Input_Raw!$A:$A,Input_Raw!$AS:$AS),"")</f>
        <v/>
      </c>
      <c r="Z365" s="294"/>
      <c r="AA365" s="294" t="str">
        <f>IFERROR(_xlfn.XLOOKUP($A365,Input_Raw!$A:$A,Input_Raw!$AT:$AT),"")</f>
        <v/>
      </c>
      <c r="AB365" s="294" t="str">
        <f>IFERROR(_xlfn.XLOOKUP($A365,Input_Raw!$A:$A,Input_Raw!$AU:$AU),"")</f>
        <v/>
      </c>
      <c r="AC365" s="303">
        <f>IFERROR(_xlfn.XLOOKUP($D365,'Modelling New'!$D:$D,'Modelling New'!P:P),"")</f>
        <v>6.870967741935484</v>
      </c>
      <c r="AD365" s="294">
        <f>IFERROR(_xlfn.XLOOKUP($D365,'Modelling New'!$D:$D,'Modelling New'!T:T)*1000,"")</f>
        <v>762147.62241353071</v>
      </c>
      <c r="AE365" s="304">
        <f>IFERROR(_xlfn.XLOOKUP($D365,'Modelling New'!$D:$D,'Modelling New'!$O:$O),"")</f>
        <v>0.82165106224376472</v>
      </c>
      <c r="AF365" s="304">
        <f>IFERROR(_xlfn.XLOOKUP($D365,'Modelling New'!$D:$D,'Modelling New'!$W:$W),"")</f>
        <v>0.23523074765849714</v>
      </c>
      <c r="AG365" s="304">
        <f>IFERROR(_xlfn.XLOOKUP($D365,'Modelling New'!$D:$D,'Modelling New'!$AE:$AE),"")</f>
        <v>0.995</v>
      </c>
      <c r="AH365" s="304">
        <f>IFERROR(_xlfn.XLOOKUP($D365,'Modelling New'!$D:$D,'Modelling New'!$AF:$AF),"")</f>
        <v>0.995</v>
      </c>
      <c r="AI365" s="295"/>
      <c r="AJ365" s="295"/>
      <c r="AK365" s="295"/>
      <c r="AL365" s="295"/>
      <c r="AM365" s="295"/>
      <c r="AN365" s="305"/>
      <c r="AO365" s="302"/>
      <c r="AP365" s="302"/>
      <c r="AQ365" s="302"/>
      <c r="AR365" s="294">
        <f>_xlfn.XLOOKUP($D365,'Modelling New'!$D:$D,'Modelling New'!$N:$N)</f>
        <v>135</v>
      </c>
      <c r="AS365" s="294" t="str">
        <f t="shared" si="33"/>
        <v/>
      </c>
    </row>
    <row r="366" spans="1:45">
      <c r="A366" s="293">
        <f t="shared" si="34"/>
        <v>46109</v>
      </c>
      <c r="B366" s="294">
        <f>YEAR(Daily_KPI[[#This Row],[Date]])+IF(MONTH(Daily_KPI[[#This Row],[Date]])&gt;=4,1,0)</f>
        <v>2026</v>
      </c>
      <c r="C366" s="295">
        <f>YEAR(Daily_KPI[[#This Row],[Date]])</f>
        <v>2026</v>
      </c>
      <c r="D366" s="296">
        <f>Daily_KPI[[#This Row],[Date]]-DAY(Daily_KPI[[#This Row],[Date]])+1</f>
        <v>46082</v>
      </c>
      <c r="E366" s="295">
        <f t="shared" si="30"/>
        <v>31</v>
      </c>
      <c r="F366" s="297" t="str">
        <f>IFERROR(_xlfn.XLOOKUP($A366,Input_Raw!$A:$A,Input_Raw!$AR:$AR),"")</f>
        <v/>
      </c>
      <c r="G366" s="298" t="str">
        <f>IFERROR(_xlfn.XLOOKUP($A366,Input_Raw!$A:$A,Input_Raw!$R:$R),"")</f>
        <v/>
      </c>
      <c r="H366" s="298"/>
      <c r="I366" s="298" t="str">
        <f>IFERROR(_xlfn.XLOOKUP($A366,Input_Raw!$A:$A,Input_Raw!$Q:$Q),"")</f>
        <v/>
      </c>
      <c r="J366" s="298"/>
      <c r="K366" s="298" t="str">
        <f>IFERROR(_xlfn.XLOOKUP($A366,Input_Raw!$A:$A,Input_Raw!S:S),"")</f>
        <v/>
      </c>
      <c r="L366" s="298" t="str">
        <f>IFERROR(_xlfn.XLOOKUP($A366,Input_Raw!$A:$A,Input_Raw!T:T),"")</f>
        <v/>
      </c>
      <c r="M366" s="298" t="str">
        <f>IFERROR(_xlfn.XLOOKUP($A366,Input_Raw!$A:$A,Input_Raw!W:W),"")</f>
        <v/>
      </c>
      <c r="N366" s="298" t="str">
        <f>IFERROR(_xlfn.XLOOKUP($A366,Input_Raw!$A:$A,Input_Raw!X:X),"")</f>
        <v/>
      </c>
      <c r="O366" s="299" t="str">
        <f>IFERROR(1-(SUMIF(Plant_BD!$B:$B,$A366,Plant_BD!$AL:$AL)/($AA366+SUMIF(Plant_BD!$B:$B,$A366,Plant_BD!$AL:$AL))),"")</f>
        <v/>
      </c>
      <c r="P366" s="299"/>
      <c r="Q366" s="300"/>
      <c r="R366" s="299" t="str">
        <f>IFERROR(1-(SUMIF(Grid_BD!$B:$B,$A366,Grid_BD!$V:$V)/($AA366+SUMIF(Grid_BD!$B:$B,$A366,Grid_BD!$V:$V))),"")</f>
        <v/>
      </c>
      <c r="S366" s="295"/>
      <c r="T366" s="300"/>
      <c r="U366" s="301" t="str">
        <f t="shared" si="31"/>
        <v/>
      </c>
      <c r="V366" s="301" t="str">
        <f>IFERROR(_xlfn.XLOOKUP($A366,Input_Raw!$A:$A,Input_Raw!$AX:$AX),"")</f>
        <v/>
      </c>
      <c r="W366" s="302" t="str">
        <f t="shared" si="32"/>
        <v/>
      </c>
      <c r="X366" s="294" t="str">
        <f>IFERROR(_xlfn.XLOOKUP($A366,Input_Raw!$A:$A,Input_Raw!$AA:$AA),"")</f>
        <v/>
      </c>
      <c r="Y366" s="294" t="str">
        <f>IFERROR(_xlfn.XLOOKUP($A366,Input_Raw!$A:$A,Input_Raw!$AS:$AS),"")</f>
        <v/>
      </c>
      <c r="Z366" s="294"/>
      <c r="AA366" s="294" t="str">
        <f>IFERROR(_xlfn.XLOOKUP($A366,Input_Raw!$A:$A,Input_Raw!$AT:$AT),"")</f>
        <v/>
      </c>
      <c r="AB366" s="294" t="str">
        <f>IFERROR(_xlfn.XLOOKUP($A366,Input_Raw!$A:$A,Input_Raw!$AU:$AU),"")</f>
        <v/>
      </c>
      <c r="AC366" s="303">
        <f>IFERROR(_xlfn.XLOOKUP($D366,'Modelling New'!$D:$D,'Modelling New'!P:P),"")</f>
        <v>6.870967741935484</v>
      </c>
      <c r="AD366" s="294">
        <f>IFERROR(_xlfn.XLOOKUP($D366,'Modelling New'!$D:$D,'Modelling New'!T:T)*1000,"")</f>
        <v>762147.62241353071</v>
      </c>
      <c r="AE366" s="304">
        <f>IFERROR(_xlfn.XLOOKUP($D366,'Modelling New'!$D:$D,'Modelling New'!$O:$O),"")</f>
        <v>0.82165106224376472</v>
      </c>
      <c r="AF366" s="304">
        <f>IFERROR(_xlfn.XLOOKUP($D366,'Modelling New'!$D:$D,'Modelling New'!$W:$W),"")</f>
        <v>0.23523074765849714</v>
      </c>
      <c r="AG366" s="304">
        <f>IFERROR(_xlfn.XLOOKUP($D366,'Modelling New'!$D:$D,'Modelling New'!$AE:$AE),"")</f>
        <v>0.995</v>
      </c>
      <c r="AH366" s="304">
        <f>IFERROR(_xlfn.XLOOKUP($D366,'Modelling New'!$D:$D,'Modelling New'!$AF:$AF),"")</f>
        <v>0.995</v>
      </c>
      <c r="AI366" s="295"/>
      <c r="AJ366" s="295"/>
      <c r="AK366" s="295"/>
      <c r="AL366" s="295"/>
      <c r="AM366" s="295"/>
      <c r="AN366" s="305"/>
      <c r="AO366" s="302"/>
      <c r="AP366" s="302"/>
      <c r="AQ366" s="302"/>
      <c r="AR366" s="294">
        <f>_xlfn.XLOOKUP($D366,'Modelling New'!$D:$D,'Modelling New'!$N:$N)</f>
        <v>135</v>
      </c>
      <c r="AS366" s="294" t="str">
        <f t="shared" si="33"/>
        <v/>
      </c>
    </row>
    <row r="367" spans="1:45">
      <c r="A367" s="293">
        <f t="shared" si="34"/>
        <v>46110</v>
      </c>
      <c r="B367" s="294">
        <f>YEAR(Daily_KPI[[#This Row],[Date]])+IF(MONTH(Daily_KPI[[#This Row],[Date]])&gt;=4,1,0)</f>
        <v>2026</v>
      </c>
      <c r="C367" s="295">
        <f>YEAR(Daily_KPI[[#This Row],[Date]])</f>
        <v>2026</v>
      </c>
      <c r="D367" s="296">
        <f>Daily_KPI[[#This Row],[Date]]-DAY(Daily_KPI[[#This Row],[Date]])+1</f>
        <v>46082</v>
      </c>
      <c r="E367" s="295">
        <f t="shared" si="30"/>
        <v>31</v>
      </c>
      <c r="F367" s="297" t="str">
        <f>IFERROR(_xlfn.XLOOKUP($A367,Input_Raw!$A:$A,Input_Raw!$AR:$AR),"")</f>
        <v/>
      </c>
      <c r="G367" s="298" t="str">
        <f>IFERROR(_xlfn.XLOOKUP($A367,Input_Raw!$A:$A,Input_Raw!$R:$R),"")</f>
        <v/>
      </c>
      <c r="H367" s="298"/>
      <c r="I367" s="298" t="str">
        <f>IFERROR(_xlfn.XLOOKUP($A367,Input_Raw!$A:$A,Input_Raw!$Q:$Q),"")</f>
        <v/>
      </c>
      <c r="J367" s="298"/>
      <c r="K367" s="298" t="str">
        <f>IFERROR(_xlfn.XLOOKUP($A367,Input_Raw!$A:$A,Input_Raw!S:S),"")</f>
        <v/>
      </c>
      <c r="L367" s="298" t="str">
        <f>IFERROR(_xlfn.XLOOKUP($A367,Input_Raw!$A:$A,Input_Raw!T:T),"")</f>
        <v/>
      </c>
      <c r="M367" s="298" t="str">
        <f>IFERROR(_xlfn.XLOOKUP($A367,Input_Raw!$A:$A,Input_Raw!W:W),"")</f>
        <v/>
      </c>
      <c r="N367" s="298" t="str">
        <f>IFERROR(_xlfn.XLOOKUP($A367,Input_Raw!$A:$A,Input_Raw!X:X),"")</f>
        <v/>
      </c>
      <c r="O367" s="299" t="str">
        <f>IFERROR(1-(SUMIF(Plant_BD!$B:$B,$A367,Plant_BD!$AL:$AL)/($AA367+SUMIF(Plant_BD!$B:$B,$A367,Plant_BD!$AL:$AL))),"")</f>
        <v/>
      </c>
      <c r="P367" s="299"/>
      <c r="Q367" s="300"/>
      <c r="R367" s="299" t="str">
        <f>IFERROR(1-(SUMIF(Grid_BD!$B:$B,$A367,Grid_BD!$V:$V)/($AA367+SUMIF(Grid_BD!$B:$B,$A367,Grid_BD!$V:$V))),"")</f>
        <v/>
      </c>
      <c r="S367" s="295"/>
      <c r="T367" s="300"/>
      <c r="U367" s="301" t="str">
        <f t="shared" si="31"/>
        <v/>
      </c>
      <c r="V367" s="301" t="str">
        <f>IFERROR(_xlfn.XLOOKUP($A367,Input_Raw!$A:$A,Input_Raw!$AX:$AX),"")</f>
        <v/>
      </c>
      <c r="W367" s="302" t="str">
        <f t="shared" si="32"/>
        <v/>
      </c>
      <c r="X367" s="294" t="str">
        <f>IFERROR(_xlfn.XLOOKUP($A367,Input_Raw!$A:$A,Input_Raw!$AA:$AA),"")</f>
        <v/>
      </c>
      <c r="Y367" s="294" t="str">
        <f>IFERROR(_xlfn.XLOOKUP($A367,Input_Raw!$A:$A,Input_Raw!$AS:$AS),"")</f>
        <v/>
      </c>
      <c r="Z367" s="294"/>
      <c r="AA367" s="294" t="str">
        <f>IFERROR(_xlfn.XLOOKUP($A367,Input_Raw!$A:$A,Input_Raw!$AT:$AT),"")</f>
        <v/>
      </c>
      <c r="AB367" s="294" t="str">
        <f>IFERROR(_xlfn.XLOOKUP($A367,Input_Raw!$A:$A,Input_Raw!$AU:$AU),"")</f>
        <v/>
      </c>
      <c r="AC367" s="303">
        <f>IFERROR(_xlfn.XLOOKUP($D367,'Modelling New'!$D:$D,'Modelling New'!P:P),"")</f>
        <v>6.870967741935484</v>
      </c>
      <c r="AD367" s="294">
        <f>IFERROR(_xlfn.XLOOKUP($D367,'Modelling New'!$D:$D,'Modelling New'!T:T)*1000,"")</f>
        <v>762147.62241353071</v>
      </c>
      <c r="AE367" s="304">
        <f>IFERROR(_xlfn.XLOOKUP($D367,'Modelling New'!$D:$D,'Modelling New'!$O:$O),"")</f>
        <v>0.82165106224376472</v>
      </c>
      <c r="AF367" s="304">
        <f>IFERROR(_xlfn.XLOOKUP($D367,'Modelling New'!$D:$D,'Modelling New'!$W:$W),"")</f>
        <v>0.23523074765849714</v>
      </c>
      <c r="AG367" s="304">
        <f>IFERROR(_xlfn.XLOOKUP($D367,'Modelling New'!$D:$D,'Modelling New'!$AE:$AE),"")</f>
        <v>0.995</v>
      </c>
      <c r="AH367" s="304">
        <f>IFERROR(_xlfn.XLOOKUP($D367,'Modelling New'!$D:$D,'Modelling New'!$AF:$AF),"")</f>
        <v>0.995</v>
      </c>
      <c r="AI367" s="295"/>
      <c r="AJ367" s="295"/>
      <c r="AK367" s="295"/>
      <c r="AL367" s="295"/>
      <c r="AM367" s="295"/>
      <c r="AN367" s="305"/>
      <c r="AO367" s="302"/>
      <c r="AP367" s="302"/>
      <c r="AQ367" s="302"/>
      <c r="AR367" s="294">
        <f>_xlfn.XLOOKUP($D367,'Modelling New'!$D:$D,'Modelling New'!$N:$N)</f>
        <v>135</v>
      </c>
      <c r="AS367" s="294" t="str">
        <f t="shared" si="33"/>
        <v/>
      </c>
    </row>
    <row r="368" spans="1:45">
      <c r="A368" s="293">
        <f t="shared" si="34"/>
        <v>46111</v>
      </c>
      <c r="B368" s="294">
        <f>YEAR(Daily_KPI[[#This Row],[Date]])+IF(MONTH(Daily_KPI[[#This Row],[Date]])&gt;=4,1,0)</f>
        <v>2026</v>
      </c>
      <c r="C368" s="295">
        <f>YEAR(Daily_KPI[[#This Row],[Date]])</f>
        <v>2026</v>
      </c>
      <c r="D368" s="296">
        <f>Daily_KPI[[#This Row],[Date]]-DAY(Daily_KPI[[#This Row],[Date]])+1</f>
        <v>46082</v>
      </c>
      <c r="E368" s="295">
        <f t="shared" si="30"/>
        <v>31</v>
      </c>
      <c r="F368" s="297" t="str">
        <f>IFERROR(_xlfn.XLOOKUP($A368,Input_Raw!$A:$A,Input_Raw!$AR:$AR),"")</f>
        <v/>
      </c>
      <c r="G368" s="298" t="str">
        <f>IFERROR(_xlfn.XLOOKUP($A368,Input_Raw!$A:$A,Input_Raw!$R:$R),"")</f>
        <v/>
      </c>
      <c r="H368" s="298"/>
      <c r="I368" s="298" t="str">
        <f>IFERROR(_xlfn.XLOOKUP($A368,Input_Raw!$A:$A,Input_Raw!$Q:$Q),"")</f>
        <v/>
      </c>
      <c r="J368" s="298"/>
      <c r="K368" s="298" t="str">
        <f>IFERROR(_xlfn.XLOOKUP($A368,Input_Raw!$A:$A,Input_Raw!S:S),"")</f>
        <v/>
      </c>
      <c r="L368" s="298" t="str">
        <f>IFERROR(_xlfn.XLOOKUP($A368,Input_Raw!$A:$A,Input_Raw!T:T),"")</f>
        <v/>
      </c>
      <c r="M368" s="298" t="str">
        <f>IFERROR(_xlfn.XLOOKUP($A368,Input_Raw!$A:$A,Input_Raw!W:W),"")</f>
        <v/>
      </c>
      <c r="N368" s="298" t="str">
        <f>IFERROR(_xlfn.XLOOKUP($A368,Input_Raw!$A:$A,Input_Raw!X:X),"")</f>
        <v/>
      </c>
      <c r="O368" s="299" t="str">
        <f>IFERROR(1-(SUMIF(Plant_BD!$B:$B,$A368,Plant_BD!$AL:$AL)/($AA368+SUMIF(Plant_BD!$B:$B,$A368,Plant_BD!$AL:$AL))),"")</f>
        <v/>
      </c>
      <c r="P368" s="299"/>
      <c r="Q368" s="300"/>
      <c r="R368" s="299" t="str">
        <f>IFERROR(1-(SUMIF(Grid_BD!$B:$B,$A368,Grid_BD!$V:$V)/($AA368+SUMIF(Grid_BD!$B:$B,$A368,Grid_BD!$V:$V))),"")</f>
        <v/>
      </c>
      <c r="S368" s="295"/>
      <c r="T368" s="300"/>
      <c r="U368" s="301" t="str">
        <f t="shared" si="31"/>
        <v/>
      </c>
      <c r="V368" s="301" t="str">
        <f>IFERROR(_xlfn.XLOOKUP($A368,Input_Raw!$A:$A,Input_Raw!$AX:$AX),"")</f>
        <v/>
      </c>
      <c r="W368" s="302" t="str">
        <f t="shared" si="32"/>
        <v/>
      </c>
      <c r="X368" s="294" t="str">
        <f>IFERROR(_xlfn.XLOOKUP($A368,Input_Raw!$A:$A,Input_Raw!$AA:$AA),"")</f>
        <v/>
      </c>
      <c r="Y368" s="294" t="str">
        <f>IFERROR(_xlfn.XLOOKUP($A368,Input_Raw!$A:$A,Input_Raw!$AS:$AS),"")</f>
        <v/>
      </c>
      <c r="Z368" s="294"/>
      <c r="AA368" s="294" t="str">
        <f>IFERROR(_xlfn.XLOOKUP($A368,Input_Raw!$A:$A,Input_Raw!$AT:$AT),"")</f>
        <v/>
      </c>
      <c r="AB368" s="294" t="str">
        <f>IFERROR(_xlfn.XLOOKUP($A368,Input_Raw!$A:$A,Input_Raw!$AU:$AU),"")</f>
        <v/>
      </c>
      <c r="AC368" s="303">
        <f>IFERROR(_xlfn.XLOOKUP($D368,'Modelling New'!$D:$D,'Modelling New'!P:P),"")</f>
        <v>6.870967741935484</v>
      </c>
      <c r="AD368" s="294">
        <f>IFERROR(_xlfn.XLOOKUP($D368,'Modelling New'!$D:$D,'Modelling New'!T:T)*1000,"")</f>
        <v>762147.62241353071</v>
      </c>
      <c r="AE368" s="304">
        <f>IFERROR(_xlfn.XLOOKUP($D368,'Modelling New'!$D:$D,'Modelling New'!$O:$O),"")</f>
        <v>0.82165106224376472</v>
      </c>
      <c r="AF368" s="304">
        <f>IFERROR(_xlfn.XLOOKUP($D368,'Modelling New'!$D:$D,'Modelling New'!$W:$W),"")</f>
        <v>0.23523074765849714</v>
      </c>
      <c r="AG368" s="304">
        <f>IFERROR(_xlfn.XLOOKUP($D368,'Modelling New'!$D:$D,'Modelling New'!$AE:$AE),"")</f>
        <v>0.995</v>
      </c>
      <c r="AH368" s="304">
        <f>IFERROR(_xlfn.XLOOKUP($D368,'Modelling New'!$D:$D,'Modelling New'!$AF:$AF),"")</f>
        <v>0.995</v>
      </c>
      <c r="AI368" s="295"/>
      <c r="AJ368" s="295"/>
      <c r="AK368" s="295"/>
      <c r="AL368" s="295"/>
      <c r="AM368" s="295"/>
      <c r="AN368" s="305"/>
      <c r="AO368" s="302"/>
      <c r="AP368" s="302"/>
      <c r="AQ368" s="302"/>
      <c r="AR368" s="294">
        <f>_xlfn.XLOOKUP($D368,'Modelling New'!$D:$D,'Modelling New'!$N:$N)</f>
        <v>135</v>
      </c>
      <c r="AS368" s="294" t="str">
        <f t="shared" si="33"/>
        <v/>
      </c>
    </row>
    <row r="369" spans="1:45">
      <c r="A369" s="293">
        <f t="shared" si="34"/>
        <v>46112</v>
      </c>
      <c r="B369" s="294">
        <f>YEAR(Daily_KPI[[#This Row],[Date]])+IF(MONTH(Daily_KPI[[#This Row],[Date]])&gt;=4,1,0)</f>
        <v>2026</v>
      </c>
      <c r="C369" s="295">
        <f>YEAR(Daily_KPI[[#This Row],[Date]])</f>
        <v>2026</v>
      </c>
      <c r="D369" s="296">
        <f>Daily_KPI[[#This Row],[Date]]-DAY(Daily_KPI[[#This Row],[Date]])+1</f>
        <v>46082</v>
      </c>
      <c r="E369" s="295">
        <f t="shared" si="30"/>
        <v>31</v>
      </c>
      <c r="F369" s="297" t="str">
        <f>IFERROR(_xlfn.XLOOKUP($A369,Input_Raw!$A:$A,Input_Raw!$AR:$AR),"")</f>
        <v/>
      </c>
      <c r="G369" s="298" t="str">
        <f>IFERROR(_xlfn.XLOOKUP($A369,Input_Raw!$A:$A,Input_Raw!$R:$R),"")</f>
        <v/>
      </c>
      <c r="H369" s="298"/>
      <c r="I369" s="298" t="str">
        <f>IFERROR(_xlfn.XLOOKUP($A369,Input_Raw!$A:$A,Input_Raw!$Q:$Q),"")</f>
        <v/>
      </c>
      <c r="J369" s="298"/>
      <c r="K369" s="298" t="str">
        <f>IFERROR(_xlfn.XLOOKUP($A369,Input_Raw!$A:$A,Input_Raw!S:S),"")</f>
        <v/>
      </c>
      <c r="L369" s="298" t="str">
        <f>IFERROR(_xlfn.XLOOKUP($A369,Input_Raw!$A:$A,Input_Raw!T:T),"")</f>
        <v/>
      </c>
      <c r="M369" s="298" t="str">
        <f>IFERROR(_xlfn.XLOOKUP($A369,Input_Raw!$A:$A,Input_Raw!W:W),"")</f>
        <v/>
      </c>
      <c r="N369" s="298" t="str">
        <f>IFERROR(_xlfn.XLOOKUP($A369,Input_Raw!$A:$A,Input_Raw!X:X),"")</f>
        <v/>
      </c>
      <c r="O369" s="299" t="str">
        <f>IFERROR(1-(SUMIF(Plant_BD!$B:$B,$A369,Plant_BD!$AL:$AL)/($AA369+SUMIF(Plant_BD!$B:$B,$A369,Plant_BD!$AL:$AL))),"")</f>
        <v/>
      </c>
      <c r="P369" s="299"/>
      <c r="Q369" s="300"/>
      <c r="R369" s="299" t="str">
        <f>IFERROR(1-(SUMIF(Grid_BD!$B:$B,$A369,Grid_BD!$V:$V)/($AA369+SUMIF(Grid_BD!$B:$B,$A369,Grid_BD!$V:$V))),"")</f>
        <v/>
      </c>
      <c r="S369" s="295"/>
      <c r="T369" s="300"/>
      <c r="U369" s="301" t="str">
        <f t="shared" si="31"/>
        <v/>
      </c>
      <c r="V369" s="301" t="str">
        <f>IFERROR(_xlfn.XLOOKUP($A369,Input_Raw!$A:$A,Input_Raw!$AX:$AX),"")</f>
        <v/>
      </c>
      <c r="W369" s="302" t="str">
        <f t="shared" si="32"/>
        <v/>
      </c>
      <c r="X369" s="294" t="str">
        <f>IFERROR(_xlfn.XLOOKUP($A369,Input_Raw!$A:$A,Input_Raw!$AA:$AA),"")</f>
        <v/>
      </c>
      <c r="Y369" s="294" t="str">
        <f>IFERROR(_xlfn.XLOOKUP($A369,Input_Raw!$A:$A,Input_Raw!$AS:$AS),"")</f>
        <v/>
      </c>
      <c r="Z369" s="294"/>
      <c r="AA369" s="294" t="str">
        <f>IFERROR(_xlfn.XLOOKUP($A369,Input_Raw!$A:$A,Input_Raw!$AT:$AT),"")</f>
        <v/>
      </c>
      <c r="AB369" s="294" t="str">
        <f>IFERROR(_xlfn.XLOOKUP($A369,Input_Raw!$A:$A,Input_Raw!$AU:$AU),"")</f>
        <v/>
      </c>
      <c r="AC369" s="303">
        <f>IFERROR(_xlfn.XLOOKUP($D369,'Modelling New'!$D:$D,'Modelling New'!P:P),"")</f>
        <v>6.870967741935484</v>
      </c>
      <c r="AD369" s="294">
        <f>IFERROR(_xlfn.XLOOKUP($D369,'Modelling New'!$D:$D,'Modelling New'!T:T)*1000,"")</f>
        <v>762147.62241353071</v>
      </c>
      <c r="AE369" s="304">
        <f>IFERROR(_xlfn.XLOOKUP($D369,'Modelling New'!$D:$D,'Modelling New'!$O:$O),"")</f>
        <v>0.82165106224376472</v>
      </c>
      <c r="AF369" s="304">
        <f>IFERROR(_xlfn.XLOOKUP($D369,'Modelling New'!$D:$D,'Modelling New'!$W:$W),"")</f>
        <v>0.23523074765849714</v>
      </c>
      <c r="AG369" s="304">
        <f>IFERROR(_xlfn.XLOOKUP($D369,'Modelling New'!$D:$D,'Modelling New'!$AE:$AE),"")</f>
        <v>0.995</v>
      </c>
      <c r="AH369" s="304">
        <f>IFERROR(_xlfn.XLOOKUP($D369,'Modelling New'!$D:$D,'Modelling New'!$AF:$AF),"")</f>
        <v>0.995</v>
      </c>
      <c r="AI369" s="295"/>
      <c r="AJ369" s="295"/>
      <c r="AK369" s="295"/>
      <c r="AL369" s="295"/>
      <c r="AM369" s="295"/>
      <c r="AN369" s="305"/>
      <c r="AO369" s="302"/>
      <c r="AP369" s="302"/>
      <c r="AQ369" s="302"/>
      <c r="AR369" s="294">
        <f>_xlfn.XLOOKUP($D369,'Modelling New'!$D:$D,'Modelling New'!$N:$N)</f>
        <v>135</v>
      </c>
      <c r="AS369" s="294" t="str">
        <f t="shared" si="33"/>
        <v/>
      </c>
    </row>
  </sheetData>
  <sheetProtection algorithmName="SHA-512" hashValue="oBOAWOaO4lUVzkLK9PzzSqMg8jcFkOCdq/oWv+0zhHmI/Eux7qAFBa02p4v2lkzUL/2YIanRBUTtN6ZiCy/RXQ==" saltValue="9xg5hRvmE5Yl/EoyuyCj5g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82"/>
  <sheetViews>
    <sheetView topLeftCell="A3" zoomScale="91" zoomScaleNormal="91" workbookViewId="0">
      <pane xSplit="1" ySplit="2" topLeftCell="AK118" activePane="bottomRight" state="frozen"/>
      <selection pane="topRight" activeCell="B3" sqref="B3"/>
      <selection pane="bottomLeft" activeCell="A5" sqref="A5"/>
      <selection pane="bottomRight" activeCell="AW125" sqref="AW125"/>
    </sheetView>
  </sheetViews>
  <sheetFormatPr defaultColWidth="8.81640625" defaultRowHeight="14.5"/>
  <cols>
    <col min="1" max="1" width="11.453125" style="193" customWidth="1"/>
    <col min="2" max="2" width="11.1796875" style="194" customWidth="1"/>
    <col min="3" max="3" width="12.453125" style="194" customWidth="1"/>
    <col min="4" max="4" width="15.453125" style="194" customWidth="1"/>
    <col min="5" max="5" width="8.81640625" style="194"/>
    <col min="6" max="6" width="13.453125" style="194" bestFit="1" customWidth="1"/>
    <col min="7" max="7" width="11.453125" style="193" customWidth="1"/>
    <col min="8" max="8" width="9.453125" style="194" customWidth="1"/>
    <col min="9" max="9" width="10.1796875" style="194" customWidth="1"/>
    <col min="10" max="13" width="9.453125" style="194" customWidth="1"/>
    <col min="14" max="14" width="10.1796875" style="194" customWidth="1"/>
    <col min="15" max="16" width="10.1796875" style="194" hidden="1" customWidth="1"/>
    <col min="17" max="17" width="10.1796875" style="194" customWidth="1"/>
    <col min="18" max="22" width="8.81640625" style="194" customWidth="1"/>
    <col min="23" max="26" width="11.453125" style="194" customWidth="1"/>
    <col min="27" max="28" width="12.1796875" style="193" customWidth="1"/>
    <col min="29" max="29" width="12" style="193" customWidth="1"/>
    <col min="30" max="30" width="10" style="193" customWidth="1"/>
    <col min="31" max="31" width="11.1796875" style="193" bestFit="1" customWidth="1"/>
    <col min="32" max="32" width="12.453125" style="193" customWidth="1"/>
    <col min="33" max="33" width="9.453125" style="193" customWidth="1"/>
    <col min="34" max="34" width="10.1796875" style="194" customWidth="1"/>
    <col min="35" max="35" width="11.453125" style="194" bestFit="1" customWidth="1"/>
    <col min="36" max="36" width="9.453125" style="194" bestFit="1" customWidth="1"/>
    <col min="37" max="37" width="12.453125" style="194" bestFit="1" customWidth="1"/>
    <col min="38" max="38" width="13.453125" style="194" bestFit="1" customWidth="1"/>
    <col min="39" max="39" width="13.453125" style="194" customWidth="1"/>
    <col min="40" max="40" width="11" style="194" customWidth="1"/>
    <col min="41" max="42" width="14" style="194" bestFit="1" customWidth="1"/>
    <col min="43" max="43" width="11.453125" style="193" customWidth="1"/>
    <col min="44" max="44" width="14.81640625" style="194" bestFit="1" customWidth="1"/>
    <col min="45" max="45" width="17.1796875" style="194" bestFit="1" customWidth="1"/>
    <col min="46" max="46" width="17.1796875" style="193" bestFit="1" customWidth="1"/>
    <col min="47" max="47" width="11.453125" style="193" customWidth="1"/>
    <col min="48" max="16384" width="8.81640625" style="194"/>
  </cols>
  <sheetData>
    <row r="1" spans="1:50" hidden="1">
      <c r="A1" s="193">
        <v>1</v>
      </c>
      <c r="B1" s="194">
        <f>A1+1</f>
        <v>2</v>
      </c>
      <c r="C1" s="194">
        <f t="shared" ref="C1:G1" si="0">B1+1</f>
        <v>3</v>
      </c>
      <c r="D1" s="194">
        <f t="shared" si="0"/>
        <v>4</v>
      </c>
      <c r="E1" s="194">
        <f t="shared" si="0"/>
        <v>5</v>
      </c>
      <c r="F1" s="194">
        <f t="shared" si="0"/>
        <v>6</v>
      </c>
      <c r="G1" s="194">
        <f t="shared" si="0"/>
        <v>7</v>
      </c>
      <c r="H1" s="194">
        <f t="shared" ref="H1" si="1">G1+1</f>
        <v>8</v>
      </c>
      <c r="I1" s="194">
        <f t="shared" ref="I1" si="2">H1+1</f>
        <v>9</v>
      </c>
      <c r="J1" s="194">
        <f t="shared" ref="J1" si="3">I1+1</f>
        <v>10</v>
      </c>
      <c r="K1" s="194">
        <f t="shared" ref="K1" si="4">J1+1</f>
        <v>11</v>
      </c>
      <c r="L1" s="194">
        <f t="shared" ref="L1" si="5">K1+1</f>
        <v>12</v>
      </c>
      <c r="M1" s="194">
        <f t="shared" ref="M1" si="6">L1+1</f>
        <v>13</v>
      </c>
      <c r="N1" s="194">
        <f t="shared" ref="N1" si="7">M1+1</f>
        <v>14</v>
      </c>
      <c r="O1" s="194">
        <f t="shared" ref="O1" si="8">N1+1</f>
        <v>15</v>
      </c>
      <c r="P1" s="194">
        <f t="shared" ref="P1" si="9">O1+1</f>
        <v>16</v>
      </c>
      <c r="Q1" s="194">
        <f t="shared" ref="Q1" si="10">P1+1</f>
        <v>17</v>
      </c>
      <c r="R1" s="194">
        <f t="shared" ref="R1" si="11">Q1+1</f>
        <v>18</v>
      </c>
      <c r="S1" s="194">
        <f t="shared" ref="S1" si="12">R1+1</f>
        <v>19</v>
      </c>
      <c r="T1" s="194">
        <f t="shared" ref="T1" si="13">S1+1</f>
        <v>20</v>
      </c>
      <c r="U1" s="194">
        <f t="shared" ref="U1" si="14">T1+1</f>
        <v>21</v>
      </c>
      <c r="V1" s="194">
        <f t="shared" ref="V1" si="15">U1+1</f>
        <v>22</v>
      </c>
      <c r="W1" s="194">
        <f t="shared" ref="W1" si="16">V1+1</f>
        <v>23</v>
      </c>
      <c r="X1" s="194">
        <f t="shared" ref="X1" si="17">W1+1</f>
        <v>24</v>
      </c>
      <c r="Y1" s="194">
        <f t="shared" ref="Y1" si="18">X1+1</f>
        <v>25</v>
      </c>
      <c r="Z1" s="194">
        <f t="shared" ref="Z1" si="19">Y1+1</f>
        <v>26</v>
      </c>
      <c r="AA1" s="194">
        <f t="shared" ref="AA1" si="20">Z1+1</f>
        <v>27</v>
      </c>
      <c r="AB1" s="194">
        <f t="shared" ref="AB1" si="21">AA1+1</f>
        <v>28</v>
      </c>
      <c r="AC1" s="194">
        <f t="shared" ref="AC1" si="22">AB1+1</f>
        <v>29</v>
      </c>
      <c r="AD1" s="194">
        <f t="shared" ref="AD1" si="23">AC1+1</f>
        <v>30</v>
      </c>
      <c r="AE1" s="194">
        <f t="shared" ref="AE1" si="24">AD1+1</f>
        <v>31</v>
      </c>
      <c r="AF1" s="194">
        <f t="shared" ref="AF1" si="25">AE1+1</f>
        <v>32</v>
      </c>
      <c r="AG1" s="194">
        <f t="shared" ref="AG1" si="26">AF1+1</f>
        <v>33</v>
      </c>
      <c r="AH1" s="194">
        <f t="shared" ref="AH1" si="27">AG1+1</f>
        <v>34</v>
      </c>
      <c r="AI1" s="194">
        <f t="shared" ref="AI1" si="28">AH1+1</f>
        <v>35</v>
      </c>
      <c r="AJ1" s="194">
        <f t="shared" ref="AJ1" si="29">AI1+1</f>
        <v>36</v>
      </c>
      <c r="AK1" s="194">
        <f t="shared" ref="AK1" si="30">AJ1+1</f>
        <v>37</v>
      </c>
      <c r="AL1" s="194">
        <f t="shared" ref="AL1" si="31">AK1+1</f>
        <v>38</v>
      </c>
      <c r="AM1" s="194">
        <f t="shared" ref="AM1" si="32">AL1+1</f>
        <v>39</v>
      </c>
      <c r="AN1" s="194">
        <f t="shared" ref="AN1" si="33">AM1+1</f>
        <v>40</v>
      </c>
      <c r="AO1" s="194">
        <f t="shared" ref="AO1" si="34">AN1+1</f>
        <v>41</v>
      </c>
      <c r="AP1" s="194">
        <f t="shared" ref="AP1" si="35">AO1+1</f>
        <v>42</v>
      </c>
      <c r="AQ1" s="194">
        <f t="shared" ref="AQ1" si="36">AP1+1</f>
        <v>43</v>
      </c>
      <c r="AR1" s="194">
        <f t="shared" ref="AR1" si="37">AQ1+1</f>
        <v>44</v>
      </c>
      <c r="AS1" s="194">
        <f t="shared" ref="AS1" si="38">AR1+1</f>
        <v>45</v>
      </c>
      <c r="AT1" s="194">
        <f t="shared" ref="AT1" si="39">AS1+1</f>
        <v>46</v>
      </c>
      <c r="AU1" s="194">
        <f t="shared" ref="AU1" si="40">AT1+1</f>
        <v>47</v>
      </c>
      <c r="AV1" s="194">
        <f t="shared" ref="AV1" si="41">AU1+1</f>
        <v>48</v>
      </c>
      <c r="AW1" s="194">
        <f t="shared" ref="AW1" si="42">AV1+1</f>
        <v>49</v>
      </c>
      <c r="AX1" s="194">
        <f t="shared" ref="AX1" si="43">AW1+1</f>
        <v>50</v>
      </c>
    </row>
    <row r="2" spans="1:50" hidden="1">
      <c r="F2" s="193"/>
      <c r="H2" s="193" t="s">
        <v>35</v>
      </c>
      <c r="I2" s="193" t="s">
        <v>35</v>
      </c>
      <c r="J2" s="193" t="s">
        <v>35</v>
      </c>
      <c r="K2" s="193" t="s">
        <v>35</v>
      </c>
      <c r="L2" s="193" t="s">
        <v>35</v>
      </c>
      <c r="M2" s="193" t="s">
        <v>36</v>
      </c>
      <c r="N2" s="193" t="s">
        <v>36</v>
      </c>
      <c r="O2" s="193" t="s">
        <v>154</v>
      </c>
      <c r="P2" s="193" t="s">
        <v>154</v>
      </c>
      <c r="AB2" s="193">
        <v>0</v>
      </c>
      <c r="AC2" s="193">
        <v>0.17799999999999999</v>
      </c>
      <c r="AE2" s="195">
        <v>0.1</v>
      </c>
      <c r="AF2" s="194"/>
      <c r="AG2" s="194"/>
    </row>
    <row r="3" spans="1:50">
      <c r="F3" s="193"/>
      <c r="H3" s="194">
        <v>1</v>
      </c>
      <c r="I3" s="194">
        <v>1</v>
      </c>
      <c r="J3" s="194">
        <v>2</v>
      </c>
      <c r="K3" s="194">
        <v>2</v>
      </c>
      <c r="L3" s="194">
        <v>3</v>
      </c>
      <c r="M3" s="194">
        <v>4</v>
      </c>
      <c r="N3" s="194">
        <v>4</v>
      </c>
      <c r="AF3" s="393" t="s">
        <v>155</v>
      </c>
      <c r="AG3" s="393"/>
      <c r="AH3" s="393"/>
      <c r="AI3" s="393"/>
      <c r="AJ3" s="393"/>
      <c r="AK3" s="393"/>
      <c r="AL3" s="393"/>
      <c r="AM3" s="393"/>
      <c r="AN3" s="393"/>
    </row>
    <row r="4" spans="1:50" ht="36">
      <c r="A4" s="55" t="s">
        <v>110</v>
      </c>
      <c r="B4" s="53" t="s">
        <v>156</v>
      </c>
      <c r="C4" s="54" t="s">
        <v>157</v>
      </c>
      <c r="D4" s="54" t="s">
        <v>113</v>
      </c>
      <c r="E4" s="54" t="s">
        <v>72</v>
      </c>
      <c r="F4" s="29" t="s">
        <v>158</v>
      </c>
      <c r="G4" s="29" t="s">
        <v>159</v>
      </c>
      <c r="H4" s="198" t="s">
        <v>160</v>
      </c>
      <c r="I4" s="198" t="s">
        <v>161</v>
      </c>
      <c r="J4" s="198" t="s">
        <v>162</v>
      </c>
      <c r="K4" s="198" t="s">
        <v>163</v>
      </c>
      <c r="L4" s="198" t="s">
        <v>164</v>
      </c>
      <c r="M4" s="198" t="s">
        <v>165</v>
      </c>
      <c r="N4" s="198" t="s">
        <v>166</v>
      </c>
      <c r="O4" s="57" t="s">
        <v>167</v>
      </c>
      <c r="P4" s="57" t="s">
        <v>168</v>
      </c>
      <c r="Q4" s="57" t="s">
        <v>169</v>
      </c>
      <c r="R4" s="57" t="s">
        <v>170</v>
      </c>
      <c r="S4" s="57" t="s">
        <v>171</v>
      </c>
      <c r="T4" s="57" t="s">
        <v>172</v>
      </c>
      <c r="U4" s="57" t="s">
        <v>173</v>
      </c>
      <c r="V4" s="57" t="s">
        <v>174</v>
      </c>
      <c r="W4" s="57" t="s">
        <v>175</v>
      </c>
      <c r="X4" s="57" t="s">
        <v>176</v>
      </c>
      <c r="Y4" s="57" t="s">
        <v>35</v>
      </c>
      <c r="Z4" s="57" t="s">
        <v>36</v>
      </c>
      <c r="AA4" s="57" t="s">
        <v>177</v>
      </c>
      <c r="AB4" s="56" t="s">
        <v>178</v>
      </c>
      <c r="AC4" s="56" t="s">
        <v>179</v>
      </c>
      <c r="AD4" s="56" t="s">
        <v>180</v>
      </c>
      <c r="AE4" s="56" t="s">
        <v>181</v>
      </c>
      <c r="AF4" s="56" t="s">
        <v>182</v>
      </c>
      <c r="AG4" s="56" t="s">
        <v>183</v>
      </c>
      <c r="AH4" s="56" t="s">
        <v>184</v>
      </c>
      <c r="AI4" s="56" t="s">
        <v>185</v>
      </c>
      <c r="AJ4" s="56" t="s">
        <v>186</v>
      </c>
      <c r="AK4" s="56" t="s">
        <v>187</v>
      </c>
      <c r="AL4" s="56" t="s">
        <v>188</v>
      </c>
      <c r="AM4" s="56" t="s">
        <v>189</v>
      </c>
      <c r="AN4" s="56" t="s">
        <v>190</v>
      </c>
      <c r="AO4" s="56" t="s">
        <v>191</v>
      </c>
      <c r="AP4" s="56" t="s">
        <v>192</v>
      </c>
      <c r="AQ4" s="56" t="s">
        <v>193</v>
      </c>
      <c r="AR4" s="62" t="s">
        <v>114</v>
      </c>
      <c r="AS4" s="62" t="s">
        <v>194</v>
      </c>
      <c r="AT4" s="62" t="s">
        <v>195</v>
      </c>
      <c r="AU4" s="29" t="s">
        <v>196</v>
      </c>
      <c r="AV4" s="29" t="s">
        <v>197</v>
      </c>
      <c r="AW4" s="29" t="s">
        <v>198</v>
      </c>
      <c r="AX4" s="62" t="s">
        <v>199</v>
      </c>
    </row>
    <row r="5" spans="1:50">
      <c r="A5" s="148">
        <v>45745</v>
      </c>
      <c r="B5" s="151">
        <f>YEAR(RD[[#This Row],[Date]])+IF(MONTH(RD[[#This Row],[Date]])&gt;=4,1,0)</f>
        <v>2025</v>
      </c>
      <c r="C5" s="151">
        <f>YEAR(RD[[#This Row],[Date]])</f>
        <v>2025</v>
      </c>
      <c r="D5" s="152">
        <f t="shared" ref="D5:D12" si="44">A5-DAY(A5)+1</f>
        <v>45717</v>
      </c>
      <c r="E5" s="151">
        <f>DAY(EOMONTH(RD[[#This Row],[Date]],0))</f>
        <v>31</v>
      </c>
      <c r="F5" s="122">
        <v>0.27500000000000002</v>
      </c>
      <c r="G5" s="122">
        <v>0.75694444444444442</v>
      </c>
      <c r="H5" s="138">
        <v>21911.1</v>
      </c>
      <c r="I5" s="138">
        <v>21381.1</v>
      </c>
      <c r="J5" s="138">
        <v>29468.799999999999</v>
      </c>
      <c r="K5" s="138">
        <v>29598.799999999999</v>
      </c>
      <c r="L5" s="138">
        <v>10397.799999999999</v>
      </c>
      <c r="M5" s="138">
        <v>20540.7</v>
      </c>
      <c r="N5" s="138">
        <v>14572.8</v>
      </c>
      <c r="O5" s="167"/>
      <c r="P5" s="167"/>
      <c r="Q5" s="58">
        <v>6.29</v>
      </c>
      <c r="R5" s="58">
        <v>5.73</v>
      </c>
      <c r="S5" s="58">
        <v>35.94</v>
      </c>
      <c r="T5" s="58">
        <v>44.76</v>
      </c>
      <c r="U5" s="58">
        <v>17.07</v>
      </c>
      <c r="V5" s="58">
        <v>0</v>
      </c>
      <c r="W5" s="58">
        <v>2.76</v>
      </c>
      <c r="X5" s="58">
        <v>7.89</v>
      </c>
      <c r="Y5" s="60">
        <f>SUM(RD[[#This Row],[IS1Inv1]:[IS3Inv1]])</f>
        <v>112757.6</v>
      </c>
      <c r="Z5" s="60">
        <f>SUM(RD[[#This Row],[IS4Inv1]:[IS4Inv2]])</f>
        <v>35113.5</v>
      </c>
      <c r="AA5" s="60">
        <f>SUM(RD[[#This Row],[O2RE7]:[O2RE27]])</f>
        <v>147871.1</v>
      </c>
      <c r="AB5" s="153"/>
      <c r="AC5" s="153">
        <v>5633</v>
      </c>
      <c r="AD5" s="153"/>
      <c r="AE5" s="153">
        <v>3964</v>
      </c>
      <c r="AF5" s="153">
        <v>5417.35</v>
      </c>
      <c r="AG5" s="153">
        <v>0.04</v>
      </c>
      <c r="AH5" s="153">
        <v>0.68</v>
      </c>
      <c r="AI5" s="154" t="e">
        <f>IF((RD[[#This Row],[33 kV_F1_Ex]]-#REF!)*150000&lt;=0,"",(RD[[#This Row],[33 kV_F1_Ex]]-#REF!)*150000)</f>
        <v>#REF!</v>
      </c>
      <c r="AJ5" s="154" t="e">
        <f>IF((RD[[#This Row],[33kV_OG1_Ex]]-#REF!)*1000&lt;=0,0,(RD[[#This Row],[33kV_OG1_Ex]]-#REF!)*1000)</f>
        <v>#REF!</v>
      </c>
      <c r="AK5" s="154" t="e">
        <f>IF((RD[[#This Row],[220kV_TL_TVM_Ex]]-#REF!)*1600&lt;=0,0,(RD[[#This Row],[220kV_TL_TVM_Ex]]-#REF!)*1600)</f>
        <v>#REF!</v>
      </c>
      <c r="AL5" s="154" t="e">
        <f>IF((RD[[#This Row],[220kV_C&amp;R_PQM_Ex]]-#REF!)*1000&lt;=0,"",(RD[[#This Row],[220kV_C&amp;R_PQM_Ex]]-#REF!)*1000)</f>
        <v>#REF!</v>
      </c>
      <c r="AM5" s="154" t="e">
        <f>IF((RD[[#This Row],[33kV_Aux1_Im]]-#REF!)*1000&lt;0,"",(RD[[#This Row],[33kV_Aux1_Im]]-#REF!)*1000)</f>
        <v>#REF!</v>
      </c>
      <c r="AN5" s="154" t="e">
        <f>IF((RD[[#This Row],[33kV_Aux1_Im]]-#REF!)*1000&lt;0,"",(RD[[#This Row],[33kV_Aux1_Im]]-#REF!)*1000)</f>
        <v>#REF!</v>
      </c>
      <c r="AO5" s="61" t="e">
        <f>RD[[#This Row],[33kV_OG1_Energy (KWh)]]</f>
        <v>#REF!</v>
      </c>
      <c r="AP5" s="61" t="str">
        <f>IFERROR(RD[[#This Row],[220kV_TL_TVM Energy (KWh)]]-RD[[#This Row],[220kV_C&amp;R_PQM_Imp (KWh)2]],"")</f>
        <v/>
      </c>
      <c r="AQ5" s="63" t="str">
        <f>IFERROR(RD[[#This Row],[33 kV Total Export (KWH)]]/RD[[#This Row],[220 KV Net Export (KWh)]]-1,"")</f>
        <v/>
      </c>
      <c r="AR5" s="64">
        <f>IFERROR((RD[[#This Row],[Sunset Time (POA&lt;20 W/m2)]]-RD[[#This Row],[Sunrise Time (POA&gt;20 W/m2)]])*24,0)</f>
        <v>11.566666666666666</v>
      </c>
      <c r="AS5" s="65" t="e">
        <f>RD[[#This Row],[33kV_OG1_Energy (KWh)]]</f>
        <v>#REF!</v>
      </c>
      <c r="AT5" s="65" t="e">
        <f>IFERROR(RD[[#This Row],[ Export (33 kV)]]*(1-RD[[#This Row],[33 kV Line Loss (%)]]),RD[[#This Row],[ Export (33 kV)]])</f>
        <v>#REF!</v>
      </c>
      <c r="AU5" s="277">
        <v>30.72</v>
      </c>
      <c r="AV5" s="122"/>
      <c r="AW5" s="122"/>
      <c r="AX5" t="str">
        <f>IFERROR(RD[[#This Row],[E_AC (WPR)]]/RD[[#This Row],[E_DC (WPR)]],"")</f>
        <v/>
      </c>
    </row>
    <row r="6" spans="1:50">
      <c r="A6" s="148">
        <f t="shared" ref="A6:A14" si="45">A5+1</f>
        <v>45746</v>
      </c>
      <c r="B6" s="151">
        <f>YEAR(RD[[#This Row],[Date]])+IF(MONTH(RD[[#This Row],[Date]])&gt;=4,1,0)</f>
        <v>2025</v>
      </c>
      <c r="C6" s="151">
        <f>YEAR(RD[[#This Row],[Date]])</f>
        <v>2025</v>
      </c>
      <c r="D6" s="152">
        <f t="shared" si="44"/>
        <v>45717</v>
      </c>
      <c r="E6" s="151">
        <f>DAY(EOMONTH(RD[[#This Row],[Date]],0))</f>
        <v>31</v>
      </c>
      <c r="F6" s="122">
        <v>0.27430555555555558</v>
      </c>
      <c r="G6" s="122">
        <v>0.75624999999999998</v>
      </c>
      <c r="H6" s="138">
        <v>21251.8</v>
      </c>
      <c r="I6" s="138">
        <v>20537.2</v>
      </c>
      <c r="J6" s="138">
        <v>27288.799999999999</v>
      </c>
      <c r="K6" s="138">
        <v>28301.4</v>
      </c>
      <c r="L6" s="138">
        <v>9591.5</v>
      </c>
      <c r="M6" s="138">
        <v>20442.5</v>
      </c>
      <c r="N6" s="138">
        <v>13963.9</v>
      </c>
      <c r="O6" s="167"/>
      <c r="P6" s="167"/>
      <c r="Q6" s="58">
        <v>5.81</v>
      </c>
      <c r="R6" s="58">
        <v>5.68</v>
      </c>
      <c r="S6" s="58">
        <v>36.33</v>
      </c>
      <c r="T6" s="58">
        <v>44.98</v>
      </c>
      <c r="U6" s="58">
        <v>16.32</v>
      </c>
      <c r="V6" s="58">
        <v>0</v>
      </c>
      <c r="W6" s="58">
        <v>2.06</v>
      </c>
      <c r="X6" s="58">
        <v>7.88</v>
      </c>
      <c r="Y6" s="60">
        <f>SUM(RD[[#This Row],[IS1Inv1]:[IS3Inv1]])</f>
        <v>106970.70000000001</v>
      </c>
      <c r="Z6" s="60">
        <f>SUM(RD[[#This Row],[IS4Inv1]:[IS4Inv2]])</f>
        <v>34406.400000000001</v>
      </c>
      <c r="AA6" s="60">
        <f>SUM(RD[[#This Row],[O2RE7]:[O2RE27]])</f>
        <v>141377.1</v>
      </c>
      <c r="AB6" s="153"/>
      <c r="AC6" s="153">
        <v>5773</v>
      </c>
      <c r="AD6" s="153"/>
      <c r="AE6" s="153">
        <v>4050.9</v>
      </c>
      <c r="AF6" s="153">
        <v>5556.0214999999998</v>
      </c>
      <c r="AG6" s="153">
        <v>0.04</v>
      </c>
      <c r="AH6" s="153">
        <v>0.69</v>
      </c>
      <c r="AI6" s="154" t="str">
        <f>IF((RD[[#This Row],[33 kV_F1_Ex]]-AB5)*150000&lt;=0,"",(RD[[#This Row],[33 kV_F1_Ex]]-AB5)*150000)</f>
        <v/>
      </c>
      <c r="AJ6" s="154">
        <f>IF((RD[[#This Row],[33kV_OG1_Ex]]-AC5)*1000&lt;=0,0,(RD[[#This Row],[33kV_OG1_Ex]]-AC5)*1000)</f>
        <v>140000</v>
      </c>
      <c r="AK6" s="154">
        <f>IF((RD[[#This Row],[220kV_TL_TVM_Ex]]-AE5)*1600&lt;=0,0,(RD[[#This Row],[220kV_TL_TVM_Ex]]-AE5)*1600)</f>
        <v>139040.00000000015</v>
      </c>
      <c r="AL6" s="154">
        <f>IF((RD[[#This Row],[220kV_C&amp;R_PQM_Ex]]-AF5)*1000&lt;=0,"",(RD[[#This Row],[220kV_C&amp;R_PQM_Ex]]-AF5)*1000)</f>
        <v>138671.49999999948</v>
      </c>
      <c r="AM6" s="154">
        <f>IF((RD[[#This Row],[33kV_Aux1_Im]]-AH5)*1000&lt;0,"",(RD[[#This Row],[33kV_Aux1_Im]]-AH5)*1000)</f>
        <v>9.999999999999897</v>
      </c>
      <c r="AN6" s="154">
        <f>IF((RD[[#This Row],[33kV_Aux1_Im]]-AH5)*1000&lt;0,"",(RD[[#This Row],[33kV_Aux1_Im]]-AH5)*1000)</f>
        <v>9.999999999999897</v>
      </c>
      <c r="AO6" s="61">
        <f>RD[[#This Row],[33kV_OG1_Energy (KWh)]]</f>
        <v>140000</v>
      </c>
      <c r="AP6" s="61">
        <f>IFERROR(RD[[#This Row],[220kV_TL_TVM Energy (KWh)]]-RD[[#This Row],[220kV_C&amp;R_PQM_Imp (KWh)2]],"")</f>
        <v>139030.00000000015</v>
      </c>
      <c r="AQ6" s="63">
        <f>IFERROR(RD[[#This Row],[33 kV Total Export (KWH)]]/RD[[#This Row],[220 KV Net Export (KWh)]]-1,"")</f>
        <v>6.9769114579576463E-3</v>
      </c>
      <c r="AR6" s="64">
        <f>IFERROR((RD[[#This Row],[Sunset Time (POA&lt;20 W/m2)]]-RD[[#This Row],[Sunrise Time (POA&gt;20 W/m2)]])*24,0)</f>
        <v>11.566666666666666</v>
      </c>
      <c r="AS6" s="65">
        <f>RD[[#This Row],[33kV_OG1_Energy (KWh)]]</f>
        <v>140000</v>
      </c>
      <c r="AT6" s="65">
        <f>IFERROR(RD[[#This Row],[ Export (33 kV)]]*(1-RD[[#This Row],[33 kV Line Loss (%)]]),RD[[#This Row],[ Export (33 kV)]])</f>
        <v>139023.23239588592</v>
      </c>
      <c r="AU6" s="277">
        <v>30.72</v>
      </c>
      <c r="AV6" s="122"/>
      <c r="AW6" s="122"/>
      <c r="AX6" t="str">
        <f>IFERROR(RD[[#This Row],[E_AC (WPR)]]/RD[[#This Row],[E_DC (WPR)]],"")</f>
        <v/>
      </c>
    </row>
    <row r="7" spans="1:50">
      <c r="A7" s="148">
        <f t="shared" si="45"/>
        <v>45747</v>
      </c>
      <c r="B7" s="151">
        <f>YEAR(RD[[#This Row],[Date]])+IF(MONTH(RD[[#This Row],[Date]])&gt;=4,1,0)</f>
        <v>2025</v>
      </c>
      <c r="C7" s="151">
        <f>YEAR(RD[[#This Row],[Date]])</f>
        <v>2025</v>
      </c>
      <c r="D7" s="152">
        <f t="shared" si="44"/>
        <v>45717</v>
      </c>
      <c r="E7" s="151">
        <f>DAY(EOMONTH(RD[[#This Row],[Date]],0))</f>
        <v>31</v>
      </c>
      <c r="F7" s="122">
        <v>0.27569444444444446</v>
      </c>
      <c r="G7" s="122">
        <v>0.75208333333333333</v>
      </c>
      <c r="H7" s="138">
        <v>19012.099999999999</v>
      </c>
      <c r="I7" s="138">
        <v>18444.5</v>
      </c>
      <c r="J7" s="138">
        <v>24547.8</v>
      </c>
      <c r="K7" s="138">
        <v>26020.400000000001</v>
      </c>
      <c r="L7" s="138">
        <v>8594.9</v>
      </c>
      <c r="M7" s="138">
        <v>18677.400000000001</v>
      </c>
      <c r="N7" s="138">
        <v>13955.3</v>
      </c>
      <c r="O7" s="167"/>
      <c r="P7" s="167"/>
      <c r="Q7" s="58">
        <v>5.26</v>
      </c>
      <c r="R7" s="58">
        <v>5.15</v>
      </c>
      <c r="S7" s="58">
        <v>36.299999999999997</v>
      </c>
      <c r="T7" s="58">
        <v>45.84</v>
      </c>
      <c r="U7" s="58">
        <v>22.59</v>
      </c>
      <c r="V7" s="58">
        <v>0</v>
      </c>
      <c r="W7" s="58">
        <v>1.74</v>
      </c>
      <c r="X7" s="58">
        <v>4.8</v>
      </c>
      <c r="Y7" s="60">
        <f>SUM(RD[[#This Row],[IS1Inv1]:[IS3Inv1]])</f>
        <v>96619.699999999983</v>
      </c>
      <c r="Z7" s="60">
        <f>SUM(RD[[#This Row],[IS4Inv1]:[IS4Inv2]])</f>
        <v>32632.7</v>
      </c>
      <c r="AA7" s="60">
        <f>SUM(RD[[#This Row],[O2RE7]:[O2RE27]])</f>
        <v>129252.39999999998</v>
      </c>
      <c r="AB7" s="153"/>
      <c r="AC7" s="153">
        <v>5901</v>
      </c>
      <c r="AD7" s="153"/>
      <c r="AE7" s="153">
        <v>4130.3</v>
      </c>
      <c r="AF7" s="153">
        <v>5682.8140000000003</v>
      </c>
      <c r="AG7" s="153">
        <v>0.04</v>
      </c>
      <c r="AH7" s="153">
        <v>0.71</v>
      </c>
      <c r="AI7" s="154" t="str">
        <f>IF((RD[[#This Row],[33 kV_F1_Ex]]-AB6)*150000&lt;=0,"",(RD[[#This Row],[33 kV_F1_Ex]]-AB6)*150000)</f>
        <v/>
      </c>
      <c r="AJ7" s="154">
        <f>IF((RD[[#This Row],[33kV_OG1_Ex]]-AC6)*1000&lt;=0,0,(RD[[#This Row],[33kV_OG1_Ex]]-AC6)*1000)</f>
        <v>128000</v>
      </c>
      <c r="AK7" s="154">
        <f>IF((RD[[#This Row],[220kV_TL_TVM_Ex]]-AE6)*1600&lt;=0,0,(RD[[#This Row],[220kV_TL_TVM_Ex]]-AE6)*1600)</f>
        <v>127040.00000000015</v>
      </c>
      <c r="AL7" s="154">
        <f>IF((RD[[#This Row],[220kV_C&amp;R_PQM_Ex]]-AF6)*1000&lt;=0,"",(RD[[#This Row],[220kV_C&amp;R_PQM_Ex]]-AF6)*1000)</f>
        <v>126792.50000000047</v>
      </c>
      <c r="AM7" s="154">
        <f>IF((RD[[#This Row],[33kV_Aux1_Im]]-AH6)*1000&lt;0,"",(RD[[#This Row],[33kV_Aux1_Im]]-AH6)*1000)</f>
        <v>20.000000000000018</v>
      </c>
      <c r="AN7" s="154">
        <f>IF((RD[[#This Row],[33kV_Aux1_Im]]-AH6)*1000&lt;0,"",(RD[[#This Row],[33kV_Aux1_Im]]-AH6)*1000)</f>
        <v>20.000000000000018</v>
      </c>
      <c r="AO7" s="61">
        <f>RD[[#This Row],[33kV_OG1_Energy (KWh)]]</f>
        <v>128000</v>
      </c>
      <c r="AP7" s="61">
        <f>IFERROR(RD[[#This Row],[220kV_TL_TVM Energy (KWh)]]-RD[[#This Row],[220kV_C&amp;R_PQM_Imp (KWh)2]],"")</f>
        <v>127020.00000000015</v>
      </c>
      <c r="AQ7" s="63">
        <f>IFERROR(RD[[#This Row],[33 kV Total Export (KWH)]]/RD[[#This Row],[220 KV Net Export (KWh)]]-1,"")</f>
        <v>7.7153204219795324E-3</v>
      </c>
      <c r="AR7" s="64">
        <f>IFERROR((RD[[#This Row],[Sunset Time (POA&lt;20 W/m2)]]-RD[[#This Row],[Sunrise Time (POA&gt;20 W/m2)]])*24,0)</f>
        <v>11.433333333333334</v>
      </c>
      <c r="AS7" s="65">
        <f>RD[[#This Row],[33kV_OG1_Energy (KWh)]]</f>
        <v>128000</v>
      </c>
      <c r="AT7" s="65">
        <f>IFERROR(RD[[#This Row],[ Export (33 kV)]]*(1-RD[[#This Row],[33 kV Line Loss (%)]]),RD[[#This Row],[ Export (33 kV)]])</f>
        <v>127012.43898598662</v>
      </c>
      <c r="AU7" s="277">
        <v>30.72</v>
      </c>
      <c r="AV7" s="122"/>
      <c r="AW7" s="122"/>
      <c r="AX7" t="str">
        <f>IFERROR(RD[[#This Row],[E_AC (WPR)]]/RD[[#This Row],[E_DC (WPR)]],"")</f>
        <v/>
      </c>
    </row>
    <row r="8" spans="1:50">
      <c r="A8" s="148">
        <f t="shared" si="45"/>
        <v>45748</v>
      </c>
      <c r="B8" s="151">
        <f>YEAR(RD[[#This Row],[Date]])+IF(MONTH(RD[[#This Row],[Date]])&gt;=4,1,0)</f>
        <v>2026</v>
      </c>
      <c r="C8" s="151">
        <f>YEAR(RD[[#This Row],[Date]])</f>
        <v>2025</v>
      </c>
      <c r="D8" s="152">
        <f t="shared" si="44"/>
        <v>45748</v>
      </c>
      <c r="E8" s="151">
        <f>DAY(EOMONTH(RD[[#This Row],[Date]],0))</f>
        <v>30</v>
      </c>
      <c r="F8" s="122">
        <v>0.27361111111111114</v>
      </c>
      <c r="G8" s="122">
        <v>0.72222222222222221</v>
      </c>
      <c r="H8" s="138">
        <v>15477.5</v>
      </c>
      <c r="I8" s="138">
        <v>15003.3</v>
      </c>
      <c r="J8" s="138">
        <v>21701.9</v>
      </c>
      <c r="K8" s="138">
        <v>21077.5</v>
      </c>
      <c r="L8" s="138">
        <v>7020.8</v>
      </c>
      <c r="M8" s="138">
        <v>16212.1</v>
      </c>
      <c r="N8" s="138">
        <v>12514.9</v>
      </c>
      <c r="O8" s="167"/>
      <c r="P8" s="167"/>
      <c r="Q8" s="58">
        <v>4.29</v>
      </c>
      <c r="R8" s="58">
        <v>4.28</v>
      </c>
      <c r="S8" s="58">
        <v>35</v>
      </c>
      <c r="T8" s="58">
        <v>43.05</v>
      </c>
      <c r="U8" s="58">
        <v>29.12</v>
      </c>
      <c r="V8" s="58">
        <v>0</v>
      </c>
      <c r="W8" s="58">
        <v>1.88</v>
      </c>
      <c r="X8" s="58">
        <v>5.22</v>
      </c>
      <c r="Y8" s="60">
        <f>SUM(RD[[#This Row],[IS1Inv1]:[IS3Inv1]])</f>
        <v>80281</v>
      </c>
      <c r="Z8" s="60">
        <f>SUM(RD[[#This Row],[IS4Inv1]:[IS4Inv2]])</f>
        <v>28727</v>
      </c>
      <c r="AA8" s="60">
        <f>SUM(RD[[#This Row],[O2RE7]:[O2RE27]])</f>
        <v>109008</v>
      </c>
      <c r="AB8" s="153"/>
      <c r="AC8" s="153">
        <v>6009</v>
      </c>
      <c r="AD8" s="153"/>
      <c r="AE8" s="153">
        <v>4197.3999999999996</v>
      </c>
      <c r="AF8" s="153">
        <v>5789.5349999999999</v>
      </c>
      <c r="AG8" s="153">
        <v>0.04</v>
      </c>
      <c r="AH8" s="153">
        <v>0.73</v>
      </c>
      <c r="AI8" s="154" t="str">
        <f>IF((RD[[#This Row],[33 kV_F1_Ex]]-AB7)*150000&lt;=0,"",(RD[[#This Row],[33 kV_F1_Ex]]-AB7)*150000)</f>
        <v/>
      </c>
      <c r="AJ8" s="154">
        <f>IF((RD[[#This Row],[33kV_OG1_Ex]]-AC7)*1000&lt;=0,0,(RD[[#This Row],[33kV_OG1_Ex]]-AC7)*1000)</f>
        <v>108000</v>
      </c>
      <c r="AK8" s="154">
        <f>IF((RD[[#This Row],[220kV_TL_TVM_Ex]]-AE7)*1600&lt;=0,0,(RD[[#This Row],[220kV_TL_TVM_Ex]]-AE7)*1600)</f>
        <v>107359.99999999913</v>
      </c>
      <c r="AL8" s="154">
        <f>IF((RD[[#This Row],[220kV_C&amp;R_PQM_Ex]]-AF7)*1000&lt;=0,"",(RD[[#This Row],[220kV_C&amp;R_PQM_Ex]]-AF7)*1000)</f>
        <v>106720.99999999955</v>
      </c>
      <c r="AM8" s="154">
        <f>IF((RD[[#This Row],[33kV_Aux1_Im]]-AH7)*1000&lt;0,"",(RD[[#This Row],[33kV_Aux1_Im]]-AH7)*1000)</f>
        <v>20.000000000000018</v>
      </c>
      <c r="AN8" s="154">
        <f>IF((RD[[#This Row],[33kV_Aux1_Im]]-AH7)*1000&lt;0,"",(RD[[#This Row],[33kV_Aux1_Im]]-AH7)*1000)</f>
        <v>20.000000000000018</v>
      </c>
      <c r="AO8" s="61">
        <f>RD[[#This Row],[33kV_OG1_Energy (KWh)]]</f>
        <v>108000</v>
      </c>
      <c r="AP8" s="61">
        <f>IFERROR(RD[[#This Row],[220kV_TL_TVM Energy (KWh)]]-RD[[#This Row],[220kV_C&amp;R_PQM_Imp (KWh)2]],"")</f>
        <v>107339.99999999913</v>
      </c>
      <c r="AQ8" s="63">
        <f>IFERROR(RD[[#This Row],[33 kV Total Export (KWH)]]/RD[[#This Row],[220 KV Net Export (KWh)]]-1,"")</f>
        <v>6.1486864170008371E-3</v>
      </c>
      <c r="AR8" s="64">
        <f>IFERROR((RD[[#This Row],[Sunset Time (POA&lt;20 W/m2)]]-RD[[#This Row],[Sunrise Time (POA&gt;20 W/m2)]])*24,0)</f>
        <v>10.766666666666666</v>
      </c>
      <c r="AS8" s="65">
        <f>RD[[#This Row],[33kV_OG1_Energy (KWh)]]</f>
        <v>108000</v>
      </c>
      <c r="AT8" s="65">
        <f>IFERROR(RD[[#This Row],[ Export (33 kV)]]*(1-RD[[#This Row],[33 kV Line Loss (%)]]),RD[[#This Row],[ Export (33 kV)]])</f>
        <v>107335.94186696391</v>
      </c>
      <c r="AU8" s="277">
        <v>33.64</v>
      </c>
      <c r="AV8" s="122"/>
      <c r="AW8" s="122"/>
      <c r="AX8" t="str">
        <f>IFERROR(RD[[#This Row],[E_AC (WPR)]]/RD[[#This Row],[E_DC (WPR)]],"")</f>
        <v/>
      </c>
    </row>
    <row r="9" spans="1:50">
      <c r="A9" s="148">
        <f t="shared" si="45"/>
        <v>45749</v>
      </c>
      <c r="B9" s="151">
        <f>YEAR(RD[[#This Row],[Date]])+IF(MONTH(RD[[#This Row],[Date]])&gt;=4,1,0)</f>
        <v>2026</v>
      </c>
      <c r="C9" s="151">
        <f>YEAR(RD[[#This Row],[Date]])</f>
        <v>2025</v>
      </c>
      <c r="D9" s="152">
        <f t="shared" si="44"/>
        <v>45748</v>
      </c>
      <c r="E9" s="151">
        <f>DAY(EOMONTH(RD[[#This Row],[Date]],0))</f>
        <v>30</v>
      </c>
      <c r="F9" s="122">
        <v>0.27361111111111114</v>
      </c>
      <c r="G9" s="122">
        <v>0.75902777777777775</v>
      </c>
      <c r="H9" s="138">
        <v>19849.7</v>
      </c>
      <c r="I9" s="138">
        <v>19221</v>
      </c>
      <c r="J9" s="138">
        <v>28054.5</v>
      </c>
      <c r="K9" s="138">
        <v>27826.799999999999</v>
      </c>
      <c r="L9" s="138">
        <v>10420.299999999999</v>
      </c>
      <c r="M9" s="138">
        <v>20997</v>
      </c>
      <c r="N9" s="138">
        <v>16134.4</v>
      </c>
      <c r="O9" s="167"/>
      <c r="P9" s="167"/>
      <c r="Q9" s="58">
        <v>5.47</v>
      </c>
      <c r="R9" s="58">
        <v>5.4</v>
      </c>
      <c r="S9" s="58">
        <v>33.619999999999997</v>
      </c>
      <c r="T9" s="58">
        <v>41.29</v>
      </c>
      <c r="U9" s="58">
        <v>33.81</v>
      </c>
      <c r="V9" s="58">
        <v>0</v>
      </c>
      <c r="W9" s="58">
        <v>3.31</v>
      </c>
      <c r="X9" s="58">
        <v>7.96</v>
      </c>
      <c r="Y9" s="60">
        <f>SUM(RD[[#This Row],[IS1Inv1]:[IS3Inv1]])</f>
        <v>105372.3</v>
      </c>
      <c r="Z9" s="60">
        <f>SUM(RD[[#This Row],[IS4Inv1]:[IS4Inv2]])</f>
        <v>37131.4</v>
      </c>
      <c r="AA9" s="60">
        <f>SUM(RD[[#This Row],[O2RE7]:[O2RE27]])</f>
        <v>142503.70000000001</v>
      </c>
      <c r="AB9" s="153"/>
      <c r="AC9" s="153">
        <v>6150</v>
      </c>
      <c r="AD9" s="153"/>
      <c r="AE9" s="153">
        <v>4285</v>
      </c>
      <c r="AF9" s="153">
        <v>5929.4480000000003</v>
      </c>
      <c r="AG9" s="153">
        <v>0.04</v>
      </c>
      <c r="AH9" s="153">
        <v>0.74</v>
      </c>
      <c r="AI9" s="154" t="str">
        <f>IF((RD[[#This Row],[33 kV_F1_Ex]]-AB8)*150000&lt;=0,"",(RD[[#This Row],[33 kV_F1_Ex]]-AB8)*150000)</f>
        <v/>
      </c>
      <c r="AJ9" s="154">
        <f>IF((RD[[#This Row],[33kV_OG1_Ex]]-AC8)*1000&lt;=0,0,(RD[[#This Row],[33kV_OG1_Ex]]-AC8)*1000)</f>
        <v>141000</v>
      </c>
      <c r="AK9" s="154">
        <f>IF((RD[[#This Row],[220kV_TL_TVM_Ex]]-AE8)*1600&lt;=0,0,(RD[[#This Row],[220kV_TL_TVM_Ex]]-AE8)*1600)</f>
        <v>140160.00000000058</v>
      </c>
      <c r="AL9" s="154">
        <f>IF((RD[[#This Row],[220kV_C&amp;R_PQM_Ex]]-AF8)*1000&lt;=0,"",(RD[[#This Row],[220kV_C&amp;R_PQM_Ex]]-AF8)*1000)</f>
        <v>139913.00000000047</v>
      </c>
      <c r="AM9" s="154">
        <f>IF((RD[[#This Row],[33kV_Aux1_Im]]-AH8)*1000&lt;0,"",(RD[[#This Row],[33kV_Aux1_Im]]-AH8)*1000)</f>
        <v>10.000000000000009</v>
      </c>
      <c r="AN9" s="154">
        <f>IF((RD[[#This Row],[33kV_Aux1_Im]]-AH8)*1000&lt;0,"",(RD[[#This Row],[33kV_Aux1_Im]]-AH8)*1000)</f>
        <v>10.000000000000009</v>
      </c>
      <c r="AO9" s="61">
        <f>RD[[#This Row],[33kV_OG1_Energy (KWh)]]</f>
        <v>141000</v>
      </c>
      <c r="AP9" s="61">
        <f>IFERROR(RD[[#This Row],[220kV_TL_TVM Energy (KWh)]]-RD[[#This Row],[220kV_C&amp;R_PQM_Imp (KWh)2]],"")</f>
        <v>140150.00000000058</v>
      </c>
      <c r="AQ9" s="63">
        <f>IFERROR(RD[[#This Row],[33 kV Total Export (KWH)]]/RD[[#This Row],[220 KV Net Export (KWh)]]-1,"")</f>
        <v>6.0649304316762187E-3</v>
      </c>
      <c r="AR9" s="64">
        <f>IFERROR((RD[[#This Row],[Sunset Time (POA&lt;20 W/m2)]]-RD[[#This Row],[Sunrise Time (POA&gt;20 W/m2)]])*24,0)</f>
        <v>11.649999999999999</v>
      </c>
      <c r="AS9" s="65">
        <f>RD[[#This Row],[33kV_OG1_Energy (KWh)]]</f>
        <v>141000</v>
      </c>
      <c r="AT9" s="65">
        <f>IFERROR(RD[[#This Row],[ Export (33 kV)]]*(1-RD[[#This Row],[33 kV Line Loss (%)]]),RD[[#This Row],[ Export (33 kV)]])</f>
        <v>140144.84480913365</v>
      </c>
      <c r="AU9" s="277">
        <v>33.64</v>
      </c>
      <c r="AV9" s="122"/>
      <c r="AW9" s="122"/>
      <c r="AX9" t="str">
        <f>IFERROR(RD[[#This Row],[E_AC (WPR)]]/RD[[#This Row],[E_DC (WPR)]],"")</f>
        <v/>
      </c>
    </row>
    <row r="10" spans="1:50">
      <c r="A10" s="148">
        <f t="shared" si="45"/>
        <v>45750</v>
      </c>
      <c r="B10" s="151">
        <f>YEAR(RD[[#This Row],[Date]])+IF(MONTH(RD[[#This Row],[Date]])&gt;=4,1,0)</f>
        <v>2026</v>
      </c>
      <c r="C10" s="151">
        <f>YEAR(RD[[#This Row],[Date]])</f>
        <v>2025</v>
      </c>
      <c r="D10" s="152">
        <f t="shared" si="44"/>
        <v>45748</v>
      </c>
      <c r="E10" s="151">
        <f>DAY(EOMONTH(RD[[#This Row],[Date]],0))</f>
        <v>30</v>
      </c>
      <c r="F10" s="122">
        <v>0.27430555555555558</v>
      </c>
      <c r="G10" s="122">
        <v>0.73055555555555551</v>
      </c>
      <c r="H10" s="138">
        <v>17770.2</v>
      </c>
      <c r="I10" s="138">
        <v>17182.5</v>
      </c>
      <c r="J10" s="138">
        <v>25413.9</v>
      </c>
      <c r="K10" s="138">
        <v>25418</v>
      </c>
      <c r="L10" s="138">
        <v>10899.5</v>
      </c>
      <c r="M10" s="138">
        <v>19071</v>
      </c>
      <c r="N10" s="138">
        <v>10184.200000000001</v>
      </c>
      <c r="O10" s="167"/>
      <c r="P10" s="167"/>
      <c r="Q10" s="58">
        <v>4.93</v>
      </c>
      <c r="R10" s="58">
        <v>4.8600000000000003</v>
      </c>
      <c r="S10" s="58">
        <v>31.69</v>
      </c>
      <c r="T10" s="58">
        <v>39.79</v>
      </c>
      <c r="U10" s="58">
        <v>38.840000000000003</v>
      </c>
      <c r="V10" s="58">
        <v>0</v>
      </c>
      <c r="W10" s="58">
        <v>3.55</v>
      </c>
      <c r="X10" s="58">
        <v>9.8699999999999992</v>
      </c>
      <c r="Y10" s="60">
        <f>SUM(RD[[#This Row],[IS1Inv1]:[IS3Inv1]])</f>
        <v>96684.1</v>
      </c>
      <c r="Z10" s="60">
        <f>SUM(RD[[#This Row],[IS4Inv1]:[IS4Inv2]])</f>
        <v>29255.200000000001</v>
      </c>
      <c r="AA10" s="60">
        <f>SUM(RD[[#This Row],[O2RE7]:[O2RE27]])</f>
        <v>125939.3</v>
      </c>
      <c r="AB10" s="153"/>
      <c r="AC10" s="153">
        <v>6275</v>
      </c>
      <c r="AD10" s="153"/>
      <c r="AE10" s="153">
        <v>4362.3999999999996</v>
      </c>
      <c r="AF10" s="153">
        <v>6053</v>
      </c>
      <c r="AG10" s="153">
        <v>0.04</v>
      </c>
      <c r="AH10" s="153">
        <v>0.75</v>
      </c>
      <c r="AI10" s="154" t="str">
        <f>IF((RD[[#This Row],[33 kV_F1_Ex]]-AB9)*150000&lt;=0,"",(RD[[#This Row],[33 kV_F1_Ex]]-AB9)*150000)</f>
        <v/>
      </c>
      <c r="AJ10" s="154">
        <f>IF((RD[[#This Row],[33kV_OG1_Ex]]-AC9)*1000&lt;=0,0,(RD[[#This Row],[33kV_OG1_Ex]]-AC9)*1000)</f>
        <v>125000</v>
      </c>
      <c r="AK10" s="154">
        <f>IF((RD[[#This Row],[220kV_TL_TVM_Ex]]-AE9)*1600&lt;=0,0,(RD[[#This Row],[220kV_TL_TVM_Ex]]-AE9)*1600)</f>
        <v>123839.99999999942</v>
      </c>
      <c r="AL10" s="154">
        <f>IF((RD[[#This Row],[220kV_C&amp;R_PQM_Ex]]-AF9)*1000&lt;=0,"",(RD[[#This Row],[220kV_C&amp;R_PQM_Ex]]-AF9)*1000)</f>
        <v>123551.99999999968</v>
      </c>
      <c r="AM10" s="154">
        <f>IF((RD[[#This Row],[33kV_Aux1_Im]]-AH9)*1000&lt;0,"",(RD[[#This Row],[33kV_Aux1_Im]]-AH9)*1000)</f>
        <v>10.000000000000009</v>
      </c>
      <c r="AN10" s="154">
        <f>IF((RD[[#This Row],[33kV_Aux1_Im]]-AH9)*1000&lt;0,"",(RD[[#This Row],[33kV_Aux1_Im]]-AH9)*1000)</f>
        <v>10.000000000000009</v>
      </c>
      <c r="AO10" s="61">
        <f>RD[[#This Row],[33kV_OG1_Energy (KWh)]]</f>
        <v>125000</v>
      </c>
      <c r="AP10" s="61">
        <f>IFERROR(RD[[#This Row],[220kV_TL_TVM Energy (KWh)]]-RD[[#This Row],[220kV_C&amp;R_PQM_Imp (KWh)2]],"")</f>
        <v>123829.99999999942</v>
      </c>
      <c r="AQ10" s="63">
        <f>IFERROR(RD[[#This Row],[33 kV Total Export (KWH)]]/RD[[#This Row],[220 KV Net Export (KWh)]]-1,"")</f>
        <v>9.4484373738237259E-3</v>
      </c>
      <c r="AR10" s="64">
        <f>IFERROR((RD[[#This Row],[Sunset Time (POA&lt;20 W/m2)]]-RD[[#This Row],[Sunrise Time (POA&gt;20 W/m2)]])*24,0)</f>
        <v>10.95</v>
      </c>
      <c r="AS10" s="65">
        <f>RD[[#This Row],[33kV_OG1_Energy (KWh)]]</f>
        <v>125000</v>
      </c>
      <c r="AT10" s="65">
        <f>IFERROR(RD[[#This Row],[ Export (33 kV)]]*(1-RD[[#This Row],[33 kV Line Loss (%)]]),RD[[#This Row],[ Export (33 kV)]])</f>
        <v>123818.94532827204</v>
      </c>
      <c r="AU10" s="277">
        <v>33.64</v>
      </c>
      <c r="AV10" s="122"/>
      <c r="AW10" s="122"/>
      <c r="AX10" t="str">
        <f>IFERROR(RD[[#This Row],[E_AC (WPR)]]/RD[[#This Row],[E_DC (WPR)]],"")</f>
        <v/>
      </c>
    </row>
    <row r="11" spans="1:50">
      <c r="A11" s="148">
        <f t="shared" si="45"/>
        <v>45751</v>
      </c>
      <c r="B11" s="151">
        <f>YEAR(RD[[#This Row],[Date]])+IF(MONTH(RD[[#This Row],[Date]])&gt;=4,1,0)</f>
        <v>2026</v>
      </c>
      <c r="C11" s="151">
        <f>YEAR(RD[[#This Row],[Date]])</f>
        <v>2025</v>
      </c>
      <c r="D11" s="152">
        <f t="shared" si="44"/>
        <v>45748</v>
      </c>
      <c r="E11" s="151">
        <f>DAY(EOMONTH(RD[[#This Row],[Date]],0))</f>
        <v>30</v>
      </c>
      <c r="F11" s="122">
        <v>0.27291666666666664</v>
      </c>
      <c r="G11" s="122">
        <v>0.7583333333333333</v>
      </c>
      <c r="H11" s="138">
        <v>23201.200000000001</v>
      </c>
      <c r="I11" s="138">
        <v>22190.3</v>
      </c>
      <c r="J11" s="138">
        <v>32311.599999999999</v>
      </c>
      <c r="K11" s="138">
        <v>32744</v>
      </c>
      <c r="L11" s="138">
        <v>16878.2</v>
      </c>
      <c r="M11" s="138">
        <v>24438.7</v>
      </c>
      <c r="N11" s="138">
        <v>19002.2</v>
      </c>
      <c r="O11" s="167"/>
      <c r="P11" s="167"/>
      <c r="Q11" s="58">
        <v>6.45</v>
      </c>
      <c r="R11" s="58">
        <v>6.38</v>
      </c>
      <c r="S11" s="58">
        <v>32.729999999999997</v>
      </c>
      <c r="T11" s="58">
        <v>45.1</v>
      </c>
      <c r="U11" s="58">
        <v>41.09</v>
      </c>
      <c r="V11" s="58">
        <v>0</v>
      </c>
      <c r="W11" s="58">
        <v>2.19</v>
      </c>
      <c r="X11" s="58">
        <v>6.83</v>
      </c>
      <c r="Y11" s="60">
        <f>SUM(RD[[#This Row],[IS1Inv1]:[IS3Inv1]])</f>
        <v>127325.3</v>
      </c>
      <c r="Z11" s="60">
        <f>SUM(RD[[#This Row],[IS4Inv1]:[IS4Inv2]])</f>
        <v>43440.9</v>
      </c>
      <c r="AA11" s="60">
        <f>SUM(RD[[#This Row],[O2RE7]:[O2RE27]])</f>
        <v>170766.2</v>
      </c>
      <c r="AB11" s="153"/>
      <c r="AC11" s="153">
        <v>6444</v>
      </c>
      <c r="AD11" s="153"/>
      <c r="AE11" s="153">
        <v>4467.3999999999996</v>
      </c>
      <c r="AF11" s="153">
        <v>6220.7139999999999</v>
      </c>
      <c r="AG11" s="153">
        <v>0.04</v>
      </c>
      <c r="AH11" s="153">
        <v>0.77</v>
      </c>
      <c r="AI11" s="154" t="str">
        <f>IF((RD[[#This Row],[33 kV_F1_Ex]]-AB10)*150000&lt;=0,"",(RD[[#This Row],[33 kV_F1_Ex]]-AB10)*150000)</f>
        <v/>
      </c>
      <c r="AJ11" s="154">
        <f>IF((RD[[#This Row],[33kV_OG1_Ex]]-AC10)*1000&lt;=0,0,(RD[[#This Row],[33kV_OG1_Ex]]-AC10)*1000)</f>
        <v>169000</v>
      </c>
      <c r="AK11" s="154">
        <f>IF((RD[[#This Row],[220kV_TL_TVM_Ex]]-AE10)*1600&lt;=0,0,(RD[[#This Row],[220kV_TL_TVM_Ex]]-AE10)*1600)</f>
        <v>168000</v>
      </c>
      <c r="AL11" s="154">
        <f>IF((RD[[#This Row],[220kV_C&amp;R_PQM_Ex]]-AF10)*1000&lt;=0,"",(RD[[#This Row],[220kV_C&amp;R_PQM_Ex]]-AF10)*1000)</f>
        <v>167713.99999999994</v>
      </c>
      <c r="AM11" s="154">
        <f>IF((RD[[#This Row],[33kV_Aux1_Im]]-AH10)*1000&lt;0,"",(RD[[#This Row],[33kV_Aux1_Im]]-AH10)*1000)</f>
        <v>20.000000000000018</v>
      </c>
      <c r="AN11" s="154">
        <f>IF((RD[[#This Row],[33kV_Aux1_Im]]-AH10)*1000&lt;0,"",(RD[[#This Row],[33kV_Aux1_Im]]-AH10)*1000)</f>
        <v>20.000000000000018</v>
      </c>
      <c r="AO11" s="61">
        <f>RD[[#This Row],[33kV_OG1_Energy (KWh)]]</f>
        <v>169000</v>
      </c>
      <c r="AP11" s="61">
        <f>IFERROR(RD[[#This Row],[220kV_TL_TVM Energy (KWh)]]-RD[[#This Row],[220kV_C&amp;R_PQM_Imp (KWh)2]],"")</f>
        <v>167980</v>
      </c>
      <c r="AQ11" s="63">
        <f>IFERROR(RD[[#This Row],[33 kV Total Export (KWH)]]/RD[[#This Row],[220 KV Net Export (KWh)]]-1,"")</f>
        <v>6.072151446600893E-3</v>
      </c>
      <c r="AR11" s="64">
        <f>IFERROR((RD[[#This Row],[Sunset Time (POA&lt;20 W/m2)]]-RD[[#This Row],[Sunrise Time (POA&gt;20 W/m2)]])*24,0)</f>
        <v>11.65</v>
      </c>
      <c r="AS11" s="65">
        <f>RD[[#This Row],[33kV_OG1_Energy (KWh)]]</f>
        <v>169000</v>
      </c>
      <c r="AT11" s="65">
        <f>IFERROR(RD[[#This Row],[ Export (33 kV)]]*(1-RD[[#This Row],[33 kV Line Loss (%)]]),RD[[#This Row],[ Export (33 kV)]])</f>
        <v>167973.80640552446</v>
      </c>
      <c r="AU11" s="277">
        <v>33.64</v>
      </c>
      <c r="AV11" s="122"/>
      <c r="AW11" s="122"/>
      <c r="AX11" t="str">
        <f>IFERROR(RD[[#This Row],[E_AC (WPR)]]/RD[[#This Row],[E_DC (WPR)]],"")</f>
        <v/>
      </c>
    </row>
    <row r="12" spans="1:50">
      <c r="A12" s="148">
        <f t="shared" si="45"/>
        <v>45752</v>
      </c>
      <c r="B12" s="151">
        <f>YEAR(RD[[#This Row],[Date]])+IF(MONTH(RD[[#This Row],[Date]])&gt;=4,1,0)</f>
        <v>2026</v>
      </c>
      <c r="C12" s="151">
        <f>YEAR(RD[[#This Row],[Date]])</f>
        <v>2025</v>
      </c>
      <c r="D12" s="152">
        <f t="shared" si="44"/>
        <v>45748</v>
      </c>
      <c r="E12" s="151">
        <f>DAY(EOMONTH(RD[[#This Row],[Date]],0))</f>
        <v>30</v>
      </c>
      <c r="F12" s="122">
        <v>0.27083333333333331</v>
      </c>
      <c r="G12" s="122">
        <v>0.76041666666666663</v>
      </c>
      <c r="H12" s="138">
        <v>23433.3</v>
      </c>
      <c r="I12" s="138">
        <v>22152.5</v>
      </c>
      <c r="J12" s="138">
        <v>31686.799999999999</v>
      </c>
      <c r="K12" s="138">
        <v>32557.8</v>
      </c>
      <c r="L12" s="138">
        <v>18545.599999999999</v>
      </c>
      <c r="M12" s="138">
        <v>18955.2</v>
      </c>
      <c r="N12" s="138">
        <v>24205.3</v>
      </c>
      <c r="O12" s="167"/>
      <c r="P12" s="167"/>
      <c r="Q12" s="58">
        <v>6.5</v>
      </c>
      <c r="R12" s="58">
        <v>6.44</v>
      </c>
      <c r="S12" s="58">
        <v>35.47</v>
      </c>
      <c r="T12" s="58">
        <v>47.05</v>
      </c>
      <c r="U12" s="58">
        <v>26.42</v>
      </c>
      <c r="V12" s="58">
        <v>0</v>
      </c>
      <c r="W12" s="58">
        <v>2.1800000000000002</v>
      </c>
      <c r="X12" s="58">
        <v>6.22</v>
      </c>
      <c r="Y12" s="60">
        <f>SUM(RD[[#This Row],[IS1Inv1]:[IS3Inv1]])</f>
        <v>128376</v>
      </c>
      <c r="Z12" s="60">
        <f>SUM(RD[[#This Row],[IS4Inv1]:[IS4Inv2]])</f>
        <v>43160.5</v>
      </c>
      <c r="AA12" s="60">
        <f>SUM(RD[[#This Row],[O2RE7]:[O2RE27]])</f>
        <v>171536.5</v>
      </c>
      <c r="AB12" s="153"/>
      <c r="AC12" s="153">
        <v>6614</v>
      </c>
      <c r="AD12" s="153"/>
      <c r="AE12" s="153">
        <v>4572.8999999999996</v>
      </c>
      <c r="AF12" s="153">
        <v>6389.29</v>
      </c>
      <c r="AG12" s="153">
        <v>0.04</v>
      </c>
      <c r="AH12" s="153">
        <v>0.79</v>
      </c>
      <c r="AI12" s="154" t="str">
        <f>IF((RD[[#This Row],[33 kV_F1_Ex]]-AB11)*150000&lt;=0,"",(RD[[#This Row],[33 kV_F1_Ex]]-AB11)*150000)</f>
        <v/>
      </c>
      <c r="AJ12" s="154">
        <f>IF((RD[[#This Row],[33kV_OG1_Ex]]-AC11)*1000&lt;=0,0,(RD[[#This Row],[33kV_OG1_Ex]]-AC11)*1000)</f>
        <v>170000</v>
      </c>
      <c r="AK12" s="154">
        <f>IF((RD[[#This Row],[220kV_TL_TVM_Ex]]-AE11)*1600&lt;=0,0,(RD[[#This Row],[220kV_TL_TVM_Ex]]-AE11)*1600)</f>
        <v>168800</v>
      </c>
      <c r="AL12" s="154">
        <f>IF((RD[[#This Row],[220kV_C&amp;R_PQM_Ex]]-AF11)*1000&lt;=0,"",(RD[[#This Row],[220kV_C&amp;R_PQM_Ex]]-AF11)*1000)</f>
        <v>168576.00000000003</v>
      </c>
      <c r="AM12" s="154">
        <f>IF((RD[[#This Row],[33kV_Aux1_Im]]-AH11)*1000&lt;0,"",(RD[[#This Row],[33kV_Aux1_Im]]-AH11)*1000)</f>
        <v>20.000000000000018</v>
      </c>
      <c r="AN12" s="154">
        <f>IF((RD[[#This Row],[33kV_Aux1_Im]]-AH11)*1000&lt;0,"",(RD[[#This Row],[33kV_Aux1_Im]]-AH11)*1000)</f>
        <v>20.000000000000018</v>
      </c>
      <c r="AO12" s="61">
        <f>RD[[#This Row],[33kV_OG1_Energy (KWh)]]</f>
        <v>170000</v>
      </c>
      <c r="AP12" s="61">
        <f>IFERROR(RD[[#This Row],[220kV_TL_TVM Energy (KWh)]]-RD[[#This Row],[220kV_C&amp;R_PQM_Imp (KWh)2]],"")</f>
        <v>168780</v>
      </c>
      <c r="AQ12" s="63">
        <f>IFERROR(RD[[#This Row],[33 kV Total Export (KWH)]]/RD[[#This Row],[220 KV Net Export (KWh)]]-1,"")</f>
        <v>7.2283445905914068E-3</v>
      </c>
      <c r="AR12" s="64">
        <f>IFERROR((RD[[#This Row],[Sunset Time (POA&lt;20 W/m2)]]-RD[[#This Row],[Sunrise Time (POA&gt;20 W/m2)]])*24,0)</f>
        <v>11.75</v>
      </c>
      <c r="AS12" s="65">
        <f>RD[[#This Row],[33kV_OG1_Energy (KWh)]]</f>
        <v>170000</v>
      </c>
      <c r="AT12" s="65">
        <f>IFERROR(RD[[#This Row],[ Export (33 kV)]]*(1-RD[[#This Row],[33 kV Line Loss (%)]]),RD[[#This Row],[ Export (33 kV)]])</f>
        <v>168771.18141959945</v>
      </c>
      <c r="AU12" s="277">
        <v>33.64</v>
      </c>
      <c r="AV12" s="122"/>
      <c r="AW12" s="122"/>
      <c r="AX12" t="str">
        <f>IFERROR(RD[[#This Row],[E_AC (WPR)]]/RD[[#This Row],[E_DC (WPR)]],"")</f>
        <v/>
      </c>
    </row>
    <row r="13" spans="1:50">
      <c r="A13" s="148">
        <f t="shared" si="45"/>
        <v>45753</v>
      </c>
      <c r="B13" s="151">
        <f>YEAR(RD[[#This Row],[Date]])+IF(MONTH(RD[[#This Row],[Date]])&gt;=4,1,0)</f>
        <v>2026</v>
      </c>
      <c r="C13" s="151">
        <f>YEAR(RD[[#This Row],[Date]])</f>
        <v>2025</v>
      </c>
      <c r="D13" s="152">
        <f t="shared" ref="D13:D76" si="46">A13-DAY(A13)+1</f>
        <v>45748</v>
      </c>
      <c r="E13" s="151">
        <f>DAY(EOMONTH(RD[[#This Row],[Date]],0))</f>
        <v>30</v>
      </c>
      <c r="F13" s="122">
        <v>0.26874999999999999</v>
      </c>
      <c r="G13" s="122">
        <v>0.76041666666666663</v>
      </c>
      <c r="H13" s="138">
        <v>25208</v>
      </c>
      <c r="I13" s="138">
        <v>24960.799999999999</v>
      </c>
      <c r="J13" s="138">
        <v>19613</v>
      </c>
      <c r="K13" s="138">
        <v>20543.599999999999</v>
      </c>
      <c r="L13" s="138">
        <v>22565.7</v>
      </c>
      <c r="M13" s="138">
        <v>20954.5</v>
      </c>
      <c r="N13" s="138">
        <v>26688.2</v>
      </c>
      <c r="O13" s="167"/>
      <c r="P13" s="167"/>
      <c r="Q13" s="58">
        <v>7.13</v>
      </c>
      <c r="R13" s="58">
        <v>7.08</v>
      </c>
      <c r="S13" s="58">
        <v>36.69</v>
      </c>
      <c r="T13" s="58">
        <v>46.52</v>
      </c>
      <c r="U13" s="58">
        <v>15.91</v>
      </c>
      <c r="V13" s="58">
        <v>0</v>
      </c>
      <c r="W13" s="58">
        <v>2.38</v>
      </c>
      <c r="X13" s="58">
        <v>9.06</v>
      </c>
      <c r="Y13" s="60">
        <f>SUM(RD[[#This Row],[IS1Inv1]:[IS3Inv1]])</f>
        <v>112891.09999999999</v>
      </c>
      <c r="Z13" s="60">
        <f>SUM(RD[[#This Row],[IS4Inv1]:[IS4Inv2]])</f>
        <v>47642.7</v>
      </c>
      <c r="AA13" s="60">
        <f>SUM(RD[[#This Row],[O2RE7]:[O2RE27]])</f>
        <v>160533.79999999999</v>
      </c>
      <c r="AB13" s="153"/>
      <c r="AC13" s="153">
        <v>6773</v>
      </c>
      <c r="AD13" s="153"/>
      <c r="AE13" s="153">
        <v>4671.6000000000004</v>
      </c>
      <c r="AF13" s="153">
        <v>6546.8024999999998</v>
      </c>
      <c r="AG13" s="153">
        <v>0.04</v>
      </c>
      <c r="AH13" s="153">
        <v>0.8</v>
      </c>
      <c r="AI13" s="154" t="str">
        <f>IF((RD[[#This Row],[33 kV_F1_Ex]]-AB12)*150000&lt;=0,"",(RD[[#This Row],[33 kV_F1_Ex]]-AB12)*150000)</f>
        <v/>
      </c>
      <c r="AJ13" s="154">
        <f>IF((RD[[#This Row],[33kV_OG1_Ex]]-AC12)*1000&lt;=0,0,(RD[[#This Row],[33kV_OG1_Ex]]-AC12)*1000)</f>
        <v>159000</v>
      </c>
      <c r="AK13" s="154">
        <f>IF((RD[[#This Row],[220kV_TL_TVM_Ex]]-AE12)*1600&lt;=0,0,(RD[[#This Row],[220kV_TL_TVM_Ex]]-AE12)*1600)</f>
        <v>157920.00000000116</v>
      </c>
      <c r="AL13" s="154">
        <f>IF((RD[[#This Row],[220kV_C&amp;R_PQM_Ex]]-AF12)*1000&lt;=0,"",(RD[[#This Row],[220kV_C&amp;R_PQM_Ex]]-AF12)*1000)</f>
        <v>157512.49999999983</v>
      </c>
      <c r="AM13" s="154">
        <f>IF((RD[[#This Row],[33kV_Aux1_Im]]-AH12)*1000&lt;0,"",(RD[[#This Row],[33kV_Aux1_Im]]-AH12)*1000)</f>
        <v>10.000000000000009</v>
      </c>
      <c r="AN13" s="154">
        <f>IF((RD[[#This Row],[33kV_Aux1_Im]]-AH12)*1000&lt;0,"",(RD[[#This Row],[33kV_Aux1_Im]]-AH12)*1000)</f>
        <v>10.000000000000009</v>
      </c>
      <c r="AO13" s="61">
        <f>RD[[#This Row],[33kV_OG1_Energy (KWh)]]</f>
        <v>159000</v>
      </c>
      <c r="AP13" s="61">
        <f>IFERROR(RD[[#This Row],[220kV_TL_TVM Energy (KWh)]]-RD[[#This Row],[220kV_C&amp;R_PQM_Imp (KWh)2]],"")</f>
        <v>157910.00000000116</v>
      </c>
      <c r="AQ13" s="63">
        <f>IFERROR(RD[[#This Row],[33 kV Total Export (KWH)]]/RD[[#This Row],[220 KV Net Export (KWh)]]-1,"")</f>
        <v>6.9026660756053015E-3</v>
      </c>
      <c r="AR13" s="64">
        <f>IFERROR((RD[[#This Row],[Sunset Time (POA&lt;20 W/m2)]]-RD[[#This Row],[Sunrise Time (POA&gt;20 W/m2)]])*24,0)</f>
        <v>11.799999999999999</v>
      </c>
      <c r="AS13" s="65">
        <f>RD[[#This Row],[33kV_OG1_Energy (KWh)]]</f>
        <v>159000</v>
      </c>
      <c r="AT13" s="65">
        <f>IFERROR(RD[[#This Row],[ Export (33 kV)]]*(1-RD[[#This Row],[33 kV Line Loss (%)]]),RD[[#This Row],[ Export (33 kV)]])</f>
        <v>157902.47609397877</v>
      </c>
      <c r="AU13" s="277">
        <v>33.64</v>
      </c>
      <c r="AV13" s="122"/>
      <c r="AW13" s="122"/>
      <c r="AX13" t="str">
        <f>IFERROR(RD[[#This Row],[E_AC (WPR)]]/RD[[#This Row],[E_DC (WPR)]],"")</f>
        <v/>
      </c>
    </row>
    <row r="14" spans="1:50">
      <c r="A14" s="148">
        <f t="shared" si="45"/>
        <v>45754</v>
      </c>
      <c r="B14" s="151">
        <f>YEAR(RD[[#This Row],[Date]])+IF(MONTH(RD[[#This Row],[Date]])&gt;=4,1,0)</f>
        <v>2026</v>
      </c>
      <c r="C14" s="151">
        <f>YEAR(RD[[#This Row],[Date]])</f>
        <v>2025</v>
      </c>
      <c r="D14" s="152">
        <f t="shared" si="46"/>
        <v>45748</v>
      </c>
      <c r="E14" s="151">
        <f>DAY(EOMONTH(RD[[#This Row],[Date]],0))</f>
        <v>30</v>
      </c>
      <c r="F14" s="122">
        <v>0.26874999999999999</v>
      </c>
      <c r="G14" s="122">
        <v>0.76041666666666663</v>
      </c>
      <c r="H14" s="138">
        <v>24405.8</v>
      </c>
      <c r="I14" s="138">
        <v>24592.3</v>
      </c>
      <c r="J14" s="138">
        <v>29357.599999999999</v>
      </c>
      <c r="K14" s="138">
        <v>31048.7</v>
      </c>
      <c r="L14" s="138">
        <v>22264.400000000001</v>
      </c>
      <c r="M14" s="138">
        <v>20182.400000000001</v>
      </c>
      <c r="N14" s="138">
        <v>26415.7</v>
      </c>
      <c r="O14" s="167"/>
      <c r="P14" s="167"/>
      <c r="Q14" s="58">
        <v>6.82</v>
      </c>
      <c r="R14" s="58">
        <v>6.77</v>
      </c>
      <c r="S14" s="58">
        <v>37.89</v>
      </c>
      <c r="T14" s="58">
        <v>46.46</v>
      </c>
      <c r="U14" s="58">
        <v>13.4</v>
      </c>
      <c r="V14" s="58">
        <v>0</v>
      </c>
      <c r="W14" s="58">
        <v>2.52</v>
      </c>
      <c r="X14" s="58">
        <v>9.18</v>
      </c>
      <c r="Y14" s="60">
        <f>SUM(RD[[#This Row],[IS1Inv1]:[IS3Inv1]])</f>
        <v>131668.79999999999</v>
      </c>
      <c r="Z14" s="60">
        <f>SUM(RD[[#This Row],[IS4Inv1]:[IS4Inv2]])</f>
        <v>46598.100000000006</v>
      </c>
      <c r="AA14" s="60">
        <f>SUM(RD[[#This Row],[O2RE7]:[O2RE27]])</f>
        <v>178266.9</v>
      </c>
      <c r="AB14" s="153"/>
      <c r="AC14" s="153">
        <v>6949</v>
      </c>
      <c r="AD14" s="153"/>
      <c r="AE14" s="153">
        <v>4781.1000000000004</v>
      </c>
      <c r="AF14" s="153">
        <v>6721.6930000000002</v>
      </c>
      <c r="AG14" s="153">
        <v>0.04</v>
      </c>
      <c r="AH14" s="153">
        <v>0.82</v>
      </c>
      <c r="AI14" s="154" t="str">
        <f>IF((RD[[#This Row],[33 kV_F1_Ex]]-AB13)*150000&lt;=0,"",(RD[[#This Row],[33 kV_F1_Ex]]-AB13)*150000)</f>
        <v/>
      </c>
      <c r="AJ14" s="154">
        <f>IF((RD[[#This Row],[33kV_OG1_Ex]]-AC13)*1000&lt;=0,0,(RD[[#This Row],[33kV_OG1_Ex]]-AC13)*1000)</f>
        <v>176000</v>
      </c>
      <c r="AK14" s="154">
        <f>IF((RD[[#This Row],[220kV_TL_TVM_Ex]]-AE13)*1600&lt;=0,0,(RD[[#This Row],[220kV_TL_TVM_Ex]]-AE13)*1600)</f>
        <v>175200</v>
      </c>
      <c r="AL14" s="154">
        <f>IF((RD[[#This Row],[220kV_C&amp;R_PQM_Ex]]-AF13)*1000&lt;=0,"",(RD[[#This Row],[220kV_C&amp;R_PQM_Ex]]-AF13)*1000)</f>
        <v>174890.50000000044</v>
      </c>
      <c r="AM14" s="154">
        <f>IF((RD[[#This Row],[33kV_Aux1_Im]]-AH13)*1000&lt;0,"",(RD[[#This Row],[33kV_Aux1_Im]]-AH13)*1000)</f>
        <v>19.999999999999908</v>
      </c>
      <c r="AN14" s="154">
        <f>IF((RD[[#This Row],[33kV_Aux1_Im]]-AH13)*1000&lt;0,"",(RD[[#This Row],[33kV_Aux1_Im]]-AH13)*1000)</f>
        <v>19.999999999999908</v>
      </c>
      <c r="AO14" s="61">
        <f>RD[[#This Row],[33kV_OG1_Energy (KWh)]]</f>
        <v>176000</v>
      </c>
      <c r="AP14" s="61">
        <f>IFERROR(RD[[#This Row],[220kV_TL_TVM Energy (KWh)]]-RD[[#This Row],[220kV_C&amp;R_PQM_Imp (KWh)2]],"")</f>
        <v>175180</v>
      </c>
      <c r="AQ14" s="63">
        <f>IFERROR(RD[[#This Row],[33 kV Total Export (KWH)]]/RD[[#This Row],[220 KV Net Export (KWh)]]-1,"")</f>
        <v>4.6808996460783181E-3</v>
      </c>
      <c r="AR14" s="64">
        <f>IFERROR((RD[[#This Row],[Sunset Time (POA&lt;20 W/m2)]]-RD[[#This Row],[Sunrise Time (POA&gt;20 W/m2)]])*24,0)</f>
        <v>11.799999999999999</v>
      </c>
      <c r="AS14" s="65">
        <f>RD[[#This Row],[33kV_OG1_Energy (KWh)]]</f>
        <v>176000</v>
      </c>
      <c r="AT14" s="65">
        <f>IFERROR(RD[[#This Row],[ Export (33 kV)]]*(1-RD[[#This Row],[33 kV Line Loss (%)]]),RD[[#This Row],[ Export (33 kV)]])</f>
        <v>175176.16166229022</v>
      </c>
      <c r="AU14" s="277">
        <v>33.64</v>
      </c>
      <c r="AV14" s="122"/>
      <c r="AW14" s="122"/>
      <c r="AX14" t="str">
        <f>IFERROR(RD[[#This Row],[E_AC (WPR)]]/RD[[#This Row],[E_DC (WPR)]],"")</f>
        <v/>
      </c>
    </row>
    <row r="15" spans="1:50">
      <c r="A15" s="148">
        <f t="shared" ref="A15:A78" si="47">A14+1</f>
        <v>45755</v>
      </c>
      <c r="B15" s="151">
        <f>YEAR(RD[[#This Row],[Date]])+IF(MONTH(RD[[#This Row],[Date]])&gt;=4,1,0)</f>
        <v>2026</v>
      </c>
      <c r="C15" s="151">
        <f>YEAR(RD[[#This Row],[Date]])</f>
        <v>2025</v>
      </c>
      <c r="D15" s="152">
        <f t="shared" si="46"/>
        <v>45748</v>
      </c>
      <c r="E15" s="151">
        <f>DAY(EOMONTH(RD[[#This Row],[Date]],0))</f>
        <v>30</v>
      </c>
      <c r="F15" s="122">
        <v>0.27083333333333331</v>
      </c>
      <c r="G15" s="122">
        <v>0.76249999999999996</v>
      </c>
      <c r="H15" s="138">
        <v>22513.7</v>
      </c>
      <c r="I15" s="138">
        <v>22701.5</v>
      </c>
      <c r="J15" s="138">
        <v>29676.799999999999</v>
      </c>
      <c r="K15" s="138">
        <v>31873.1</v>
      </c>
      <c r="L15" s="138">
        <v>21144.1</v>
      </c>
      <c r="M15" s="138">
        <v>24655.7</v>
      </c>
      <c r="N15" s="138">
        <v>18980.2</v>
      </c>
      <c r="O15" s="167"/>
      <c r="P15" s="167"/>
      <c r="Q15" s="58">
        <v>6.4</v>
      </c>
      <c r="R15" s="58">
        <v>6.36</v>
      </c>
      <c r="S15" s="58">
        <v>37.07</v>
      </c>
      <c r="T15" s="58">
        <v>47.88</v>
      </c>
      <c r="U15" s="58">
        <v>26.68</v>
      </c>
      <c r="V15" s="58">
        <v>0</v>
      </c>
      <c r="W15" s="58">
        <v>2.4500000000000002</v>
      </c>
      <c r="X15" s="58">
        <v>6.44</v>
      </c>
      <c r="Y15" s="60">
        <f>SUM(RD[[#This Row],[IS1Inv1]:[IS3Inv1]])</f>
        <v>127909.20000000001</v>
      </c>
      <c r="Z15" s="60">
        <f>SUM(RD[[#This Row],[IS4Inv1]:[IS4Inv2]])</f>
        <v>43635.9</v>
      </c>
      <c r="AA15" s="60">
        <f>SUM(RD[[#This Row],[O2RE7]:[O2RE27]])</f>
        <v>171545.1</v>
      </c>
      <c r="AB15" s="153"/>
      <c r="AC15" s="153">
        <v>7118</v>
      </c>
      <c r="AD15" s="153"/>
      <c r="AE15" s="153">
        <v>4886.5</v>
      </c>
      <c r="AF15" s="153">
        <v>6890.02</v>
      </c>
      <c r="AG15" s="153">
        <v>0.04</v>
      </c>
      <c r="AH15" s="153">
        <v>0.85</v>
      </c>
      <c r="AI15" s="154" t="str">
        <f>IF((RD[[#This Row],[33 kV_F1_Ex]]-AB14)*150000&lt;=0,"",(RD[[#This Row],[33 kV_F1_Ex]]-AB14)*150000)</f>
        <v/>
      </c>
      <c r="AJ15" s="154">
        <f>IF((RD[[#This Row],[33kV_OG1_Ex]]-AC14)*1000&lt;=0,0,(RD[[#This Row],[33kV_OG1_Ex]]-AC14)*1000)</f>
        <v>169000</v>
      </c>
      <c r="AK15" s="154">
        <f>IF((RD[[#This Row],[220kV_TL_TVM_Ex]]-AE14)*1600&lt;=0,0,(RD[[#This Row],[220kV_TL_TVM_Ex]]-AE14)*1600)</f>
        <v>168639.99999999942</v>
      </c>
      <c r="AL15" s="154">
        <f>IF((RD[[#This Row],[220kV_C&amp;R_PQM_Ex]]-AF14)*1000&lt;=0,"",(RD[[#This Row],[220kV_C&amp;R_PQM_Ex]]-AF14)*1000)</f>
        <v>168327.00000000023</v>
      </c>
      <c r="AM15" s="154">
        <f>IF((RD[[#This Row],[33kV_Aux1_Im]]-AH14)*1000&lt;0,"",(RD[[#This Row],[33kV_Aux1_Im]]-AH14)*1000)</f>
        <v>30.000000000000028</v>
      </c>
      <c r="AN15" s="154">
        <f>IF((RD[[#This Row],[33kV_Aux1_Im]]-AH14)*1000&lt;0,"",(RD[[#This Row],[33kV_Aux1_Im]]-AH14)*1000)</f>
        <v>30.000000000000028</v>
      </c>
      <c r="AO15" s="61">
        <f>RD[[#This Row],[33kV_OG1_Energy (KWh)]]</f>
        <v>169000</v>
      </c>
      <c r="AP15" s="61">
        <f>IFERROR(RD[[#This Row],[220kV_TL_TVM Energy (KWh)]]-RD[[#This Row],[220kV_C&amp;R_PQM_Imp (KWh)2]],"")</f>
        <v>168609.99999999942</v>
      </c>
      <c r="AQ15" s="63">
        <f>IFERROR(RD[[#This Row],[33 kV Total Export (KWH)]]/RD[[#This Row],[220 KV Net Export (KWh)]]-1,"")</f>
        <v>2.3130300693943173E-3</v>
      </c>
      <c r="AR15" s="64">
        <f>IFERROR((RD[[#This Row],[Sunset Time (POA&lt;20 W/m2)]]-RD[[#This Row],[Sunrise Time (POA&gt;20 W/m2)]])*24,0)</f>
        <v>11.799999999999999</v>
      </c>
      <c r="AS15" s="65">
        <f>RD[[#This Row],[33kV_OG1_Energy (KWh)]]</f>
        <v>169000</v>
      </c>
      <c r="AT15" s="65">
        <f>IFERROR(RD[[#This Row],[ Export (33 kV)]]*(1-RD[[#This Row],[33 kV Line Loss (%)]]),RD[[#This Row],[ Export (33 kV)]])</f>
        <v>168609.09791827237</v>
      </c>
      <c r="AU15" s="277">
        <v>33.64</v>
      </c>
      <c r="AV15" s="122"/>
      <c r="AW15" s="122"/>
      <c r="AX15" t="str">
        <f>IFERROR(RD[[#This Row],[E_AC (WPR)]]/RD[[#This Row],[E_DC (WPR)]],"")</f>
        <v/>
      </c>
    </row>
    <row r="16" spans="1:50">
      <c r="A16" s="148">
        <f t="shared" si="47"/>
        <v>45756</v>
      </c>
      <c r="B16" s="151">
        <f>YEAR(RD[[#This Row],[Date]])+IF(MONTH(RD[[#This Row],[Date]])&gt;=4,1,0)</f>
        <v>2026</v>
      </c>
      <c r="C16" s="151">
        <f>YEAR(RD[[#This Row],[Date]])</f>
        <v>2025</v>
      </c>
      <c r="D16" s="152">
        <f t="shared" si="46"/>
        <v>45748</v>
      </c>
      <c r="E16" s="151">
        <f>DAY(EOMONTH(RD[[#This Row],[Date]],0))</f>
        <v>30</v>
      </c>
      <c r="F16" s="122">
        <v>0.27777777777777779</v>
      </c>
      <c r="G16" s="122">
        <v>0.7583333333333333</v>
      </c>
      <c r="H16" s="138">
        <v>21961</v>
      </c>
      <c r="I16" s="138">
        <v>22001.200000000001</v>
      </c>
      <c r="J16" s="138">
        <v>29252.2</v>
      </c>
      <c r="K16" s="138">
        <v>31249.9</v>
      </c>
      <c r="L16" s="138">
        <v>22253.1</v>
      </c>
      <c r="M16" s="138">
        <v>23913.3</v>
      </c>
      <c r="N16" s="138">
        <v>18522.8</v>
      </c>
      <c r="O16" s="167"/>
      <c r="P16" s="167"/>
      <c r="Q16" s="58">
        <v>6.21</v>
      </c>
      <c r="R16" s="58">
        <v>6.17</v>
      </c>
      <c r="S16" s="58">
        <v>36.200000000000003</v>
      </c>
      <c r="T16" s="58">
        <v>46.92</v>
      </c>
      <c r="U16" s="58">
        <v>30.68</v>
      </c>
      <c r="V16" s="58">
        <v>0</v>
      </c>
      <c r="W16" s="58">
        <v>2.91</v>
      </c>
      <c r="X16" s="58">
        <v>6.66</v>
      </c>
      <c r="Y16" s="60">
        <f>SUM(RD[[#This Row],[IS1Inv1]:[IS3Inv1]])</f>
        <v>126717.4</v>
      </c>
      <c r="Z16" s="60">
        <f>SUM(RD[[#This Row],[IS4Inv1]:[IS4Inv2]])</f>
        <v>42436.1</v>
      </c>
      <c r="AA16" s="60">
        <f>SUM(RD[[#This Row],[O2RE7]:[O2RE27]])</f>
        <v>169153.5</v>
      </c>
      <c r="AB16" s="153"/>
      <c r="AC16" s="153">
        <v>7286</v>
      </c>
      <c r="AD16" s="153"/>
      <c r="AE16" s="153">
        <v>4990.3999999999996</v>
      </c>
      <c r="AF16" s="153">
        <v>7055.8159999999998</v>
      </c>
      <c r="AG16" s="153">
        <v>0.04</v>
      </c>
      <c r="AH16" s="153">
        <v>0.87</v>
      </c>
      <c r="AI16" s="154" t="str">
        <f>IF((RD[[#This Row],[33 kV_F1_Ex]]-AB15)*150000&lt;=0,"",(RD[[#This Row],[33 kV_F1_Ex]]-AB15)*150000)</f>
        <v/>
      </c>
      <c r="AJ16" s="154">
        <f>IF((RD[[#This Row],[33kV_OG1_Ex]]-AC15)*1000&lt;=0,0,(RD[[#This Row],[33kV_OG1_Ex]]-AC15)*1000)</f>
        <v>168000</v>
      </c>
      <c r="AK16" s="154">
        <f>IF((RD[[#This Row],[220kV_TL_TVM_Ex]]-AE15)*1600&lt;=0,0,(RD[[#This Row],[220kV_TL_TVM_Ex]]-AE15)*1600)</f>
        <v>166239.99999999942</v>
      </c>
      <c r="AL16" s="154">
        <f>IF((RD[[#This Row],[220kV_C&amp;R_PQM_Ex]]-AF15)*1000&lt;=0,"",(RD[[#This Row],[220kV_C&amp;R_PQM_Ex]]-AF15)*1000)</f>
        <v>165795.99999999936</v>
      </c>
      <c r="AM16" s="154">
        <f>IF((RD[[#This Row],[33kV_Aux1_Im]]-AH15)*1000&lt;0,"",(RD[[#This Row],[33kV_Aux1_Im]]-AH15)*1000)</f>
        <v>20.000000000000018</v>
      </c>
      <c r="AN16" s="154">
        <f>IF((RD[[#This Row],[33kV_Aux1_Im]]-AH15)*1000&lt;0,"",(RD[[#This Row],[33kV_Aux1_Im]]-AH15)*1000)</f>
        <v>20.000000000000018</v>
      </c>
      <c r="AO16" s="61">
        <f>RD[[#This Row],[33kV_OG1_Energy (KWh)]]</f>
        <v>168000</v>
      </c>
      <c r="AP16" s="61">
        <f>IFERROR(RD[[#This Row],[220kV_TL_TVM Energy (KWh)]]-RD[[#This Row],[220kV_C&amp;R_PQM_Imp (KWh)2]],"")</f>
        <v>166219.99999999942</v>
      </c>
      <c r="AQ16" s="63">
        <f>IFERROR(RD[[#This Row],[33 kV Total Export (KWH)]]/RD[[#This Row],[220 KV Net Export (KWh)]]-1,"")</f>
        <v>1.0708699314165404E-2</v>
      </c>
      <c r="AR16" s="64">
        <f>IFERROR((RD[[#This Row],[Sunset Time (POA&lt;20 W/m2)]]-RD[[#This Row],[Sunrise Time (POA&gt;20 W/m2)]])*24,0)</f>
        <v>11.533333333333331</v>
      </c>
      <c r="AS16" s="65">
        <f>RD[[#This Row],[33kV_OG1_Energy (KWh)]]</f>
        <v>168000</v>
      </c>
      <c r="AT16" s="65">
        <f>IFERROR(RD[[#This Row],[ Export (33 kV)]]*(1-RD[[#This Row],[33 kV Line Loss (%)]]),RD[[#This Row],[ Export (33 kV)]])</f>
        <v>166200.93851522022</v>
      </c>
      <c r="AU16" s="277">
        <v>35.31</v>
      </c>
      <c r="AV16" s="122"/>
      <c r="AW16" s="122"/>
      <c r="AX16" t="str">
        <f>IFERROR(RD[[#This Row],[E_AC (WPR)]]/RD[[#This Row],[E_DC (WPR)]],"")</f>
        <v/>
      </c>
    </row>
    <row r="17" spans="1:50">
      <c r="A17" s="148">
        <f t="shared" si="47"/>
        <v>45757</v>
      </c>
      <c r="B17" s="151">
        <f>YEAR(RD[[#This Row],[Date]])+IF(MONTH(RD[[#This Row],[Date]])&gt;=4,1,0)</f>
        <v>2026</v>
      </c>
      <c r="C17" s="151">
        <f>YEAR(RD[[#This Row],[Date]])</f>
        <v>2025</v>
      </c>
      <c r="D17" s="152">
        <f t="shared" si="46"/>
        <v>45748</v>
      </c>
      <c r="E17" s="151">
        <f>DAY(EOMONTH(RD[[#This Row],[Date]],0))</f>
        <v>30</v>
      </c>
      <c r="F17" s="122">
        <v>0.26805555555555555</v>
      </c>
      <c r="G17" s="122">
        <v>0.76111111111111107</v>
      </c>
      <c r="H17" s="138">
        <v>22575.7</v>
      </c>
      <c r="I17" s="138">
        <v>22790.9</v>
      </c>
      <c r="J17" s="138">
        <v>31219.4</v>
      </c>
      <c r="K17" s="138">
        <v>32792.6</v>
      </c>
      <c r="L17" s="138">
        <v>26225.8</v>
      </c>
      <c r="M17" s="138">
        <v>24214.400000000001</v>
      </c>
      <c r="N17" s="138">
        <v>18782.2</v>
      </c>
      <c r="O17" s="167"/>
      <c r="P17" s="167"/>
      <c r="Q17" s="58">
        <v>6.27</v>
      </c>
      <c r="R17" s="58">
        <v>6.25</v>
      </c>
      <c r="S17" s="58">
        <v>36.950000000000003</v>
      </c>
      <c r="T17" s="58">
        <v>46.54</v>
      </c>
      <c r="U17" s="58">
        <v>22.4</v>
      </c>
      <c r="V17" s="58">
        <v>0</v>
      </c>
      <c r="W17" s="58">
        <v>2.86</v>
      </c>
      <c r="X17" s="58">
        <v>8.27</v>
      </c>
      <c r="Y17" s="60">
        <f>SUM(RD[[#This Row],[IS1Inv1]:[IS3Inv1]])</f>
        <v>135604.4</v>
      </c>
      <c r="Z17" s="60">
        <f>SUM(RD[[#This Row],[IS4Inv1]:[IS4Inv2]])</f>
        <v>42996.600000000006</v>
      </c>
      <c r="AA17" s="60">
        <f>SUM(RD[[#This Row],[O2RE7]:[O2RE27]])</f>
        <v>178601</v>
      </c>
      <c r="AB17" s="153"/>
      <c r="AC17" s="153">
        <v>7462</v>
      </c>
      <c r="AD17" s="153"/>
      <c r="AE17" s="153">
        <v>5100.1000000000004</v>
      </c>
      <c r="AF17" s="153">
        <v>7231.0879999999997</v>
      </c>
      <c r="AG17" s="153">
        <v>0.04</v>
      </c>
      <c r="AH17" s="153">
        <v>0.9</v>
      </c>
      <c r="AI17" s="154" t="str">
        <f>IF((RD[[#This Row],[33 kV_F1_Ex]]-AB16)*150000&lt;=0,"",(RD[[#This Row],[33 kV_F1_Ex]]-AB16)*150000)</f>
        <v/>
      </c>
      <c r="AJ17" s="154">
        <f>IF((RD[[#This Row],[33kV_OG1_Ex]]-AC16)*1000&lt;=0,0,(RD[[#This Row],[33kV_OG1_Ex]]-AC16)*1000)</f>
        <v>176000</v>
      </c>
      <c r="AK17" s="154">
        <f>IF((RD[[#This Row],[220kV_TL_TVM_Ex]]-AE16)*1600&lt;=0,0,(RD[[#This Row],[220kV_TL_TVM_Ex]]-AE16)*1600)</f>
        <v>175520.00000000116</v>
      </c>
      <c r="AL17" s="154">
        <f>IF((RD[[#This Row],[220kV_C&amp;R_PQM_Ex]]-AF16)*1000&lt;=0,"",(RD[[#This Row],[220kV_C&amp;R_PQM_Ex]]-AF16)*1000)</f>
        <v>175271.99999999994</v>
      </c>
      <c r="AM17" s="154">
        <f>IF((RD[[#This Row],[33kV_Aux1_Im]]-AH16)*1000&lt;0,"",(RD[[#This Row],[33kV_Aux1_Im]]-AH16)*1000)</f>
        <v>30.000000000000028</v>
      </c>
      <c r="AN17" s="154">
        <f>IF((RD[[#This Row],[33kV_Aux1_Im]]-AH16)*1000&lt;0,"",(RD[[#This Row],[33kV_Aux1_Im]]-AH16)*1000)</f>
        <v>30.000000000000028</v>
      </c>
      <c r="AO17" s="61">
        <f>RD[[#This Row],[33kV_OG1_Energy (KWh)]]</f>
        <v>176000</v>
      </c>
      <c r="AP17" s="61">
        <f>IFERROR(RD[[#This Row],[220kV_TL_TVM Energy (KWh)]]-RD[[#This Row],[220kV_C&amp;R_PQM_Imp (KWh)2]],"")</f>
        <v>175490.00000000116</v>
      </c>
      <c r="AQ17" s="63">
        <f>IFERROR(RD[[#This Row],[33 kV Total Export (KWH)]]/RD[[#This Row],[220 KV Net Export (KWh)]]-1,"")</f>
        <v>2.906148498483363E-3</v>
      </c>
      <c r="AR17" s="64">
        <f>IFERROR((RD[[#This Row],[Sunset Time (POA&lt;20 W/m2)]]-RD[[#This Row],[Sunrise Time (POA&gt;20 W/m2)]])*24,0)</f>
        <v>11.833333333333332</v>
      </c>
      <c r="AS17" s="65">
        <f>RD[[#This Row],[33kV_OG1_Energy (KWh)]]</f>
        <v>176000</v>
      </c>
      <c r="AT17" s="65">
        <f>IFERROR(RD[[#This Row],[ Export (33 kV)]]*(1-RD[[#This Row],[33 kV Line Loss (%)]]),RD[[#This Row],[ Export (33 kV)]])</f>
        <v>175488.51786426693</v>
      </c>
      <c r="AU17" s="277">
        <v>35.31</v>
      </c>
      <c r="AV17" s="122"/>
      <c r="AW17" s="122"/>
      <c r="AX17" t="str">
        <f>IFERROR(RD[[#This Row],[E_AC (WPR)]]/RD[[#This Row],[E_DC (WPR)]],"")</f>
        <v/>
      </c>
    </row>
    <row r="18" spans="1:50">
      <c r="A18" s="148">
        <f t="shared" si="47"/>
        <v>45758</v>
      </c>
      <c r="B18" s="151">
        <f>YEAR(RD[[#This Row],[Date]])+IF(MONTH(RD[[#This Row],[Date]])&gt;=4,1,0)</f>
        <v>2026</v>
      </c>
      <c r="C18" s="151">
        <f>YEAR(RD[[#This Row],[Date]])</f>
        <v>2025</v>
      </c>
      <c r="D18" s="152">
        <f t="shared" si="46"/>
        <v>45748</v>
      </c>
      <c r="E18" s="151">
        <f>DAY(EOMONTH(RD[[#This Row],[Date]],0))</f>
        <v>30</v>
      </c>
      <c r="F18" s="122">
        <v>0.26805555555555555</v>
      </c>
      <c r="G18" s="122">
        <v>0.75555555555555554</v>
      </c>
      <c r="H18" s="138">
        <v>21754.1</v>
      </c>
      <c r="I18" s="138">
        <v>22114.9</v>
      </c>
      <c r="J18" s="138">
        <v>30514.2</v>
      </c>
      <c r="K18" s="138">
        <v>31302.799999999999</v>
      </c>
      <c r="L18" s="138">
        <v>27999.8</v>
      </c>
      <c r="M18" s="138">
        <v>21607.5</v>
      </c>
      <c r="N18" s="138">
        <v>18136.099999999999</v>
      </c>
      <c r="O18" s="167"/>
      <c r="P18" s="167"/>
      <c r="Q18" s="58">
        <v>6.52</v>
      </c>
      <c r="R18" s="58">
        <v>6.52</v>
      </c>
      <c r="S18" s="58">
        <v>36.729999999999997</v>
      </c>
      <c r="T18" s="58">
        <v>45.41</v>
      </c>
      <c r="U18" s="58">
        <v>19.940000000000001</v>
      </c>
      <c r="V18" s="58">
        <v>0</v>
      </c>
      <c r="W18" s="58">
        <v>3.15</v>
      </c>
      <c r="X18" s="58">
        <v>7.42</v>
      </c>
      <c r="Y18" s="60">
        <f>SUM(RD[[#This Row],[IS1Inv1]:[IS3Inv1]])</f>
        <v>133685.79999999999</v>
      </c>
      <c r="Z18" s="60">
        <f>SUM(RD[[#This Row],[IS4Inv1]:[IS4Inv2]])</f>
        <v>39743.599999999999</v>
      </c>
      <c r="AA18" s="60">
        <f>SUM(RD[[#This Row],[O2RE7]:[O2RE27]])</f>
        <v>173429.4</v>
      </c>
      <c r="AB18" s="153"/>
      <c r="AC18" s="153">
        <v>7634</v>
      </c>
      <c r="AD18" s="153"/>
      <c r="AE18" s="153">
        <v>5206.7</v>
      </c>
      <c r="AF18" s="153">
        <v>7401.2110000000002</v>
      </c>
      <c r="AG18" s="153">
        <v>0.04</v>
      </c>
      <c r="AH18" s="153">
        <v>0.92</v>
      </c>
      <c r="AI18" s="154" t="str">
        <f>IF((RD[[#This Row],[33 kV_F1_Ex]]-AB17)*150000&lt;=0,"",(RD[[#This Row],[33 kV_F1_Ex]]-AB17)*150000)</f>
        <v/>
      </c>
      <c r="AJ18" s="154">
        <f>IF((RD[[#This Row],[33kV_OG1_Ex]]-AC17)*1000&lt;=0,0,(RD[[#This Row],[33kV_OG1_Ex]]-AC17)*1000)</f>
        <v>172000</v>
      </c>
      <c r="AK18" s="154">
        <f>IF((RD[[#This Row],[220kV_TL_TVM_Ex]]-AE17)*1600&lt;=0,0,(RD[[#This Row],[220kV_TL_TVM_Ex]]-AE17)*1600)</f>
        <v>170559.99999999913</v>
      </c>
      <c r="AL18" s="154">
        <f>IF((RD[[#This Row],[220kV_C&amp;R_PQM_Ex]]-AF17)*1000&lt;=0,"",(RD[[#This Row],[220kV_C&amp;R_PQM_Ex]]-AF17)*1000)</f>
        <v>170123.00000000049</v>
      </c>
      <c r="AM18" s="154">
        <f>IF((RD[[#This Row],[33kV_Aux1_Im]]-AH17)*1000&lt;0,"",(RD[[#This Row],[33kV_Aux1_Im]]-AH17)*1000)</f>
        <v>20.000000000000018</v>
      </c>
      <c r="AN18" s="154">
        <f>IF((RD[[#This Row],[33kV_Aux1_Im]]-AH17)*1000&lt;0,"",(RD[[#This Row],[33kV_Aux1_Im]]-AH17)*1000)</f>
        <v>20.000000000000018</v>
      </c>
      <c r="AO18" s="61">
        <f>RD[[#This Row],[33kV_OG1_Energy (KWh)]]</f>
        <v>172000</v>
      </c>
      <c r="AP18" s="61">
        <f>IFERROR(RD[[#This Row],[220kV_TL_TVM Energy (KWh)]]-RD[[#This Row],[220kV_C&amp;R_PQM_Imp (KWh)2]],"")</f>
        <v>170539.99999999913</v>
      </c>
      <c r="AQ18" s="63">
        <f>IFERROR(RD[[#This Row],[33 kV Total Export (KWH)]]/RD[[#This Row],[220 KV Net Export (KWh)]]-1,"")</f>
        <v>8.5610413979175792E-3</v>
      </c>
      <c r="AR18" s="64">
        <f>IFERROR((RD[[#This Row],[Sunset Time (POA&lt;20 W/m2)]]-RD[[#This Row],[Sunrise Time (POA&gt;20 W/m2)]])*24,0)</f>
        <v>11.7</v>
      </c>
      <c r="AS18" s="65">
        <f>RD[[#This Row],[33kV_OG1_Energy (KWh)]]</f>
        <v>172000</v>
      </c>
      <c r="AT18" s="65">
        <f>IFERROR(RD[[#This Row],[ Export (33 kV)]]*(1-RD[[#This Row],[33 kV Line Loss (%)]]),RD[[#This Row],[ Export (33 kV)]])</f>
        <v>170527.50087955818</v>
      </c>
      <c r="AU18" s="277">
        <v>35.31</v>
      </c>
      <c r="AV18" s="122"/>
      <c r="AW18" s="122"/>
      <c r="AX18" t="str">
        <f>IFERROR(RD[[#This Row],[E_AC (WPR)]]/RD[[#This Row],[E_DC (WPR)]],"")</f>
        <v/>
      </c>
    </row>
    <row r="19" spans="1:50">
      <c r="A19" s="148">
        <f t="shared" si="47"/>
        <v>45759</v>
      </c>
      <c r="B19" s="151">
        <f>YEAR(RD[[#This Row],[Date]])+IF(MONTH(RD[[#This Row],[Date]])&gt;=4,1,0)</f>
        <v>2026</v>
      </c>
      <c r="C19" s="151">
        <f>YEAR(RD[[#This Row],[Date]])</f>
        <v>2025</v>
      </c>
      <c r="D19" s="152">
        <f t="shared" si="46"/>
        <v>45748</v>
      </c>
      <c r="E19" s="151">
        <f>DAY(EOMONTH(RD[[#This Row],[Date]],0))</f>
        <v>30</v>
      </c>
      <c r="F19" s="122">
        <v>0.27847222222222223</v>
      </c>
      <c r="G19" s="122">
        <v>0.75277777777777777</v>
      </c>
      <c r="H19" s="138">
        <v>24760.6</v>
      </c>
      <c r="I19" s="138">
        <v>25063.8</v>
      </c>
      <c r="J19" s="138">
        <v>34600</v>
      </c>
      <c r="K19" s="138">
        <v>35287.9</v>
      </c>
      <c r="L19" s="138">
        <v>34363.4</v>
      </c>
      <c r="M19" s="138">
        <v>11140.3</v>
      </c>
      <c r="N19" s="138">
        <v>20550.599999999999</v>
      </c>
      <c r="O19" s="167"/>
      <c r="P19" s="167"/>
      <c r="Q19" s="58">
        <v>6.67</v>
      </c>
      <c r="R19" s="58">
        <v>6.66</v>
      </c>
      <c r="S19" s="58">
        <v>36.520000000000003</v>
      </c>
      <c r="T19" s="58">
        <v>48.68</v>
      </c>
      <c r="U19" s="58">
        <v>19.73</v>
      </c>
      <c r="V19" s="58">
        <v>0</v>
      </c>
      <c r="W19" s="58">
        <v>3.66</v>
      </c>
      <c r="X19" s="58">
        <v>8.68</v>
      </c>
      <c r="Y19" s="60">
        <f>SUM(RD[[#This Row],[IS1Inv1]:[IS3Inv1]])</f>
        <v>154075.69999999998</v>
      </c>
      <c r="Z19" s="60">
        <f>SUM(RD[[#This Row],[IS4Inv1]:[IS4Inv2]])</f>
        <v>31690.899999999998</v>
      </c>
      <c r="AA19" s="60">
        <f>SUM(RD[[#This Row],[O2RE7]:[O2RE27]])</f>
        <v>185766.59999999998</v>
      </c>
      <c r="AB19" s="153"/>
      <c r="AC19" s="153">
        <v>7818</v>
      </c>
      <c r="AD19" s="153"/>
      <c r="AE19" s="153">
        <v>5320.8</v>
      </c>
      <c r="AF19" s="153">
        <v>7583.549</v>
      </c>
      <c r="AG19" s="153">
        <v>0.04</v>
      </c>
      <c r="AH19" s="153">
        <v>0.93</v>
      </c>
      <c r="AI19" s="154" t="str">
        <f>IF((RD[[#This Row],[33 kV_F1_Ex]]-AB18)*150000&lt;=0,"",(RD[[#This Row],[33 kV_F1_Ex]]-AB18)*150000)</f>
        <v/>
      </c>
      <c r="AJ19" s="154">
        <f>IF((RD[[#This Row],[33kV_OG1_Ex]]-AC18)*1000&lt;=0,0,(RD[[#This Row],[33kV_OG1_Ex]]-AC18)*1000)</f>
        <v>184000</v>
      </c>
      <c r="AK19" s="154">
        <f>IF((RD[[#This Row],[220kV_TL_TVM_Ex]]-AE18)*1600&lt;=0,0,(RD[[#This Row],[220kV_TL_TVM_Ex]]-AE18)*1600)</f>
        <v>182560.00000000058</v>
      </c>
      <c r="AL19" s="154">
        <f>IF((RD[[#This Row],[220kV_C&amp;R_PQM_Ex]]-AF18)*1000&lt;=0,"",(RD[[#This Row],[220kV_C&amp;R_PQM_Ex]]-AF18)*1000)</f>
        <v>182337.99999999974</v>
      </c>
      <c r="AM19" s="154">
        <f>IF((RD[[#This Row],[33kV_Aux1_Im]]-AH18)*1000&lt;0,"",(RD[[#This Row],[33kV_Aux1_Im]]-AH18)*1000)</f>
        <v>10.000000000000009</v>
      </c>
      <c r="AN19" s="154">
        <f>IF((RD[[#This Row],[33kV_Aux1_Im]]-AH18)*1000&lt;0,"",(RD[[#This Row],[33kV_Aux1_Im]]-AH18)*1000)</f>
        <v>10.000000000000009</v>
      </c>
      <c r="AO19" s="61">
        <f>RD[[#This Row],[33kV_OG1_Energy (KWh)]]</f>
        <v>184000</v>
      </c>
      <c r="AP19" s="61">
        <f>IFERROR(RD[[#This Row],[220kV_TL_TVM Energy (KWh)]]-RD[[#This Row],[220kV_C&amp;R_PQM_Imp (KWh)2]],"")</f>
        <v>182550.00000000058</v>
      </c>
      <c r="AQ19" s="63">
        <f>IFERROR(RD[[#This Row],[33 kV Total Export (KWH)]]/RD[[#This Row],[220 KV Net Export (KWh)]]-1,"")</f>
        <v>7.9430293070359426E-3</v>
      </c>
      <c r="AR19" s="64">
        <f>IFERROR((RD[[#This Row],[Sunset Time (POA&lt;20 W/m2)]]-RD[[#This Row],[Sunrise Time (POA&gt;20 W/m2)]])*24,0)</f>
        <v>11.383333333333333</v>
      </c>
      <c r="AS19" s="65">
        <f>RD[[#This Row],[33kV_OG1_Energy (KWh)]]</f>
        <v>184000</v>
      </c>
      <c r="AT19" s="65">
        <f>IFERROR(RD[[#This Row],[ Export (33 kV)]]*(1-RD[[#This Row],[33 kV Line Loss (%)]]),RD[[#This Row],[ Export (33 kV)]])</f>
        <v>182538.4826075054</v>
      </c>
      <c r="AU19" s="277">
        <v>35.31</v>
      </c>
      <c r="AV19" s="122"/>
      <c r="AW19" s="122"/>
      <c r="AX19" t="str">
        <f>IFERROR(RD[[#This Row],[E_AC (WPR)]]/RD[[#This Row],[E_DC (WPR)]],"")</f>
        <v/>
      </c>
    </row>
    <row r="20" spans="1:50">
      <c r="A20" s="148">
        <f t="shared" si="47"/>
        <v>45760</v>
      </c>
      <c r="B20" s="151">
        <f>YEAR(RD[[#This Row],[Date]])+IF(MONTH(RD[[#This Row],[Date]])&gt;=4,1,0)</f>
        <v>2026</v>
      </c>
      <c r="C20" s="151">
        <f>YEAR(RD[[#This Row],[Date]])</f>
        <v>2025</v>
      </c>
      <c r="D20" s="152">
        <f t="shared" si="46"/>
        <v>45748</v>
      </c>
      <c r="E20" s="151">
        <f>DAY(EOMONTH(RD[[#This Row],[Date]],0))</f>
        <v>30</v>
      </c>
      <c r="F20" s="122">
        <v>0.2673611111111111</v>
      </c>
      <c r="G20" s="122">
        <v>0.76527777777777772</v>
      </c>
      <c r="H20" s="138">
        <v>22476.9</v>
      </c>
      <c r="I20" s="138">
        <v>22664.1</v>
      </c>
      <c r="J20" s="138">
        <v>30536.799999999999</v>
      </c>
      <c r="K20" s="138">
        <v>31302.9</v>
      </c>
      <c r="L20" s="138">
        <v>29720.7</v>
      </c>
      <c r="M20" s="138">
        <v>10781.1</v>
      </c>
      <c r="N20" s="138">
        <v>18221.099999999999</v>
      </c>
      <c r="O20" s="167"/>
      <c r="P20" s="167"/>
      <c r="Q20" s="58">
        <v>6.15</v>
      </c>
      <c r="R20" s="58">
        <v>6.24</v>
      </c>
      <c r="S20" s="58">
        <v>36.53</v>
      </c>
      <c r="T20" s="58">
        <v>44.93</v>
      </c>
      <c r="U20" s="58">
        <v>23</v>
      </c>
      <c r="V20" s="58">
        <v>0</v>
      </c>
      <c r="W20" s="58">
        <v>2.98</v>
      </c>
      <c r="X20" s="58">
        <v>7.7</v>
      </c>
      <c r="Y20" s="60">
        <f>SUM(RD[[#This Row],[IS1Inv1]:[IS3Inv1]])</f>
        <v>136701.40000000002</v>
      </c>
      <c r="Z20" s="60">
        <f>SUM(RD[[#This Row],[IS4Inv1]:[IS4Inv2]])</f>
        <v>29002.199999999997</v>
      </c>
      <c r="AA20" s="60">
        <f>SUM(RD[[#This Row],[O2RE7]:[O2RE27]])</f>
        <v>165703.60000000003</v>
      </c>
      <c r="AB20" s="153"/>
      <c r="AC20" s="153">
        <v>7981</v>
      </c>
      <c r="AD20" s="153"/>
      <c r="AE20" s="153">
        <v>5422.5</v>
      </c>
      <c r="AF20" s="153">
        <v>7746.0725000000002</v>
      </c>
      <c r="AG20" s="153">
        <v>0.04</v>
      </c>
      <c r="AH20" s="153">
        <v>0.94</v>
      </c>
      <c r="AI20" s="154" t="str">
        <f>IF((RD[[#This Row],[33 kV_F1_Ex]]-AB19)*150000&lt;=0,"",(RD[[#This Row],[33 kV_F1_Ex]]-AB19)*150000)</f>
        <v/>
      </c>
      <c r="AJ20" s="154">
        <f>IF((RD[[#This Row],[33kV_OG1_Ex]]-AC19)*1000&lt;=0,0,(RD[[#This Row],[33kV_OG1_Ex]]-AC19)*1000)</f>
        <v>163000</v>
      </c>
      <c r="AK20" s="154">
        <f>IF((RD[[#This Row],[220kV_TL_TVM_Ex]]-AE19)*1600&lt;=0,0,(RD[[#This Row],[220kV_TL_TVM_Ex]]-AE19)*1600)</f>
        <v>162719.99999999971</v>
      </c>
      <c r="AL20" s="154">
        <f>IF((RD[[#This Row],[220kV_C&amp;R_PQM_Ex]]-AF19)*1000&lt;=0,"",(RD[[#This Row],[220kV_C&amp;R_PQM_Ex]]-AF19)*1000)</f>
        <v>162523.50000000023</v>
      </c>
      <c r="AM20" s="154">
        <f>IF((RD[[#This Row],[33kV_Aux1_Im]]-AH19)*1000&lt;0,"",(RD[[#This Row],[33kV_Aux1_Im]]-AH19)*1000)</f>
        <v>9.999999999999897</v>
      </c>
      <c r="AN20" s="154">
        <f>IF((RD[[#This Row],[33kV_Aux1_Im]]-AH19)*1000&lt;0,"",(RD[[#This Row],[33kV_Aux1_Im]]-AH19)*1000)</f>
        <v>9.999999999999897</v>
      </c>
      <c r="AO20" s="61">
        <f>RD[[#This Row],[33kV_OG1_Energy (KWh)]]</f>
        <v>163000</v>
      </c>
      <c r="AP20" s="61">
        <f>IFERROR(RD[[#This Row],[220kV_TL_TVM Energy (KWh)]]-RD[[#This Row],[220kV_C&amp;R_PQM_Imp (KWh)2]],"")</f>
        <v>162709.99999999971</v>
      </c>
      <c r="AQ20" s="63">
        <f>IFERROR(RD[[#This Row],[33 kV Total Export (KWH)]]/RD[[#This Row],[220 KV Net Export (KWh)]]-1,"")</f>
        <v>1.7823120889943755E-3</v>
      </c>
      <c r="AR20" s="64">
        <f>IFERROR((RD[[#This Row],[Sunset Time (POA&lt;20 W/m2)]]-RD[[#This Row],[Sunrise Time (POA&gt;20 W/m2)]])*24,0)</f>
        <v>11.95</v>
      </c>
      <c r="AS20" s="65">
        <f>RD[[#This Row],[33kV_OG1_Energy (KWh)]]</f>
        <v>163000</v>
      </c>
      <c r="AT20" s="65">
        <f>IFERROR(RD[[#This Row],[ Export (33 kV)]]*(1-RD[[#This Row],[33 kV Line Loss (%)]]),RD[[#This Row],[ Export (33 kV)]])</f>
        <v>162709.48312949392</v>
      </c>
      <c r="AU20" s="277">
        <v>35.31</v>
      </c>
      <c r="AV20" s="122"/>
      <c r="AW20" s="122"/>
      <c r="AX20" t="str">
        <f>IFERROR(RD[[#This Row],[E_AC (WPR)]]/RD[[#This Row],[E_DC (WPR)]],"")</f>
        <v/>
      </c>
    </row>
    <row r="21" spans="1:50">
      <c r="A21" s="148">
        <f t="shared" si="47"/>
        <v>45761</v>
      </c>
      <c r="B21" s="151">
        <f>YEAR(RD[[#This Row],[Date]])+IF(MONTH(RD[[#This Row],[Date]])&gt;=4,1,0)</f>
        <v>2026</v>
      </c>
      <c r="C21" s="151">
        <f>YEAR(RD[[#This Row],[Date]])</f>
        <v>2025</v>
      </c>
      <c r="D21" s="152">
        <f t="shared" si="46"/>
        <v>45748</v>
      </c>
      <c r="E21" s="151">
        <f>DAY(EOMONTH(RD[[#This Row],[Date]],0))</f>
        <v>30</v>
      </c>
      <c r="F21" s="122">
        <v>0.26944444444444443</v>
      </c>
      <c r="G21" s="122">
        <v>0.7631944444444444</v>
      </c>
      <c r="H21" s="138">
        <v>24357.7</v>
      </c>
      <c r="I21" s="138">
        <v>24544.9</v>
      </c>
      <c r="J21" s="138">
        <v>33021.300000000003</v>
      </c>
      <c r="K21" s="138">
        <v>33926.9</v>
      </c>
      <c r="L21" s="138">
        <v>33170.800000000003</v>
      </c>
      <c r="M21" s="138">
        <v>10819.1</v>
      </c>
      <c r="N21" s="138">
        <v>19930.3</v>
      </c>
      <c r="O21" s="167"/>
      <c r="P21" s="167"/>
      <c r="Q21" s="58">
        <v>6.68</v>
      </c>
      <c r="R21" s="58">
        <v>6.7</v>
      </c>
      <c r="S21" s="58">
        <v>36.76</v>
      </c>
      <c r="T21" s="58">
        <v>45.63</v>
      </c>
      <c r="U21" s="58">
        <v>18.649999999999999</v>
      </c>
      <c r="V21" s="58">
        <v>0</v>
      </c>
      <c r="W21" s="58">
        <v>3.14</v>
      </c>
      <c r="X21" s="58">
        <v>9.32</v>
      </c>
      <c r="Y21" s="60">
        <f>SUM(RD[[#This Row],[IS1Inv1]:[IS3Inv1]])</f>
        <v>149021.60000000003</v>
      </c>
      <c r="Z21" s="60">
        <f>SUM(RD[[#This Row],[IS4Inv1]:[IS4Inv2]])</f>
        <v>30749.4</v>
      </c>
      <c r="AA21" s="60">
        <f>SUM(RD[[#This Row],[O2RE7]:[O2RE27]])</f>
        <v>179771.00000000003</v>
      </c>
      <c r="AB21" s="153"/>
      <c r="AC21" s="153">
        <v>8159</v>
      </c>
      <c r="AD21" s="153"/>
      <c r="AE21" s="153">
        <v>5532.7</v>
      </c>
      <c r="AF21" s="153">
        <v>7922.3159999999998</v>
      </c>
      <c r="AG21" s="153">
        <v>0.04</v>
      </c>
      <c r="AH21" s="153">
        <v>0.96</v>
      </c>
      <c r="AI21" s="154" t="str">
        <f>IF((RD[[#This Row],[33 kV_F1_Ex]]-AB20)*150000&lt;=0,"",(RD[[#This Row],[33 kV_F1_Ex]]-AB20)*150000)</f>
        <v/>
      </c>
      <c r="AJ21" s="154">
        <f>IF((RD[[#This Row],[33kV_OG1_Ex]]-AC20)*1000&lt;=0,0,(RD[[#This Row],[33kV_OG1_Ex]]-AC20)*1000)</f>
        <v>178000</v>
      </c>
      <c r="AK21" s="154">
        <f>IF((RD[[#This Row],[220kV_TL_TVM_Ex]]-AE20)*1600&lt;=0,0,(RD[[#This Row],[220kV_TL_TVM_Ex]]-AE20)*1600)</f>
        <v>176319.99999999971</v>
      </c>
      <c r="AL21" s="154">
        <f>IF((RD[[#This Row],[220kV_C&amp;R_PQM_Ex]]-AF20)*1000&lt;=0,"",(RD[[#This Row],[220kV_C&amp;R_PQM_Ex]]-AF20)*1000)</f>
        <v>176243.49999999959</v>
      </c>
      <c r="AM21" s="154">
        <f>IF((RD[[#This Row],[33kV_Aux1_Im]]-AH20)*1000&lt;0,"",(RD[[#This Row],[33kV_Aux1_Im]]-AH20)*1000)</f>
        <v>20.000000000000018</v>
      </c>
      <c r="AN21" s="154">
        <f>IF((RD[[#This Row],[33kV_Aux1_Im]]-AH20)*1000&lt;0,"",(RD[[#This Row],[33kV_Aux1_Im]]-AH20)*1000)</f>
        <v>20.000000000000018</v>
      </c>
      <c r="AO21" s="61">
        <f>RD[[#This Row],[33kV_OG1_Energy (KWh)]]</f>
        <v>178000</v>
      </c>
      <c r="AP21" s="61">
        <f>IFERROR(RD[[#This Row],[220kV_TL_TVM Energy (KWh)]]-RD[[#This Row],[220kV_C&amp;R_PQM_Imp (KWh)2]],"")</f>
        <v>176299.99999999971</v>
      </c>
      <c r="AQ21" s="63">
        <f>IFERROR(RD[[#This Row],[33 kV Total Export (KWH)]]/RD[[#This Row],[220 KV Net Export (KWh)]]-1,"")</f>
        <v>9.6426545660821539E-3</v>
      </c>
      <c r="AR21" s="64">
        <f>IFERROR((RD[[#This Row],[Sunset Time (POA&lt;20 W/m2)]]-RD[[#This Row],[Sunrise Time (POA&gt;20 W/m2)]])*24,0)</f>
        <v>11.85</v>
      </c>
      <c r="AS21" s="65">
        <f>RD[[#This Row],[33kV_OG1_Energy (KWh)]]</f>
        <v>178000</v>
      </c>
      <c r="AT21" s="65">
        <f>IFERROR(RD[[#This Row],[ Export (33 kV)]]*(1-RD[[#This Row],[33 kV Line Loss (%)]]),RD[[#This Row],[ Export (33 kV)]])</f>
        <v>176283.60748723737</v>
      </c>
      <c r="AU21" s="277">
        <v>35.31</v>
      </c>
      <c r="AV21" s="122"/>
      <c r="AW21" s="122"/>
      <c r="AX21" t="str">
        <f>IFERROR(RD[[#This Row],[E_AC (WPR)]]/RD[[#This Row],[E_DC (WPR)]],"")</f>
        <v/>
      </c>
    </row>
    <row r="22" spans="1:50">
      <c r="A22" s="148">
        <f t="shared" si="47"/>
        <v>45762</v>
      </c>
      <c r="B22" s="151">
        <f>YEAR(RD[[#This Row],[Date]])+IF(MONTH(RD[[#This Row],[Date]])&gt;=4,1,0)</f>
        <v>2026</v>
      </c>
      <c r="C22" s="151">
        <f>YEAR(RD[[#This Row],[Date]])</f>
        <v>2025</v>
      </c>
      <c r="D22" s="152">
        <f t="shared" si="46"/>
        <v>45748</v>
      </c>
      <c r="E22" s="151">
        <f>DAY(EOMONTH(RD[[#This Row],[Date]],0))</f>
        <v>30</v>
      </c>
      <c r="F22" s="122">
        <v>0.26458333333333334</v>
      </c>
      <c r="G22" s="122">
        <v>0.76111111111111107</v>
      </c>
      <c r="H22" s="138">
        <v>22930.400000000001</v>
      </c>
      <c r="I22" s="138">
        <v>23567.9</v>
      </c>
      <c r="J22" s="138">
        <v>30886.7</v>
      </c>
      <c r="K22" s="138">
        <v>32230</v>
      </c>
      <c r="L22" s="138">
        <v>31994</v>
      </c>
      <c r="M22" s="138">
        <v>10943.5</v>
      </c>
      <c r="N22" s="138">
        <v>19367.3</v>
      </c>
      <c r="O22" s="167"/>
      <c r="P22" s="167"/>
      <c r="Q22" s="58">
        <v>6.23</v>
      </c>
      <c r="R22" s="58">
        <v>6.3</v>
      </c>
      <c r="S22" s="58">
        <v>37.450000000000003</v>
      </c>
      <c r="T22" s="58">
        <v>46.26</v>
      </c>
      <c r="U22" s="58">
        <v>19.190000000000001</v>
      </c>
      <c r="V22" s="58">
        <v>0</v>
      </c>
      <c r="W22" s="58">
        <v>3.09</v>
      </c>
      <c r="X22" s="58">
        <v>10.7</v>
      </c>
      <c r="Y22" s="60">
        <f>SUM(RD[[#This Row],[IS1Inv1]:[IS3Inv1]])</f>
        <v>141609</v>
      </c>
      <c r="Z22" s="60">
        <f>SUM(RD[[#This Row],[IS4Inv1]:[IS4Inv2]])</f>
        <v>30310.799999999999</v>
      </c>
      <c r="AA22" s="60">
        <f>SUM(RD[[#This Row],[O2RE7]:[O2RE27]])</f>
        <v>171919.8</v>
      </c>
      <c r="AB22" s="153"/>
      <c r="AC22" s="153">
        <v>8329</v>
      </c>
      <c r="AD22" s="153"/>
      <c r="AE22" s="153">
        <v>5638.6</v>
      </c>
      <c r="AF22" s="153">
        <v>8091.1935000000003</v>
      </c>
      <c r="AG22" s="153">
        <v>0.04</v>
      </c>
      <c r="AH22" s="153">
        <v>0.97</v>
      </c>
      <c r="AI22" s="154" t="str">
        <f>IF((RD[[#This Row],[33 kV_F1_Ex]]-AB21)*150000&lt;=0,"",(RD[[#This Row],[33 kV_F1_Ex]]-AB21)*150000)</f>
        <v/>
      </c>
      <c r="AJ22" s="154">
        <f>IF((RD[[#This Row],[33kV_OG1_Ex]]-AC21)*1000&lt;=0,0,(RD[[#This Row],[33kV_OG1_Ex]]-AC21)*1000)</f>
        <v>170000</v>
      </c>
      <c r="AK22" s="154">
        <f>IF((RD[[#This Row],[220kV_TL_TVM_Ex]]-AE21)*1600&lt;=0,0,(RD[[#This Row],[220kV_TL_TVM_Ex]]-AE21)*1600)</f>
        <v>169440.00000000087</v>
      </c>
      <c r="AL22" s="154">
        <f>IF((RD[[#This Row],[220kV_C&amp;R_PQM_Ex]]-AF21)*1000&lt;=0,"",(RD[[#This Row],[220kV_C&amp;R_PQM_Ex]]-AF21)*1000)</f>
        <v>168877.50000000052</v>
      </c>
      <c r="AM22" s="154">
        <f>IF((RD[[#This Row],[33kV_Aux1_Im]]-AH21)*1000&lt;0,"",(RD[[#This Row],[33kV_Aux1_Im]]-AH21)*1000)</f>
        <v>10.000000000000009</v>
      </c>
      <c r="AN22" s="154">
        <f>IF((RD[[#This Row],[33kV_Aux1_Im]]-AH21)*1000&lt;0,"",(RD[[#This Row],[33kV_Aux1_Im]]-AH21)*1000)</f>
        <v>10.000000000000009</v>
      </c>
      <c r="AO22" s="61">
        <f>RD[[#This Row],[33kV_OG1_Energy (KWh)]]</f>
        <v>170000</v>
      </c>
      <c r="AP22" s="61">
        <f>IFERROR(RD[[#This Row],[220kV_TL_TVM Energy (KWh)]]-RD[[#This Row],[220kV_C&amp;R_PQM_Imp (KWh)2]],"")</f>
        <v>169430.00000000087</v>
      </c>
      <c r="AQ22" s="63">
        <f>IFERROR(RD[[#This Row],[33 kV Total Export (KWH)]]/RD[[#This Row],[220 KV Net Export (KWh)]]-1,"")</f>
        <v>3.3642212122948489E-3</v>
      </c>
      <c r="AR22" s="64">
        <f>IFERROR((RD[[#This Row],[Sunset Time (POA&lt;20 W/m2)]]-RD[[#This Row],[Sunrise Time (POA&gt;20 W/m2)]])*24,0)</f>
        <v>11.916666666666666</v>
      </c>
      <c r="AS22" s="65">
        <f>RD[[#This Row],[33kV_OG1_Energy (KWh)]]</f>
        <v>170000</v>
      </c>
      <c r="AT22" s="65">
        <f>IFERROR(RD[[#This Row],[ Export (33 kV)]]*(1-RD[[#This Row],[33 kV Line Loss (%)]]),RD[[#This Row],[ Export (33 kV)]])</f>
        <v>169428.08239390986</v>
      </c>
      <c r="AU22" s="277">
        <v>35.31</v>
      </c>
      <c r="AV22" s="122"/>
      <c r="AW22" s="122"/>
      <c r="AX22" t="str">
        <f>IFERROR(RD[[#This Row],[E_AC (WPR)]]/RD[[#This Row],[E_DC (WPR)]],"")</f>
        <v/>
      </c>
    </row>
    <row r="23" spans="1:50">
      <c r="A23" s="148">
        <f t="shared" si="47"/>
        <v>45763</v>
      </c>
      <c r="B23" s="151">
        <f>YEAR(RD[[#This Row],[Date]])+IF(MONTH(RD[[#This Row],[Date]])&gt;=4,1,0)</f>
        <v>2026</v>
      </c>
      <c r="C23" s="151">
        <f>YEAR(RD[[#This Row],[Date]])</f>
        <v>2025</v>
      </c>
      <c r="D23" s="152">
        <f t="shared" si="46"/>
        <v>45748</v>
      </c>
      <c r="E23" s="151">
        <f>DAY(EOMONTH(RD[[#This Row],[Date]],0))</f>
        <v>30</v>
      </c>
      <c r="F23" s="122">
        <v>0.26458333333333334</v>
      </c>
      <c r="G23" s="122">
        <v>0.75763888888888886</v>
      </c>
      <c r="H23" s="138">
        <v>22169.3</v>
      </c>
      <c r="I23" s="138">
        <v>23172.1</v>
      </c>
      <c r="J23" s="138">
        <v>30132.2</v>
      </c>
      <c r="K23" s="138">
        <v>31530</v>
      </c>
      <c r="L23" s="138">
        <v>31360.799999999999</v>
      </c>
      <c r="M23" s="138">
        <v>10772</v>
      </c>
      <c r="N23" s="138">
        <v>18744</v>
      </c>
      <c r="O23" s="167"/>
      <c r="P23" s="167"/>
      <c r="Q23" s="58">
        <v>6.05</v>
      </c>
      <c r="R23" s="58">
        <v>6.1</v>
      </c>
      <c r="S23" s="58">
        <v>36.22</v>
      </c>
      <c r="T23" s="58">
        <v>47</v>
      </c>
      <c r="U23" s="58">
        <v>29.36</v>
      </c>
      <c r="V23" s="58">
        <v>0</v>
      </c>
      <c r="W23" s="58">
        <v>2.37</v>
      </c>
      <c r="X23" s="58">
        <v>6.75</v>
      </c>
      <c r="Y23" s="60">
        <f>SUM(RD[[#This Row],[IS1Inv1]:[IS3Inv1]])</f>
        <v>138364.4</v>
      </c>
      <c r="Z23" s="60">
        <f>SUM(RD[[#This Row],[IS4Inv1]:[IS4Inv2]])</f>
        <v>29516</v>
      </c>
      <c r="AA23" s="60">
        <f>SUM(RD[[#This Row],[O2RE7]:[O2RE27]])</f>
        <v>167880.4</v>
      </c>
      <c r="AB23" s="153"/>
      <c r="AC23" s="153">
        <v>8495</v>
      </c>
      <c r="AD23" s="153"/>
      <c r="AE23" s="153">
        <v>5741.8</v>
      </c>
      <c r="AF23" s="153">
        <v>8255.9205000000002</v>
      </c>
      <c r="AG23" s="153">
        <v>0.04</v>
      </c>
      <c r="AH23" s="153">
        <v>0.99</v>
      </c>
      <c r="AI23" s="154" t="str">
        <f>IF((RD[[#This Row],[33 kV_F1_Ex]]-AB22)*150000&lt;=0,"",(RD[[#This Row],[33 kV_F1_Ex]]-AB22)*150000)</f>
        <v/>
      </c>
      <c r="AJ23" s="154">
        <f>IF((RD[[#This Row],[33kV_OG1_Ex]]-AC22)*1000&lt;=0,0,(RD[[#This Row],[33kV_OG1_Ex]]-AC22)*1000)</f>
        <v>166000</v>
      </c>
      <c r="AK23" s="154">
        <f>IF((RD[[#This Row],[220kV_TL_TVM_Ex]]-AE22)*1600&lt;=0,0,(RD[[#This Row],[220kV_TL_TVM_Ex]]-AE22)*1600)</f>
        <v>165119.99999999971</v>
      </c>
      <c r="AL23" s="154">
        <f>IF((RD[[#This Row],[220kV_C&amp;R_PQM_Ex]]-AF22)*1000&lt;=0,"",(RD[[#This Row],[220kV_C&amp;R_PQM_Ex]]-AF22)*1000)</f>
        <v>164726.99999999985</v>
      </c>
      <c r="AM23" s="154">
        <f>IF((RD[[#This Row],[33kV_Aux1_Im]]-AH22)*1000&lt;0,"",(RD[[#This Row],[33kV_Aux1_Im]]-AH22)*1000)</f>
        <v>20.000000000000018</v>
      </c>
      <c r="AN23" s="154">
        <f>IF((RD[[#This Row],[33kV_Aux1_Im]]-AH22)*1000&lt;0,"",(RD[[#This Row],[33kV_Aux1_Im]]-AH22)*1000)</f>
        <v>20.000000000000018</v>
      </c>
      <c r="AO23" s="61">
        <f>RD[[#This Row],[33kV_OG1_Energy (KWh)]]</f>
        <v>166000</v>
      </c>
      <c r="AP23" s="61">
        <f>IFERROR(RD[[#This Row],[220kV_TL_TVM Energy (KWh)]]-RD[[#This Row],[220kV_C&amp;R_PQM_Imp (KWh)2]],"")</f>
        <v>165099.99999999971</v>
      </c>
      <c r="AQ23" s="63">
        <f>IFERROR(RD[[#This Row],[33 kV Total Export (KWH)]]/RD[[#This Row],[220 KV Net Export (KWh)]]-1,"")</f>
        <v>5.4512416717158452E-3</v>
      </c>
      <c r="AR23" s="64">
        <f>IFERROR((RD[[#This Row],[Sunset Time (POA&lt;20 W/m2)]]-RD[[#This Row],[Sunrise Time (POA&gt;20 W/m2)]])*24,0)</f>
        <v>11.833333333333332</v>
      </c>
      <c r="AS23" s="65">
        <f>RD[[#This Row],[33kV_OG1_Energy (KWh)]]</f>
        <v>166000</v>
      </c>
      <c r="AT23" s="65">
        <f>IFERROR(RD[[#This Row],[ Export (33 kV)]]*(1-RD[[#This Row],[33 kV Line Loss (%)]]),RD[[#This Row],[ Export (33 kV)]])</f>
        <v>165095.09388249516</v>
      </c>
      <c r="AU23" s="277">
        <v>35.31</v>
      </c>
      <c r="AV23" s="122"/>
      <c r="AW23" s="122"/>
      <c r="AX23" t="str">
        <f>IFERROR(RD[[#This Row],[E_AC (WPR)]]/RD[[#This Row],[E_DC (WPR)]],"")</f>
        <v/>
      </c>
    </row>
    <row r="24" spans="1:50">
      <c r="A24" s="148">
        <f t="shared" si="47"/>
        <v>45764</v>
      </c>
      <c r="B24" s="151">
        <f>YEAR(RD[[#This Row],[Date]])+IF(MONTH(RD[[#This Row],[Date]])&gt;=4,1,0)</f>
        <v>2026</v>
      </c>
      <c r="C24" s="151">
        <f>YEAR(RD[[#This Row],[Date]])</f>
        <v>2025</v>
      </c>
      <c r="D24" s="152">
        <f t="shared" si="46"/>
        <v>45748</v>
      </c>
      <c r="E24" s="151">
        <f>DAY(EOMONTH(RD[[#This Row],[Date]],0))</f>
        <v>30</v>
      </c>
      <c r="F24" s="122">
        <v>0.26597222222222222</v>
      </c>
      <c r="G24" s="122">
        <v>0.76111111111111107</v>
      </c>
      <c r="H24" s="138">
        <v>23143.200000000001</v>
      </c>
      <c r="I24" s="138">
        <v>25126.400000000001</v>
      </c>
      <c r="J24" s="138">
        <v>29397.1</v>
      </c>
      <c r="K24" s="138">
        <v>32741.7</v>
      </c>
      <c r="L24" s="138">
        <v>32372.1</v>
      </c>
      <c r="M24" s="138">
        <v>10762.1</v>
      </c>
      <c r="N24" s="138">
        <v>19795</v>
      </c>
      <c r="O24" s="167"/>
      <c r="P24" s="167"/>
      <c r="Q24" s="58">
        <v>6.39</v>
      </c>
      <c r="R24" s="58">
        <v>6.45</v>
      </c>
      <c r="S24" s="58">
        <v>37.65</v>
      </c>
      <c r="T24" s="58">
        <v>48.8</v>
      </c>
      <c r="U24" s="58">
        <v>24.52</v>
      </c>
      <c r="V24" s="58">
        <v>0</v>
      </c>
      <c r="W24" s="58">
        <v>2.2000000000000002</v>
      </c>
      <c r="X24" s="58">
        <v>9.02</v>
      </c>
      <c r="Y24" s="60">
        <f>SUM(RD[[#This Row],[IS1Inv1]:[IS3Inv1]])</f>
        <v>142780.5</v>
      </c>
      <c r="Z24" s="60">
        <f>SUM(RD[[#This Row],[IS4Inv1]:[IS4Inv2]])</f>
        <v>30557.1</v>
      </c>
      <c r="AA24" s="60">
        <f>SUM(RD[[#This Row],[O2RE7]:[O2RE27]])</f>
        <v>173337.60000000001</v>
      </c>
      <c r="AB24" s="153"/>
      <c r="AC24" s="153">
        <v>8666</v>
      </c>
      <c r="AD24" s="153"/>
      <c r="AE24" s="153">
        <v>5847.6</v>
      </c>
      <c r="AF24" s="153">
        <v>8425.0400000000009</v>
      </c>
      <c r="AG24" s="153">
        <v>0.04</v>
      </c>
      <c r="AH24" s="153">
        <v>1.01</v>
      </c>
      <c r="AI24" s="154" t="str">
        <f>IF((RD[[#This Row],[33 kV_F1_Ex]]-AB23)*150000&lt;=0,"",(RD[[#This Row],[33 kV_F1_Ex]]-AB23)*150000)</f>
        <v/>
      </c>
      <c r="AJ24" s="154">
        <f>IF((RD[[#This Row],[33kV_OG1_Ex]]-AC23)*1000&lt;=0,0,(RD[[#This Row],[33kV_OG1_Ex]]-AC23)*1000)</f>
        <v>171000</v>
      </c>
      <c r="AK24" s="154">
        <f>IF((RD[[#This Row],[220kV_TL_TVM_Ex]]-AE23)*1600&lt;=0,0,(RD[[#This Row],[220kV_TL_TVM_Ex]]-AE23)*1600)</f>
        <v>169280.00000000029</v>
      </c>
      <c r="AL24" s="154">
        <f>IF((RD[[#This Row],[220kV_C&amp;R_PQM_Ex]]-AF23)*1000&lt;=0,"",(RD[[#This Row],[220kV_C&amp;R_PQM_Ex]]-AF23)*1000)</f>
        <v>169119.5000000007</v>
      </c>
      <c r="AM24" s="154">
        <f>IF((RD[[#This Row],[33kV_Aux1_Im]]-AH23)*1000&lt;0,"",(RD[[#This Row],[33kV_Aux1_Im]]-AH23)*1000)</f>
        <v>20.000000000000018</v>
      </c>
      <c r="AN24" s="154">
        <f>IF((RD[[#This Row],[33kV_Aux1_Im]]-AH23)*1000&lt;0,"",(RD[[#This Row],[33kV_Aux1_Im]]-AH23)*1000)</f>
        <v>20.000000000000018</v>
      </c>
      <c r="AO24" s="61">
        <f>RD[[#This Row],[33kV_OG1_Energy (KWh)]]</f>
        <v>171000</v>
      </c>
      <c r="AP24" s="61">
        <f>IFERROR(RD[[#This Row],[220kV_TL_TVM Energy (KWh)]]-RD[[#This Row],[220kV_C&amp;R_PQM_Imp (KWh)2]],"")</f>
        <v>169260.00000000029</v>
      </c>
      <c r="AQ24" s="63">
        <f>IFERROR(RD[[#This Row],[33 kV Total Export (KWH)]]/RD[[#This Row],[220 KV Net Export (KWh)]]-1,"")</f>
        <v>1.0280042538105327E-2</v>
      </c>
      <c r="AR24" s="64">
        <f>IFERROR((RD[[#This Row],[Sunset Time (POA&lt;20 W/m2)]]-RD[[#This Row],[Sunrise Time (POA&gt;20 W/m2)]])*24,0)</f>
        <v>11.883333333333333</v>
      </c>
      <c r="AS24" s="65">
        <f>RD[[#This Row],[33kV_OG1_Energy (KWh)]]</f>
        <v>171000</v>
      </c>
      <c r="AT24" s="65">
        <f>IFERROR(RD[[#This Row],[ Export (33 kV)]]*(1-RD[[#This Row],[33 kV Line Loss (%)]]),RD[[#This Row],[ Export (33 kV)]])</f>
        <v>169242.11272598399</v>
      </c>
      <c r="AU24" s="277">
        <v>35.31</v>
      </c>
      <c r="AV24" s="122"/>
      <c r="AW24" s="122"/>
      <c r="AX24" t="str">
        <f>IFERROR(RD[[#This Row],[E_AC (WPR)]]/RD[[#This Row],[E_DC (WPR)]],"")</f>
        <v/>
      </c>
    </row>
    <row r="25" spans="1:50">
      <c r="A25" s="148">
        <f t="shared" si="47"/>
        <v>45765</v>
      </c>
      <c r="B25" s="151">
        <f>YEAR(RD[[#This Row],[Date]])+IF(MONTH(RD[[#This Row],[Date]])&gt;=4,1,0)</f>
        <v>2026</v>
      </c>
      <c r="C25" s="151">
        <f>YEAR(RD[[#This Row],[Date]])</f>
        <v>2025</v>
      </c>
      <c r="D25" s="152">
        <f t="shared" si="46"/>
        <v>45748</v>
      </c>
      <c r="E25" s="151">
        <f>DAY(EOMONTH(RD[[#This Row],[Date]],0))</f>
        <v>30</v>
      </c>
      <c r="F25" s="122">
        <v>0.26666666666666666</v>
      </c>
      <c r="G25" s="122">
        <v>0.75347222222222221</v>
      </c>
      <c r="H25" s="138">
        <v>16310.8</v>
      </c>
      <c r="I25" s="138">
        <v>17006</v>
      </c>
      <c r="J25" s="138">
        <v>19632.3</v>
      </c>
      <c r="K25" s="138">
        <v>23109.4</v>
      </c>
      <c r="L25" s="138">
        <v>23455.5</v>
      </c>
      <c r="M25" s="138">
        <v>9900.9</v>
      </c>
      <c r="N25" s="138">
        <v>14040.8</v>
      </c>
      <c r="O25" s="167"/>
      <c r="P25" s="167"/>
      <c r="Q25" s="58">
        <v>4.41</v>
      </c>
      <c r="R25" s="58">
        <v>4.45</v>
      </c>
      <c r="S25" s="58">
        <v>36.840000000000003</v>
      </c>
      <c r="T25" s="58">
        <v>44.34</v>
      </c>
      <c r="U25" s="58">
        <v>25.13</v>
      </c>
      <c r="V25" s="58">
        <v>0</v>
      </c>
      <c r="W25" s="58">
        <v>2.73</v>
      </c>
      <c r="X25" s="58">
        <v>9.4</v>
      </c>
      <c r="Y25" s="60">
        <f>SUM(RD[[#This Row],[IS1Inv1]:[IS3Inv1]])</f>
        <v>99514</v>
      </c>
      <c r="Z25" s="60">
        <f>SUM(RD[[#This Row],[IS4Inv1]:[IS4Inv2]])</f>
        <v>23941.699999999997</v>
      </c>
      <c r="AA25" s="60">
        <f>SUM(RD[[#This Row],[O2RE7]:[O2RE27]])</f>
        <v>123455.7</v>
      </c>
      <c r="AB25" s="153"/>
      <c r="AC25" s="153">
        <v>8788</v>
      </c>
      <c r="AD25" s="153"/>
      <c r="AE25" s="153">
        <v>5923.5</v>
      </c>
      <c r="AF25" s="153">
        <v>8546.1419999999998</v>
      </c>
      <c r="AG25" s="153">
        <v>0.04</v>
      </c>
      <c r="AH25" s="153">
        <v>1.02</v>
      </c>
      <c r="AI25" s="154" t="str">
        <f>IF((RD[[#This Row],[33 kV_F1_Ex]]-AB24)*150000&lt;=0,"",(RD[[#This Row],[33 kV_F1_Ex]]-AB24)*150000)</f>
        <v/>
      </c>
      <c r="AJ25" s="154">
        <f>IF((RD[[#This Row],[33kV_OG1_Ex]]-AC24)*1000&lt;=0,0,(RD[[#This Row],[33kV_OG1_Ex]]-AC24)*1000)</f>
        <v>122000</v>
      </c>
      <c r="AK25" s="154">
        <f>IF((RD[[#This Row],[220kV_TL_TVM_Ex]]-AE24)*1600&lt;=0,0,(RD[[#This Row],[220kV_TL_TVM_Ex]]-AE24)*1600)</f>
        <v>121439.99999999942</v>
      </c>
      <c r="AL25" s="154">
        <f>IF((RD[[#This Row],[220kV_C&amp;R_PQM_Ex]]-AF24)*1000&lt;=0,"",(RD[[#This Row],[220kV_C&amp;R_PQM_Ex]]-AF24)*1000)</f>
        <v>121101.99999999895</v>
      </c>
      <c r="AM25" s="154">
        <f>IF((RD[[#This Row],[33kV_Aux1_Im]]-AH24)*1000&lt;0,"",(RD[[#This Row],[33kV_Aux1_Im]]-AH24)*1000)</f>
        <v>10.000000000000009</v>
      </c>
      <c r="AN25" s="154">
        <f>IF((RD[[#This Row],[33kV_Aux1_Im]]-AH24)*1000&lt;0,"",(RD[[#This Row],[33kV_Aux1_Im]]-AH24)*1000)</f>
        <v>10.000000000000009</v>
      </c>
      <c r="AO25" s="61">
        <f>RD[[#This Row],[33kV_OG1_Energy (KWh)]]</f>
        <v>122000</v>
      </c>
      <c r="AP25" s="61">
        <f>IFERROR(RD[[#This Row],[220kV_TL_TVM Energy (KWh)]]-RD[[#This Row],[220kV_C&amp;R_PQM_Imp (KWh)2]],"")</f>
        <v>121429.99999999942</v>
      </c>
      <c r="AQ25" s="63">
        <f>IFERROR(RD[[#This Row],[33 kV Total Export (KWH)]]/RD[[#This Row],[220 KV Net Export (KWh)]]-1,"")</f>
        <v>4.694062422799794E-3</v>
      </c>
      <c r="AR25" s="64">
        <f>IFERROR((RD[[#This Row],[Sunset Time (POA&lt;20 W/m2)]]-RD[[#This Row],[Sunrise Time (POA&gt;20 W/m2)]])*24,0)</f>
        <v>11.683333333333334</v>
      </c>
      <c r="AS25" s="65">
        <f>RD[[#This Row],[33kV_OG1_Energy (KWh)]]</f>
        <v>122000</v>
      </c>
      <c r="AT25" s="65">
        <f>IFERROR(RD[[#This Row],[ Export (33 kV)]]*(1-RD[[#This Row],[33 kV Line Loss (%)]]),RD[[#This Row],[ Export (33 kV)]])</f>
        <v>121427.32438441842</v>
      </c>
      <c r="AU25" s="277">
        <v>35.31</v>
      </c>
      <c r="AV25" s="122"/>
      <c r="AW25" s="122"/>
      <c r="AX25" t="str">
        <f>IFERROR(RD[[#This Row],[E_AC (WPR)]]/RD[[#This Row],[E_DC (WPR)]],"")</f>
        <v/>
      </c>
    </row>
    <row r="26" spans="1:50">
      <c r="A26" s="148">
        <f t="shared" si="47"/>
        <v>45766</v>
      </c>
      <c r="B26" s="151">
        <f>YEAR(RD[[#This Row],[Date]])+IF(MONTH(RD[[#This Row],[Date]])&gt;=4,1,0)</f>
        <v>2026</v>
      </c>
      <c r="C26" s="151">
        <f>YEAR(RD[[#This Row],[Date]])</f>
        <v>2025</v>
      </c>
      <c r="D26" s="152">
        <f t="shared" si="46"/>
        <v>45748</v>
      </c>
      <c r="E26" s="151">
        <f>DAY(EOMONTH(RD[[#This Row],[Date]],0))</f>
        <v>30</v>
      </c>
      <c r="F26" s="122">
        <v>0.26319444444444445</v>
      </c>
      <c r="G26" s="122">
        <v>0.76458333333333328</v>
      </c>
      <c r="H26" s="138">
        <v>25795.1</v>
      </c>
      <c r="I26" s="138">
        <v>26189.5</v>
      </c>
      <c r="J26" s="138">
        <v>35078.400000000001</v>
      </c>
      <c r="K26" s="138">
        <v>36032.6</v>
      </c>
      <c r="L26" s="138">
        <v>34929.5</v>
      </c>
      <c r="M26" s="138">
        <v>11004.8</v>
      </c>
      <c r="N26" s="138">
        <v>21733.200000000001</v>
      </c>
      <c r="O26" s="167"/>
      <c r="P26" s="167"/>
      <c r="Q26" s="58">
        <v>6.92</v>
      </c>
      <c r="R26" s="58">
        <v>7.01</v>
      </c>
      <c r="S26" s="58">
        <v>38.5</v>
      </c>
      <c r="T26" s="58">
        <v>47.72</v>
      </c>
      <c r="U26" s="58">
        <v>20.21</v>
      </c>
      <c r="V26" s="58">
        <v>0</v>
      </c>
      <c r="W26" s="58">
        <v>3.12</v>
      </c>
      <c r="X26" s="58">
        <v>7.92</v>
      </c>
      <c r="Y26" s="60">
        <f>SUM(RD[[#This Row],[IS1Inv1]:[IS3Inv1]])</f>
        <v>158025.1</v>
      </c>
      <c r="Z26" s="60">
        <f>SUM(RD[[#This Row],[IS4Inv1]:[IS4Inv2]])</f>
        <v>32738</v>
      </c>
      <c r="AA26" s="60">
        <f>SUM(RD[[#This Row],[O2RE7]:[O2RE27]])</f>
        <v>190763.1</v>
      </c>
      <c r="AB26" s="153"/>
      <c r="AC26" s="153">
        <v>8976</v>
      </c>
      <c r="AD26" s="153"/>
      <c r="AE26" s="153">
        <v>6040.7</v>
      </c>
      <c r="AF26" s="153">
        <v>8733.2970000000005</v>
      </c>
      <c r="AG26" s="153">
        <v>0.04</v>
      </c>
      <c r="AH26" s="153">
        <v>1.04</v>
      </c>
      <c r="AI26" s="154" t="str">
        <f>IF((RD[[#This Row],[33 kV_F1_Ex]]-AB25)*150000&lt;=0,"",(RD[[#This Row],[33 kV_F1_Ex]]-AB25)*150000)</f>
        <v/>
      </c>
      <c r="AJ26" s="154">
        <f>IF((RD[[#This Row],[33kV_OG1_Ex]]-AC25)*1000&lt;=0,0,(RD[[#This Row],[33kV_OG1_Ex]]-AC25)*1000)</f>
        <v>188000</v>
      </c>
      <c r="AK26" s="154">
        <f>IF((RD[[#This Row],[220kV_TL_TVM_Ex]]-AE25)*1600&lt;=0,0,(RD[[#This Row],[220kV_TL_TVM_Ex]]-AE25)*1600)</f>
        <v>187519.99999999971</v>
      </c>
      <c r="AL26" s="154">
        <f>IF((RD[[#This Row],[220kV_C&amp;R_PQM_Ex]]-AF25)*1000&lt;=0,"",(RD[[#This Row],[220kV_C&amp;R_PQM_Ex]]-AF25)*1000)</f>
        <v>187155.00000000064</v>
      </c>
      <c r="AM26" s="154">
        <f>IF((RD[[#This Row],[33kV_Aux1_Im]]-AH25)*1000&lt;0,"",(RD[[#This Row],[33kV_Aux1_Im]]-AH25)*1000)</f>
        <v>20.000000000000018</v>
      </c>
      <c r="AN26" s="154">
        <f>IF((RD[[#This Row],[33kV_Aux1_Im]]-AH25)*1000&lt;0,"",(RD[[#This Row],[33kV_Aux1_Im]]-AH25)*1000)</f>
        <v>20.000000000000018</v>
      </c>
      <c r="AO26" s="61">
        <f>RD[[#This Row],[33kV_OG1_Energy (KWh)]]</f>
        <v>188000</v>
      </c>
      <c r="AP26" s="61">
        <f>IFERROR(RD[[#This Row],[220kV_TL_TVM Energy (KWh)]]-RD[[#This Row],[220kV_C&amp;R_PQM_Imp (KWh)2]],"")</f>
        <v>187499.99999999971</v>
      </c>
      <c r="AQ26" s="63">
        <f>IFERROR(RD[[#This Row],[33 kV Total Export (KWH)]]/RD[[#This Row],[220 KV Net Export (KWh)]]-1,"")</f>
        <v>2.6666666666681493E-3</v>
      </c>
      <c r="AR26" s="64">
        <f>IFERROR((RD[[#This Row],[Sunset Time (POA&lt;20 W/m2)]]-RD[[#This Row],[Sunrise Time (POA&gt;20 W/m2)]])*24,0)</f>
        <v>12.033333333333333</v>
      </c>
      <c r="AS26" s="65">
        <f>RD[[#This Row],[33kV_OG1_Energy (KWh)]]</f>
        <v>188000</v>
      </c>
      <c r="AT26" s="65">
        <f>IFERROR(RD[[#This Row],[ Export (33 kV)]]*(1-RD[[#This Row],[33 kV Line Loss (%)]]),RD[[#This Row],[ Export (33 kV)]])</f>
        <v>187498.6666666664</v>
      </c>
      <c r="AU26" s="277">
        <v>35.31</v>
      </c>
      <c r="AV26" s="122"/>
      <c r="AW26" s="122"/>
      <c r="AX26" t="str">
        <f>IFERROR(RD[[#This Row],[E_AC (WPR)]]/RD[[#This Row],[E_DC (WPR)]],"")</f>
        <v/>
      </c>
    </row>
    <row r="27" spans="1:50">
      <c r="A27" s="148">
        <f t="shared" si="47"/>
        <v>45767</v>
      </c>
      <c r="B27" s="151">
        <f>YEAR(RD[[#This Row],[Date]])+IF(MONTH(RD[[#This Row],[Date]])&gt;=4,1,0)</f>
        <v>2026</v>
      </c>
      <c r="C27" s="151">
        <f>YEAR(RD[[#This Row],[Date]])</f>
        <v>2025</v>
      </c>
      <c r="D27" s="152">
        <f t="shared" si="46"/>
        <v>45748</v>
      </c>
      <c r="E27" s="151">
        <f>DAY(EOMONTH(RD[[#This Row],[Date]],0))</f>
        <v>30</v>
      </c>
      <c r="F27" s="122">
        <v>0.26041666666666669</v>
      </c>
      <c r="G27" s="122">
        <v>0.76666666666666672</v>
      </c>
      <c r="H27" s="138">
        <v>26169.200000000001</v>
      </c>
      <c r="I27" s="138">
        <v>26546.3</v>
      </c>
      <c r="J27" s="138">
        <v>36215.1</v>
      </c>
      <c r="K27" s="138">
        <v>36779.1</v>
      </c>
      <c r="L27" s="138">
        <v>35644</v>
      </c>
      <c r="M27" s="138">
        <v>11019</v>
      </c>
      <c r="N27" s="138">
        <v>21988</v>
      </c>
      <c r="O27" s="167"/>
      <c r="P27" s="167"/>
      <c r="Q27" s="58">
        <v>7.05</v>
      </c>
      <c r="R27" s="58">
        <v>7.17</v>
      </c>
      <c r="S27" s="58">
        <v>38.97</v>
      </c>
      <c r="T27" s="58">
        <v>49.7</v>
      </c>
      <c r="U27" s="58">
        <v>17.43</v>
      </c>
      <c r="V27" s="58">
        <v>0</v>
      </c>
      <c r="W27" s="58">
        <v>2.77</v>
      </c>
      <c r="X27" s="58">
        <v>7.35</v>
      </c>
      <c r="Y27" s="60">
        <f>SUM(RD[[#This Row],[IS1Inv1]:[IS3Inv1]])</f>
        <v>161353.70000000001</v>
      </c>
      <c r="Z27" s="60">
        <f>SUM(RD[[#This Row],[IS4Inv1]:[IS4Inv2]])</f>
        <v>33007</v>
      </c>
      <c r="AA27" s="60">
        <f>SUM(RD[[#This Row],[O2RE7]:[O2RE27]])</f>
        <v>194360.7</v>
      </c>
      <c r="AB27" s="153"/>
      <c r="AC27" s="153">
        <v>9169</v>
      </c>
      <c r="AD27" s="153"/>
      <c r="AE27" s="153">
        <v>6160</v>
      </c>
      <c r="AF27" s="153">
        <v>8924.0169999999998</v>
      </c>
      <c r="AG27" s="153">
        <v>0.04</v>
      </c>
      <c r="AH27" s="153">
        <v>1.06</v>
      </c>
      <c r="AI27" s="154" t="str">
        <f>IF((RD[[#This Row],[33 kV_F1_Ex]]-AB26)*150000&lt;=0,"",(RD[[#This Row],[33 kV_F1_Ex]]-AB26)*150000)</f>
        <v/>
      </c>
      <c r="AJ27" s="154">
        <f>IF((RD[[#This Row],[33kV_OG1_Ex]]-AC26)*1000&lt;=0,0,(RD[[#This Row],[33kV_OG1_Ex]]-AC26)*1000)</f>
        <v>193000</v>
      </c>
      <c r="AK27" s="154">
        <f>IF((RD[[#This Row],[220kV_TL_TVM_Ex]]-AE26)*1600&lt;=0,0,(RD[[#This Row],[220kV_TL_TVM_Ex]]-AE26)*1600)</f>
        <v>190880.00000000029</v>
      </c>
      <c r="AL27" s="154">
        <f>IF((RD[[#This Row],[220kV_C&amp;R_PQM_Ex]]-AF26)*1000&lt;=0,"",(RD[[#This Row],[220kV_C&amp;R_PQM_Ex]]-AF26)*1000)</f>
        <v>190719.99999999936</v>
      </c>
      <c r="AM27" s="154">
        <f>IF((RD[[#This Row],[33kV_Aux1_Im]]-AH26)*1000&lt;0,"",(RD[[#This Row],[33kV_Aux1_Im]]-AH26)*1000)</f>
        <v>20.000000000000018</v>
      </c>
      <c r="AN27" s="154">
        <f>IF((RD[[#This Row],[33kV_Aux1_Im]]-AH26)*1000&lt;0,"",(RD[[#This Row],[33kV_Aux1_Im]]-AH26)*1000)</f>
        <v>20.000000000000018</v>
      </c>
      <c r="AO27" s="61">
        <f>RD[[#This Row],[33kV_OG1_Energy (KWh)]]</f>
        <v>193000</v>
      </c>
      <c r="AP27" s="61">
        <f>IFERROR(RD[[#This Row],[220kV_TL_TVM Energy (KWh)]]-RD[[#This Row],[220kV_C&amp;R_PQM_Imp (KWh)2]],"")</f>
        <v>190860.00000000029</v>
      </c>
      <c r="AQ27" s="63">
        <f>IFERROR(RD[[#This Row],[33 kV Total Export (KWH)]]/RD[[#This Row],[220 KV Net Export (KWh)]]-1,"")</f>
        <v>1.1212406999893565E-2</v>
      </c>
      <c r="AR27" s="64">
        <f>IFERROR((RD[[#This Row],[Sunset Time (POA&lt;20 W/m2)]]-RD[[#This Row],[Sunrise Time (POA&gt;20 W/m2)]])*24,0)</f>
        <v>12.150000000000002</v>
      </c>
      <c r="AS27" s="65">
        <f>RD[[#This Row],[33kV_OG1_Energy (KWh)]]</f>
        <v>193000</v>
      </c>
      <c r="AT27" s="65">
        <f>IFERROR(RD[[#This Row],[ Export (33 kV)]]*(1-RD[[#This Row],[33 kV Line Loss (%)]]),RD[[#This Row],[ Export (33 kV)]])</f>
        <v>190836.00544902054</v>
      </c>
      <c r="AU27" s="277">
        <v>35.31</v>
      </c>
      <c r="AV27" s="122"/>
      <c r="AW27" s="122"/>
      <c r="AX27" t="str">
        <f>IFERROR(RD[[#This Row],[E_AC (WPR)]]/RD[[#This Row],[E_DC (WPR)]],"")</f>
        <v/>
      </c>
    </row>
    <row r="28" spans="1:50">
      <c r="A28" s="148">
        <f t="shared" si="47"/>
        <v>45768</v>
      </c>
      <c r="B28" s="151">
        <f>YEAR(RD[[#This Row],[Date]])+IF(MONTH(RD[[#This Row],[Date]])&gt;=4,1,0)</f>
        <v>2026</v>
      </c>
      <c r="C28" s="151">
        <f>YEAR(RD[[#This Row],[Date]])</f>
        <v>2025</v>
      </c>
      <c r="D28" s="152">
        <f t="shared" si="46"/>
        <v>45748</v>
      </c>
      <c r="E28" s="151">
        <f>DAY(EOMONTH(RD[[#This Row],[Date]],0))</f>
        <v>30</v>
      </c>
      <c r="F28" s="122">
        <v>0.26111111111111113</v>
      </c>
      <c r="G28" s="122">
        <v>0.76388888888888884</v>
      </c>
      <c r="H28" s="138">
        <v>25428</v>
      </c>
      <c r="I28" s="138">
        <v>25626</v>
      </c>
      <c r="J28" s="138">
        <v>35665</v>
      </c>
      <c r="K28" s="138">
        <v>34826</v>
      </c>
      <c r="L28" s="138">
        <v>34797</v>
      </c>
      <c r="M28" s="138">
        <v>7790</v>
      </c>
      <c r="N28" s="138">
        <v>21341</v>
      </c>
      <c r="O28" s="167"/>
      <c r="P28" s="167"/>
      <c r="Q28" s="58">
        <v>7.16</v>
      </c>
      <c r="R28" s="58">
        <v>7.28</v>
      </c>
      <c r="S28" s="58">
        <v>38.880000000000003</v>
      </c>
      <c r="T28" s="58">
        <v>50.19</v>
      </c>
      <c r="U28" s="58">
        <v>15.15</v>
      </c>
      <c r="V28" s="58">
        <v>0</v>
      </c>
      <c r="W28" s="58">
        <v>2.91</v>
      </c>
      <c r="X28" s="58">
        <v>7.53</v>
      </c>
      <c r="Y28" s="60">
        <f>SUM(RD[[#This Row],[IS1Inv1]:[IS3Inv1]])</f>
        <v>156342</v>
      </c>
      <c r="Z28" s="60">
        <f>SUM(RD[[#This Row],[IS4Inv1]:[IS4Inv2]])</f>
        <v>29131</v>
      </c>
      <c r="AA28" s="60">
        <f>SUM(RD[[#This Row],[O2RE7]:[O2RE27]])</f>
        <v>185473</v>
      </c>
      <c r="AB28" s="153"/>
      <c r="AC28" s="153">
        <v>9352</v>
      </c>
      <c r="AD28" s="153"/>
      <c r="AE28" s="153">
        <v>6273.8</v>
      </c>
      <c r="AF28" s="153">
        <v>9105.8940000000002</v>
      </c>
      <c r="AG28" s="153">
        <v>0.04</v>
      </c>
      <c r="AH28" s="153">
        <v>1.0900000000000001</v>
      </c>
      <c r="AI28" s="154" t="str">
        <f>IF((RD[[#This Row],[33 kV_F1_Ex]]-AB27)*150000&lt;=0,"",(RD[[#This Row],[33 kV_F1_Ex]]-AB27)*150000)</f>
        <v/>
      </c>
      <c r="AJ28" s="154">
        <f>IF((RD[[#This Row],[33kV_OG1_Ex]]-AC27)*1000&lt;=0,0,(RD[[#This Row],[33kV_OG1_Ex]]-AC27)*1000)</f>
        <v>183000</v>
      </c>
      <c r="AK28" s="154">
        <f>IF((RD[[#This Row],[220kV_TL_TVM_Ex]]-AE27)*1600&lt;=0,0,(RD[[#This Row],[220kV_TL_TVM_Ex]]-AE27)*1600)</f>
        <v>182080.00000000029</v>
      </c>
      <c r="AL28" s="154">
        <f>IF((RD[[#This Row],[220kV_C&amp;R_PQM_Ex]]-AF27)*1000&lt;=0,"",(RD[[#This Row],[220kV_C&amp;R_PQM_Ex]]-AF27)*1000)</f>
        <v>181877.00000000041</v>
      </c>
      <c r="AM28" s="154">
        <f>IF((RD[[#This Row],[33kV_Aux1_Im]]-AH27)*1000&lt;0,"",(RD[[#This Row],[33kV_Aux1_Im]]-AH27)*1000)</f>
        <v>30.000000000000028</v>
      </c>
      <c r="AN28" s="154">
        <f>IF((RD[[#This Row],[33kV_Aux1_Im]]-AH27)*1000&lt;0,"",(RD[[#This Row],[33kV_Aux1_Im]]-AH27)*1000)</f>
        <v>30.000000000000028</v>
      </c>
      <c r="AO28" s="61">
        <f>RD[[#This Row],[33kV_OG1_Energy (KWh)]]</f>
        <v>183000</v>
      </c>
      <c r="AP28" s="61">
        <f>IFERROR(RD[[#This Row],[220kV_TL_TVM Energy (KWh)]]-RD[[#This Row],[220kV_C&amp;R_PQM_Imp (KWh)2]],"")</f>
        <v>182050.00000000029</v>
      </c>
      <c r="AQ28" s="63">
        <f>IFERROR(RD[[#This Row],[33 kV Total Export (KWH)]]/RD[[#This Row],[220 KV Net Export (KWh)]]-1,"")</f>
        <v>5.2183466080730767E-3</v>
      </c>
      <c r="AR28" s="64">
        <f>IFERROR((RD[[#This Row],[Sunset Time (POA&lt;20 W/m2)]]-RD[[#This Row],[Sunrise Time (POA&gt;20 W/m2)]])*24,0)</f>
        <v>12.066666666666666</v>
      </c>
      <c r="AS28" s="65">
        <f>RD[[#This Row],[33kV_OG1_Energy (KWh)]]</f>
        <v>183000</v>
      </c>
      <c r="AT28" s="65">
        <f>IFERROR(RD[[#This Row],[ Export (33 kV)]]*(1-RD[[#This Row],[33 kV Line Loss (%)]]),RD[[#This Row],[ Export (33 kV)]])</f>
        <v>182045.04257072264</v>
      </c>
      <c r="AU28" s="277">
        <v>35.31</v>
      </c>
      <c r="AV28" s="122"/>
      <c r="AW28" s="122"/>
      <c r="AX28" t="str">
        <f>IFERROR(RD[[#This Row],[E_AC (WPR)]]/RD[[#This Row],[E_DC (WPR)]],"")</f>
        <v/>
      </c>
    </row>
    <row r="29" spans="1:50">
      <c r="A29" s="148">
        <f t="shared" si="47"/>
        <v>45769</v>
      </c>
      <c r="B29" s="151">
        <f>YEAR(RD[[#This Row],[Date]])+IF(MONTH(RD[[#This Row],[Date]])&gt;=4,1,0)</f>
        <v>2026</v>
      </c>
      <c r="C29" s="151">
        <f>YEAR(RD[[#This Row],[Date]])</f>
        <v>2025</v>
      </c>
      <c r="D29" s="152">
        <f t="shared" si="46"/>
        <v>45748</v>
      </c>
      <c r="E29" s="151">
        <f>DAY(EOMONTH(RD[[#This Row],[Date]],0))</f>
        <v>30</v>
      </c>
      <c r="F29" s="122">
        <v>0.25972222222222224</v>
      </c>
      <c r="G29" s="122">
        <v>0.76249999999999996</v>
      </c>
      <c r="H29" s="138">
        <v>25865</v>
      </c>
      <c r="I29" s="138">
        <v>26250.3</v>
      </c>
      <c r="J29" s="138">
        <v>34910.99</v>
      </c>
      <c r="K29" s="138">
        <v>33995.4</v>
      </c>
      <c r="L29" s="138">
        <v>34849.5</v>
      </c>
      <c r="M29" s="138">
        <v>10787</v>
      </c>
      <c r="N29" s="138">
        <v>21547</v>
      </c>
      <c r="O29" s="167"/>
      <c r="P29" s="167"/>
      <c r="Q29" s="58">
        <v>6.85</v>
      </c>
      <c r="R29" s="58">
        <v>7.03</v>
      </c>
      <c r="S29" s="58">
        <v>39.340000000000003</v>
      </c>
      <c r="T29" s="58">
        <v>50.33</v>
      </c>
      <c r="U29" s="58">
        <v>14.77</v>
      </c>
      <c r="V29" s="58">
        <v>0</v>
      </c>
      <c r="W29" s="58">
        <v>2.2999999999999998</v>
      </c>
      <c r="X29" s="58">
        <v>6.44</v>
      </c>
      <c r="Y29" s="60">
        <f>SUM(RD[[#This Row],[IS1Inv1]:[IS3Inv1]])</f>
        <v>155871.19</v>
      </c>
      <c r="Z29" s="60">
        <f>SUM(RD[[#This Row],[IS4Inv1]:[IS4Inv2]])</f>
        <v>32334</v>
      </c>
      <c r="AA29" s="60">
        <f>SUM(RD[[#This Row],[O2RE7]:[O2RE27]])</f>
        <v>188205.19</v>
      </c>
      <c r="AB29" s="153"/>
      <c r="AC29" s="153">
        <v>9538</v>
      </c>
      <c r="AD29" s="153"/>
      <c r="AE29" s="153">
        <v>6389.4</v>
      </c>
      <c r="AF29" s="153">
        <v>9290.4950000000008</v>
      </c>
      <c r="AG29" s="153">
        <v>0.04</v>
      </c>
      <c r="AH29" s="153">
        <v>1.1200000000000001</v>
      </c>
      <c r="AI29" s="154" t="str">
        <f>IF((RD[[#This Row],[33 kV_F1_Ex]]-AB28)*150000&lt;=0,"",(RD[[#This Row],[33 kV_F1_Ex]]-AB28)*150000)</f>
        <v/>
      </c>
      <c r="AJ29" s="154">
        <f>IF((RD[[#This Row],[33kV_OG1_Ex]]-AC28)*1000&lt;=0,0,(RD[[#This Row],[33kV_OG1_Ex]]-AC28)*1000)</f>
        <v>186000</v>
      </c>
      <c r="AK29" s="154">
        <f>IF((RD[[#This Row],[220kV_TL_TVM_Ex]]-AE28)*1600&lt;=0,0,(RD[[#This Row],[220kV_TL_TVM_Ex]]-AE28)*1600)</f>
        <v>184959.99999999913</v>
      </c>
      <c r="AL29" s="154">
        <f>IF((RD[[#This Row],[220kV_C&amp;R_PQM_Ex]]-AF28)*1000&lt;=0,"",(RD[[#This Row],[220kV_C&amp;R_PQM_Ex]]-AF28)*1000)</f>
        <v>184601.00000000058</v>
      </c>
      <c r="AM29" s="154">
        <f>IF((RD[[#This Row],[33kV_Aux1_Im]]-AH28)*1000&lt;0,"",(RD[[#This Row],[33kV_Aux1_Im]]-AH28)*1000)</f>
        <v>30.000000000000028</v>
      </c>
      <c r="AN29" s="154">
        <f>IF((RD[[#This Row],[33kV_Aux1_Im]]-AH28)*1000&lt;0,"",(RD[[#This Row],[33kV_Aux1_Im]]-AH28)*1000)</f>
        <v>30.000000000000028</v>
      </c>
      <c r="AO29" s="61">
        <f>RD[[#This Row],[33kV_OG1_Energy (KWh)]]</f>
        <v>186000</v>
      </c>
      <c r="AP29" s="61">
        <f>IFERROR(RD[[#This Row],[220kV_TL_TVM Energy (KWh)]]-RD[[#This Row],[220kV_C&amp;R_PQM_Imp (KWh)2]],"")</f>
        <v>184929.99999999913</v>
      </c>
      <c r="AQ29" s="63">
        <f>IFERROR(RD[[#This Row],[33 kV Total Export (KWH)]]/RD[[#This Row],[220 KV Net Export (KWh)]]-1,"")</f>
        <v>5.7859730708964552E-3</v>
      </c>
      <c r="AR29" s="64">
        <f>IFERROR((RD[[#This Row],[Sunset Time (POA&lt;20 W/m2)]]-RD[[#This Row],[Sunrise Time (POA&gt;20 W/m2)]])*24,0)</f>
        <v>12.066666666666666</v>
      </c>
      <c r="AS29" s="65">
        <f>RD[[#This Row],[33kV_OG1_Energy (KWh)]]</f>
        <v>186000</v>
      </c>
      <c r="AT29" s="65">
        <f>IFERROR(RD[[#This Row],[ Export (33 kV)]]*(1-RD[[#This Row],[33 kV Line Loss (%)]]),RD[[#This Row],[ Export (33 kV)]])</f>
        <v>184923.80900881326</v>
      </c>
      <c r="AU29" s="277">
        <v>35.31</v>
      </c>
      <c r="AV29" s="122"/>
      <c r="AW29" s="122"/>
      <c r="AX29" t="str">
        <f>IFERROR(RD[[#This Row],[E_AC (WPR)]]/RD[[#This Row],[E_DC (WPR)]],"")</f>
        <v/>
      </c>
    </row>
    <row r="30" spans="1:50">
      <c r="A30" s="148">
        <f t="shared" si="47"/>
        <v>45770</v>
      </c>
      <c r="B30" s="151">
        <f>YEAR(RD[[#This Row],[Date]])+IF(MONTH(RD[[#This Row],[Date]])&gt;=4,1,0)</f>
        <v>2026</v>
      </c>
      <c r="C30" s="151">
        <f>YEAR(RD[[#This Row],[Date]])</f>
        <v>2025</v>
      </c>
      <c r="D30" s="152">
        <f t="shared" si="46"/>
        <v>45748</v>
      </c>
      <c r="E30" s="151">
        <f>DAY(EOMONTH(RD[[#This Row],[Date]],0))</f>
        <v>30</v>
      </c>
      <c r="F30" s="122">
        <v>0.26111111111111113</v>
      </c>
      <c r="G30" s="122">
        <v>0.76111111111111107</v>
      </c>
      <c r="H30" s="138">
        <v>25913.8</v>
      </c>
      <c r="I30" s="138">
        <v>26467.7</v>
      </c>
      <c r="J30" s="138">
        <v>35218.800000000003</v>
      </c>
      <c r="K30" s="138">
        <v>34229.599999999999</v>
      </c>
      <c r="L30" s="138">
        <v>35121.9</v>
      </c>
      <c r="M30" s="138">
        <v>10882.8</v>
      </c>
      <c r="N30" s="138">
        <v>21687.200000000001</v>
      </c>
      <c r="O30" s="167"/>
      <c r="P30" s="167"/>
      <c r="Q30" s="58">
        <v>6.01</v>
      </c>
      <c r="R30" s="58">
        <v>6.09</v>
      </c>
      <c r="S30" s="58">
        <v>39.86</v>
      </c>
      <c r="T30" s="58">
        <v>50.62</v>
      </c>
      <c r="U30" s="58">
        <v>12.58</v>
      </c>
      <c r="V30" s="58">
        <v>0</v>
      </c>
      <c r="W30" s="58">
        <v>2.97</v>
      </c>
      <c r="X30" s="58">
        <v>7.13</v>
      </c>
      <c r="Y30" s="60">
        <f>SUM(RD[[#This Row],[IS1Inv1]:[IS3Inv1]])</f>
        <v>156951.79999999999</v>
      </c>
      <c r="Z30" s="60">
        <f>SUM(RD[[#This Row],[IS4Inv1]:[IS4Inv2]])</f>
        <v>32570</v>
      </c>
      <c r="AA30" s="60">
        <f>SUM(RD[[#This Row],[O2RE7]:[O2RE27]])</f>
        <v>189521.8</v>
      </c>
      <c r="AB30" s="153"/>
      <c r="AC30" s="153">
        <v>9725</v>
      </c>
      <c r="AD30" s="153"/>
      <c r="AE30" s="153">
        <v>6505.7</v>
      </c>
      <c r="AF30" s="153">
        <v>9476.4599999999991</v>
      </c>
      <c r="AG30" s="153">
        <v>0.04</v>
      </c>
      <c r="AH30" s="153">
        <v>1.1499999999999999</v>
      </c>
      <c r="AI30" s="154" t="str">
        <f>IF((RD[[#This Row],[33 kV_F1_Ex]]-AB29)*150000&lt;=0,"",(RD[[#This Row],[33 kV_F1_Ex]]-AB29)*150000)</f>
        <v/>
      </c>
      <c r="AJ30" s="154">
        <f>IF((RD[[#This Row],[33kV_OG1_Ex]]-AC29)*1000&lt;=0,0,(RD[[#This Row],[33kV_OG1_Ex]]-AC29)*1000)</f>
        <v>187000</v>
      </c>
      <c r="AK30" s="154">
        <f>IF((RD[[#This Row],[220kV_TL_TVM_Ex]]-AE29)*1600&lt;=0,0,(RD[[#This Row],[220kV_TL_TVM_Ex]]-AE29)*1600)</f>
        <v>186080.00000000029</v>
      </c>
      <c r="AL30" s="154">
        <f>IF((RD[[#This Row],[220kV_C&amp;R_PQM_Ex]]-AF29)*1000&lt;=0,"",(RD[[#This Row],[220kV_C&amp;R_PQM_Ex]]-AF29)*1000)</f>
        <v>185964.99999999831</v>
      </c>
      <c r="AM30" s="154">
        <f>IF((RD[[#This Row],[33kV_Aux1_Im]]-AH29)*1000&lt;0,"",(RD[[#This Row],[33kV_Aux1_Im]]-AH29)*1000)</f>
        <v>29.999999999999805</v>
      </c>
      <c r="AN30" s="154">
        <f>IF((RD[[#This Row],[33kV_Aux1_Im]]-AH29)*1000&lt;0,"",(RD[[#This Row],[33kV_Aux1_Im]]-AH29)*1000)</f>
        <v>29.999999999999805</v>
      </c>
      <c r="AO30" s="61">
        <f>RD[[#This Row],[33kV_OG1_Energy (KWh)]]</f>
        <v>187000</v>
      </c>
      <c r="AP30" s="61">
        <f>IFERROR(RD[[#This Row],[220kV_TL_TVM Energy (KWh)]]-RD[[#This Row],[220kV_C&amp;R_PQM_Imp (KWh)2]],"")</f>
        <v>186050.00000000029</v>
      </c>
      <c r="AQ30" s="63">
        <f>IFERROR(RD[[#This Row],[33 kV Total Export (KWH)]]/RD[[#This Row],[220 KV Net Export (KWh)]]-1,"")</f>
        <v>5.1061542596060328E-3</v>
      </c>
      <c r="AR30" s="64">
        <f>IFERROR((RD[[#This Row],[Sunset Time (POA&lt;20 W/m2)]]-RD[[#This Row],[Sunrise Time (POA&gt;20 W/m2)]])*24,0)</f>
        <v>11.999999999999998</v>
      </c>
      <c r="AS30" s="65">
        <f>RD[[#This Row],[33kV_OG1_Energy (KWh)]]</f>
        <v>187000</v>
      </c>
      <c r="AT30" s="65">
        <f>IFERROR(RD[[#This Row],[ Export (33 kV)]]*(1-RD[[#This Row],[33 kV Line Loss (%)]]),RD[[#This Row],[ Export (33 kV)]])</f>
        <v>186045.14915345368</v>
      </c>
      <c r="AU30" s="277">
        <v>39.21</v>
      </c>
      <c r="AV30" s="122"/>
      <c r="AW30" s="122"/>
      <c r="AX30" t="str">
        <f>IFERROR(RD[[#This Row],[E_AC (WPR)]]/RD[[#This Row],[E_DC (WPR)]],"")</f>
        <v/>
      </c>
    </row>
    <row r="31" spans="1:50">
      <c r="A31" s="148">
        <f t="shared" si="47"/>
        <v>45771</v>
      </c>
      <c r="B31" s="151">
        <f>YEAR(RD[[#This Row],[Date]])+IF(MONTH(RD[[#This Row],[Date]])&gt;=4,1,0)</f>
        <v>2026</v>
      </c>
      <c r="C31" s="151">
        <f>YEAR(RD[[#This Row],[Date]])</f>
        <v>2025</v>
      </c>
      <c r="D31" s="152">
        <f t="shared" si="46"/>
        <v>45748</v>
      </c>
      <c r="E31" s="151">
        <f>DAY(EOMONTH(RD[[#This Row],[Date]],0))</f>
        <v>30</v>
      </c>
      <c r="F31" s="122">
        <v>0.25972222222222224</v>
      </c>
      <c r="G31" s="122">
        <v>0.76249999999999996</v>
      </c>
      <c r="H31" s="138">
        <v>25653.200000000001</v>
      </c>
      <c r="I31" s="138">
        <v>26065</v>
      </c>
      <c r="J31" s="138">
        <v>35868</v>
      </c>
      <c r="K31" s="138">
        <v>34817</v>
      </c>
      <c r="L31" s="138">
        <v>26315</v>
      </c>
      <c r="M31" s="138">
        <v>10943.7</v>
      </c>
      <c r="N31" s="138">
        <v>21606.400000000001</v>
      </c>
      <c r="O31" s="167"/>
      <c r="P31" s="167"/>
      <c r="Q31" s="58">
        <v>6.83</v>
      </c>
      <c r="R31" s="58">
        <v>7</v>
      </c>
      <c r="S31" s="58">
        <v>39.479999999999997</v>
      </c>
      <c r="T31" s="58">
        <v>50.97</v>
      </c>
      <c r="U31" s="58">
        <v>10.25</v>
      </c>
      <c r="V31" s="58">
        <v>0</v>
      </c>
      <c r="W31" s="58">
        <v>2.2200000000000002</v>
      </c>
      <c r="X31" s="58">
        <v>6.45</v>
      </c>
      <c r="Y31" s="60">
        <f>SUM(RD[[#This Row],[IS1Inv1]:[IS3Inv1]])</f>
        <v>148718.20000000001</v>
      </c>
      <c r="Z31" s="60">
        <f>SUM(RD[[#This Row],[IS4Inv1]:[IS4Inv2]])</f>
        <v>32550.100000000002</v>
      </c>
      <c r="AA31" s="60">
        <f>SUM(RD[[#This Row],[O2RE7]:[O2RE27]])</f>
        <v>181268.30000000002</v>
      </c>
      <c r="AB31" s="153"/>
      <c r="AC31" s="153">
        <v>9907</v>
      </c>
      <c r="AD31" s="153"/>
      <c r="AE31" s="153">
        <v>6619.1</v>
      </c>
      <c r="AF31" s="153">
        <v>9657.61</v>
      </c>
      <c r="AG31" s="153">
        <v>0.04</v>
      </c>
      <c r="AH31" s="153">
        <v>1.17</v>
      </c>
      <c r="AI31" s="154" t="str">
        <f>IF((RD[[#This Row],[33 kV_F1_Ex]]-AB30)*150000&lt;=0,"",(RD[[#This Row],[33 kV_F1_Ex]]-AB30)*150000)</f>
        <v/>
      </c>
      <c r="AJ31" s="154">
        <f>IF((RD[[#This Row],[33kV_OG1_Ex]]-AC30)*1000&lt;=0,0,(RD[[#This Row],[33kV_OG1_Ex]]-AC30)*1000)</f>
        <v>182000</v>
      </c>
      <c r="AK31" s="154">
        <f>IF((RD[[#This Row],[220kV_TL_TVM_Ex]]-AE30)*1600&lt;=0,0,(RD[[#This Row],[220kV_TL_TVM_Ex]]-AE30)*1600)</f>
        <v>181440.00000000087</v>
      </c>
      <c r="AL31" s="154">
        <f>IF((RD[[#This Row],[220kV_C&amp;R_PQM_Ex]]-AF30)*1000&lt;=0,"",(RD[[#This Row],[220kV_C&amp;R_PQM_Ex]]-AF30)*1000)</f>
        <v>181150.00000000146</v>
      </c>
      <c r="AM31" s="154">
        <f>IF((RD[[#This Row],[33kV_Aux1_Im]]-AH30)*1000&lt;0,"",(RD[[#This Row],[33kV_Aux1_Im]]-AH30)*1000)</f>
        <v>20.000000000000018</v>
      </c>
      <c r="AN31" s="154">
        <f>IF((RD[[#This Row],[33kV_Aux1_Im]]-AH30)*1000&lt;0,"",(RD[[#This Row],[33kV_Aux1_Im]]-AH30)*1000)</f>
        <v>20.000000000000018</v>
      </c>
      <c r="AO31" s="61">
        <f>RD[[#This Row],[33kV_OG1_Energy (KWh)]]</f>
        <v>182000</v>
      </c>
      <c r="AP31" s="61">
        <f>IFERROR(RD[[#This Row],[220kV_TL_TVM Energy (KWh)]]-RD[[#This Row],[220kV_C&amp;R_PQM_Imp (KWh)2]],"")</f>
        <v>181420.00000000087</v>
      </c>
      <c r="AQ31" s="63">
        <f>IFERROR(RD[[#This Row],[33 kV Total Export (KWH)]]/RD[[#This Row],[220 KV Net Export (KWh)]]-1,"")</f>
        <v>3.1970014331337282E-3</v>
      </c>
      <c r="AR31" s="64">
        <f>IFERROR((RD[[#This Row],[Sunset Time (POA&lt;20 W/m2)]]-RD[[#This Row],[Sunrise Time (POA&gt;20 W/m2)]])*24,0)</f>
        <v>12.066666666666666</v>
      </c>
      <c r="AS31" s="65">
        <f>RD[[#This Row],[33kV_OG1_Energy (KWh)]]</f>
        <v>182000</v>
      </c>
      <c r="AT31" s="65">
        <f>IFERROR(RD[[#This Row],[ Export (33 kV)]]*(1-RD[[#This Row],[33 kV Line Loss (%)]]),RD[[#This Row],[ Export (33 kV)]])</f>
        <v>181418.14573916967</v>
      </c>
      <c r="AU31" s="277">
        <v>39.21</v>
      </c>
      <c r="AV31" s="122"/>
      <c r="AW31" s="122"/>
      <c r="AX31" t="str">
        <f>IFERROR(RD[[#This Row],[E_AC (WPR)]]/RD[[#This Row],[E_DC (WPR)]],"")</f>
        <v/>
      </c>
    </row>
    <row r="32" spans="1:50">
      <c r="A32" s="148">
        <f t="shared" si="47"/>
        <v>45772</v>
      </c>
      <c r="B32" s="151">
        <f>YEAR(RD[[#This Row],[Date]])+IF(MONTH(RD[[#This Row],[Date]])&gt;=4,1,0)</f>
        <v>2026</v>
      </c>
      <c r="C32" s="151">
        <f>YEAR(RD[[#This Row],[Date]])</f>
        <v>2025</v>
      </c>
      <c r="D32" s="152">
        <f t="shared" si="46"/>
        <v>45748</v>
      </c>
      <c r="E32" s="151">
        <f>DAY(EOMONTH(RD[[#This Row],[Date]],0))</f>
        <v>30</v>
      </c>
      <c r="F32" s="122">
        <v>0.26041666666666669</v>
      </c>
      <c r="G32" s="122">
        <v>0.75486111111111109</v>
      </c>
      <c r="H32" s="138">
        <v>23021.7</v>
      </c>
      <c r="I32" s="138">
        <v>23755.9</v>
      </c>
      <c r="J32" s="138">
        <v>32869.4</v>
      </c>
      <c r="K32" s="138">
        <v>31816.799999999999</v>
      </c>
      <c r="L32" s="138">
        <v>31382.3</v>
      </c>
      <c r="M32" s="138">
        <v>10318.5</v>
      </c>
      <c r="N32" s="138">
        <v>19539.8</v>
      </c>
      <c r="O32" s="167"/>
      <c r="P32" s="167"/>
      <c r="Q32" s="58">
        <v>6.25</v>
      </c>
      <c r="R32" s="58">
        <v>6.45</v>
      </c>
      <c r="S32" s="58">
        <v>39.479999999999997</v>
      </c>
      <c r="T32" s="58">
        <v>48.98</v>
      </c>
      <c r="U32" s="58">
        <v>14.69</v>
      </c>
      <c r="V32" s="58">
        <v>0</v>
      </c>
      <c r="W32" s="58">
        <v>2.29</v>
      </c>
      <c r="X32" s="58">
        <v>7.53</v>
      </c>
      <c r="Y32" s="60">
        <f>SUM(RD[[#This Row],[IS1Inv1]:[IS3Inv1]])</f>
        <v>142846.1</v>
      </c>
      <c r="Z32" s="60">
        <f>SUM(RD[[#This Row],[IS4Inv1]:[IS4Inv2]])</f>
        <v>29858.3</v>
      </c>
      <c r="AA32" s="60">
        <f>SUM(RD[[#This Row],[O2RE7]:[O2RE27]])</f>
        <v>172704.4</v>
      </c>
      <c r="AB32" s="153"/>
      <c r="AC32" s="153">
        <v>10078</v>
      </c>
      <c r="AD32" s="153"/>
      <c r="AE32" s="153">
        <v>6725</v>
      </c>
      <c r="AF32" s="153">
        <v>9826.8700000000008</v>
      </c>
      <c r="AG32" s="153">
        <v>0.04</v>
      </c>
      <c r="AH32" s="153">
        <v>1.19</v>
      </c>
      <c r="AI32" s="154" t="str">
        <f>IF((RD[[#This Row],[33 kV_F1_Ex]]-AB31)*150000&lt;=0,"",(RD[[#This Row],[33 kV_F1_Ex]]-AB31)*150000)</f>
        <v/>
      </c>
      <c r="AJ32" s="154">
        <f>IF((RD[[#This Row],[33kV_OG1_Ex]]-AC31)*1000&lt;=0,0,(RD[[#This Row],[33kV_OG1_Ex]]-AC31)*1000)</f>
        <v>171000</v>
      </c>
      <c r="AK32" s="154">
        <f>IF((RD[[#This Row],[220kV_TL_TVM_Ex]]-AE31)*1600&lt;=0,0,(RD[[#This Row],[220kV_TL_TVM_Ex]]-AE31)*1600)</f>
        <v>169439.99999999942</v>
      </c>
      <c r="AL32" s="154">
        <f>IF((RD[[#This Row],[220kV_C&amp;R_PQM_Ex]]-AF31)*1000&lt;=0,"",(RD[[#This Row],[220kV_C&amp;R_PQM_Ex]]-AF31)*1000)</f>
        <v>169260.00000000023</v>
      </c>
      <c r="AM32" s="154">
        <f>IF((RD[[#This Row],[33kV_Aux1_Im]]-AH31)*1000&lt;0,"",(RD[[#This Row],[33kV_Aux1_Im]]-AH31)*1000)</f>
        <v>20.000000000000018</v>
      </c>
      <c r="AN32" s="154">
        <f>IF((RD[[#This Row],[33kV_Aux1_Im]]-AH31)*1000&lt;0,"",(RD[[#This Row],[33kV_Aux1_Im]]-AH31)*1000)</f>
        <v>20.000000000000018</v>
      </c>
      <c r="AO32" s="61">
        <f>RD[[#This Row],[33kV_OG1_Energy (KWh)]]</f>
        <v>171000</v>
      </c>
      <c r="AP32" s="61">
        <f>IFERROR(RD[[#This Row],[220kV_TL_TVM Energy (KWh)]]-RD[[#This Row],[220kV_C&amp;R_PQM_Imp (KWh)2]],"")</f>
        <v>169419.99999999942</v>
      </c>
      <c r="AQ32" s="63">
        <f>IFERROR(RD[[#This Row],[33 kV Total Export (KWH)]]/RD[[#This Row],[220 KV Net Export (KWh)]]-1,"")</f>
        <v>9.325935544803432E-3</v>
      </c>
      <c r="AR32" s="64">
        <f>IFERROR((RD[[#This Row],[Sunset Time (POA&lt;20 W/m2)]]-RD[[#This Row],[Sunrise Time (POA&gt;20 W/m2)]])*24,0)</f>
        <v>11.866666666666665</v>
      </c>
      <c r="AS32" s="65">
        <f>RD[[#This Row],[33kV_OG1_Energy (KWh)]]</f>
        <v>171000</v>
      </c>
      <c r="AT32" s="65">
        <f>IFERROR(RD[[#This Row],[ Export (33 kV)]]*(1-RD[[#This Row],[33 kV Line Loss (%)]]),RD[[#This Row],[ Export (33 kV)]])</f>
        <v>169405.26502183863</v>
      </c>
      <c r="AU32" s="277">
        <v>39.21</v>
      </c>
      <c r="AV32" s="122"/>
      <c r="AW32" s="122"/>
      <c r="AX32" t="str">
        <f>IFERROR(RD[[#This Row],[E_AC (WPR)]]/RD[[#This Row],[E_DC (WPR)]],"")</f>
        <v/>
      </c>
    </row>
    <row r="33" spans="1:50">
      <c r="A33" s="148">
        <f t="shared" si="47"/>
        <v>45773</v>
      </c>
      <c r="B33" s="151">
        <f>YEAR(RD[[#This Row],[Date]])+IF(MONTH(RD[[#This Row],[Date]])&gt;=4,1,0)</f>
        <v>2026</v>
      </c>
      <c r="C33" s="151">
        <f>YEAR(RD[[#This Row],[Date]])</f>
        <v>2025</v>
      </c>
      <c r="D33" s="152">
        <f t="shared" si="46"/>
        <v>45748</v>
      </c>
      <c r="E33" s="151">
        <f>DAY(EOMONTH(RD[[#This Row],[Date]],0))</f>
        <v>30</v>
      </c>
      <c r="F33" s="122">
        <v>0.26180555555555557</v>
      </c>
      <c r="G33" s="122">
        <v>0.76388888888888884</v>
      </c>
      <c r="H33" s="138">
        <v>21553.599999999999</v>
      </c>
      <c r="I33" s="138">
        <v>22298.5</v>
      </c>
      <c r="J33" s="138">
        <v>31441.1</v>
      </c>
      <c r="K33" s="138">
        <v>30901.1</v>
      </c>
      <c r="L33" s="138">
        <v>30618.6</v>
      </c>
      <c r="M33" s="138">
        <v>10192.5</v>
      </c>
      <c r="N33" s="138">
        <v>18104.7</v>
      </c>
      <c r="O33" s="167"/>
      <c r="P33" s="167"/>
      <c r="Q33" s="58">
        <v>5.75</v>
      </c>
      <c r="R33" s="58">
        <v>5.92</v>
      </c>
      <c r="S33" s="58">
        <v>37.770000000000003</v>
      </c>
      <c r="T33" s="58">
        <v>46.78</v>
      </c>
      <c r="U33" s="58">
        <v>24.39</v>
      </c>
      <c r="V33" s="58">
        <v>0</v>
      </c>
      <c r="W33" s="58">
        <v>3.31</v>
      </c>
      <c r="X33" s="58">
        <v>11.44</v>
      </c>
      <c r="Y33" s="60">
        <f>SUM(RD[[#This Row],[IS1Inv1]:[IS3Inv1]])</f>
        <v>136812.9</v>
      </c>
      <c r="Z33" s="60">
        <f>SUM(RD[[#This Row],[IS4Inv1]:[IS4Inv2]])</f>
        <v>28297.200000000001</v>
      </c>
      <c r="AA33" s="60">
        <f>SUM(RD[[#This Row],[O2RE7]:[O2RE27]])</f>
        <v>165110.1</v>
      </c>
      <c r="AB33" s="153"/>
      <c r="AC33" s="153">
        <v>10241</v>
      </c>
      <c r="AD33" s="153"/>
      <c r="AE33" s="153">
        <v>6826.4</v>
      </c>
      <c r="AF33" s="153">
        <v>9988.7009999999991</v>
      </c>
      <c r="AG33" s="153">
        <v>0.04</v>
      </c>
      <c r="AH33" s="153">
        <v>1.21</v>
      </c>
      <c r="AI33" s="154" t="str">
        <f>IF((RD[[#This Row],[33 kV_F1_Ex]]-AB32)*150000&lt;=0,"",(RD[[#This Row],[33 kV_F1_Ex]]-AB32)*150000)</f>
        <v/>
      </c>
      <c r="AJ33" s="154">
        <f>IF((RD[[#This Row],[33kV_OG1_Ex]]-AC32)*1000&lt;=0,0,(RD[[#This Row],[33kV_OG1_Ex]]-AC32)*1000)</f>
        <v>163000</v>
      </c>
      <c r="AK33" s="154">
        <f>IF((RD[[#This Row],[220kV_TL_TVM_Ex]]-AE32)*1600&lt;=0,0,(RD[[#This Row],[220kV_TL_TVM_Ex]]-AE32)*1600)</f>
        <v>162239.99999999942</v>
      </c>
      <c r="AL33" s="154">
        <f>IF((RD[[#This Row],[220kV_C&amp;R_PQM_Ex]]-AF32)*1000&lt;=0,"",(RD[[#This Row],[220kV_C&amp;R_PQM_Ex]]-AF32)*1000)</f>
        <v>161830.99999999831</v>
      </c>
      <c r="AM33" s="154">
        <f>IF((RD[[#This Row],[33kV_Aux1_Im]]-AH32)*1000&lt;0,"",(RD[[#This Row],[33kV_Aux1_Im]]-AH32)*1000)</f>
        <v>20.000000000000018</v>
      </c>
      <c r="AN33" s="154">
        <f>IF((RD[[#This Row],[33kV_Aux1_Im]]-AH32)*1000&lt;0,"",(RD[[#This Row],[33kV_Aux1_Im]]-AH32)*1000)</f>
        <v>20.000000000000018</v>
      </c>
      <c r="AO33" s="61">
        <f>RD[[#This Row],[33kV_OG1_Energy (KWh)]]</f>
        <v>163000</v>
      </c>
      <c r="AP33" s="61">
        <f>IFERROR(RD[[#This Row],[220kV_TL_TVM Energy (KWh)]]-RD[[#This Row],[220kV_C&amp;R_PQM_Imp (KWh)2]],"")</f>
        <v>162219.99999999942</v>
      </c>
      <c r="AQ33" s="63">
        <f>IFERROR(RD[[#This Row],[33 kV Total Export (KWH)]]/RD[[#This Row],[220 KV Net Export (KWh)]]-1,"")</f>
        <v>4.8082850450041903E-3</v>
      </c>
      <c r="AR33" s="64">
        <f>IFERROR((RD[[#This Row],[Sunset Time (POA&lt;20 W/m2)]]-RD[[#This Row],[Sunrise Time (POA&gt;20 W/m2)]])*24,0)</f>
        <v>12.049999999999997</v>
      </c>
      <c r="AS33" s="65">
        <f>RD[[#This Row],[33kV_OG1_Energy (KWh)]]</f>
        <v>163000</v>
      </c>
      <c r="AT33" s="65">
        <f>IFERROR(RD[[#This Row],[ Export (33 kV)]]*(1-RD[[#This Row],[33 kV Line Loss (%)]]),RD[[#This Row],[ Export (33 kV)]])</f>
        <v>162216.24953766432</v>
      </c>
      <c r="AU33" s="277">
        <v>39.21</v>
      </c>
      <c r="AV33" s="122"/>
      <c r="AW33" s="122"/>
      <c r="AX33" t="str">
        <f>IFERROR(RD[[#This Row],[E_AC (WPR)]]/RD[[#This Row],[E_DC (WPR)]],"")</f>
        <v/>
      </c>
    </row>
    <row r="34" spans="1:50">
      <c r="A34" s="148">
        <f t="shared" si="47"/>
        <v>45774</v>
      </c>
      <c r="B34" s="151">
        <f>YEAR(RD[[#This Row],[Date]])+IF(MONTH(RD[[#This Row],[Date]])&gt;=4,1,0)</f>
        <v>2026</v>
      </c>
      <c r="C34" s="151">
        <f>YEAR(RD[[#This Row],[Date]])</f>
        <v>2025</v>
      </c>
      <c r="D34" s="152">
        <f t="shared" si="46"/>
        <v>45748</v>
      </c>
      <c r="E34" s="151">
        <f>DAY(EOMONTH(RD[[#This Row],[Date]],0))</f>
        <v>30</v>
      </c>
      <c r="F34" s="122">
        <v>0.25833333333333336</v>
      </c>
      <c r="G34" s="122">
        <v>0.76597222222222228</v>
      </c>
      <c r="H34" s="138">
        <v>25493.3</v>
      </c>
      <c r="I34" s="138">
        <v>26016.6</v>
      </c>
      <c r="J34" s="138">
        <v>36288.5</v>
      </c>
      <c r="K34" s="138">
        <v>35895.1</v>
      </c>
      <c r="L34" s="138">
        <v>35637.800000000003</v>
      </c>
      <c r="M34" s="138">
        <v>10870.4</v>
      </c>
      <c r="N34" s="138">
        <v>21495.1</v>
      </c>
      <c r="O34" s="167"/>
      <c r="P34" s="167"/>
      <c r="Q34" s="58">
        <v>6.9</v>
      </c>
      <c r="R34" s="58">
        <v>6.96</v>
      </c>
      <c r="S34" s="58">
        <v>35.22</v>
      </c>
      <c r="T34" s="58">
        <v>46.45</v>
      </c>
      <c r="U34" s="58">
        <v>33.43</v>
      </c>
      <c r="V34" s="58">
        <v>0</v>
      </c>
      <c r="W34" s="58">
        <v>2.92</v>
      </c>
      <c r="X34" s="58">
        <v>8.41</v>
      </c>
      <c r="Y34" s="60">
        <f>SUM(RD[[#This Row],[IS1Inv1]:[IS3Inv1]])</f>
        <v>159331.29999999999</v>
      </c>
      <c r="Z34" s="60">
        <f>SUM(RD[[#This Row],[IS4Inv1]:[IS4Inv2]])</f>
        <v>32365.5</v>
      </c>
      <c r="AA34" s="60">
        <f>SUM(RD[[#This Row],[O2RE7]:[O2RE27]])</f>
        <v>191696.8</v>
      </c>
      <c r="AB34" s="153"/>
      <c r="AC34" s="153">
        <v>10431</v>
      </c>
      <c r="AD34" s="153"/>
      <c r="AE34" s="153">
        <v>6944.2</v>
      </c>
      <c r="AF34" s="153">
        <v>10176.25</v>
      </c>
      <c r="AG34" s="153">
        <v>0.04</v>
      </c>
      <c r="AH34" s="153">
        <v>1.22</v>
      </c>
      <c r="AI34" s="154" t="str">
        <f>IF((RD[[#This Row],[33 kV_F1_Ex]]-AB33)*150000&lt;=0,"",(RD[[#This Row],[33 kV_F1_Ex]]-AB33)*150000)</f>
        <v/>
      </c>
      <c r="AJ34" s="154">
        <f>IF((RD[[#This Row],[33kV_OG1_Ex]]-AC33)*1000&lt;=0,0,(RD[[#This Row],[33kV_OG1_Ex]]-AC33)*1000)</f>
        <v>190000</v>
      </c>
      <c r="AK34" s="154">
        <f>IF((RD[[#This Row],[220kV_TL_TVM_Ex]]-AE33)*1600&lt;=0,0,(RD[[#This Row],[220kV_TL_TVM_Ex]]-AE33)*1600)</f>
        <v>188480.00000000029</v>
      </c>
      <c r="AL34" s="154">
        <f>IF((RD[[#This Row],[220kV_C&amp;R_PQM_Ex]]-AF33)*1000&lt;=0,"",(RD[[#This Row],[220kV_C&amp;R_PQM_Ex]]-AF33)*1000)</f>
        <v>187549.00000000087</v>
      </c>
      <c r="AM34" s="154">
        <f>IF((RD[[#This Row],[33kV_Aux1_Im]]-AH33)*1000&lt;0,"",(RD[[#This Row],[33kV_Aux1_Im]]-AH33)*1000)</f>
        <v>10.000000000000009</v>
      </c>
      <c r="AN34" s="154">
        <f>IF((RD[[#This Row],[33kV_Aux1_Im]]-AH33)*1000&lt;0,"",(RD[[#This Row],[33kV_Aux1_Im]]-AH33)*1000)</f>
        <v>10.000000000000009</v>
      </c>
      <c r="AO34" s="61">
        <f>RD[[#This Row],[33kV_OG1_Energy (KWh)]]</f>
        <v>190000</v>
      </c>
      <c r="AP34" s="61">
        <f>IFERROR(RD[[#This Row],[220kV_TL_TVM Energy (KWh)]]-RD[[#This Row],[220kV_C&amp;R_PQM_Imp (KWh)2]],"")</f>
        <v>188470.00000000029</v>
      </c>
      <c r="AQ34" s="63">
        <f>IFERROR(RD[[#This Row],[33 kV Total Export (KWH)]]/RD[[#This Row],[220 KV Net Export (KWh)]]-1,"")</f>
        <v>8.1180028651759439E-3</v>
      </c>
      <c r="AR34" s="64">
        <f>IFERROR((RD[[#This Row],[Sunset Time (POA&lt;20 W/m2)]]-RD[[#This Row],[Sunrise Time (POA&gt;20 W/m2)]])*24,0)</f>
        <v>12.183333333333335</v>
      </c>
      <c r="AS34" s="65">
        <f>RD[[#This Row],[33kV_OG1_Energy (KWh)]]</f>
        <v>190000</v>
      </c>
      <c r="AT34" s="65">
        <f>IFERROR(RD[[#This Row],[ Export (33 kV)]]*(1-RD[[#This Row],[33 kV Line Loss (%)]]),RD[[#This Row],[ Export (33 kV)]])</f>
        <v>188457.57945561656</v>
      </c>
      <c r="AU34" s="277">
        <v>39.21</v>
      </c>
      <c r="AV34" s="122"/>
      <c r="AW34" s="122"/>
      <c r="AX34" t="str">
        <f>IFERROR(RD[[#This Row],[E_AC (WPR)]]/RD[[#This Row],[E_DC (WPR)]],"")</f>
        <v/>
      </c>
    </row>
    <row r="35" spans="1:50">
      <c r="A35" s="148">
        <f t="shared" si="47"/>
        <v>45775</v>
      </c>
      <c r="B35" s="151">
        <f>YEAR(RD[[#This Row],[Date]])+IF(MONTH(RD[[#This Row],[Date]])&gt;=4,1,0)</f>
        <v>2026</v>
      </c>
      <c r="C35" s="151">
        <f>YEAR(RD[[#This Row],[Date]])</f>
        <v>2025</v>
      </c>
      <c r="D35" s="152">
        <f t="shared" si="46"/>
        <v>45748</v>
      </c>
      <c r="E35" s="151">
        <f>DAY(EOMONTH(RD[[#This Row],[Date]],0))</f>
        <v>30</v>
      </c>
      <c r="F35" s="122">
        <v>0.26041666666666669</v>
      </c>
      <c r="G35" s="122">
        <v>0.76527777777777772</v>
      </c>
      <c r="H35" s="138">
        <v>23209.9</v>
      </c>
      <c r="I35" s="138">
        <v>23586.799999999999</v>
      </c>
      <c r="J35" s="138">
        <v>32906.6</v>
      </c>
      <c r="K35" s="138">
        <v>32381.1</v>
      </c>
      <c r="L35" s="138">
        <v>31544.9</v>
      </c>
      <c r="M35" s="138">
        <v>11231</v>
      </c>
      <c r="N35" s="138">
        <v>18317.7</v>
      </c>
      <c r="O35" s="167"/>
      <c r="P35" s="167"/>
      <c r="Q35" s="58">
        <v>6.28</v>
      </c>
      <c r="R35" s="58">
        <v>6.52</v>
      </c>
      <c r="S35" s="58">
        <v>37.799999999999997</v>
      </c>
      <c r="T35" s="58">
        <v>47.71</v>
      </c>
      <c r="U35" s="58">
        <v>24.58</v>
      </c>
      <c r="V35" s="58">
        <v>0</v>
      </c>
      <c r="W35" s="58">
        <v>3.28</v>
      </c>
      <c r="X35" s="58">
        <v>8.31</v>
      </c>
      <c r="Y35" s="60">
        <f>SUM(RD[[#This Row],[IS1Inv1]:[IS3Inv1]])</f>
        <v>143629.29999999999</v>
      </c>
      <c r="Z35" s="60">
        <f>SUM(RD[[#This Row],[IS4Inv1]:[IS4Inv2]])</f>
        <v>29548.7</v>
      </c>
      <c r="AA35" s="60">
        <f>SUM(RD[[#This Row],[O2RE7]:[O2RE27]])</f>
        <v>173178</v>
      </c>
      <c r="AB35" s="153"/>
      <c r="AC35" s="153">
        <v>10602</v>
      </c>
      <c r="AD35" s="153"/>
      <c r="AE35" s="153">
        <v>7050.5</v>
      </c>
      <c r="AF35" s="153">
        <v>10346.735000000001</v>
      </c>
      <c r="AG35" s="153">
        <v>0.04</v>
      </c>
      <c r="AH35" s="153">
        <v>1.24</v>
      </c>
      <c r="AI35" s="154" t="str">
        <f>IF((RD[[#This Row],[33 kV_F1_Ex]]-AB34)*150000&lt;=0,"",(RD[[#This Row],[33 kV_F1_Ex]]-AB34)*150000)</f>
        <v/>
      </c>
      <c r="AJ35" s="154">
        <f>IF((RD[[#This Row],[33kV_OG1_Ex]]-AC34)*1000&lt;=0,0,(RD[[#This Row],[33kV_OG1_Ex]]-AC34)*1000)</f>
        <v>171000</v>
      </c>
      <c r="AK35" s="154">
        <f>IF((RD[[#This Row],[220kV_TL_TVM_Ex]]-AE34)*1600&lt;=0,0,(RD[[#This Row],[220kV_TL_TVM_Ex]]-AE34)*1600)</f>
        <v>170080.00000000029</v>
      </c>
      <c r="AL35" s="154">
        <f>IF((RD[[#This Row],[220kV_C&amp;R_PQM_Ex]]-AF34)*1000&lt;=0,"",(RD[[#This Row],[220kV_C&amp;R_PQM_Ex]]-AF34)*1000)</f>
        <v>170485.00000000058</v>
      </c>
      <c r="AM35" s="154">
        <f>IF((RD[[#This Row],[33kV_Aux1_Im]]-AH34)*1000&lt;0,"",(RD[[#This Row],[33kV_Aux1_Im]]-AH34)*1000)</f>
        <v>20.000000000000018</v>
      </c>
      <c r="AN35" s="154">
        <f>IF((RD[[#This Row],[33kV_Aux1_Im]]-AH34)*1000&lt;0,"",(RD[[#This Row],[33kV_Aux1_Im]]-AH34)*1000)</f>
        <v>20.000000000000018</v>
      </c>
      <c r="AO35" s="61">
        <f>RD[[#This Row],[33kV_OG1_Energy (KWh)]]</f>
        <v>171000</v>
      </c>
      <c r="AP35" s="61">
        <f>IFERROR(RD[[#This Row],[220kV_TL_TVM Energy (KWh)]]-RD[[#This Row],[220kV_C&amp;R_PQM_Imp (KWh)2]],"")</f>
        <v>170060.00000000029</v>
      </c>
      <c r="AQ35" s="63">
        <f>IFERROR(RD[[#This Row],[33 kV Total Export (KWH)]]/RD[[#This Row],[220 KV Net Export (KWh)]]-1,"")</f>
        <v>5.5274608961526361E-3</v>
      </c>
      <c r="AR35" s="64">
        <f>IFERROR((RD[[#This Row],[Sunset Time (POA&lt;20 W/m2)]]-RD[[#This Row],[Sunrise Time (POA&gt;20 W/m2)]])*24,0)</f>
        <v>12.116666666666664</v>
      </c>
      <c r="AS35" s="65">
        <f>RD[[#This Row],[33kV_OG1_Energy (KWh)]]</f>
        <v>171000</v>
      </c>
      <c r="AT35" s="65">
        <f>IFERROR(RD[[#This Row],[ Export (33 kV)]]*(1-RD[[#This Row],[33 kV Line Loss (%)]]),RD[[#This Row],[ Export (33 kV)]])</f>
        <v>170054.80418675789</v>
      </c>
      <c r="AU35" s="277">
        <v>39.21</v>
      </c>
      <c r="AV35" s="122"/>
      <c r="AW35" s="122"/>
      <c r="AX35" t="str">
        <f>IFERROR(RD[[#This Row],[E_AC (WPR)]]/RD[[#This Row],[E_DC (WPR)]],"")</f>
        <v/>
      </c>
    </row>
    <row r="36" spans="1:50">
      <c r="A36" s="148">
        <f t="shared" si="47"/>
        <v>45776</v>
      </c>
      <c r="B36" s="151">
        <f>YEAR(RD[[#This Row],[Date]])+IF(MONTH(RD[[#This Row],[Date]])&gt;=4,1,0)</f>
        <v>2026</v>
      </c>
      <c r="C36" s="151">
        <f>YEAR(RD[[#This Row],[Date]])</f>
        <v>2025</v>
      </c>
      <c r="D36" s="152">
        <f t="shared" si="46"/>
        <v>45748</v>
      </c>
      <c r="E36" s="151">
        <f>DAY(EOMONTH(RD[[#This Row],[Date]],0))</f>
        <v>30</v>
      </c>
      <c r="F36" s="122">
        <v>0.26597222222222222</v>
      </c>
      <c r="G36" s="122">
        <v>0.76666666666666672</v>
      </c>
      <c r="H36" s="138">
        <v>24414.7</v>
      </c>
      <c r="I36" s="138">
        <v>25061.7</v>
      </c>
      <c r="J36" s="138">
        <v>34468.699999999997</v>
      </c>
      <c r="K36" s="138">
        <v>33788.199999999997</v>
      </c>
      <c r="L36" s="138">
        <v>33164.9</v>
      </c>
      <c r="M36" s="138">
        <v>10793</v>
      </c>
      <c r="N36" s="138">
        <v>27118</v>
      </c>
      <c r="O36" s="167"/>
      <c r="P36" s="167"/>
      <c r="Q36" s="58">
        <v>6.54</v>
      </c>
      <c r="R36" s="58">
        <v>6.81</v>
      </c>
      <c r="S36" s="58">
        <v>38.44</v>
      </c>
      <c r="T36" s="58">
        <v>49.35</v>
      </c>
      <c r="U36" s="58">
        <v>18.72</v>
      </c>
      <c r="V36" s="58">
        <v>0</v>
      </c>
      <c r="W36" s="58">
        <v>2.64</v>
      </c>
      <c r="X36" s="58">
        <v>8.23</v>
      </c>
      <c r="Y36" s="60">
        <f>SUM(RD[[#This Row],[IS1Inv1]:[IS3Inv1]])</f>
        <v>150898.20000000001</v>
      </c>
      <c r="Z36" s="60">
        <f>SUM(RD[[#This Row],[IS4Inv1]:[IS4Inv2]])</f>
        <v>37911</v>
      </c>
      <c r="AA36" s="60">
        <f>SUM(RD[[#This Row],[O2RE7]:[O2RE27]])</f>
        <v>188809.2</v>
      </c>
      <c r="AB36" s="153"/>
      <c r="AC36" s="153">
        <v>10789</v>
      </c>
      <c r="AD36" s="153"/>
      <c r="AE36" s="153">
        <v>7166.2</v>
      </c>
      <c r="AF36" s="153">
        <v>10531.945</v>
      </c>
      <c r="AG36" s="153">
        <v>0.04</v>
      </c>
      <c r="AH36" s="153">
        <v>1.25</v>
      </c>
      <c r="AI36" s="154" t="str">
        <f>IF((RD[[#This Row],[33 kV_F1_Ex]]-AB35)*150000&lt;=0,"",(RD[[#This Row],[33 kV_F1_Ex]]-AB35)*150000)</f>
        <v/>
      </c>
      <c r="AJ36" s="154">
        <f>IF((RD[[#This Row],[33kV_OG1_Ex]]-AC35)*1000&lt;=0,0,(RD[[#This Row],[33kV_OG1_Ex]]-AC35)*1000)</f>
        <v>187000</v>
      </c>
      <c r="AK36" s="154">
        <f>IF((RD[[#This Row],[220kV_TL_TVM_Ex]]-AE35)*1600&lt;=0,0,(RD[[#This Row],[220kV_TL_TVM_Ex]]-AE35)*1600)</f>
        <v>185119.99999999971</v>
      </c>
      <c r="AL36" s="154">
        <f>IF((RD[[#This Row],[220kV_C&amp;R_PQM_Ex]]-AF35)*1000&lt;=0,"",(RD[[#This Row],[220kV_C&amp;R_PQM_Ex]]-AF35)*1000)</f>
        <v>185209.99999999913</v>
      </c>
      <c r="AM36" s="154">
        <f>IF((RD[[#This Row],[33kV_Aux1_Im]]-AH35)*1000&lt;0,"",(RD[[#This Row],[33kV_Aux1_Im]]-AH35)*1000)</f>
        <v>10.000000000000009</v>
      </c>
      <c r="AN36" s="154">
        <f>IF((RD[[#This Row],[33kV_Aux1_Im]]-AH35)*1000&lt;0,"",(RD[[#This Row],[33kV_Aux1_Im]]-AH35)*1000)</f>
        <v>10.000000000000009</v>
      </c>
      <c r="AO36" s="61">
        <f>RD[[#This Row],[33kV_OG1_Energy (KWh)]]</f>
        <v>187000</v>
      </c>
      <c r="AP36" s="61">
        <f>IFERROR(RD[[#This Row],[220kV_TL_TVM Energy (KWh)]]-RD[[#This Row],[220kV_C&amp;R_PQM_Imp (KWh)2]],"")</f>
        <v>185109.99999999971</v>
      </c>
      <c r="AQ36" s="63">
        <f>IFERROR(RD[[#This Row],[33 kV Total Export (KWH)]]/RD[[#This Row],[220 KV Net Export (KWh)]]-1,"")</f>
        <v>1.0210145319001107E-2</v>
      </c>
      <c r="AR36" s="64">
        <f>IFERROR((RD[[#This Row],[Sunset Time (POA&lt;20 W/m2)]]-RD[[#This Row],[Sunrise Time (POA&gt;20 W/m2)]])*24,0)</f>
        <v>12.016666666666669</v>
      </c>
      <c r="AS36" s="65">
        <f>RD[[#This Row],[33kV_OG1_Energy (KWh)]]</f>
        <v>187000</v>
      </c>
      <c r="AT36" s="65">
        <f>IFERROR(RD[[#This Row],[ Export (33 kV)]]*(1-RD[[#This Row],[33 kV Line Loss (%)]]),RD[[#This Row],[ Export (33 kV)]])</f>
        <v>185090.70282534679</v>
      </c>
      <c r="AU36" s="277">
        <v>39.21</v>
      </c>
      <c r="AV36" s="122"/>
      <c r="AW36" s="122"/>
      <c r="AX36" t="str">
        <f>IFERROR(RD[[#This Row],[E_AC (WPR)]]/RD[[#This Row],[E_DC (WPR)]],"")</f>
        <v/>
      </c>
    </row>
    <row r="37" spans="1:50">
      <c r="A37" s="148">
        <f t="shared" si="47"/>
        <v>45777</v>
      </c>
      <c r="B37" s="151">
        <f>YEAR(RD[[#This Row],[Date]])+IF(MONTH(RD[[#This Row],[Date]])&gt;=4,1,0)</f>
        <v>2026</v>
      </c>
      <c r="C37" s="151">
        <f>YEAR(RD[[#This Row],[Date]])</f>
        <v>2025</v>
      </c>
      <c r="D37" s="152">
        <f t="shared" si="46"/>
        <v>45748</v>
      </c>
      <c r="E37" s="151">
        <f>DAY(EOMONTH(RD[[#This Row],[Date]],0))</f>
        <v>30</v>
      </c>
      <c r="F37" s="122">
        <v>0.26041666666666669</v>
      </c>
      <c r="G37" s="122">
        <v>0.76736111111111116</v>
      </c>
      <c r="H37" s="138">
        <v>24922.3</v>
      </c>
      <c r="I37" s="138">
        <v>25428.1</v>
      </c>
      <c r="J37" s="138">
        <v>34960.800000000003</v>
      </c>
      <c r="K37" s="138">
        <v>34304.6</v>
      </c>
      <c r="L37" s="138">
        <v>33567.800000000003</v>
      </c>
      <c r="M37" s="138">
        <v>9538.1</v>
      </c>
      <c r="N37" s="138">
        <v>28092.9</v>
      </c>
      <c r="O37" s="167"/>
      <c r="P37" s="167"/>
      <c r="Q37" s="58">
        <v>6.45</v>
      </c>
      <c r="R37" s="58">
        <v>6.76</v>
      </c>
      <c r="S37" s="58">
        <v>38.89</v>
      </c>
      <c r="T37" s="58">
        <v>48.04</v>
      </c>
      <c r="U37" s="58">
        <v>17.93</v>
      </c>
      <c r="V37" s="58">
        <v>0</v>
      </c>
      <c r="W37" s="58">
        <v>3.72</v>
      </c>
      <c r="X37" s="58">
        <v>9.5299999999999994</v>
      </c>
      <c r="Y37" s="60">
        <f>SUM(RD[[#This Row],[IS1Inv1]:[IS3Inv1]])</f>
        <v>153183.59999999998</v>
      </c>
      <c r="Z37" s="60">
        <f>SUM(RD[[#This Row],[IS4Inv1]:[IS4Inv2]])</f>
        <v>37631</v>
      </c>
      <c r="AA37" s="60">
        <f>SUM(RD[[#This Row],[O2RE7]:[O2RE27]])</f>
        <v>190814.59999999998</v>
      </c>
      <c r="AB37" s="153"/>
      <c r="AC37" s="153">
        <v>10977</v>
      </c>
      <c r="AD37" s="153"/>
      <c r="AE37" s="153">
        <v>7283.7</v>
      </c>
      <c r="AF37" s="153">
        <v>10719.214</v>
      </c>
      <c r="AG37" s="153">
        <v>0.04</v>
      </c>
      <c r="AH37" s="153">
        <v>1.28</v>
      </c>
      <c r="AI37" s="154" t="str">
        <f>IF((RD[[#This Row],[33 kV_F1_Ex]]-AB36)*150000&lt;=0,"",(RD[[#This Row],[33 kV_F1_Ex]]-AB36)*150000)</f>
        <v/>
      </c>
      <c r="AJ37" s="154">
        <f>IF((RD[[#This Row],[33kV_OG1_Ex]]-AC36)*1000&lt;=0,0,(RD[[#This Row],[33kV_OG1_Ex]]-AC36)*1000)</f>
        <v>188000</v>
      </c>
      <c r="AK37" s="154">
        <f>IF((RD[[#This Row],[220kV_TL_TVM_Ex]]-AE36)*1600&lt;=0,0,(RD[[#This Row],[220kV_TL_TVM_Ex]]-AE36)*1600)</f>
        <v>188000</v>
      </c>
      <c r="AL37" s="154">
        <f>IF((RD[[#This Row],[220kV_C&amp;R_PQM_Ex]]-AF36)*1000&lt;=0,"",(RD[[#This Row],[220kV_C&amp;R_PQM_Ex]]-AF36)*1000)</f>
        <v>187269.00000000023</v>
      </c>
      <c r="AM37" s="154">
        <f>IF((RD[[#This Row],[33kV_Aux1_Im]]-AH36)*1000&lt;0,"",(RD[[#This Row],[33kV_Aux1_Im]]-AH36)*1000)</f>
        <v>30.000000000000028</v>
      </c>
      <c r="AN37" s="154">
        <f>IF((RD[[#This Row],[33kV_Aux1_Im]]-AH36)*1000&lt;0,"",(RD[[#This Row],[33kV_Aux1_Im]]-AH36)*1000)</f>
        <v>30.000000000000028</v>
      </c>
      <c r="AO37" s="61">
        <f>RD[[#This Row],[33kV_OG1_Energy (KWh)]]</f>
        <v>188000</v>
      </c>
      <c r="AP37" s="61">
        <f>IFERROR(RD[[#This Row],[220kV_TL_TVM Energy (KWh)]]-RD[[#This Row],[220kV_C&amp;R_PQM_Imp (KWh)2]],"")</f>
        <v>187970</v>
      </c>
      <c r="AQ37" s="63">
        <f>IFERROR(RD[[#This Row],[33 kV Total Export (KWH)]]/RD[[#This Row],[220 KV Net Export (KWh)]]-1,"")</f>
        <v>1.5959993616010415E-4</v>
      </c>
      <c r="AR37" s="64">
        <f>IFERROR((RD[[#This Row],[Sunset Time (POA&lt;20 W/m2)]]-RD[[#This Row],[Sunrise Time (POA&gt;20 W/m2)]])*24,0)</f>
        <v>12.166666666666666</v>
      </c>
      <c r="AS37" s="65">
        <f>RD[[#This Row],[33kV_OG1_Energy (KWh)]]</f>
        <v>188000</v>
      </c>
      <c r="AT37" s="65">
        <f>IFERROR(RD[[#This Row],[ Export (33 kV)]]*(1-RD[[#This Row],[33 kV Line Loss (%)]]),RD[[#This Row],[ Export (33 kV)]])</f>
        <v>187969.9952120019</v>
      </c>
      <c r="AU37" s="277">
        <v>39.21</v>
      </c>
      <c r="AV37" s="122"/>
      <c r="AW37" s="122"/>
      <c r="AX37" t="str">
        <f>IFERROR(RD[[#This Row],[E_AC (WPR)]]/RD[[#This Row],[E_DC (WPR)]],"")</f>
        <v/>
      </c>
    </row>
    <row r="38" spans="1:50">
      <c r="A38" s="148">
        <f t="shared" si="47"/>
        <v>45778</v>
      </c>
      <c r="B38" s="151">
        <f>YEAR(RD[[#This Row],[Date]])+IF(MONTH(RD[[#This Row],[Date]])&gt;=4,1,0)</f>
        <v>2026</v>
      </c>
      <c r="C38" s="151">
        <f>YEAR(RD[[#This Row],[Date]])</f>
        <v>2025</v>
      </c>
      <c r="D38" s="152">
        <f t="shared" si="46"/>
        <v>45778</v>
      </c>
      <c r="E38" s="151">
        <f>DAY(EOMONTH(RD[[#This Row],[Date]],0))</f>
        <v>31</v>
      </c>
      <c r="F38" s="122">
        <v>0.25833333333333336</v>
      </c>
      <c r="G38" s="122">
        <v>0.7583333333333333</v>
      </c>
      <c r="H38" s="138">
        <v>23671.8</v>
      </c>
      <c r="I38" s="138">
        <v>24003.1</v>
      </c>
      <c r="J38" s="138">
        <v>32992.199999999997</v>
      </c>
      <c r="K38" s="138">
        <v>32428.2</v>
      </c>
      <c r="L38" s="138">
        <v>32113.599999999999</v>
      </c>
      <c r="M38" s="138">
        <v>5975.2</v>
      </c>
      <c r="N38" s="138">
        <v>26083.8</v>
      </c>
      <c r="O38" s="167"/>
      <c r="P38" s="167"/>
      <c r="Q38" s="58">
        <v>6.12</v>
      </c>
      <c r="R38" s="58">
        <v>6.24</v>
      </c>
      <c r="S38" s="58">
        <v>37.42</v>
      </c>
      <c r="T38" s="58">
        <v>49.2</v>
      </c>
      <c r="U38" s="58">
        <v>29.42</v>
      </c>
      <c r="V38" s="58">
        <v>0</v>
      </c>
      <c r="W38" s="58">
        <v>2.08</v>
      </c>
      <c r="X38" s="58">
        <v>5.61</v>
      </c>
      <c r="Y38" s="60">
        <f>SUM(RD[[#This Row],[IS1Inv1]:[IS3Inv1]])</f>
        <v>145208.9</v>
      </c>
      <c r="Z38" s="60">
        <f>SUM(RD[[#This Row],[IS4Inv1]:[IS4Inv2]])</f>
        <v>32059</v>
      </c>
      <c r="AA38" s="60">
        <f>SUM(RD[[#This Row],[O2RE7]:[O2RE27]])</f>
        <v>177267.9</v>
      </c>
      <c r="AB38" s="153"/>
      <c r="AC38" s="153">
        <v>11152</v>
      </c>
      <c r="AD38" s="153"/>
      <c r="AE38" s="153">
        <v>7392.3</v>
      </c>
      <c r="AF38" s="153">
        <v>10893.017</v>
      </c>
      <c r="AG38" s="153">
        <v>0.04</v>
      </c>
      <c r="AH38" s="153">
        <v>1.3</v>
      </c>
      <c r="AI38" s="154" t="str">
        <f>IF((RD[[#This Row],[33 kV_F1_Ex]]-AB37)*150000&lt;=0,"",(RD[[#This Row],[33 kV_F1_Ex]]-AB37)*150000)</f>
        <v/>
      </c>
      <c r="AJ38" s="154">
        <f>IF((RD[[#This Row],[33kV_OG1_Ex]]-AC37)*1000&lt;=0,0,(RD[[#This Row],[33kV_OG1_Ex]]-AC37)*1000)</f>
        <v>175000</v>
      </c>
      <c r="AK38" s="154">
        <f>IF((RD[[#This Row],[220kV_TL_TVM_Ex]]-AE37)*1600&lt;=0,0,(RD[[#This Row],[220kV_TL_TVM_Ex]]-AE37)*1600)</f>
        <v>173760.00000000058</v>
      </c>
      <c r="AL38" s="154">
        <f>IF((RD[[#This Row],[220kV_C&amp;R_PQM_Ex]]-AF37)*1000&lt;=0,"",(RD[[#This Row],[220kV_C&amp;R_PQM_Ex]]-AF37)*1000)</f>
        <v>173802.99999999988</v>
      </c>
      <c r="AM38" s="154">
        <f>IF((RD[[#This Row],[33kV_Aux1_Im]]-AH37)*1000&lt;0,"",(RD[[#This Row],[33kV_Aux1_Im]]-AH37)*1000)</f>
        <v>20.000000000000018</v>
      </c>
      <c r="AN38" s="154">
        <f>IF((RD[[#This Row],[33kV_Aux1_Im]]-AH37)*1000&lt;0,"",(RD[[#This Row],[33kV_Aux1_Im]]-AH37)*1000)</f>
        <v>20.000000000000018</v>
      </c>
      <c r="AO38" s="61">
        <f>RD[[#This Row],[33kV_OG1_Energy (KWh)]]</f>
        <v>175000</v>
      </c>
      <c r="AP38" s="61">
        <f>IFERROR(RD[[#This Row],[220kV_TL_TVM Energy (KWh)]]-RD[[#This Row],[220kV_C&amp;R_PQM_Imp (KWh)2]],"")</f>
        <v>173740.00000000058</v>
      </c>
      <c r="AQ38" s="63">
        <f>IFERROR(RD[[#This Row],[33 kV Total Export (KWH)]]/RD[[#This Row],[220 KV Net Export (KWh)]]-1,"")</f>
        <v>7.252215954871799E-3</v>
      </c>
      <c r="AR38" s="64">
        <f>IFERROR((RD[[#This Row],[Sunset Time (POA&lt;20 W/m2)]]-RD[[#This Row],[Sunrise Time (POA&gt;20 W/m2)]])*24,0)</f>
        <v>11.999999999999998</v>
      </c>
      <c r="AS38" s="65">
        <f>RD[[#This Row],[33kV_OG1_Energy (KWh)]]</f>
        <v>175000</v>
      </c>
      <c r="AT38" s="65">
        <f>IFERROR(RD[[#This Row],[ Export (33 kV)]]*(1-RD[[#This Row],[33 kV Line Loss (%)]]),RD[[#This Row],[ Export (33 kV)]])</f>
        <v>173730.86220789744</v>
      </c>
      <c r="AU38" s="277">
        <v>39.21</v>
      </c>
      <c r="AV38" s="122"/>
      <c r="AW38" s="122"/>
      <c r="AX38" t="str">
        <f>IFERROR(RD[[#This Row],[E_AC (WPR)]]/RD[[#This Row],[E_DC (WPR)]],"")</f>
        <v/>
      </c>
    </row>
    <row r="39" spans="1:50">
      <c r="A39" s="148">
        <f t="shared" si="47"/>
        <v>45779</v>
      </c>
      <c r="B39" s="151">
        <f>YEAR(RD[[#This Row],[Date]])+IF(MONTH(RD[[#This Row],[Date]])&gt;=4,1,0)</f>
        <v>2026</v>
      </c>
      <c r="C39" s="151">
        <f>YEAR(RD[[#This Row],[Date]])</f>
        <v>2025</v>
      </c>
      <c r="D39" s="152">
        <f t="shared" si="46"/>
        <v>45778</v>
      </c>
      <c r="E39" s="151">
        <f>DAY(EOMONTH(RD[[#This Row],[Date]],0))</f>
        <v>31</v>
      </c>
      <c r="F39" s="122">
        <v>0.25833333333333336</v>
      </c>
      <c r="G39" s="122">
        <v>0.76736111111111116</v>
      </c>
      <c r="H39" s="138">
        <v>24585.4</v>
      </c>
      <c r="I39" s="138">
        <v>24919.3</v>
      </c>
      <c r="J39" s="138">
        <v>34493.699999999997</v>
      </c>
      <c r="K39" s="138">
        <v>33793.699999999997</v>
      </c>
      <c r="L39" s="138">
        <v>33801.9</v>
      </c>
      <c r="M39" s="138">
        <v>3655.9</v>
      </c>
      <c r="N39" s="138">
        <v>27541.9</v>
      </c>
      <c r="O39" s="167"/>
      <c r="P39" s="167"/>
      <c r="Q39" s="58">
        <v>6.39</v>
      </c>
      <c r="R39" s="58">
        <v>6.52</v>
      </c>
      <c r="S39" s="58">
        <v>38.17</v>
      </c>
      <c r="T39" s="58">
        <v>47.52</v>
      </c>
      <c r="U39" s="58">
        <v>25.83</v>
      </c>
      <c r="V39" s="58">
        <v>0</v>
      </c>
      <c r="W39" s="58">
        <v>3.04</v>
      </c>
      <c r="X39" s="58">
        <v>8.6199999999999992</v>
      </c>
      <c r="Y39" s="60">
        <f>SUM(RD[[#This Row],[IS1Inv1]:[IS3Inv1]])</f>
        <v>151594</v>
      </c>
      <c r="Z39" s="60">
        <f>SUM(RD[[#This Row],[IS4Inv1]:[IS4Inv2]])</f>
        <v>31197.800000000003</v>
      </c>
      <c r="AA39" s="60">
        <f>SUM(RD[[#This Row],[O2RE7]:[O2RE27]])</f>
        <v>182791.8</v>
      </c>
      <c r="AB39" s="153"/>
      <c r="AC39" s="153">
        <v>11333</v>
      </c>
      <c r="AD39" s="153"/>
      <c r="AE39" s="153">
        <v>7504.7</v>
      </c>
      <c r="AF39" s="153">
        <v>11072.181</v>
      </c>
      <c r="AG39" s="153">
        <v>0.04</v>
      </c>
      <c r="AH39" s="153">
        <v>1.33</v>
      </c>
      <c r="AI39" s="154" t="str">
        <f>IF((RD[[#This Row],[33 kV_F1_Ex]]-AB38)*150000&lt;=0,"",(RD[[#This Row],[33 kV_F1_Ex]]-AB38)*150000)</f>
        <v/>
      </c>
      <c r="AJ39" s="154">
        <f>IF((RD[[#This Row],[33kV_OG1_Ex]]-AC38)*1000&lt;=0,0,(RD[[#This Row],[33kV_OG1_Ex]]-AC38)*1000)</f>
        <v>181000</v>
      </c>
      <c r="AK39" s="154">
        <f>IF((RD[[#This Row],[220kV_TL_TVM_Ex]]-AE38)*1600&lt;=0,0,(RD[[#This Row],[220kV_TL_TVM_Ex]]-AE38)*1600)</f>
        <v>179839.99999999942</v>
      </c>
      <c r="AL39" s="154">
        <f>IF((RD[[#This Row],[220kV_C&amp;R_PQM_Ex]]-AF38)*1000&lt;=0,"",(RD[[#This Row],[220kV_C&amp;R_PQM_Ex]]-AF38)*1000)</f>
        <v>179164.00000000067</v>
      </c>
      <c r="AM39" s="154">
        <f>IF((RD[[#This Row],[33kV_Aux1_Im]]-AH38)*1000&lt;0,"",(RD[[#This Row],[33kV_Aux1_Im]]-AH38)*1000)</f>
        <v>30.000000000000028</v>
      </c>
      <c r="AN39" s="154">
        <f>IF((RD[[#This Row],[33kV_Aux1_Im]]-AH38)*1000&lt;0,"",(RD[[#This Row],[33kV_Aux1_Im]]-AH38)*1000)</f>
        <v>30.000000000000028</v>
      </c>
      <c r="AO39" s="61">
        <f>RD[[#This Row],[33kV_OG1_Energy (KWh)]]</f>
        <v>181000</v>
      </c>
      <c r="AP39" s="61">
        <f>IFERROR(RD[[#This Row],[220kV_TL_TVM Energy (KWh)]]-RD[[#This Row],[220kV_C&amp;R_PQM_Imp (KWh)2]],"")</f>
        <v>179809.99999999942</v>
      </c>
      <c r="AQ39" s="63">
        <f>IFERROR(RD[[#This Row],[33 kV Total Export (KWH)]]/RD[[#This Row],[220 KV Net Export (KWh)]]-1,"")</f>
        <v>6.6180968800433337E-3</v>
      </c>
      <c r="AR39" s="64">
        <f>IFERROR((RD[[#This Row],[Sunset Time (POA&lt;20 W/m2)]]-RD[[#This Row],[Sunrise Time (POA&gt;20 W/m2)]])*24,0)</f>
        <v>12.216666666666669</v>
      </c>
      <c r="AS39" s="65">
        <f>RD[[#This Row],[33kV_OG1_Energy (KWh)]]</f>
        <v>181000</v>
      </c>
      <c r="AT39" s="65">
        <f>IFERROR(RD[[#This Row],[ Export (33 kV)]]*(1-RD[[#This Row],[33 kV Line Loss (%)]]),RD[[#This Row],[ Export (33 kV)]])</f>
        <v>179802.12446471216</v>
      </c>
      <c r="AU39" s="277">
        <v>39.21</v>
      </c>
      <c r="AV39" s="122"/>
      <c r="AW39" s="122"/>
      <c r="AX39" t="str">
        <f>IFERROR(RD[[#This Row],[E_AC (WPR)]]/RD[[#This Row],[E_DC (WPR)]],"")</f>
        <v/>
      </c>
    </row>
    <row r="40" spans="1:50">
      <c r="A40" s="148">
        <f t="shared" si="47"/>
        <v>45780</v>
      </c>
      <c r="B40" s="151">
        <f>YEAR(RD[[#This Row],[Date]])+IF(MONTH(RD[[#This Row],[Date]])&gt;=4,1,0)</f>
        <v>2026</v>
      </c>
      <c r="C40" s="151">
        <f>YEAR(RD[[#This Row],[Date]])</f>
        <v>2025</v>
      </c>
      <c r="D40" s="152">
        <f t="shared" si="46"/>
        <v>45778</v>
      </c>
      <c r="E40" s="151">
        <f>DAY(EOMONTH(RD[[#This Row],[Date]],0))</f>
        <v>31</v>
      </c>
      <c r="F40" s="122">
        <v>0.25763888888888886</v>
      </c>
      <c r="G40" s="122">
        <v>0.76875000000000004</v>
      </c>
      <c r="H40" s="138">
        <v>24474.1</v>
      </c>
      <c r="I40" s="138">
        <v>24650.9</v>
      </c>
      <c r="J40" s="138">
        <v>34572.6</v>
      </c>
      <c r="K40" s="138">
        <v>33993.5</v>
      </c>
      <c r="L40" s="138">
        <v>33395.800000000003</v>
      </c>
      <c r="M40" s="138">
        <v>3052.7</v>
      </c>
      <c r="N40" s="138">
        <v>26595.5</v>
      </c>
      <c r="O40" s="167"/>
      <c r="P40" s="167"/>
      <c r="Q40" s="58">
        <v>6.42</v>
      </c>
      <c r="R40" s="58">
        <v>6.65</v>
      </c>
      <c r="S40" s="58">
        <v>38.619999999999997</v>
      </c>
      <c r="T40" s="58">
        <v>48.41</v>
      </c>
      <c r="U40" s="58">
        <v>20.25</v>
      </c>
      <c r="V40" s="58">
        <v>0</v>
      </c>
      <c r="W40" s="58">
        <v>2.78</v>
      </c>
      <c r="X40" s="58">
        <v>7.26</v>
      </c>
      <c r="Y40" s="60">
        <f>SUM(RD[[#This Row],[IS1Inv1]:[IS3Inv1]])</f>
        <v>151086.90000000002</v>
      </c>
      <c r="Z40" s="60">
        <f>SUM(RD[[#This Row],[IS4Inv1]:[IS4Inv2]])</f>
        <v>29648.2</v>
      </c>
      <c r="AA40" s="60">
        <f>SUM(RD[[#This Row],[O2RE7]:[O2RE27]])</f>
        <v>180735.10000000003</v>
      </c>
      <c r="AB40" s="153"/>
      <c r="AC40" s="153">
        <v>11512</v>
      </c>
      <c r="AD40" s="153"/>
      <c r="AE40" s="153">
        <v>7615.6</v>
      </c>
      <c r="AF40" s="153">
        <v>11249.369000000001</v>
      </c>
      <c r="AG40" s="153">
        <v>0.04</v>
      </c>
      <c r="AH40" s="153">
        <v>1.36</v>
      </c>
      <c r="AI40" s="154" t="str">
        <f>IF((RD[[#This Row],[33 kV_F1_Ex]]-AB39)*150000&lt;=0,"",(RD[[#This Row],[33 kV_F1_Ex]]-AB39)*150000)</f>
        <v/>
      </c>
      <c r="AJ40" s="154">
        <f>IF((RD[[#This Row],[33kV_OG1_Ex]]-AC39)*1000&lt;=0,0,(RD[[#This Row],[33kV_OG1_Ex]]-AC39)*1000)</f>
        <v>179000</v>
      </c>
      <c r="AK40" s="154">
        <f>IF((RD[[#This Row],[220kV_TL_TVM_Ex]]-AE39)*1600&lt;=0,0,(RD[[#This Row],[220kV_TL_TVM_Ex]]-AE39)*1600)</f>
        <v>177440.00000000087</v>
      </c>
      <c r="AL40" s="154">
        <f>IF((RD[[#This Row],[220kV_C&amp;R_PQM_Ex]]-AF39)*1000&lt;=0,"",(RD[[#This Row],[220kV_C&amp;R_PQM_Ex]]-AF39)*1000)</f>
        <v>177188.00000000012</v>
      </c>
      <c r="AM40" s="154">
        <f>IF((RD[[#This Row],[33kV_Aux1_Im]]-AH39)*1000&lt;0,"",(RD[[#This Row],[33kV_Aux1_Im]]-AH39)*1000)</f>
        <v>30.000000000000028</v>
      </c>
      <c r="AN40" s="154">
        <f>IF((RD[[#This Row],[33kV_Aux1_Im]]-AH39)*1000&lt;0,"",(RD[[#This Row],[33kV_Aux1_Im]]-AH39)*1000)</f>
        <v>30.000000000000028</v>
      </c>
      <c r="AO40" s="61">
        <f>RD[[#This Row],[33kV_OG1_Energy (KWh)]]</f>
        <v>179000</v>
      </c>
      <c r="AP40" s="61">
        <f>IFERROR(RD[[#This Row],[220kV_TL_TVM Energy (KWh)]]-RD[[#This Row],[220kV_C&amp;R_PQM_Imp (KWh)2]],"")</f>
        <v>177410.00000000087</v>
      </c>
      <c r="AQ40" s="63">
        <f>IFERROR(RD[[#This Row],[33 kV Total Export (KWH)]]/RD[[#This Row],[220 KV Net Export (KWh)]]-1,"")</f>
        <v>8.9622907389612649E-3</v>
      </c>
      <c r="AR40" s="64">
        <f>IFERROR((RD[[#This Row],[Sunset Time (POA&lt;20 W/m2)]]-RD[[#This Row],[Sunrise Time (POA&gt;20 W/m2)]])*24,0)</f>
        <v>12.266666666666669</v>
      </c>
      <c r="AS40" s="65">
        <f>RD[[#This Row],[33kV_OG1_Energy (KWh)]]</f>
        <v>179000</v>
      </c>
      <c r="AT40" s="65">
        <f>IFERROR(RD[[#This Row],[ Export (33 kV)]]*(1-RD[[#This Row],[33 kV Line Loss (%)]]),RD[[#This Row],[ Export (33 kV)]])</f>
        <v>177395.74995772593</v>
      </c>
      <c r="AU40" s="277">
        <v>39.21</v>
      </c>
      <c r="AV40" s="122"/>
      <c r="AW40" s="122"/>
      <c r="AX40" t="str">
        <f>IFERROR(RD[[#This Row],[E_AC (WPR)]]/RD[[#This Row],[E_DC (WPR)]],"")</f>
        <v/>
      </c>
    </row>
    <row r="41" spans="1:50">
      <c r="A41" s="148">
        <f t="shared" si="47"/>
        <v>45781</v>
      </c>
      <c r="B41" s="151">
        <f>YEAR(RD[[#This Row],[Date]])+IF(MONTH(RD[[#This Row],[Date]])&gt;=4,1,0)</f>
        <v>2026</v>
      </c>
      <c r="C41" s="151">
        <f>YEAR(RD[[#This Row],[Date]])</f>
        <v>2025</v>
      </c>
      <c r="D41" s="152">
        <f t="shared" si="46"/>
        <v>45778</v>
      </c>
      <c r="E41" s="151">
        <f>DAY(EOMONTH(RD[[#This Row],[Date]],0))</f>
        <v>31</v>
      </c>
      <c r="F41" s="122">
        <v>0.25694444444444442</v>
      </c>
      <c r="G41" s="122">
        <v>0.76944444444444449</v>
      </c>
      <c r="H41" s="138">
        <v>25619</v>
      </c>
      <c r="I41" s="138">
        <v>25750.400000000001</v>
      </c>
      <c r="J41" s="138">
        <v>35895.1</v>
      </c>
      <c r="K41" s="138">
        <v>35308.800000000003</v>
      </c>
      <c r="L41" s="138">
        <v>35069.4</v>
      </c>
      <c r="M41" s="138">
        <v>11532.7</v>
      </c>
      <c r="N41" s="138">
        <v>28051</v>
      </c>
      <c r="O41" s="167"/>
      <c r="P41" s="167"/>
      <c r="Q41" s="58">
        <v>6.79</v>
      </c>
      <c r="R41" s="58">
        <v>7.03</v>
      </c>
      <c r="S41" s="58">
        <v>35.28</v>
      </c>
      <c r="T41" s="58">
        <v>48.06</v>
      </c>
      <c r="U41" s="58">
        <v>32.01</v>
      </c>
      <c r="V41" s="58">
        <v>0</v>
      </c>
      <c r="W41" s="58">
        <v>2.25</v>
      </c>
      <c r="X41" s="58">
        <v>5.72</v>
      </c>
      <c r="Y41" s="60">
        <f>SUM(RD[[#This Row],[IS1Inv1]:[IS3Inv1]])</f>
        <v>157642.70000000001</v>
      </c>
      <c r="Z41" s="60">
        <f>SUM(RD[[#This Row],[IS4Inv1]:[IS4Inv2]])</f>
        <v>39583.699999999997</v>
      </c>
      <c r="AA41" s="60">
        <f>SUM(RD[[#This Row],[O2RE7]:[O2RE27]])</f>
        <v>197226.40000000002</v>
      </c>
      <c r="AB41" s="153"/>
      <c r="AC41" s="153">
        <v>11707</v>
      </c>
      <c r="AD41" s="153"/>
      <c r="AE41" s="153">
        <v>7736.7</v>
      </c>
      <c r="AF41" s="153">
        <v>11442.973</v>
      </c>
      <c r="AG41" s="153">
        <v>0.04</v>
      </c>
      <c r="AH41" s="153">
        <v>1.38</v>
      </c>
      <c r="AI41" s="154" t="str">
        <f>IF((RD[[#This Row],[33 kV_F1_Ex]]-AB40)*150000&lt;=0,"",(RD[[#This Row],[33 kV_F1_Ex]]-AB40)*150000)</f>
        <v/>
      </c>
      <c r="AJ41" s="154">
        <f>IF((RD[[#This Row],[33kV_OG1_Ex]]-AC40)*1000&lt;=0,0,(RD[[#This Row],[33kV_OG1_Ex]]-AC40)*1000)</f>
        <v>195000</v>
      </c>
      <c r="AK41" s="154">
        <f>IF((RD[[#This Row],[220kV_TL_TVM_Ex]]-AE40)*1600&lt;=0,0,(RD[[#This Row],[220kV_TL_TVM_Ex]]-AE40)*1600)</f>
        <v>193759.99999999913</v>
      </c>
      <c r="AL41" s="154">
        <f>IF((RD[[#This Row],[220kV_C&amp;R_PQM_Ex]]-AF40)*1000&lt;=0,"",(RD[[#This Row],[220kV_C&amp;R_PQM_Ex]]-AF40)*1000)</f>
        <v>193603.99999999936</v>
      </c>
      <c r="AM41" s="154">
        <f>IF((RD[[#This Row],[33kV_Aux1_Im]]-AH40)*1000&lt;0,"",(RD[[#This Row],[33kV_Aux1_Im]]-AH40)*1000)</f>
        <v>19.999999999999794</v>
      </c>
      <c r="AN41" s="154">
        <f>IF((RD[[#This Row],[33kV_Aux1_Im]]-AH40)*1000&lt;0,"",(RD[[#This Row],[33kV_Aux1_Im]]-AH40)*1000)</f>
        <v>19.999999999999794</v>
      </c>
      <c r="AO41" s="61">
        <f>RD[[#This Row],[33kV_OG1_Energy (KWh)]]</f>
        <v>195000</v>
      </c>
      <c r="AP41" s="61">
        <f>IFERROR(RD[[#This Row],[220kV_TL_TVM Energy (KWh)]]-RD[[#This Row],[220kV_C&amp;R_PQM_Imp (KWh)2]],"")</f>
        <v>193739.99999999913</v>
      </c>
      <c r="AQ41" s="63">
        <f>IFERROR(RD[[#This Row],[33 kV Total Export (KWH)]]/RD[[#This Row],[220 KV Net Export (KWh)]]-1,"")</f>
        <v>6.5035614741451031E-3</v>
      </c>
      <c r="AR41" s="64">
        <f>IFERROR((RD[[#This Row],[Sunset Time (POA&lt;20 W/m2)]]-RD[[#This Row],[Sunrise Time (POA&gt;20 W/m2)]])*24,0)</f>
        <v>12.3</v>
      </c>
      <c r="AS41" s="65">
        <f>RD[[#This Row],[33kV_OG1_Energy (KWh)]]</f>
        <v>195000</v>
      </c>
      <c r="AT41" s="65">
        <f>IFERROR(RD[[#This Row],[ Export (33 kV)]]*(1-RD[[#This Row],[33 kV Line Loss (%)]]),RD[[#This Row],[ Export (33 kV)]])</f>
        <v>193731.8055125417</v>
      </c>
      <c r="AU41" s="277">
        <v>39.21</v>
      </c>
      <c r="AV41" s="122"/>
      <c r="AW41" s="122"/>
      <c r="AX41" t="str">
        <f>IFERROR(RD[[#This Row],[E_AC (WPR)]]/RD[[#This Row],[E_DC (WPR)]],"")</f>
        <v/>
      </c>
    </row>
    <row r="42" spans="1:50">
      <c r="A42" s="148">
        <f t="shared" si="47"/>
        <v>45782</v>
      </c>
      <c r="B42" s="151">
        <f>YEAR(RD[[#This Row],[Date]])+IF(MONTH(RD[[#This Row],[Date]])&gt;=4,1,0)</f>
        <v>2026</v>
      </c>
      <c r="C42" s="151">
        <f>YEAR(RD[[#This Row],[Date]])</f>
        <v>2025</v>
      </c>
      <c r="D42" s="152">
        <f t="shared" si="46"/>
        <v>45778</v>
      </c>
      <c r="E42" s="151">
        <f>DAY(EOMONTH(RD[[#This Row],[Date]],0))</f>
        <v>31</v>
      </c>
      <c r="F42" s="122">
        <v>0.25694444444444442</v>
      </c>
      <c r="G42" s="122">
        <v>0.72152777777777777</v>
      </c>
      <c r="H42" s="138">
        <v>23621</v>
      </c>
      <c r="I42" s="138">
        <v>23869.7</v>
      </c>
      <c r="J42" s="138">
        <v>32720.1</v>
      </c>
      <c r="K42" s="138">
        <v>32278.7</v>
      </c>
      <c r="L42" s="138">
        <v>32440.400000000001</v>
      </c>
      <c r="M42" s="138">
        <v>11962.3</v>
      </c>
      <c r="N42" s="138">
        <v>26187.3</v>
      </c>
      <c r="O42" s="167"/>
      <c r="P42" s="167"/>
      <c r="Q42" s="58">
        <v>5.79</v>
      </c>
      <c r="R42" s="58">
        <v>6.02</v>
      </c>
      <c r="S42" s="58">
        <v>34.85</v>
      </c>
      <c r="T42" s="58">
        <v>47.54</v>
      </c>
      <c r="U42" s="58">
        <v>30.28</v>
      </c>
      <c r="V42" s="58">
        <v>0</v>
      </c>
      <c r="W42" s="58">
        <v>2.63</v>
      </c>
      <c r="X42" s="58">
        <v>13.16</v>
      </c>
      <c r="Y42" s="60">
        <f>SUM(RD[[#This Row],[IS1Inv1]:[IS3Inv1]])</f>
        <v>144929.9</v>
      </c>
      <c r="Z42" s="60">
        <f>SUM(RD[[#This Row],[IS4Inv1]:[IS4Inv2]])</f>
        <v>38149.599999999999</v>
      </c>
      <c r="AA42" s="60">
        <f>SUM(RD[[#This Row],[O2RE7]:[O2RE27]])</f>
        <v>183079.5</v>
      </c>
      <c r="AB42" s="153"/>
      <c r="AC42" s="153">
        <v>11888</v>
      </c>
      <c r="AD42" s="153"/>
      <c r="AE42" s="153">
        <v>7849.2</v>
      </c>
      <c r="AF42" s="153">
        <v>11622.492</v>
      </c>
      <c r="AG42" s="153">
        <v>0.04</v>
      </c>
      <c r="AH42" s="153">
        <v>1.4</v>
      </c>
      <c r="AI42" s="154" t="str">
        <f>IF((RD[[#This Row],[33 kV_F1_Ex]]-AB41)*150000&lt;=0,"",(RD[[#This Row],[33 kV_F1_Ex]]-AB41)*150000)</f>
        <v/>
      </c>
      <c r="AJ42" s="154">
        <f>IF((RD[[#This Row],[33kV_OG1_Ex]]-AC41)*1000&lt;=0,0,(RD[[#This Row],[33kV_OG1_Ex]]-AC41)*1000)</f>
        <v>181000</v>
      </c>
      <c r="AK42" s="154">
        <f>IF((RD[[#This Row],[220kV_TL_TVM_Ex]]-AE41)*1600&lt;=0,0,(RD[[#This Row],[220kV_TL_TVM_Ex]]-AE41)*1600)</f>
        <v>180000</v>
      </c>
      <c r="AL42" s="154">
        <f>IF((RD[[#This Row],[220kV_C&amp;R_PQM_Ex]]-AF41)*1000&lt;=0,"",(RD[[#This Row],[220kV_C&amp;R_PQM_Ex]]-AF41)*1000)</f>
        <v>179519.00000000023</v>
      </c>
      <c r="AM42" s="154">
        <f>IF((RD[[#This Row],[33kV_Aux1_Im]]-AH41)*1000&lt;0,"",(RD[[#This Row],[33kV_Aux1_Im]]-AH41)*1000)</f>
        <v>20.000000000000018</v>
      </c>
      <c r="AN42" s="154">
        <f>IF((RD[[#This Row],[33kV_Aux1_Im]]-AH41)*1000&lt;0,"",(RD[[#This Row],[33kV_Aux1_Im]]-AH41)*1000)</f>
        <v>20.000000000000018</v>
      </c>
      <c r="AO42" s="61">
        <f>RD[[#This Row],[33kV_OG1_Energy (KWh)]]</f>
        <v>181000</v>
      </c>
      <c r="AP42" s="61">
        <f>IFERROR(RD[[#This Row],[220kV_TL_TVM Energy (KWh)]]-RD[[#This Row],[220kV_C&amp;R_PQM_Imp (KWh)2]],"")</f>
        <v>179980</v>
      </c>
      <c r="AQ42" s="63">
        <f>IFERROR(RD[[#This Row],[33 kV Total Export (KWH)]]/RD[[#This Row],[220 KV Net Export (KWh)]]-1,"")</f>
        <v>5.6672963662629527E-3</v>
      </c>
      <c r="AR42" s="64">
        <f>IFERROR((RD[[#This Row],[Sunset Time (POA&lt;20 W/m2)]]-RD[[#This Row],[Sunrise Time (POA&gt;20 W/m2)]])*24,0)</f>
        <v>11.15</v>
      </c>
      <c r="AS42" s="65">
        <f>RD[[#This Row],[33kV_OG1_Energy (KWh)]]</f>
        <v>181000</v>
      </c>
      <c r="AT42" s="65">
        <f>IFERROR(RD[[#This Row],[ Export (33 kV)]]*(1-RD[[#This Row],[33 kV Line Loss (%)]]),RD[[#This Row],[ Export (33 kV)]])</f>
        <v>179974.2193577064</v>
      </c>
      <c r="AU42" s="277">
        <v>39.21</v>
      </c>
      <c r="AV42" s="122"/>
      <c r="AW42" s="122"/>
      <c r="AX42" t="str">
        <f>IFERROR(RD[[#This Row],[E_AC (WPR)]]/RD[[#This Row],[E_DC (WPR)]],"")</f>
        <v/>
      </c>
    </row>
    <row r="43" spans="1:50">
      <c r="A43" s="148">
        <f t="shared" si="47"/>
        <v>45783</v>
      </c>
      <c r="B43" s="151">
        <f>YEAR(RD[[#This Row],[Date]])+IF(MONTH(RD[[#This Row],[Date]])&gt;=4,1,0)</f>
        <v>2026</v>
      </c>
      <c r="C43" s="151">
        <f>YEAR(RD[[#This Row],[Date]])</f>
        <v>2025</v>
      </c>
      <c r="D43" s="152">
        <f t="shared" si="46"/>
        <v>45778</v>
      </c>
      <c r="E43" s="151">
        <f>DAY(EOMONTH(RD[[#This Row],[Date]],0))</f>
        <v>31</v>
      </c>
      <c r="F43" s="122">
        <v>0.30069444444444443</v>
      </c>
      <c r="G43" s="122">
        <v>0.76666666666666672</v>
      </c>
      <c r="H43" s="138">
        <v>22272</v>
      </c>
      <c r="I43" s="138">
        <v>24284</v>
      </c>
      <c r="J43" s="138">
        <v>37212</v>
      </c>
      <c r="K43" s="138">
        <v>36769.1</v>
      </c>
      <c r="L43" s="138">
        <v>36873.699999999997</v>
      </c>
      <c r="M43" s="138">
        <v>17012.8</v>
      </c>
      <c r="N43" s="138">
        <v>29238.9</v>
      </c>
      <c r="O43" s="167"/>
      <c r="P43" s="167"/>
      <c r="Q43" s="58">
        <v>7.04</v>
      </c>
      <c r="R43" s="58">
        <v>7.3</v>
      </c>
      <c r="S43" s="58">
        <v>35.07</v>
      </c>
      <c r="T43" s="58">
        <v>35.07</v>
      </c>
      <c r="U43" s="58">
        <v>27.11</v>
      </c>
      <c r="V43" s="58">
        <v>0</v>
      </c>
      <c r="W43" s="58">
        <v>3.03</v>
      </c>
      <c r="X43" s="58">
        <v>7.66</v>
      </c>
      <c r="Y43" s="60">
        <f>SUM(RD[[#This Row],[IS1Inv1]:[IS3Inv1]])</f>
        <v>157410.79999999999</v>
      </c>
      <c r="Z43" s="60">
        <f>SUM(RD[[#This Row],[IS4Inv1]:[IS4Inv2]])</f>
        <v>46251.7</v>
      </c>
      <c r="AA43" s="60">
        <f>SUM(RD[[#This Row],[O2RE7]:[O2RE27]])</f>
        <v>203662.5</v>
      </c>
      <c r="AB43" s="153"/>
      <c r="AC43" s="153">
        <v>12089</v>
      </c>
      <c r="AD43" s="153"/>
      <c r="AE43" s="153">
        <v>7974.2</v>
      </c>
      <c r="AF43" s="153">
        <v>11822.398999999999</v>
      </c>
      <c r="AG43" s="153">
        <v>0.04</v>
      </c>
      <c r="AH43" s="153">
        <v>1.43</v>
      </c>
      <c r="AI43" s="154" t="str">
        <f>IF((RD[[#This Row],[33 kV_F1_Ex]]-AB42)*150000&lt;=0,"",(RD[[#This Row],[33 kV_F1_Ex]]-AB42)*150000)</f>
        <v/>
      </c>
      <c r="AJ43" s="154">
        <f>IF((RD[[#This Row],[33kV_OG1_Ex]]-AC42)*1000&lt;=0,0,(RD[[#This Row],[33kV_OG1_Ex]]-AC42)*1000)</f>
        <v>201000</v>
      </c>
      <c r="AK43" s="154">
        <f>IF((RD[[#This Row],[220kV_TL_TVM_Ex]]-AE42)*1600&lt;=0,0,(RD[[#This Row],[220kV_TL_TVM_Ex]]-AE42)*1600)</f>
        <v>200000</v>
      </c>
      <c r="AL43" s="154">
        <f>IF((RD[[#This Row],[220kV_C&amp;R_PQM_Ex]]-AF42)*1000&lt;=0,"",(RD[[#This Row],[220kV_C&amp;R_PQM_Ex]]-AF42)*1000)</f>
        <v>199906.99999999924</v>
      </c>
      <c r="AM43" s="154">
        <f>IF((RD[[#This Row],[33kV_Aux1_Im]]-AH42)*1000&lt;0,"",(RD[[#This Row],[33kV_Aux1_Im]]-AH42)*1000)</f>
        <v>30.000000000000028</v>
      </c>
      <c r="AN43" s="154">
        <f>IF((RD[[#This Row],[33kV_Aux1_Im]]-AH42)*1000&lt;0,"",(RD[[#This Row],[33kV_Aux1_Im]]-AH42)*1000)</f>
        <v>30.000000000000028</v>
      </c>
      <c r="AO43" s="61">
        <f>RD[[#This Row],[33kV_OG1_Energy (KWh)]]</f>
        <v>201000</v>
      </c>
      <c r="AP43" s="61">
        <f>IFERROR(RD[[#This Row],[220kV_TL_TVM Energy (KWh)]]-RD[[#This Row],[220kV_C&amp;R_PQM_Imp (KWh)2]],"")</f>
        <v>199970</v>
      </c>
      <c r="AQ43" s="63">
        <f>IFERROR(RD[[#This Row],[33 kV Total Export (KWH)]]/RD[[#This Row],[220 KV Net Export (KWh)]]-1,"")</f>
        <v>5.1507726158923628E-3</v>
      </c>
      <c r="AR43" s="64">
        <f>IFERROR((RD[[#This Row],[Sunset Time (POA&lt;20 W/m2)]]-RD[[#This Row],[Sunrise Time (POA&gt;20 W/m2)]])*24,0)</f>
        <v>11.183333333333335</v>
      </c>
      <c r="AS43" s="65">
        <f>RD[[#This Row],[33kV_OG1_Energy (KWh)]]</f>
        <v>201000</v>
      </c>
      <c r="AT43" s="65">
        <f>IFERROR(RD[[#This Row],[ Export (33 kV)]]*(1-RD[[#This Row],[33 kV Line Loss (%)]]),RD[[#This Row],[ Export (33 kV)]])</f>
        <v>199964.69470420564</v>
      </c>
      <c r="AU43" s="277">
        <v>39.21</v>
      </c>
      <c r="AV43" s="122"/>
      <c r="AW43" s="122"/>
      <c r="AX43" t="str">
        <f>IFERROR(RD[[#This Row],[E_AC (WPR)]]/RD[[#This Row],[E_DC (WPR)]],"")</f>
        <v/>
      </c>
    </row>
    <row r="44" spans="1:50">
      <c r="A44" s="148">
        <f t="shared" si="47"/>
        <v>45784</v>
      </c>
      <c r="B44" s="151">
        <f>YEAR(RD[[#This Row],[Date]])+IF(MONTH(RD[[#This Row],[Date]])&gt;=4,1,0)</f>
        <v>2026</v>
      </c>
      <c r="C44" s="151">
        <f>YEAR(RD[[#This Row],[Date]])</f>
        <v>2025</v>
      </c>
      <c r="D44" s="152">
        <f t="shared" si="46"/>
        <v>45778</v>
      </c>
      <c r="E44" s="151">
        <f>DAY(EOMONTH(RD[[#This Row],[Date]],0))</f>
        <v>31</v>
      </c>
      <c r="F44" s="122">
        <v>0.25486111111111109</v>
      </c>
      <c r="G44" s="122">
        <v>0.75277777777777777</v>
      </c>
      <c r="H44" s="138">
        <v>16102.4</v>
      </c>
      <c r="I44" s="138">
        <v>21594.9</v>
      </c>
      <c r="J44" s="138">
        <v>36989</v>
      </c>
      <c r="K44" s="138">
        <v>36498.6</v>
      </c>
      <c r="L44" s="138">
        <v>37049.1</v>
      </c>
      <c r="M44" s="138">
        <v>7483.9</v>
      </c>
      <c r="N44" s="138">
        <v>29846.7</v>
      </c>
      <c r="O44" s="167"/>
      <c r="P44" s="167"/>
      <c r="Q44" s="58">
        <v>7.12</v>
      </c>
      <c r="R44" s="58">
        <v>7.43</v>
      </c>
      <c r="S44" s="58">
        <v>33.29</v>
      </c>
      <c r="T44" s="58">
        <v>46.34</v>
      </c>
      <c r="U44" s="58">
        <v>30.21</v>
      </c>
      <c r="V44" s="58">
        <v>0</v>
      </c>
      <c r="W44" s="58">
        <v>3.49</v>
      </c>
      <c r="X44" s="58">
        <v>15.01</v>
      </c>
      <c r="Y44" s="60">
        <f>SUM(RD[[#This Row],[IS1Inv1]:[IS3Inv1]])</f>
        <v>148234</v>
      </c>
      <c r="Z44" s="60">
        <f>SUM(RD[[#This Row],[IS4Inv1]:[IS4Inv2]])</f>
        <v>37330.6</v>
      </c>
      <c r="AA44" s="60">
        <f>SUM(RD[[#This Row],[O2RE7]:[O2RE27]])</f>
        <v>185564.6</v>
      </c>
      <c r="AB44" s="153"/>
      <c r="AC44" s="153">
        <v>12272</v>
      </c>
      <c r="AD44" s="153"/>
      <c r="AE44" s="153">
        <v>8088.1</v>
      </c>
      <c r="AF44" s="153">
        <v>12004.75</v>
      </c>
      <c r="AG44" s="153">
        <v>0.04</v>
      </c>
      <c r="AH44" s="153">
        <v>1.44</v>
      </c>
      <c r="AI44" s="154" t="str">
        <f>IF((RD[[#This Row],[33 kV_F1_Ex]]-AB43)*150000&lt;=0,"",(RD[[#This Row],[33 kV_F1_Ex]]-AB43)*150000)</f>
        <v/>
      </c>
      <c r="AJ44" s="154">
        <f>IF((RD[[#This Row],[33kV_OG1_Ex]]-AC43)*1000&lt;=0,0,(RD[[#This Row],[33kV_OG1_Ex]]-AC43)*1000)</f>
        <v>183000</v>
      </c>
      <c r="AK44" s="154">
        <f>IF((RD[[#This Row],[220kV_TL_TVM_Ex]]-AE43)*1600&lt;=0,0,(RD[[#This Row],[220kV_TL_TVM_Ex]]-AE43)*1600)</f>
        <v>182240.00000000087</v>
      </c>
      <c r="AL44" s="154">
        <f>IF((RD[[#This Row],[220kV_C&amp;R_PQM_Ex]]-AF43)*1000&lt;=0,"",(RD[[#This Row],[220kV_C&amp;R_PQM_Ex]]-AF43)*1000)</f>
        <v>182351.00000000058</v>
      </c>
      <c r="AM44" s="154">
        <f>IF((RD[[#This Row],[33kV_Aux1_Im]]-AH43)*1000&lt;0,"",(RD[[#This Row],[33kV_Aux1_Im]]-AH43)*1000)</f>
        <v>10.000000000000009</v>
      </c>
      <c r="AN44" s="154">
        <f>IF((RD[[#This Row],[33kV_Aux1_Im]]-AH43)*1000&lt;0,"",(RD[[#This Row],[33kV_Aux1_Im]]-AH43)*1000)</f>
        <v>10.000000000000009</v>
      </c>
      <c r="AO44" s="61">
        <f>RD[[#This Row],[33kV_OG1_Energy (KWh)]]</f>
        <v>183000</v>
      </c>
      <c r="AP44" s="61">
        <f>IFERROR(RD[[#This Row],[220kV_TL_TVM Energy (KWh)]]-RD[[#This Row],[220kV_C&amp;R_PQM_Imp (KWh)2]],"")</f>
        <v>182230.00000000087</v>
      </c>
      <c r="AQ44" s="63">
        <f>IFERROR(RD[[#This Row],[33 kV Total Export (KWH)]]/RD[[#This Row],[220 KV Net Export (KWh)]]-1,"")</f>
        <v>4.2254294023986727E-3</v>
      </c>
      <c r="AR44" s="64">
        <f>IFERROR((RD[[#This Row],[Sunset Time (POA&lt;20 W/m2)]]-RD[[#This Row],[Sunrise Time (POA&gt;20 W/m2)]])*24,0)</f>
        <v>11.95</v>
      </c>
      <c r="AS44" s="65">
        <f>RD[[#This Row],[33kV_OG1_Energy (KWh)]]</f>
        <v>183000</v>
      </c>
      <c r="AT44" s="65">
        <f>IFERROR(RD[[#This Row],[ Export (33 kV)]]*(1-RD[[#This Row],[33 kV Line Loss (%)]]),RD[[#This Row],[ Export (33 kV)]])</f>
        <v>182226.74641936104</v>
      </c>
      <c r="AU44" s="277">
        <v>39.21</v>
      </c>
      <c r="AV44" s="122"/>
      <c r="AW44" s="122"/>
      <c r="AX44" t="str">
        <f>IFERROR(RD[[#This Row],[E_AC (WPR)]]/RD[[#This Row],[E_DC (WPR)]],"")</f>
        <v/>
      </c>
    </row>
    <row r="45" spans="1:50">
      <c r="A45" s="148">
        <f t="shared" si="47"/>
        <v>45785</v>
      </c>
      <c r="B45" s="151">
        <f>YEAR(RD[[#This Row],[Date]])+IF(MONTH(RD[[#This Row],[Date]])&gt;=4,1,0)</f>
        <v>2026</v>
      </c>
      <c r="C45" s="151">
        <f>YEAR(RD[[#This Row],[Date]])</f>
        <v>2025</v>
      </c>
      <c r="D45" s="152">
        <f t="shared" si="46"/>
        <v>45778</v>
      </c>
      <c r="E45" s="151">
        <f>DAY(EOMONTH(RD[[#This Row],[Date]],0))</f>
        <v>31</v>
      </c>
      <c r="F45" s="122">
        <v>0.25763888888888886</v>
      </c>
      <c r="G45" s="122">
        <v>0.75277777777777777</v>
      </c>
      <c r="H45" s="138">
        <v>19692.099999999999</v>
      </c>
      <c r="I45" s="138">
        <v>22374</v>
      </c>
      <c r="J45" s="138">
        <v>33547</v>
      </c>
      <c r="K45" s="138">
        <v>33179</v>
      </c>
      <c r="L45" s="138">
        <v>34230.300000000003</v>
      </c>
      <c r="M45" s="138">
        <v>2276</v>
      </c>
      <c r="N45" s="138">
        <v>27563</v>
      </c>
      <c r="O45" s="167"/>
      <c r="P45" s="167"/>
      <c r="Q45" s="58">
        <v>6.57</v>
      </c>
      <c r="R45" s="58">
        <v>6.83</v>
      </c>
      <c r="S45" s="58">
        <v>33.46</v>
      </c>
      <c r="T45" s="58">
        <v>46.01</v>
      </c>
      <c r="U45" s="58">
        <v>33.700000000000003</v>
      </c>
      <c r="V45" s="58">
        <v>0</v>
      </c>
      <c r="W45" s="58">
        <v>3.02</v>
      </c>
      <c r="X45" s="58">
        <v>8.76</v>
      </c>
      <c r="Y45" s="60">
        <f>SUM(RD[[#This Row],[IS1Inv1]:[IS3Inv1]])</f>
        <v>143022.40000000002</v>
      </c>
      <c r="Z45" s="60">
        <f>SUM(RD[[#This Row],[IS4Inv1]:[IS4Inv2]])</f>
        <v>29839</v>
      </c>
      <c r="AA45" s="60">
        <f>SUM(RD[[#This Row],[O2RE7]:[O2RE27]])</f>
        <v>172861.40000000002</v>
      </c>
      <c r="AB45" s="153"/>
      <c r="AC45" s="153">
        <v>12443</v>
      </c>
      <c r="AD45" s="153"/>
      <c r="AE45" s="153">
        <v>8194.2000000000007</v>
      </c>
      <c r="AF45" s="153">
        <v>12173.583000000001</v>
      </c>
      <c r="AG45" s="153">
        <v>0.04</v>
      </c>
      <c r="AH45" s="153">
        <v>1.46</v>
      </c>
      <c r="AI45" s="154" t="str">
        <f>IF((RD[[#This Row],[33 kV_F1_Ex]]-AB44)*150000&lt;=0,"",(RD[[#This Row],[33 kV_F1_Ex]]-AB44)*150000)</f>
        <v/>
      </c>
      <c r="AJ45" s="154">
        <f>IF((RD[[#This Row],[33kV_OG1_Ex]]-AC44)*1000&lt;=0,0,(RD[[#This Row],[33kV_OG1_Ex]]-AC44)*1000)</f>
        <v>171000</v>
      </c>
      <c r="AK45" s="154">
        <f>IF((RD[[#This Row],[220kV_TL_TVM_Ex]]-AE44)*1600&lt;=0,0,(RD[[#This Row],[220kV_TL_TVM_Ex]]-AE44)*1600)</f>
        <v>169760.00000000058</v>
      </c>
      <c r="AL45" s="154">
        <f>IF((RD[[#This Row],[220kV_C&amp;R_PQM_Ex]]-AF44)*1000&lt;=0,"",(RD[[#This Row],[220kV_C&amp;R_PQM_Ex]]-AF44)*1000)</f>
        <v>168833.00000000052</v>
      </c>
      <c r="AM45" s="154">
        <f>IF((RD[[#This Row],[33kV_Aux1_Im]]-AH44)*1000&lt;0,"",(RD[[#This Row],[33kV_Aux1_Im]]-AH44)*1000)</f>
        <v>20.000000000000018</v>
      </c>
      <c r="AN45" s="154">
        <f>IF((RD[[#This Row],[33kV_Aux1_Im]]-AH44)*1000&lt;0,"",(RD[[#This Row],[33kV_Aux1_Im]]-AH44)*1000)</f>
        <v>20.000000000000018</v>
      </c>
      <c r="AO45" s="61">
        <f>RD[[#This Row],[33kV_OG1_Energy (KWh)]]</f>
        <v>171000</v>
      </c>
      <c r="AP45" s="61">
        <f>IFERROR(RD[[#This Row],[220kV_TL_TVM Energy (KWh)]]-RD[[#This Row],[220kV_C&amp;R_PQM_Imp (KWh)2]],"")</f>
        <v>169740.00000000058</v>
      </c>
      <c r="AQ45" s="63">
        <f>IFERROR(RD[[#This Row],[33 kV Total Export (KWH)]]/RD[[#This Row],[220 KV Net Export (KWh)]]-1,"")</f>
        <v>7.4231177094346013E-3</v>
      </c>
      <c r="AR45" s="64">
        <f>IFERROR((RD[[#This Row],[Sunset Time (POA&lt;20 W/m2)]]-RD[[#This Row],[Sunrise Time (POA&gt;20 W/m2)]])*24,0)</f>
        <v>11.883333333333333</v>
      </c>
      <c r="AS45" s="65">
        <f>RD[[#This Row],[33kV_OG1_Energy (KWh)]]</f>
        <v>171000</v>
      </c>
      <c r="AT45" s="65">
        <f>IFERROR(RD[[#This Row],[ Export (33 kV)]]*(1-RD[[#This Row],[33 kV Line Loss (%)]]),RD[[#This Row],[ Export (33 kV)]])</f>
        <v>169730.64687168668</v>
      </c>
      <c r="AU45" s="277">
        <v>39.21</v>
      </c>
      <c r="AV45" s="122"/>
      <c r="AW45" s="122"/>
      <c r="AX45" t="str">
        <f>IFERROR(RD[[#This Row],[E_AC (WPR)]]/RD[[#This Row],[E_DC (WPR)]],"")</f>
        <v/>
      </c>
    </row>
    <row r="46" spans="1:50">
      <c r="A46" s="148">
        <f t="shared" si="47"/>
        <v>45786</v>
      </c>
      <c r="B46" s="151">
        <f>YEAR(RD[[#This Row],[Date]])+IF(MONTH(RD[[#This Row],[Date]])&gt;=4,1,0)</f>
        <v>2026</v>
      </c>
      <c r="C46" s="151">
        <f>YEAR(RD[[#This Row],[Date]])</f>
        <v>2025</v>
      </c>
      <c r="D46" s="152">
        <f t="shared" si="46"/>
        <v>45778</v>
      </c>
      <c r="E46" s="151">
        <f>DAY(EOMONTH(RD[[#This Row],[Date]],0))</f>
        <v>31</v>
      </c>
      <c r="F46" s="122">
        <v>0.26597222222222222</v>
      </c>
      <c r="G46" s="122">
        <v>0.76736111111111116</v>
      </c>
      <c r="H46" s="138">
        <v>25317.8</v>
      </c>
      <c r="I46" s="138">
        <v>26237.1</v>
      </c>
      <c r="J46" s="138">
        <v>36189.800000000003</v>
      </c>
      <c r="K46" s="138">
        <v>35948</v>
      </c>
      <c r="L46" s="138">
        <v>35673</v>
      </c>
      <c r="M46" s="138">
        <v>16612.2</v>
      </c>
      <c r="N46" s="138">
        <v>28828.1</v>
      </c>
      <c r="O46" s="167"/>
      <c r="P46" s="167"/>
      <c r="Q46" s="58">
        <v>7.02</v>
      </c>
      <c r="R46" s="58">
        <v>7.28</v>
      </c>
      <c r="S46" s="58">
        <v>35.61</v>
      </c>
      <c r="T46" s="58">
        <v>49.14</v>
      </c>
      <c r="U46" s="58">
        <v>29.75</v>
      </c>
      <c r="V46" s="58">
        <v>0</v>
      </c>
      <c r="W46" s="58">
        <v>2.34</v>
      </c>
      <c r="X46" s="58">
        <v>6.85</v>
      </c>
      <c r="Y46" s="60">
        <f>SUM(RD[[#This Row],[IS1Inv1]:[IS3Inv1]])</f>
        <v>159365.70000000001</v>
      </c>
      <c r="Z46" s="60">
        <f>SUM(RD[[#This Row],[IS4Inv1]:[IS4Inv2]])</f>
        <v>45440.3</v>
      </c>
      <c r="AA46" s="60">
        <f>SUM(RD[[#This Row],[O2RE7]:[O2RE27]])</f>
        <v>204806</v>
      </c>
      <c r="AB46" s="153"/>
      <c r="AC46" s="153">
        <v>12646</v>
      </c>
      <c r="AD46" s="153"/>
      <c r="AE46" s="153">
        <v>8320</v>
      </c>
      <c r="AF46" s="153">
        <v>12374.584999999999</v>
      </c>
      <c r="AG46" s="153">
        <v>0.04</v>
      </c>
      <c r="AH46" s="153">
        <v>1.48</v>
      </c>
      <c r="AI46" s="154" t="str">
        <f>IF((RD[[#This Row],[33 kV_F1_Ex]]-AB45)*150000&lt;=0,"",(RD[[#This Row],[33 kV_F1_Ex]]-AB45)*150000)</f>
        <v/>
      </c>
      <c r="AJ46" s="154">
        <f>IF((RD[[#This Row],[33kV_OG1_Ex]]-AC45)*1000&lt;=0,0,(RD[[#This Row],[33kV_OG1_Ex]]-AC45)*1000)</f>
        <v>203000</v>
      </c>
      <c r="AK46" s="154">
        <f>IF((RD[[#This Row],[220kV_TL_TVM_Ex]]-AE45)*1600&lt;=0,0,(RD[[#This Row],[220kV_TL_TVM_Ex]]-AE45)*1600)</f>
        <v>201279.99999999884</v>
      </c>
      <c r="AL46" s="154">
        <f>IF((RD[[#This Row],[220kV_C&amp;R_PQM_Ex]]-AF45)*1000&lt;=0,"",(RD[[#This Row],[220kV_C&amp;R_PQM_Ex]]-AF45)*1000)</f>
        <v>201001.9999999986</v>
      </c>
      <c r="AM46" s="154">
        <f>IF((RD[[#This Row],[33kV_Aux1_Im]]-AH45)*1000&lt;0,"",(RD[[#This Row],[33kV_Aux1_Im]]-AH45)*1000)</f>
        <v>20.000000000000018</v>
      </c>
      <c r="AN46" s="154">
        <f>IF((RD[[#This Row],[33kV_Aux1_Im]]-AH45)*1000&lt;0,"",(RD[[#This Row],[33kV_Aux1_Im]]-AH45)*1000)</f>
        <v>20.000000000000018</v>
      </c>
      <c r="AO46" s="61">
        <f>RD[[#This Row],[33kV_OG1_Energy (KWh)]]</f>
        <v>203000</v>
      </c>
      <c r="AP46" s="61">
        <f>IFERROR(RD[[#This Row],[220kV_TL_TVM Energy (KWh)]]-RD[[#This Row],[220kV_C&amp;R_PQM_Imp (KWh)2]],"")</f>
        <v>201259.99999999884</v>
      </c>
      <c r="AQ46" s="63">
        <f>IFERROR(RD[[#This Row],[33 kV Total Export (KWH)]]/RD[[#This Row],[220 KV Net Export (KWh)]]-1,"")</f>
        <v>8.6455331412162995E-3</v>
      </c>
      <c r="AR46" s="64">
        <f>IFERROR((RD[[#This Row],[Sunset Time (POA&lt;20 W/m2)]]-RD[[#This Row],[Sunrise Time (POA&gt;20 W/m2)]])*24,0)</f>
        <v>12.033333333333333</v>
      </c>
      <c r="AS46" s="65">
        <f>RD[[#This Row],[33kV_OG1_Energy (KWh)]]</f>
        <v>203000</v>
      </c>
      <c r="AT46" s="65">
        <f>IFERROR(RD[[#This Row],[ Export (33 kV)]]*(1-RD[[#This Row],[33 kV Line Loss (%)]]),RD[[#This Row],[ Export (33 kV)]])</f>
        <v>201244.9567723331</v>
      </c>
      <c r="AU46" s="277">
        <v>39.21</v>
      </c>
      <c r="AV46" s="122"/>
      <c r="AW46" s="122"/>
      <c r="AX46" t="str">
        <f>IFERROR(RD[[#This Row],[E_AC (WPR)]]/RD[[#This Row],[E_DC (WPR)]],"")</f>
        <v/>
      </c>
    </row>
    <row r="47" spans="1:50">
      <c r="A47" s="148">
        <f t="shared" si="47"/>
        <v>45787</v>
      </c>
      <c r="B47" s="151">
        <f>YEAR(RD[[#This Row],[Date]])+IF(MONTH(RD[[#This Row],[Date]])&gt;=4,1,0)</f>
        <v>2026</v>
      </c>
      <c r="C47" s="151">
        <f>YEAR(RD[[#This Row],[Date]])</f>
        <v>2025</v>
      </c>
      <c r="D47" s="152">
        <f t="shared" si="46"/>
        <v>45778</v>
      </c>
      <c r="E47" s="151">
        <f>DAY(EOMONTH(RD[[#This Row],[Date]],0))</f>
        <v>31</v>
      </c>
      <c r="F47" s="122">
        <v>0.25486111111111109</v>
      </c>
      <c r="G47" s="122">
        <v>0.7729166666666667</v>
      </c>
      <c r="H47" s="138">
        <v>22173.599999999999</v>
      </c>
      <c r="I47" s="138">
        <v>22506.9</v>
      </c>
      <c r="J47" s="138">
        <v>31522.3</v>
      </c>
      <c r="K47" s="138">
        <v>30791.9</v>
      </c>
      <c r="L47" s="138">
        <v>31226.1</v>
      </c>
      <c r="M47" s="138">
        <v>12720.5</v>
      </c>
      <c r="N47" s="138">
        <v>25256.799999999999</v>
      </c>
      <c r="O47" s="167"/>
      <c r="P47" s="167"/>
      <c r="Q47" s="58">
        <v>6.01</v>
      </c>
      <c r="R47" s="58">
        <v>6.27</v>
      </c>
      <c r="S47" s="58">
        <v>35.81</v>
      </c>
      <c r="T47" s="58">
        <v>46.41</v>
      </c>
      <c r="U47" s="58">
        <v>34.58</v>
      </c>
      <c r="V47" s="58">
        <v>0</v>
      </c>
      <c r="W47" s="58">
        <v>2.59</v>
      </c>
      <c r="X47" s="58">
        <v>8.49</v>
      </c>
      <c r="Y47" s="60">
        <f>SUM(RD[[#This Row],[IS1Inv1]:[IS3Inv1]])</f>
        <v>138220.80000000002</v>
      </c>
      <c r="Z47" s="60">
        <f>SUM(RD[[#This Row],[IS4Inv1]:[IS4Inv2]])</f>
        <v>37977.300000000003</v>
      </c>
      <c r="AA47" s="60">
        <f>SUM(RD[[#This Row],[O2RE7]:[O2RE27]])</f>
        <v>176198.10000000003</v>
      </c>
      <c r="AB47" s="153"/>
      <c r="AC47" s="153">
        <v>12820</v>
      </c>
      <c r="AD47" s="153"/>
      <c r="AE47" s="153">
        <v>8428.2000000000007</v>
      </c>
      <c r="AF47" s="153">
        <v>12547.379000000001</v>
      </c>
      <c r="AG47" s="153">
        <v>0.04</v>
      </c>
      <c r="AH47" s="153">
        <v>1.5</v>
      </c>
      <c r="AI47" s="154" t="str">
        <f>IF((RD[[#This Row],[33 kV_F1_Ex]]-AB46)*150000&lt;=0,"",(RD[[#This Row],[33 kV_F1_Ex]]-AB46)*150000)</f>
        <v/>
      </c>
      <c r="AJ47" s="154">
        <f>IF((RD[[#This Row],[33kV_OG1_Ex]]-AC46)*1000&lt;=0,0,(RD[[#This Row],[33kV_OG1_Ex]]-AC46)*1000)</f>
        <v>174000</v>
      </c>
      <c r="AK47" s="154">
        <f>IF((RD[[#This Row],[220kV_TL_TVM_Ex]]-AE46)*1600&lt;=0,0,(RD[[#This Row],[220kV_TL_TVM_Ex]]-AE46)*1600)</f>
        <v>173120.00000000116</v>
      </c>
      <c r="AL47" s="154">
        <f>IF((RD[[#This Row],[220kV_C&amp;R_PQM_Ex]]-AF46)*1000&lt;=0,"",(RD[[#This Row],[220kV_C&amp;R_PQM_Ex]]-AF46)*1000)</f>
        <v>172794.00000000169</v>
      </c>
      <c r="AM47" s="154">
        <f>IF((RD[[#This Row],[33kV_Aux1_Im]]-AH46)*1000&lt;0,"",(RD[[#This Row],[33kV_Aux1_Im]]-AH46)*1000)</f>
        <v>20.000000000000018</v>
      </c>
      <c r="AN47" s="154">
        <f>IF((RD[[#This Row],[33kV_Aux1_Im]]-AH46)*1000&lt;0,"",(RD[[#This Row],[33kV_Aux1_Im]]-AH46)*1000)</f>
        <v>20.000000000000018</v>
      </c>
      <c r="AO47" s="61">
        <f>RD[[#This Row],[33kV_OG1_Energy (KWh)]]</f>
        <v>174000</v>
      </c>
      <c r="AP47" s="61">
        <f>IFERROR(RD[[#This Row],[220kV_TL_TVM Energy (KWh)]]-RD[[#This Row],[220kV_C&amp;R_PQM_Imp (KWh)2]],"")</f>
        <v>173100.00000000116</v>
      </c>
      <c r="AQ47" s="63">
        <f>IFERROR(RD[[#This Row],[33 kV Total Export (KWH)]]/RD[[#This Row],[220 KV Net Export (KWh)]]-1,"")</f>
        <v>5.1993067590920816E-3</v>
      </c>
      <c r="AR47" s="64">
        <f>IFERROR((RD[[#This Row],[Sunset Time (POA&lt;20 W/m2)]]-RD[[#This Row],[Sunrise Time (POA&gt;20 W/m2)]])*24,0)</f>
        <v>12.433333333333334</v>
      </c>
      <c r="AS47" s="65">
        <f>RD[[#This Row],[33kV_OG1_Energy (KWh)]]</f>
        <v>174000</v>
      </c>
      <c r="AT47" s="65">
        <f>IFERROR(RD[[#This Row],[ Export (33 kV)]]*(1-RD[[#This Row],[33 kV Line Loss (%)]]),RD[[#This Row],[ Export (33 kV)]])</f>
        <v>173095.32062391797</v>
      </c>
      <c r="AU47" s="277">
        <v>39.21</v>
      </c>
      <c r="AV47" s="122"/>
      <c r="AW47" s="122"/>
      <c r="AX47" t="str">
        <f>IFERROR(RD[[#This Row],[E_AC (WPR)]]/RD[[#This Row],[E_DC (WPR)]],"")</f>
        <v/>
      </c>
    </row>
    <row r="48" spans="1:50">
      <c r="A48" s="148">
        <f t="shared" si="47"/>
        <v>45788</v>
      </c>
      <c r="B48" s="151">
        <f>YEAR(RD[[#This Row],[Date]])+IF(MONTH(RD[[#This Row],[Date]])&gt;=4,1,0)</f>
        <v>2026</v>
      </c>
      <c r="C48" s="151">
        <f>YEAR(RD[[#This Row],[Date]])</f>
        <v>2025</v>
      </c>
      <c r="D48" s="152">
        <f t="shared" si="46"/>
        <v>45778</v>
      </c>
      <c r="E48" s="151">
        <f>DAY(EOMONTH(RD[[#This Row],[Date]],0))</f>
        <v>31</v>
      </c>
      <c r="F48" s="122">
        <v>0.26180555555555557</v>
      </c>
      <c r="G48" s="122">
        <v>0.76041666666666663</v>
      </c>
      <c r="H48" s="138">
        <v>24551.4</v>
      </c>
      <c r="I48" s="138">
        <v>24981.4</v>
      </c>
      <c r="J48" s="138">
        <v>34045.1</v>
      </c>
      <c r="K48" s="138">
        <v>35166.699999999997</v>
      </c>
      <c r="L48" s="138">
        <v>34677.599999999999</v>
      </c>
      <c r="M48" s="138">
        <v>13979.4</v>
      </c>
      <c r="N48" s="138">
        <v>27464.7</v>
      </c>
      <c r="O48" s="167"/>
      <c r="P48" s="167"/>
      <c r="Q48" s="58">
        <v>6.45</v>
      </c>
      <c r="R48" s="58">
        <v>6.7</v>
      </c>
      <c r="S48" s="58">
        <v>35.93</v>
      </c>
      <c r="T48" s="58">
        <v>47.43</v>
      </c>
      <c r="U48" s="58">
        <v>36.04</v>
      </c>
      <c r="V48" s="58">
        <v>0</v>
      </c>
      <c r="W48" s="58">
        <v>2.2999999999999998</v>
      </c>
      <c r="X48" s="58">
        <v>6.74</v>
      </c>
      <c r="Y48" s="60">
        <f>SUM(RD[[#This Row],[IS1Inv1]:[IS3Inv1]])</f>
        <v>153422.19999999998</v>
      </c>
      <c r="Z48" s="60">
        <f>SUM(RD[[#This Row],[IS4Inv1]:[IS4Inv2]])</f>
        <v>41444.1</v>
      </c>
      <c r="AA48" s="60">
        <f>SUM(RD[[#This Row],[O2RE7]:[O2RE27]])</f>
        <v>194866.3</v>
      </c>
      <c r="AB48" s="153"/>
      <c r="AC48" s="153">
        <v>13013</v>
      </c>
      <c r="AD48" s="153"/>
      <c r="AE48" s="153">
        <v>8547.9</v>
      </c>
      <c r="AF48" s="153">
        <v>12738.581</v>
      </c>
      <c r="AG48" s="153">
        <v>0.04</v>
      </c>
      <c r="AH48" s="153">
        <v>1.52</v>
      </c>
      <c r="AI48" s="154" t="str">
        <f>IF((RD[[#This Row],[33 kV_F1_Ex]]-AB47)*150000&lt;=0,"",(RD[[#This Row],[33 kV_F1_Ex]]-AB47)*150000)</f>
        <v/>
      </c>
      <c r="AJ48" s="154">
        <f>IF((RD[[#This Row],[33kV_OG1_Ex]]-AC47)*1000&lt;=0,0,(RD[[#This Row],[33kV_OG1_Ex]]-AC47)*1000)</f>
        <v>193000</v>
      </c>
      <c r="AK48" s="154">
        <f>IF((RD[[#This Row],[220kV_TL_TVM_Ex]]-AE47)*1600&lt;=0,0,(RD[[#This Row],[220kV_TL_TVM_Ex]]-AE47)*1600)</f>
        <v>191519.99999999825</v>
      </c>
      <c r="AL48" s="154">
        <f>IF((RD[[#This Row],[220kV_C&amp;R_PQM_Ex]]-AF47)*1000&lt;=0,"",(RD[[#This Row],[220kV_C&amp;R_PQM_Ex]]-AF47)*1000)</f>
        <v>191201.9999999993</v>
      </c>
      <c r="AM48" s="154">
        <f>IF((RD[[#This Row],[33kV_Aux1_Im]]-AH47)*1000&lt;0,"",(RD[[#This Row],[33kV_Aux1_Im]]-AH47)*1000)</f>
        <v>20.000000000000018</v>
      </c>
      <c r="AN48" s="154">
        <f>IF((RD[[#This Row],[33kV_Aux1_Im]]-AH47)*1000&lt;0,"",(RD[[#This Row],[33kV_Aux1_Im]]-AH47)*1000)</f>
        <v>20.000000000000018</v>
      </c>
      <c r="AO48" s="61">
        <f>RD[[#This Row],[33kV_OG1_Energy (KWh)]]</f>
        <v>193000</v>
      </c>
      <c r="AP48" s="61">
        <f>IFERROR(RD[[#This Row],[220kV_TL_TVM Energy (KWh)]]-RD[[#This Row],[220kV_C&amp;R_PQM_Imp (KWh)2]],"")</f>
        <v>191499.99999999825</v>
      </c>
      <c r="AQ48" s="63">
        <f>IFERROR(RD[[#This Row],[33 kV Total Export (KWH)]]/RD[[#This Row],[220 KV Net Export (KWh)]]-1,"")</f>
        <v>7.8328981723330138E-3</v>
      </c>
      <c r="AR48" s="64">
        <f>IFERROR((RD[[#This Row],[Sunset Time (POA&lt;20 W/m2)]]-RD[[#This Row],[Sunrise Time (POA&gt;20 W/m2)]])*24,0)</f>
        <v>11.966666666666665</v>
      </c>
      <c r="AS48" s="65">
        <f>RD[[#This Row],[33kV_OG1_Energy (KWh)]]</f>
        <v>193000</v>
      </c>
      <c r="AT48" s="65">
        <f>IFERROR(RD[[#This Row],[ Export (33 kV)]]*(1-RD[[#This Row],[33 kV Line Loss (%)]]),RD[[#This Row],[ Export (33 kV)]])</f>
        <v>191488.25065273972</v>
      </c>
      <c r="AU48" s="277">
        <v>39.21</v>
      </c>
      <c r="AV48" s="122"/>
      <c r="AW48" s="122"/>
      <c r="AX48" t="str">
        <f>IFERROR(RD[[#This Row],[E_AC (WPR)]]/RD[[#This Row],[E_DC (WPR)]],"")</f>
        <v/>
      </c>
    </row>
    <row r="49" spans="1:50">
      <c r="A49" s="148">
        <f t="shared" si="47"/>
        <v>45789</v>
      </c>
      <c r="B49" s="151">
        <f>YEAR(RD[[#This Row],[Date]])+IF(MONTH(RD[[#This Row],[Date]])&gt;=4,1,0)</f>
        <v>2026</v>
      </c>
      <c r="C49" s="151">
        <f>YEAR(RD[[#This Row],[Date]])</f>
        <v>2025</v>
      </c>
      <c r="D49" s="152">
        <f t="shared" si="46"/>
        <v>45778</v>
      </c>
      <c r="E49" s="151">
        <f>DAY(EOMONTH(RD[[#This Row],[Date]],0))</f>
        <v>31</v>
      </c>
      <c r="F49" s="122">
        <v>0.26041666666666669</v>
      </c>
      <c r="G49" s="122">
        <v>0.74027777777777781</v>
      </c>
      <c r="H49" s="138">
        <v>11076.1</v>
      </c>
      <c r="I49" s="138">
        <v>11228.3</v>
      </c>
      <c r="J49" s="138">
        <v>15665.3</v>
      </c>
      <c r="K49" s="138">
        <v>15949.4</v>
      </c>
      <c r="L49" s="138">
        <v>16018.1</v>
      </c>
      <c r="M49" s="138">
        <v>6168.1</v>
      </c>
      <c r="N49" s="138">
        <v>12243.7</v>
      </c>
      <c r="O49" s="167"/>
      <c r="P49" s="167"/>
      <c r="Q49" s="58">
        <v>2.62</v>
      </c>
      <c r="R49" s="58">
        <v>2.67</v>
      </c>
      <c r="S49" s="58">
        <v>30.36</v>
      </c>
      <c r="T49" s="58">
        <v>34.92</v>
      </c>
      <c r="U49" s="58">
        <v>63.8</v>
      </c>
      <c r="V49" s="58">
        <v>0</v>
      </c>
      <c r="W49" s="58">
        <v>1.9</v>
      </c>
      <c r="X49" s="58">
        <v>5.8</v>
      </c>
      <c r="Y49" s="60">
        <f>SUM(RD[[#This Row],[IS1Inv1]:[IS3Inv1]])</f>
        <v>69937.2</v>
      </c>
      <c r="Z49" s="60">
        <f>SUM(RD[[#This Row],[IS4Inv1]:[IS4Inv2]])</f>
        <v>18411.800000000003</v>
      </c>
      <c r="AA49" s="60">
        <f>SUM(RD[[#This Row],[O2RE7]:[O2RE27]])</f>
        <v>88349</v>
      </c>
      <c r="AB49" s="153"/>
      <c r="AC49" s="153">
        <v>13100</v>
      </c>
      <c r="AD49" s="153"/>
      <c r="AE49" s="153">
        <v>8602</v>
      </c>
      <c r="AF49" s="153">
        <v>12824.814</v>
      </c>
      <c r="AG49" s="153">
        <v>0.04</v>
      </c>
      <c r="AH49" s="153">
        <v>1.53</v>
      </c>
      <c r="AI49" s="154" t="str">
        <f>IF((RD[[#This Row],[33 kV_F1_Ex]]-AB48)*150000&lt;=0,"",(RD[[#This Row],[33 kV_F1_Ex]]-AB48)*150000)</f>
        <v/>
      </c>
      <c r="AJ49" s="154">
        <f>IF((RD[[#This Row],[33kV_OG1_Ex]]-AC48)*1000&lt;=0,0,(RD[[#This Row],[33kV_OG1_Ex]]-AC48)*1000)</f>
        <v>87000</v>
      </c>
      <c r="AK49" s="154">
        <f>IF((RD[[#This Row],[220kV_TL_TVM_Ex]]-AE48)*1600&lt;=0,0,(RD[[#This Row],[220kV_TL_TVM_Ex]]-AE48)*1600)</f>
        <v>86560.000000000582</v>
      </c>
      <c r="AL49" s="154">
        <f>IF((RD[[#This Row],[220kV_C&amp;R_PQM_Ex]]-AF48)*1000&lt;=0,"",(RD[[#This Row],[220kV_C&amp;R_PQM_Ex]]-AF48)*1000)</f>
        <v>86233.000000000175</v>
      </c>
      <c r="AM49" s="154">
        <f>IF((RD[[#This Row],[33kV_Aux1_Im]]-AH48)*1000&lt;0,"",(RD[[#This Row],[33kV_Aux1_Im]]-AH48)*1000)</f>
        <v>10.000000000000009</v>
      </c>
      <c r="AN49" s="154">
        <f>IF((RD[[#This Row],[33kV_Aux1_Im]]-AH48)*1000&lt;0,"",(RD[[#This Row],[33kV_Aux1_Im]]-AH48)*1000)</f>
        <v>10.000000000000009</v>
      </c>
      <c r="AO49" s="61">
        <f>RD[[#This Row],[33kV_OG1_Energy (KWh)]]</f>
        <v>87000</v>
      </c>
      <c r="AP49" s="61">
        <f>IFERROR(RD[[#This Row],[220kV_TL_TVM Energy (KWh)]]-RD[[#This Row],[220kV_C&amp;R_PQM_Imp (KWh)2]],"")</f>
        <v>86550.000000000582</v>
      </c>
      <c r="AQ49" s="63">
        <f>IFERROR(RD[[#This Row],[33 kV Total Export (KWH)]]/RD[[#This Row],[220 KV Net Export (KWh)]]-1,"")</f>
        <v>5.1993067590920816E-3</v>
      </c>
      <c r="AR49" s="64">
        <f>IFERROR((RD[[#This Row],[Sunset Time (POA&lt;20 W/m2)]]-RD[[#This Row],[Sunrise Time (POA&gt;20 W/m2)]])*24,0)</f>
        <v>11.516666666666667</v>
      </c>
      <c r="AS49" s="65">
        <f>RD[[#This Row],[33kV_OG1_Energy (KWh)]]</f>
        <v>87000</v>
      </c>
      <c r="AT49" s="65">
        <f>IFERROR(RD[[#This Row],[ Export (33 kV)]]*(1-RD[[#This Row],[33 kV Line Loss (%)]]),RD[[#This Row],[ Export (33 kV)]])</f>
        <v>86547.660311958985</v>
      </c>
      <c r="AU49" s="277">
        <v>39.21</v>
      </c>
      <c r="AV49" s="122"/>
      <c r="AW49" s="122"/>
      <c r="AX49" t="str">
        <f>IFERROR(RD[[#This Row],[E_AC (WPR)]]/RD[[#This Row],[E_DC (WPR)]],"")</f>
        <v/>
      </c>
    </row>
    <row r="50" spans="1:50">
      <c r="A50" s="148">
        <f t="shared" si="47"/>
        <v>45790</v>
      </c>
      <c r="B50" s="151">
        <f>YEAR(RD[[#This Row],[Date]])+IF(MONTH(RD[[#This Row],[Date]])&gt;=4,1,0)</f>
        <v>2026</v>
      </c>
      <c r="C50" s="151">
        <f>YEAR(RD[[#This Row],[Date]])</f>
        <v>2025</v>
      </c>
      <c r="D50" s="152">
        <f t="shared" si="46"/>
        <v>45778</v>
      </c>
      <c r="E50" s="151">
        <f>DAY(EOMONTH(RD[[#This Row],[Date]],0))</f>
        <v>31</v>
      </c>
      <c r="F50" s="122">
        <v>0.2951388888888889</v>
      </c>
      <c r="G50" s="122">
        <v>0.76944444444444449</v>
      </c>
      <c r="H50" s="138">
        <v>18729.3</v>
      </c>
      <c r="I50" s="138">
        <v>18736.7</v>
      </c>
      <c r="J50" s="138">
        <v>25635.7</v>
      </c>
      <c r="K50" s="138">
        <v>25850.1</v>
      </c>
      <c r="L50" s="138">
        <v>25852.400000000001</v>
      </c>
      <c r="M50" s="138">
        <v>10154</v>
      </c>
      <c r="N50" s="138">
        <v>20330.400000000001</v>
      </c>
      <c r="O50" s="167"/>
      <c r="P50" s="167"/>
      <c r="Q50" s="58">
        <v>3.18</v>
      </c>
      <c r="R50" s="58">
        <v>3.23</v>
      </c>
      <c r="S50" s="58">
        <v>28.47</v>
      </c>
      <c r="T50" s="58">
        <v>34.35</v>
      </c>
      <c r="U50" s="58">
        <v>39.83</v>
      </c>
      <c r="V50" s="58">
        <v>0</v>
      </c>
      <c r="W50" s="58">
        <v>2.59</v>
      </c>
      <c r="X50" s="58">
        <v>6.84</v>
      </c>
      <c r="Y50" s="60">
        <f>SUM(RD[[#This Row],[IS1Inv1]:[IS3Inv1]])</f>
        <v>114804.19999999998</v>
      </c>
      <c r="Z50" s="60">
        <f>SUM(RD[[#This Row],[IS4Inv1]:[IS4Inv2]])</f>
        <v>30484.400000000001</v>
      </c>
      <c r="AA50" s="60">
        <f>SUM(RD[[#This Row],[O2RE7]:[O2RE27]])</f>
        <v>145288.59999999998</v>
      </c>
      <c r="AB50" s="153"/>
      <c r="AC50" s="153">
        <v>13244</v>
      </c>
      <c r="AD50" s="153"/>
      <c r="AE50" s="153">
        <v>8691</v>
      </c>
      <c r="AF50" s="153">
        <v>12967.317999999999</v>
      </c>
      <c r="AG50" s="153">
        <v>0.04</v>
      </c>
      <c r="AH50" s="153">
        <v>1.55</v>
      </c>
      <c r="AI50" s="154" t="str">
        <f>IF((RD[[#This Row],[33 kV_F1_Ex]]-AB49)*150000&lt;=0,"",(RD[[#This Row],[33 kV_F1_Ex]]-AB49)*150000)</f>
        <v/>
      </c>
      <c r="AJ50" s="154">
        <f>IF((RD[[#This Row],[33kV_OG1_Ex]]-AC49)*1000&lt;=0,0,(RD[[#This Row],[33kV_OG1_Ex]]-AC49)*1000)</f>
        <v>144000</v>
      </c>
      <c r="AK50" s="154">
        <f>IF((RD[[#This Row],[220kV_TL_TVM_Ex]]-AE49)*1600&lt;=0,0,(RD[[#This Row],[220kV_TL_TVM_Ex]]-AE49)*1600)</f>
        <v>142400</v>
      </c>
      <c r="AL50" s="154">
        <f>IF((RD[[#This Row],[220kV_C&amp;R_PQM_Ex]]-AF49)*1000&lt;=0,"",(RD[[#This Row],[220kV_C&amp;R_PQM_Ex]]-AF49)*1000)</f>
        <v>142503.99999999901</v>
      </c>
      <c r="AM50" s="154">
        <f>IF((RD[[#This Row],[33kV_Aux1_Im]]-AH49)*1000&lt;0,"",(RD[[#This Row],[33kV_Aux1_Im]]-AH49)*1000)</f>
        <v>20.000000000000018</v>
      </c>
      <c r="AN50" s="154">
        <f>IF((RD[[#This Row],[33kV_Aux1_Im]]-AH49)*1000&lt;0,"",(RD[[#This Row],[33kV_Aux1_Im]]-AH49)*1000)</f>
        <v>20.000000000000018</v>
      </c>
      <c r="AO50" s="61">
        <f>RD[[#This Row],[33kV_OG1_Energy (KWh)]]</f>
        <v>144000</v>
      </c>
      <c r="AP50" s="61">
        <f>IFERROR(RD[[#This Row],[220kV_TL_TVM Energy (KWh)]]-RD[[#This Row],[220kV_C&amp;R_PQM_Imp (KWh)2]],"")</f>
        <v>142380</v>
      </c>
      <c r="AQ50" s="63">
        <f>IFERROR(RD[[#This Row],[33 kV Total Export (KWH)]]/RD[[#This Row],[220 KV Net Export (KWh)]]-1,"")</f>
        <v>1.1378002528444897E-2</v>
      </c>
      <c r="AR50" s="64">
        <f>IFERROR((RD[[#This Row],[Sunset Time (POA&lt;20 W/m2)]]-RD[[#This Row],[Sunrise Time (POA&gt;20 W/m2)]])*24,0)</f>
        <v>11.383333333333335</v>
      </c>
      <c r="AS50" s="65">
        <f>RD[[#This Row],[33kV_OG1_Energy (KWh)]]</f>
        <v>144000</v>
      </c>
      <c r="AT50" s="65">
        <f>IFERROR(RD[[#This Row],[ Export (33 kV)]]*(1-RD[[#This Row],[33 kV Line Loss (%)]]),RD[[#This Row],[ Export (33 kV)]])</f>
        <v>142361.56763590392</v>
      </c>
      <c r="AU50" s="277">
        <v>39.21</v>
      </c>
      <c r="AV50" s="122"/>
      <c r="AW50" s="122"/>
      <c r="AX50" t="str">
        <f>IFERROR(RD[[#This Row],[E_AC (WPR)]]/RD[[#This Row],[E_DC (WPR)]],"")</f>
        <v/>
      </c>
    </row>
    <row r="51" spans="1:50">
      <c r="A51" s="148">
        <f t="shared" si="47"/>
        <v>45791</v>
      </c>
      <c r="B51" s="151">
        <f>YEAR(RD[[#This Row],[Date]])+IF(MONTH(RD[[#This Row],[Date]])&gt;=4,1,0)</f>
        <v>2026</v>
      </c>
      <c r="C51" s="151">
        <f>YEAR(RD[[#This Row],[Date]])</f>
        <v>2025</v>
      </c>
      <c r="D51" s="152">
        <f t="shared" si="46"/>
        <v>45778</v>
      </c>
      <c r="E51" s="151">
        <f>DAY(EOMONTH(RD[[#This Row],[Date]],0))</f>
        <v>31</v>
      </c>
      <c r="F51" s="122">
        <v>0.25416666666666665</v>
      </c>
      <c r="G51" s="122">
        <v>0.76458333333333328</v>
      </c>
      <c r="H51" s="138">
        <v>16720</v>
      </c>
      <c r="I51" s="138">
        <v>16929</v>
      </c>
      <c r="J51" s="138">
        <v>23244.2</v>
      </c>
      <c r="K51" s="138">
        <v>23814.400000000001</v>
      </c>
      <c r="L51" s="138">
        <v>24052.9</v>
      </c>
      <c r="M51" s="138">
        <v>0</v>
      </c>
      <c r="N51" s="138">
        <v>18182.2</v>
      </c>
      <c r="O51" s="167"/>
      <c r="P51" s="167"/>
      <c r="Q51" s="58">
        <v>4.1500000000000004</v>
      </c>
      <c r="R51" s="58">
        <v>4.3099999999999996</v>
      </c>
      <c r="S51" s="58">
        <v>33.94</v>
      </c>
      <c r="T51" s="58">
        <v>41.83</v>
      </c>
      <c r="U51" s="58">
        <v>46.98</v>
      </c>
      <c r="V51" s="58">
        <v>0</v>
      </c>
      <c r="W51" s="58">
        <v>2.2599999999999998</v>
      </c>
      <c r="X51" s="58">
        <v>6.66</v>
      </c>
      <c r="Y51" s="60">
        <f>SUM(RD[[#This Row],[IS1Inv1]:[IS3Inv1]])</f>
        <v>104760.5</v>
      </c>
      <c r="Z51" s="60">
        <f>SUM(RD[[#This Row],[IS4Inv1]:[IS4Inv2]])</f>
        <v>18182.2</v>
      </c>
      <c r="AA51" s="60">
        <f>SUM(RD[[#This Row],[O2RE7]:[O2RE27]])</f>
        <v>122942.7</v>
      </c>
      <c r="AB51" s="153"/>
      <c r="AC51" s="153">
        <v>13366</v>
      </c>
      <c r="AD51" s="153"/>
      <c r="AE51" s="153">
        <v>8766.7000000000007</v>
      </c>
      <c r="AF51" s="153">
        <v>13087.72</v>
      </c>
      <c r="AG51" s="153">
        <v>0.04</v>
      </c>
      <c r="AH51" s="153">
        <v>1.57</v>
      </c>
      <c r="AI51" s="154" t="str">
        <f>IF((RD[[#This Row],[33 kV_F1_Ex]]-AB50)*150000&lt;=0,"",(RD[[#This Row],[33 kV_F1_Ex]]-AB50)*150000)</f>
        <v/>
      </c>
      <c r="AJ51" s="154">
        <f>IF((RD[[#This Row],[33kV_OG1_Ex]]-AC50)*1000&lt;=0,0,(RD[[#This Row],[33kV_OG1_Ex]]-AC50)*1000)</f>
        <v>122000</v>
      </c>
      <c r="AK51" s="154">
        <f>IF((RD[[#This Row],[220kV_TL_TVM_Ex]]-AE50)*1600&lt;=0,0,(RD[[#This Row],[220kV_TL_TVM_Ex]]-AE50)*1600)</f>
        <v>121120.00000000116</v>
      </c>
      <c r="AL51" s="154">
        <f>IF((RD[[#This Row],[220kV_C&amp;R_PQM_Ex]]-AF50)*1000&lt;=0,"",(RD[[#This Row],[220kV_C&amp;R_PQM_Ex]]-AF50)*1000)</f>
        <v>120402.00000000004</v>
      </c>
      <c r="AM51" s="154">
        <f>IF((RD[[#This Row],[33kV_Aux1_Im]]-AH50)*1000&lt;0,"",(RD[[#This Row],[33kV_Aux1_Im]]-AH50)*1000)</f>
        <v>20.000000000000018</v>
      </c>
      <c r="AN51" s="154">
        <f>IF((RD[[#This Row],[33kV_Aux1_Im]]-AH50)*1000&lt;0,"",(RD[[#This Row],[33kV_Aux1_Im]]-AH50)*1000)</f>
        <v>20.000000000000018</v>
      </c>
      <c r="AO51" s="61">
        <f>RD[[#This Row],[33kV_OG1_Energy (KWh)]]</f>
        <v>122000</v>
      </c>
      <c r="AP51" s="61">
        <f>IFERROR(RD[[#This Row],[220kV_TL_TVM Energy (KWh)]]-RD[[#This Row],[220kV_C&amp;R_PQM_Imp (KWh)2]],"")</f>
        <v>121100.00000000116</v>
      </c>
      <c r="AQ51" s="63">
        <f>IFERROR(RD[[#This Row],[33 kV Total Export (KWH)]]/RD[[#This Row],[220 KV Net Export (KWh)]]-1,"")</f>
        <v>7.4318744838879347E-3</v>
      </c>
      <c r="AR51" s="64">
        <f>IFERROR((RD[[#This Row],[Sunset Time (POA&lt;20 W/m2)]]-RD[[#This Row],[Sunrise Time (POA&gt;20 W/m2)]])*24,0)</f>
        <v>12.25</v>
      </c>
      <c r="AS51" s="65">
        <f>RD[[#This Row],[33kV_OG1_Energy (KWh)]]</f>
        <v>122000</v>
      </c>
      <c r="AT51" s="65">
        <f>IFERROR(RD[[#This Row],[ Export (33 kV)]]*(1-RD[[#This Row],[33 kV Line Loss (%)]]),RD[[#This Row],[ Export (33 kV)]])</f>
        <v>121093.31131296567</v>
      </c>
      <c r="AU51" s="277">
        <v>39.21</v>
      </c>
      <c r="AV51" s="122"/>
      <c r="AW51" s="122"/>
      <c r="AX51" t="str">
        <f>IFERROR(RD[[#This Row],[E_AC (WPR)]]/RD[[#This Row],[E_DC (WPR)]],"")</f>
        <v/>
      </c>
    </row>
    <row r="52" spans="1:50">
      <c r="A52" s="148">
        <f t="shared" si="47"/>
        <v>45792</v>
      </c>
      <c r="B52" s="151">
        <f>YEAR(RD[[#This Row],[Date]])+IF(MONTH(RD[[#This Row],[Date]])&gt;=4,1,0)</f>
        <v>2026</v>
      </c>
      <c r="C52" s="151">
        <f>YEAR(RD[[#This Row],[Date]])</f>
        <v>2025</v>
      </c>
      <c r="D52" s="152">
        <f t="shared" si="46"/>
        <v>45778</v>
      </c>
      <c r="E52" s="151">
        <f>DAY(EOMONTH(RD[[#This Row],[Date]],0))</f>
        <v>31</v>
      </c>
      <c r="F52" s="122">
        <v>0.25555555555555554</v>
      </c>
      <c r="G52" s="122">
        <v>0.76944444444444449</v>
      </c>
      <c r="H52" s="138">
        <v>19114.8</v>
      </c>
      <c r="I52" s="138">
        <v>19206.5</v>
      </c>
      <c r="J52" s="138">
        <v>26275.200000000001</v>
      </c>
      <c r="K52" s="138">
        <v>26685.1</v>
      </c>
      <c r="L52" s="138">
        <v>26939.599999999999</v>
      </c>
      <c r="M52" s="138">
        <v>12234.9</v>
      </c>
      <c r="N52" s="138">
        <v>20197</v>
      </c>
      <c r="O52" s="167"/>
      <c r="P52" s="167"/>
      <c r="Q52" s="58">
        <v>4.7699999999999996</v>
      </c>
      <c r="R52" s="58">
        <v>4.91</v>
      </c>
      <c r="S52" s="58">
        <v>33.31</v>
      </c>
      <c r="T52" s="58">
        <v>41.68</v>
      </c>
      <c r="U52" s="58">
        <v>47.67</v>
      </c>
      <c r="V52" s="58">
        <v>0</v>
      </c>
      <c r="W52" s="58">
        <v>2.82</v>
      </c>
      <c r="X52" s="58">
        <v>10.69</v>
      </c>
      <c r="Y52" s="60">
        <f>SUM(RD[[#This Row],[IS1Inv1]:[IS3Inv1]])</f>
        <v>118221.20000000001</v>
      </c>
      <c r="Z52" s="60">
        <f>SUM(RD[[#This Row],[IS4Inv1]:[IS4Inv2]])</f>
        <v>32431.9</v>
      </c>
      <c r="AA52" s="60">
        <f>SUM(RD[[#This Row],[O2RE7]:[O2RE27]])</f>
        <v>150653.1</v>
      </c>
      <c r="AB52" s="153"/>
      <c r="AC52" s="153">
        <v>13516</v>
      </c>
      <c r="AD52" s="153"/>
      <c r="AE52" s="153">
        <v>8859.5</v>
      </c>
      <c r="AF52" s="153">
        <v>13235.611999999999</v>
      </c>
      <c r="AG52" s="153">
        <v>0.04</v>
      </c>
      <c r="AH52" s="153">
        <v>1.58</v>
      </c>
      <c r="AI52" s="154" t="str">
        <f>IF((RD[[#This Row],[33 kV_F1_Ex]]-AB51)*150000&lt;=0,"",(RD[[#This Row],[33 kV_F1_Ex]]-AB51)*150000)</f>
        <v/>
      </c>
      <c r="AJ52" s="154">
        <f>IF((RD[[#This Row],[33kV_OG1_Ex]]-AC51)*1000&lt;=0,0,(RD[[#This Row],[33kV_OG1_Ex]]-AC51)*1000)</f>
        <v>150000</v>
      </c>
      <c r="AK52" s="154">
        <f>IF((RD[[#This Row],[220kV_TL_TVM_Ex]]-AE51)*1600&lt;=0,0,(RD[[#This Row],[220kV_TL_TVM_Ex]]-AE51)*1600)</f>
        <v>148479.99999999884</v>
      </c>
      <c r="AL52" s="154">
        <f>IF((RD[[#This Row],[220kV_C&amp;R_PQM_Ex]]-AF51)*1000&lt;=0,"",(RD[[#This Row],[220kV_C&amp;R_PQM_Ex]]-AF51)*1000)</f>
        <v>147891.99999999983</v>
      </c>
      <c r="AM52" s="154">
        <f>IF((RD[[#This Row],[33kV_Aux1_Im]]-AH51)*1000&lt;0,"",(RD[[#This Row],[33kV_Aux1_Im]]-AH51)*1000)</f>
        <v>10.000000000000009</v>
      </c>
      <c r="AN52" s="154">
        <f>IF((RD[[#This Row],[33kV_Aux1_Im]]-AH51)*1000&lt;0,"",(RD[[#This Row],[33kV_Aux1_Im]]-AH51)*1000)</f>
        <v>10.000000000000009</v>
      </c>
      <c r="AO52" s="61">
        <f>RD[[#This Row],[33kV_OG1_Energy (KWh)]]</f>
        <v>150000</v>
      </c>
      <c r="AP52" s="61">
        <f>IFERROR(RD[[#This Row],[220kV_TL_TVM Energy (KWh)]]-RD[[#This Row],[220kV_C&amp;R_PQM_Imp (KWh)2]],"")</f>
        <v>148469.99999999884</v>
      </c>
      <c r="AQ52" s="63">
        <f>IFERROR(RD[[#This Row],[33 kV Total Export (KWH)]]/RD[[#This Row],[220 KV Net Export (KWh)]]-1,"")</f>
        <v>1.0305112143875306E-2</v>
      </c>
      <c r="AR52" s="64">
        <f>IFERROR((RD[[#This Row],[Sunset Time (POA&lt;20 W/m2)]]-RD[[#This Row],[Sunrise Time (POA&gt;20 W/m2)]])*24,0)</f>
        <v>12.333333333333336</v>
      </c>
      <c r="AS52" s="65">
        <f>RD[[#This Row],[33kV_OG1_Energy (KWh)]]</f>
        <v>150000</v>
      </c>
      <c r="AT52" s="65">
        <f>IFERROR(RD[[#This Row],[ Export (33 kV)]]*(1-RD[[#This Row],[33 kV Line Loss (%)]]),RD[[#This Row],[ Export (33 kV)]])</f>
        <v>148454.23317841871</v>
      </c>
      <c r="AU52" s="277">
        <v>39.21</v>
      </c>
      <c r="AV52" s="122"/>
      <c r="AW52" s="122"/>
      <c r="AX52" t="str">
        <f>IFERROR(RD[[#This Row],[E_AC (WPR)]]/RD[[#This Row],[E_DC (WPR)]],"")</f>
        <v/>
      </c>
    </row>
    <row r="53" spans="1:50">
      <c r="A53" s="148">
        <f t="shared" si="47"/>
        <v>45793</v>
      </c>
      <c r="B53" s="151">
        <f>YEAR(RD[[#This Row],[Date]])+IF(MONTH(RD[[#This Row],[Date]])&gt;=4,1,0)</f>
        <v>2026</v>
      </c>
      <c r="C53" s="151">
        <f>YEAR(RD[[#This Row],[Date]])</f>
        <v>2025</v>
      </c>
      <c r="D53" s="152">
        <f t="shared" si="46"/>
        <v>45778</v>
      </c>
      <c r="E53" s="151">
        <f>DAY(EOMONTH(RD[[#This Row],[Date]],0))</f>
        <v>31</v>
      </c>
      <c r="F53" s="122">
        <v>0.25555555555555554</v>
      </c>
      <c r="G53" s="122">
        <v>0.76597222222222228</v>
      </c>
      <c r="H53" s="138">
        <v>21102.9</v>
      </c>
      <c r="I53" s="138">
        <v>21223</v>
      </c>
      <c r="J53" s="138">
        <v>28779.4</v>
      </c>
      <c r="K53" s="138">
        <v>29171.3</v>
      </c>
      <c r="L53" s="138">
        <v>29403.4</v>
      </c>
      <c r="M53" s="138">
        <v>19923.8</v>
      </c>
      <c r="N53" s="138">
        <v>21086.5</v>
      </c>
      <c r="O53" s="167"/>
      <c r="P53" s="167"/>
      <c r="Q53" s="58">
        <v>5.39</v>
      </c>
      <c r="R53" s="58">
        <v>5.55</v>
      </c>
      <c r="S53" s="58">
        <v>33.82</v>
      </c>
      <c r="T53" s="58">
        <v>43.71</v>
      </c>
      <c r="U53" s="58">
        <v>48.47</v>
      </c>
      <c r="V53" s="58">
        <v>0</v>
      </c>
      <c r="W53" s="58">
        <v>2.93</v>
      </c>
      <c r="X53" s="58">
        <v>9.26</v>
      </c>
      <c r="Y53" s="60">
        <f>SUM(RD[[#This Row],[IS1Inv1]:[IS3Inv1]])</f>
        <v>129680</v>
      </c>
      <c r="Z53" s="60">
        <f>SUM(RD[[#This Row],[IS4Inv1]:[IS4Inv2]])</f>
        <v>41010.300000000003</v>
      </c>
      <c r="AA53" s="60">
        <f>SUM(RD[[#This Row],[O2RE7]:[O2RE27]])</f>
        <v>170690.3</v>
      </c>
      <c r="AB53" s="153"/>
      <c r="AC53" s="153">
        <v>13685</v>
      </c>
      <c r="AD53" s="153"/>
      <c r="AE53" s="153">
        <v>8964.4</v>
      </c>
      <c r="AF53" s="153">
        <v>13403.179</v>
      </c>
      <c r="AG53" s="153">
        <v>0.04</v>
      </c>
      <c r="AH53" s="153">
        <v>1.6</v>
      </c>
      <c r="AI53" s="154" t="str">
        <f>IF((RD[[#This Row],[33 kV_F1_Ex]]-AB52)*150000&lt;=0,"",(RD[[#This Row],[33 kV_F1_Ex]]-AB52)*150000)</f>
        <v/>
      </c>
      <c r="AJ53" s="154">
        <f>IF((RD[[#This Row],[33kV_OG1_Ex]]-AC52)*1000&lt;=0,0,(RD[[#This Row],[33kV_OG1_Ex]]-AC52)*1000)</f>
        <v>169000</v>
      </c>
      <c r="AK53" s="154">
        <f>IF((RD[[#This Row],[220kV_TL_TVM_Ex]]-AE52)*1600&lt;=0,0,(RD[[#This Row],[220kV_TL_TVM_Ex]]-AE52)*1600)</f>
        <v>167839.99999999942</v>
      </c>
      <c r="AL53" s="154">
        <f>IF((RD[[#This Row],[220kV_C&amp;R_PQM_Ex]]-AF52)*1000&lt;=0,"",(RD[[#This Row],[220kV_C&amp;R_PQM_Ex]]-AF52)*1000)</f>
        <v>167567.00000000093</v>
      </c>
      <c r="AM53" s="154">
        <f>IF((RD[[#This Row],[33kV_Aux1_Im]]-AH52)*1000&lt;0,"",(RD[[#This Row],[33kV_Aux1_Im]]-AH52)*1000)</f>
        <v>20.000000000000018</v>
      </c>
      <c r="AN53" s="154">
        <f>IF((RD[[#This Row],[33kV_Aux1_Im]]-AH52)*1000&lt;0,"",(RD[[#This Row],[33kV_Aux1_Im]]-AH52)*1000)</f>
        <v>20.000000000000018</v>
      </c>
      <c r="AO53" s="61">
        <f>RD[[#This Row],[33kV_OG1_Energy (KWh)]]</f>
        <v>169000</v>
      </c>
      <c r="AP53" s="61">
        <f>IFERROR(RD[[#This Row],[220kV_TL_TVM Energy (KWh)]]-RD[[#This Row],[220kV_C&amp;R_PQM_Imp (KWh)2]],"")</f>
        <v>167819.99999999942</v>
      </c>
      <c r="AQ53" s="63">
        <f>IFERROR(RD[[#This Row],[33 kV Total Export (KWH)]]/RD[[#This Row],[220 KV Net Export (KWh)]]-1,"")</f>
        <v>7.0313431057120734E-3</v>
      </c>
      <c r="AR53" s="64">
        <f>IFERROR((RD[[#This Row],[Sunset Time (POA&lt;20 W/m2)]]-RD[[#This Row],[Sunrise Time (POA&gt;20 W/m2)]])*24,0)</f>
        <v>12.250000000000002</v>
      </c>
      <c r="AS53" s="65">
        <f>RD[[#This Row],[33kV_OG1_Energy (KWh)]]</f>
        <v>169000</v>
      </c>
      <c r="AT53" s="65">
        <f>IFERROR(RD[[#This Row],[ Export (33 kV)]]*(1-RD[[#This Row],[33 kV Line Loss (%)]]),RD[[#This Row],[ Export (33 kV)]])</f>
        <v>167811.70301513467</v>
      </c>
      <c r="AU53" s="277">
        <v>39.21</v>
      </c>
      <c r="AV53" s="122"/>
      <c r="AW53" s="122"/>
      <c r="AX53" t="str">
        <f>IFERROR(RD[[#This Row],[E_AC (WPR)]]/RD[[#This Row],[E_DC (WPR)]],"")</f>
        <v/>
      </c>
    </row>
    <row r="54" spans="1:50">
      <c r="A54" s="148">
        <f t="shared" si="47"/>
        <v>45794</v>
      </c>
      <c r="B54" s="151">
        <f>YEAR(RD[[#This Row],[Date]])+IF(MONTH(RD[[#This Row],[Date]])&gt;=4,1,0)</f>
        <v>2026</v>
      </c>
      <c r="C54" s="151">
        <f>YEAR(RD[[#This Row],[Date]])</f>
        <v>2025</v>
      </c>
      <c r="D54" s="152">
        <f t="shared" si="46"/>
        <v>45778</v>
      </c>
      <c r="E54" s="151">
        <f>DAY(EOMONTH(RD[[#This Row],[Date]],0))</f>
        <v>31</v>
      </c>
      <c r="F54" s="122">
        <v>0.2638888888888889</v>
      </c>
      <c r="G54" s="122">
        <v>0.74236111111111114</v>
      </c>
      <c r="H54" s="138">
        <v>20715.8</v>
      </c>
      <c r="I54" s="138">
        <v>20682.8</v>
      </c>
      <c r="J54" s="138">
        <v>28200.400000000001</v>
      </c>
      <c r="K54" s="138">
        <v>28484.2</v>
      </c>
      <c r="L54" s="138">
        <v>28599.3</v>
      </c>
      <c r="M54" s="138">
        <v>23023.9</v>
      </c>
      <c r="N54" s="138">
        <v>22737.599999999999</v>
      </c>
      <c r="O54" s="167"/>
      <c r="P54" s="167"/>
      <c r="Q54" s="58">
        <v>5.34</v>
      </c>
      <c r="R54" s="58">
        <v>5.46</v>
      </c>
      <c r="S54" s="58">
        <v>33.51</v>
      </c>
      <c r="T54" s="58">
        <v>44.31</v>
      </c>
      <c r="U54" s="58">
        <v>51.02</v>
      </c>
      <c r="V54" s="58">
        <v>0</v>
      </c>
      <c r="W54" s="58">
        <v>2.57</v>
      </c>
      <c r="X54" s="58">
        <v>8.06</v>
      </c>
      <c r="Y54" s="60">
        <f>SUM(RD[[#This Row],[IS1Inv1]:[IS3Inv1]])</f>
        <v>126682.5</v>
      </c>
      <c r="Z54" s="60">
        <f>SUM(RD[[#This Row],[IS4Inv1]:[IS4Inv2]])</f>
        <v>45761.5</v>
      </c>
      <c r="AA54" s="60">
        <f>SUM(RD[[#This Row],[O2RE7]:[O2RE27]])</f>
        <v>172444</v>
      </c>
      <c r="AB54" s="153"/>
      <c r="AC54" s="153">
        <v>13855</v>
      </c>
      <c r="AD54" s="153"/>
      <c r="AE54" s="153">
        <v>9070.5</v>
      </c>
      <c r="AF54" s="153">
        <v>13572.088</v>
      </c>
      <c r="AG54" s="153">
        <v>0.04</v>
      </c>
      <c r="AH54" s="153">
        <v>1.61</v>
      </c>
      <c r="AI54" s="154" t="str">
        <f>IF((RD[[#This Row],[33 kV_F1_Ex]]-AB53)*150000&lt;=0,"",(RD[[#This Row],[33 kV_F1_Ex]]-AB53)*150000)</f>
        <v/>
      </c>
      <c r="AJ54" s="154">
        <f>IF((RD[[#This Row],[33kV_OG1_Ex]]-AC53)*1000&lt;=0,0,(RD[[#This Row],[33kV_OG1_Ex]]-AC53)*1000)</f>
        <v>170000</v>
      </c>
      <c r="AK54" s="154">
        <f>IF((RD[[#This Row],[220kV_TL_TVM_Ex]]-AE53)*1600&lt;=0,0,(RD[[#This Row],[220kV_TL_TVM_Ex]]-AE53)*1600)</f>
        <v>169760.00000000058</v>
      </c>
      <c r="AL54" s="154">
        <f>IF((RD[[#This Row],[220kV_C&amp;R_PQM_Ex]]-AF53)*1000&lt;=0,"",(RD[[#This Row],[220kV_C&amp;R_PQM_Ex]]-AF53)*1000)</f>
        <v>168908.99999999965</v>
      </c>
      <c r="AM54" s="154">
        <f>IF((RD[[#This Row],[33kV_Aux1_Im]]-AH53)*1000&lt;0,"",(RD[[#This Row],[33kV_Aux1_Im]]-AH53)*1000)</f>
        <v>10.000000000000009</v>
      </c>
      <c r="AN54" s="154">
        <f>IF((RD[[#This Row],[33kV_Aux1_Im]]-AH53)*1000&lt;0,"",(RD[[#This Row],[33kV_Aux1_Im]]-AH53)*1000)</f>
        <v>10.000000000000009</v>
      </c>
      <c r="AO54" s="61">
        <f>RD[[#This Row],[33kV_OG1_Energy (KWh)]]</f>
        <v>170000</v>
      </c>
      <c r="AP54" s="61">
        <f>IFERROR(RD[[#This Row],[220kV_TL_TVM Energy (KWh)]]-RD[[#This Row],[220kV_C&amp;R_PQM_Imp (KWh)2]],"")</f>
        <v>169750.00000000058</v>
      </c>
      <c r="AQ54" s="63">
        <f>IFERROR(RD[[#This Row],[33 kV Total Export (KWH)]]/RD[[#This Row],[220 KV Net Export (KWh)]]-1,"")</f>
        <v>1.4727540500703018E-3</v>
      </c>
      <c r="AR54" s="64">
        <f>IFERROR((RD[[#This Row],[Sunset Time (POA&lt;20 W/m2)]]-RD[[#This Row],[Sunrise Time (POA&gt;20 W/m2)]])*24,0)</f>
        <v>11.483333333333334</v>
      </c>
      <c r="AS54" s="65">
        <f>RD[[#This Row],[33kV_OG1_Energy (KWh)]]</f>
        <v>170000</v>
      </c>
      <c r="AT54" s="65">
        <f>IFERROR(RD[[#This Row],[ Export (33 kV)]]*(1-RD[[#This Row],[33 kV Line Loss (%)]]),RD[[#This Row],[ Export (33 kV)]])</f>
        <v>169749.63181148804</v>
      </c>
      <c r="AU54" s="277">
        <v>39.21</v>
      </c>
      <c r="AV54" s="122"/>
      <c r="AW54" s="122"/>
      <c r="AX54" t="str">
        <f>IFERROR(RD[[#This Row],[E_AC (WPR)]]/RD[[#This Row],[E_DC (WPR)]],"")</f>
        <v/>
      </c>
    </row>
    <row r="55" spans="1:50">
      <c r="A55" s="148">
        <f t="shared" si="47"/>
        <v>45795</v>
      </c>
      <c r="B55" s="151">
        <f>YEAR(RD[[#This Row],[Date]])+IF(MONTH(RD[[#This Row],[Date]])&gt;=4,1,0)</f>
        <v>2026</v>
      </c>
      <c r="C55" s="151">
        <f>YEAR(RD[[#This Row],[Date]])</f>
        <v>2025</v>
      </c>
      <c r="D55" s="152">
        <f t="shared" si="46"/>
        <v>45778</v>
      </c>
      <c r="E55" s="151">
        <f>DAY(EOMONTH(RD[[#This Row],[Date]],0))</f>
        <v>31</v>
      </c>
      <c r="F55" s="122">
        <v>0.25486111111111109</v>
      </c>
      <c r="G55" s="122">
        <v>0.76666666666666672</v>
      </c>
      <c r="H55" s="138">
        <v>22068.6</v>
      </c>
      <c r="I55" s="138">
        <v>22340.7</v>
      </c>
      <c r="J55" s="138">
        <v>30505.3</v>
      </c>
      <c r="K55" s="138">
        <v>31243.7</v>
      </c>
      <c r="L55" s="138">
        <v>31750.1</v>
      </c>
      <c r="M55" s="138">
        <v>23252.6</v>
      </c>
      <c r="N55" s="138">
        <v>24693.7</v>
      </c>
      <c r="O55" s="167"/>
      <c r="P55" s="167"/>
      <c r="Q55" s="58">
        <v>5.82</v>
      </c>
      <c r="R55" s="58">
        <v>6.07</v>
      </c>
      <c r="S55" s="58">
        <v>35.43</v>
      </c>
      <c r="T55" s="58">
        <v>46.81</v>
      </c>
      <c r="U55" s="58">
        <v>44.93</v>
      </c>
      <c r="V55" s="58">
        <v>0</v>
      </c>
      <c r="W55" s="58">
        <v>2.04</v>
      </c>
      <c r="X55" s="58">
        <v>6.31</v>
      </c>
      <c r="Y55" s="60">
        <f>SUM(RD[[#This Row],[IS1Inv1]:[IS3Inv1]])</f>
        <v>137908.4</v>
      </c>
      <c r="Z55" s="60">
        <f>SUM(RD[[#This Row],[IS4Inv1]:[IS4Inv2]])</f>
        <v>47946.3</v>
      </c>
      <c r="AA55" s="60">
        <f>SUM(RD[[#This Row],[O2RE7]:[O2RE27]])</f>
        <v>185854.7</v>
      </c>
      <c r="AB55" s="153"/>
      <c r="AC55" s="153">
        <v>14040</v>
      </c>
      <c r="AD55" s="153"/>
      <c r="AE55" s="153">
        <v>9184.7000000000007</v>
      </c>
      <c r="AF55" s="153">
        <v>13754.647999999999</v>
      </c>
      <c r="AG55" s="153">
        <v>0.04</v>
      </c>
      <c r="AH55" s="153">
        <v>1.63</v>
      </c>
      <c r="AI55" s="154" t="str">
        <f>IF((RD[[#This Row],[33 kV_F1_Ex]]-AB54)*150000&lt;=0,"",(RD[[#This Row],[33 kV_F1_Ex]]-AB54)*150000)</f>
        <v/>
      </c>
      <c r="AJ55" s="154">
        <f>IF((RD[[#This Row],[33kV_OG1_Ex]]-AC54)*1000&lt;=0,0,(RD[[#This Row],[33kV_OG1_Ex]]-AC54)*1000)</f>
        <v>185000</v>
      </c>
      <c r="AK55" s="154">
        <f>IF((RD[[#This Row],[220kV_TL_TVM_Ex]]-AE54)*1600&lt;=0,0,(RD[[#This Row],[220kV_TL_TVM_Ex]]-AE54)*1600)</f>
        <v>182720.00000000116</v>
      </c>
      <c r="AL55" s="154">
        <f>IF((RD[[#This Row],[220kV_C&amp;R_PQM_Ex]]-AF54)*1000&lt;=0,"",(RD[[#This Row],[220kV_C&amp;R_PQM_Ex]]-AF54)*1000)</f>
        <v>182559.99999999948</v>
      </c>
      <c r="AM55" s="154">
        <f>IF((RD[[#This Row],[33kV_Aux1_Im]]-AH54)*1000&lt;0,"",(RD[[#This Row],[33kV_Aux1_Im]]-AH54)*1000)</f>
        <v>19.999999999999794</v>
      </c>
      <c r="AN55" s="154">
        <f>IF((RD[[#This Row],[33kV_Aux1_Im]]-AH54)*1000&lt;0,"",(RD[[#This Row],[33kV_Aux1_Im]]-AH54)*1000)</f>
        <v>19.999999999999794</v>
      </c>
      <c r="AO55" s="61">
        <f>RD[[#This Row],[33kV_OG1_Energy (KWh)]]</f>
        <v>185000</v>
      </c>
      <c r="AP55" s="61">
        <f>IFERROR(RD[[#This Row],[220kV_TL_TVM Energy (KWh)]]-RD[[#This Row],[220kV_C&amp;R_PQM_Imp (KWh)2]],"")</f>
        <v>182700.00000000116</v>
      </c>
      <c r="AQ55" s="63">
        <f>IFERROR(RD[[#This Row],[33 kV Total Export (KWH)]]/RD[[#This Row],[220 KV Net Export (KWh)]]-1,"")</f>
        <v>1.258894362341989E-2</v>
      </c>
      <c r="AR55" s="64">
        <f>IFERROR((RD[[#This Row],[Sunset Time (POA&lt;20 W/m2)]]-RD[[#This Row],[Sunrise Time (POA&gt;20 W/m2)]])*24,0)</f>
        <v>12.283333333333335</v>
      </c>
      <c r="AS55" s="65">
        <f>RD[[#This Row],[33kV_OG1_Energy (KWh)]]</f>
        <v>185000</v>
      </c>
      <c r="AT55" s="65">
        <f>IFERROR(RD[[#This Row],[ Export (33 kV)]]*(1-RD[[#This Row],[33 kV Line Loss (%)]]),RD[[#This Row],[ Export (33 kV)]])</f>
        <v>182671.04542966731</v>
      </c>
      <c r="AU55" s="277">
        <v>39.21</v>
      </c>
      <c r="AV55" s="122"/>
      <c r="AW55" s="122"/>
      <c r="AX55" t="str">
        <f>IFERROR(RD[[#This Row],[E_AC (WPR)]]/RD[[#This Row],[E_DC (WPR)]],"")</f>
        <v/>
      </c>
    </row>
    <row r="56" spans="1:50">
      <c r="A56" s="148">
        <f t="shared" si="47"/>
        <v>45796</v>
      </c>
      <c r="B56" s="151">
        <f>YEAR(RD[[#This Row],[Date]])+IF(MONTH(RD[[#This Row],[Date]])&gt;=4,1,0)</f>
        <v>2026</v>
      </c>
      <c r="C56" s="151">
        <f>YEAR(RD[[#This Row],[Date]])</f>
        <v>2025</v>
      </c>
      <c r="D56" s="152">
        <f t="shared" si="46"/>
        <v>45778</v>
      </c>
      <c r="E56" s="151">
        <f>DAY(EOMONTH(RD[[#This Row],[Date]],0))</f>
        <v>31</v>
      </c>
      <c r="F56" s="122">
        <v>0.25416666666666665</v>
      </c>
      <c r="G56" s="122">
        <v>0.76736111111111116</v>
      </c>
      <c r="H56" s="138">
        <v>20965.3</v>
      </c>
      <c r="I56" s="138">
        <v>21214.6</v>
      </c>
      <c r="J56" s="138">
        <v>28712.6</v>
      </c>
      <c r="K56" s="138">
        <v>29429.4</v>
      </c>
      <c r="L56" s="138">
        <v>30190.1</v>
      </c>
      <c r="M56" s="138">
        <v>22791.4</v>
      </c>
      <c r="N56" s="138">
        <v>23656.799999999999</v>
      </c>
      <c r="O56" s="167"/>
      <c r="P56" s="167"/>
      <c r="Q56" s="58">
        <v>5.31</v>
      </c>
      <c r="R56" s="58">
        <v>5.53</v>
      </c>
      <c r="S56" s="58">
        <v>33.409999999999997</v>
      </c>
      <c r="T56" s="58">
        <v>43.82</v>
      </c>
      <c r="U56" s="58">
        <v>54.35</v>
      </c>
      <c r="V56" s="58">
        <v>0</v>
      </c>
      <c r="W56" s="58">
        <v>1.7</v>
      </c>
      <c r="X56" s="58">
        <v>11.93</v>
      </c>
      <c r="Y56" s="60">
        <f>SUM(RD[[#This Row],[IS1Inv1]:[IS3Inv1]])</f>
        <v>130512</v>
      </c>
      <c r="Z56" s="60">
        <f>SUM(RD[[#This Row],[IS4Inv1]:[IS4Inv2]])</f>
        <v>46448.2</v>
      </c>
      <c r="AA56" s="60">
        <f>SUM(RD[[#This Row],[O2RE7]:[O2RE27]])</f>
        <v>176960.2</v>
      </c>
      <c r="AB56" s="153"/>
      <c r="AC56" s="153">
        <v>14215</v>
      </c>
      <c r="AD56" s="153"/>
      <c r="AE56" s="153">
        <v>9293.4</v>
      </c>
      <c r="AF56" s="153">
        <v>13928.355</v>
      </c>
      <c r="AG56" s="153">
        <v>0.04</v>
      </c>
      <c r="AH56" s="153">
        <v>1.64</v>
      </c>
      <c r="AI56" s="154" t="str">
        <f>IF((RD[[#This Row],[33 kV_F1_Ex]]-AB55)*150000&lt;=0,"",(RD[[#This Row],[33 kV_F1_Ex]]-AB55)*150000)</f>
        <v/>
      </c>
      <c r="AJ56" s="154">
        <f>IF((RD[[#This Row],[33kV_OG1_Ex]]-AC55)*1000&lt;=0,0,(RD[[#This Row],[33kV_OG1_Ex]]-AC55)*1000)</f>
        <v>175000</v>
      </c>
      <c r="AK56" s="154">
        <f>IF((RD[[#This Row],[220kV_TL_TVM_Ex]]-AE55)*1600&lt;=0,0,(RD[[#This Row],[220kV_TL_TVM_Ex]]-AE55)*1600)</f>
        <v>173919.99999999825</v>
      </c>
      <c r="AL56" s="154">
        <f>IF((RD[[#This Row],[220kV_C&amp;R_PQM_Ex]]-AF55)*1000&lt;=0,"",(RD[[#This Row],[220kV_C&amp;R_PQM_Ex]]-AF55)*1000)</f>
        <v>173707.00000000035</v>
      </c>
      <c r="AM56" s="154">
        <f>IF((RD[[#This Row],[33kV_Aux1_Im]]-AH55)*1000&lt;0,"",(RD[[#This Row],[33kV_Aux1_Im]]-AH55)*1000)</f>
        <v>10.000000000000009</v>
      </c>
      <c r="AN56" s="154">
        <f>IF((RD[[#This Row],[33kV_Aux1_Im]]-AH55)*1000&lt;0,"",(RD[[#This Row],[33kV_Aux1_Im]]-AH55)*1000)</f>
        <v>10.000000000000009</v>
      </c>
      <c r="AO56" s="61">
        <f>RD[[#This Row],[33kV_OG1_Energy (KWh)]]</f>
        <v>175000</v>
      </c>
      <c r="AP56" s="61">
        <f>IFERROR(RD[[#This Row],[220kV_TL_TVM Energy (KWh)]]-RD[[#This Row],[220kV_C&amp;R_PQM_Imp (KWh)2]],"")</f>
        <v>173909.99999999825</v>
      </c>
      <c r="AQ56" s="63">
        <f>IFERROR(RD[[#This Row],[33 kV Total Export (KWH)]]/RD[[#This Row],[220 KV Net Export (KWh)]]-1,"")</f>
        <v>6.2676096831795203E-3</v>
      </c>
      <c r="AR56" s="64">
        <f>IFERROR((RD[[#This Row],[Sunset Time (POA&lt;20 W/m2)]]-RD[[#This Row],[Sunrise Time (POA&gt;20 W/m2)]])*24,0)</f>
        <v>12.316666666666668</v>
      </c>
      <c r="AS56" s="65">
        <f>RD[[#This Row],[33kV_OG1_Energy (KWh)]]</f>
        <v>175000</v>
      </c>
      <c r="AT56" s="65">
        <f>IFERROR(RD[[#This Row],[ Export (33 kV)]]*(1-RD[[#This Row],[33 kV Line Loss (%)]]),RD[[#This Row],[ Export (33 kV)]])</f>
        <v>173903.16830544357</v>
      </c>
      <c r="AU56" s="277">
        <v>39.21</v>
      </c>
      <c r="AV56" s="122"/>
      <c r="AW56" s="122"/>
      <c r="AX56" t="str">
        <f>IFERROR(RD[[#This Row],[E_AC (WPR)]]/RD[[#This Row],[E_DC (WPR)]],"")</f>
        <v/>
      </c>
    </row>
    <row r="57" spans="1:50">
      <c r="A57" s="148">
        <f t="shared" si="47"/>
        <v>45797</v>
      </c>
      <c r="B57" s="151">
        <f>YEAR(RD[[#This Row],[Date]])+IF(MONTH(RD[[#This Row],[Date]])&gt;=4,1,0)</f>
        <v>2026</v>
      </c>
      <c r="C57" s="151">
        <f>YEAR(RD[[#This Row],[Date]])</f>
        <v>2025</v>
      </c>
      <c r="D57" s="152">
        <f t="shared" si="46"/>
        <v>45778</v>
      </c>
      <c r="E57" s="151">
        <f>DAY(EOMONTH(RD[[#This Row],[Date]],0))</f>
        <v>31</v>
      </c>
      <c r="F57" s="122">
        <v>0.25416666666666665</v>
      </c>
      <c r="G57" s="122">
        <v>0.75416666666666665</v>
      </c>
      <c r="H57" s="138">
        <v>19414.900000000001</v>
      </c>
      <c r="I57" s="138">
        <v>19566.400000000001</v>
      </c>
      <c r="J57" s="138">
        <v>26970.6</v>
      </c>
      <c r="K57" s="138">
        <v>27568.2</v>
      </c>
      <c r="L57" s="138">
        <v>27760</v>
      </c>
      <c r="M57" s="138">
        <v>21593</v>
      </c>
      <c r="N57" s="138">
        <v>21579.599999999999</v>
      </c>
      <c r="O57" s="167"/>
      <c r="P57" s="167"/>
      <c r="Q57" s="58">
        <v>4.91</v>
      </c>
      <c r="R57" s="58">
        <v>5.15</v>
      </c>
      <c r="S57" s="58">
        <v>34.880000000000003</v>
      </c>
      <c r="T57" s="58">
        <v>43.35</v>
      </c>
      <c r="U57" s="58">
        <v>46.07</v>
      </c>
      <c r="V57" s="58">
        <v>0</v>
      </c>
      <c r="W57" s="58">
        <v>2.46</v>
      </c>
      <c r="X57" s="58">
        <v>14.53</v>
      </c>
      <c r="Y57" s="60">
        <f>SUM(RD[[#This Row],[IS1Inv1]:[IS3Inv1]])</f>
        <v>121280.09999999999</v>
      </c>
      <c r="Z57" s="60">
        <f>SUM(RD[[#This Row],[IS4Inv1]:[IS4Inv2]])</f>
        <v>43172.6</v>
      </c>
      <c r="AA57" s="60">
        <f>SUM(RD[[#This Row],[O2RE7]:[O2RE27]])</f>
        <v>164452.69999999998</v>
      </c>
      <c r="AB57" s="153"/>
      <c r="AC57" s="153">
        <v>14377</v>
      </c>
      <c r="AD57" s="153"/>
      <c r="AE57" s="153">
        <v>9394.4</v>
      </c>
      <c r="AF57" s="153">
        <v>14089.439</v>
      </c>
      <c r="AG57" s="153">
        <v>0.04</v>
      </c>
      <c r="AH57" s="153">
        <v>1.66</v>
      </c>
      <c r="AI57" s="154" t="str">
        <f>IF((RD[[#This Row],[33 kV_F1_Ex]]-AB56)*150000&lt;=0,"",(RD[[#This Row],[33 kV_F1_Ex]]-AB56)*150000)</f>
        <v/>
      </c>
      <c r="AJ57" s="154">
        <f>IF((RD[[#This Row],[33kV_OG1_Ex]]-AC56)*1000&lt;=0,0,(RD[[#This Row],[33kV_OG1_Ex]]-AC56)*1000)</f>
        <v>162000</v>
      </c>
      <c r="AK57" s="154">
        <f>IF((RD[[#This Row],[220kV_TL_TVM_Ex]]-AE56)*1600&lt;=0,0,(RD[[#This Row],[220kV_TL_TVM_Ex]]-AE56)*1600)</f>
        <v>161600</v>
      </c>
      <c r="AL57" s="154">
        <f>IF((RD[[#This Row],[220kV_C&amp;R_PQM_Ex]]-AF56)*1000&lt;=0,"",(RD[[#This Row],[220kV_C&amp;R_PQM_Ex]]-AF56)*1000)</f>
        <v>161084.00000000076</v>
      </c>
      <c r="AM57" s="154">
        <f>IF((RD[[#This Row],[33kV_Aux1_Im]]-AH56)*1000&lt;0,"",(RD[[#This Row],[33kV_Aux1_Im]]-AH56)*1000)</f>
        <v>20.000000000000018</v>
      </c>
      <c r="AN57" s="154">
        <f>IF((RD[[#This Row],[33kV_Aux1_Im]]-AH56)*1000&lt;0,"",(RD[[#This Row],[33kV_Aux1_Im]]-AH56)*1000)</f>
        <v>20.000000000000018</v>
      </c>
      <c r="AO57" s="61">
        <f>RD[[#This Row],[33kV_OG1_Energy (KWh)]]</f>
        <v>162000</v>
      </c>
      <c r="AP57" s="61">
        <f>IFERROR(RD[[#This Row],[220kV_TL_TVM Energy (KWh)]]-RD[[#This Row],[220kV_C&amp;R_PQM_Imp (KWh)2]],"")</f>
        <v>161580</v>
      </c>
      <c r="AQ57" s="63">
        <f>IFERROR(RD[[#This Row],[33 kV Total Export (KWH)]]/RD[[#This Row],[220 KV Net Export (KWh)]]-1,"")</f>
        <v>2.5993316004455647E-3</v>
      </c>
      <c r="AR57" s="64">
        <f>IFERROR((RD[[#This Row],[Sunset Time (POA&lt;20 W/m2)]]-RD[[#This Row],[Sunrise Time (POA&gt;20 W/m2)]])*24,0)</f>
        <v>12</v>
      </c>
      <c r="AS57" s="65">
        <f>RD[[#This Row],[33kV_OG1_Energy (KWh)]]</f>
        <v>162000</v>
      </c>
      <c r="AT57" s="65">
        <f>IFERROR(RD[[#This Row],[ Export (33 kV)]]*(1-RD[[#This Row],[33 kV Line Loss (%)]]),RD[[#This Row],[ Export (33 kV)]])</f>
        <v>161578.90828072783</v>
      </c>
      <c r="AU57" s="277">
        <v>39.21</v>
      </c>
      <c r="AV57" s="122"/>
      <c r="AW57" s="122"/>
      <c r="AX57" t="str">
        <f>IFERROR(RD[[#This Row],[E_AC (WPR)]]/RD[[#This Row],[E_DC (WPR)]],"")</f>
        <v/>
      </c>
    </row>
    <row r="58" spans="1:50">
      <c r="A58" s="148">
        <f t="shared" si="47"/>
        <v>45798</v>
      </c>
      <c r="B58" s="151">
        <f>YEAR(RD[[#This Row],[Date]])+IF(MONTH(RD[[#This Row],[Date]])&gt;=4,1,0)</f>
        <v>2026</v>
      </c>
      <c r="C58" s="151">
        <f>YEAR(RD[[#This Row],[Date]])</f>
        <v>2025</v>
      </c>
      <c r="D58" s="152">
        <f t="shared" si="46"/>
        <v>45778</v>
      </c>
      <c r="E58" s="151">
        <f>DAY(EOMONTH(RD[[#This Row],[Date]],0))</f>
        <v>31</v>
      </c>
      <c r="F58" s="122">
        <v>0.24861111111111112</v>
      </c>
      <c r="G58" s="122">
        <v>0.75972222222222219</v>
      </c>
      <c r="H58" s="138">
        <v>17943.400000000001</v>
      </c>
      <c r="I58" s="138">
        <v>18204.400000000001</v>
      </c>
      <c r="J58" s="138">
        <v>25313.4</v>
      </c>
      <c r="K58" s="138">
        <v>25764.6</v>
      </c>
      <c r="L58" s="138">
        <v>25850.2</v>
      </c>
      <c r="M58" s="138">
        <v>19971.8</v>
      </c>
      <c r="N58" s="138">
        <v>19876.099999999999</v>
      </c>
      <c r="O58" s="167"/>
      <c r="P58" s="167"/>
      <c r="Q58" s="58">
        <v>4.3600000000000003</v>
      </c>
      <c r="R58" s="58">
        <v>4.5</v>
      </c>
      <c r="S58" s="58">
        <v>30.53</v>
      </c>
      <c r="T58" s="58">
        <v>39.47</v>
      </c>
      <c r="U58" s="58">
        <v>66.83</v>
      </c>
      <c r="V58" s="58">
        <v>0</v>
      </c>
      <c r="W58" s="58">
        <v>2.39</v>
      </c>
      <c r="X58" s="58">
        <v>14.28</v>
      </c>
      <c r="Y58" s="60">
        <f>SUM(RD[[#This Row],[IS1Inv1]:[IS3Inv1]])</f>
        <v>113076</v>
      </c>
      <c r="Z58" s="60">
        <f>SUM(RD[[#This Row],[IS4Inv1]:[IS4Inv2]])</f>
        <v>39847.899999999994</v>
      </c>
      <c r="AA58" s="60">
        <f>SUM(RD[[#This Row],[O2RE7]:[O2RE27]])</f>
        <v>152923.9</v>
      </c>
      <c r="AB58" s="153"/>
      <c r="AC58" s="153">
        <v>14529</v>
      </c>
      <c r="AD58" s="153"/>
      <c r="AE58" s="153">
        <v>9488.5</v>
      </c>
      <c r="AF58" s="153">
        <v>14239.594999999999</v>
      </c>
      <c r="AG58" s="153">
        <v>0.04</v>
      </c>
      <c r="AH58" s="153">
        <v>1.67</v>
      </c>
      <c r="AI58" s="154" t="str">
        <f>IF((RD[[#This Row],[33 kV_F1_Ex]]-AB57)*150000&lt;=0,"",(RD[[#This Row],[33 kV_F1_Ex]]-AB57)*150000)</f>
        <v/>
      </c>
      <c r="AJ58" s="154">
        <f>IF((RD[[#This Row],[33kV_OG1_Ex]]-AC57)*1000&lt;=0,0,(RD[[#This Row],[33kV_OG1_Ex]]-AC57)*1000)</f>
        <v>152000</v>
      </c>
      <c r="AK58" s="154">
        <f>IF((RD[[#This Row],[220kV_TL_TVM_Ex]]-AE57)*1600&lt;=0,0,(RD[[#This Row],[220kV_TL_TVM_Ex]]-AE57)*1600)</f>
        <v>150560.00000000058</v>
      </c>
      <c r="AL58" s="154">
        <f>IF((RD[[#This Row],[220kV_C&amp;R_PQM_Ex]]-AF57)*1000&lt;=0,"",(RD[[#This Row],[220kV_C&amp;R_PQM_Ex]]-AF57)*1000)</f>
        <v>150155.99999999904</v>
      </c>
      <c r="AM58" s="154">
        <f>IF((RD[[#This Row],[33kV_Aux1_Im]]-AH57)*1000&lt;0,"",(RD[[#This Row],[33kV_Aux1_Im]]-AH57)*1000)</f>
        <v>10.000000000000009</v>
      </c>
      <c r="AN58" s="154">
        <f>IF((RD[[#This Row],[33kV_Aux1_Im]]-AH57)*1000&lt;0,"",(RD[[#This Row],[33kV_Aux1_Im]]-AH57)*1000)</f>
        <v>10.000000000000009</v>
      </c>
      <c r="AO58" s="61">
        <f>RD[[#This Row],[33kV_OG1_Energy (KWh)]]</f>
        <v>152000</v>
      </c>
      <c r="AP58" s="61">
        <f>IFERROR(RD[[#This Row],[220kV_TL_TVM Energy (KWh)]]-RD[[#This Row],[220kV_C&amp;R_PQM_Imp (KWh)2]],"")</f>
        <v>150550.00000000058</v>
      </c>
      <c r="AQ58" s="63">
        <f>IFERROR(RD[[#This Row],[33 kV Total Export (KWH)]]/RD[[#This Row],[220 KV Net Export (KWh)]]-1,"")</f>
        <v>9.6313517103914226E-3</v>
      </c>
      <c r="AR58" s="64">
        <f>IFERROR((RD[[#This Row],[Sunset Time (POA&lt;20 W/m2)]]-RD[[#This Row],[Sunrise Time (POA&gt;20 W/m2)]])*24,0)</f>
        <v>12.266666666666666</v>
      </c>
      <c r="AS58" s="65">
        <f>RD[[#This Row],[33kV_OG1_Energy (KWh)]]</f>
        <v>152000</v>
      </c>
      <c r="AT58" s="65">
        <f>IFERROR(RD[[#This Row],[ Export (33 kV)]]*(1-RD[[#This Row],[33 kV Line Loss (%)]]),RD[[#This Row],[ Export (33 kV)]])</f>
        <v>150536.03454002051</v>
      </c>
      <c r="AU58" s="277">
        <v>39.21</v>
      </c>
      <c r="AV58" s="122"/>
      <c r="AW58" s="122"/>
      <c r="AX58" t="str">
        <f>IFERROR(RD[[#This Row],[E_AC (WPR)]]/RD[[#This Row],[E_DC (WPR)]],"")</f>
        <v/>
      </c>
    </row>
    <row r="59" spans="1:50">
      <c r="A59" s="148">
        <f t="shared" si="47"/>
        <v>45799</v>
      </c>
      <c r="B59" s="151">
        <f>YEAR(RD[[#This Row],[Date]])+IF(MONTH(RD[[#This Row],[Date]])&gt;=4,1,0)</f>
        <v>2026</v>
      </c>
      <c r="C59" s="151">
        <f>YEAR(RD[[#This Row],[Date]])</f>
        <v>2025</v>
      </c>
      <c r="D59" s="152">
        <f t="shared" si="46"/>
        <v>45778</v>
      </c>
      <c r="E59" s="151">
        <f>DAY(EOMONTH(RD[[#This Row],[Date]],0))</f>
        <v>31</v>
      </c>
      <c r="F59" s="122">
        <v>0.25138888888888888</v>
      </c>
      <c r="G59" s="122">
        <v>0.76388888888888884</v>
      </c>
      <c r="H59" s="138">
        <v>12059</v>
      </c>
      <c r="I59" s="138">
        <v>13560.3</v>
      </c>
      <c r="J59" s="138">
        <v>19069.2</v>
      </c>
      <c r="K59" s="138">
        <v>19626.8</v>
      </c>
      <c r="L59" s="138">
        <v>20071.400000000001</v>
      </c>
      <c r="M59" s="138">
        <v>15518.9</v>
      </c>
      <c r="N59" s="138">
        <v>15515.7</v>
      </c>
      <c r="O59" s="167"/>
      <c r="P59" s="167"/>
      <c r="Q59" s="58">
        <v>3.32</v>
      </c>
      <c r="R59" s="58">
        <v>3.4</v>
      </c>
      <c r="S59" s="58">
        <v>28.46</v>
      </c>
      <c r="T59" s="58">
        <v>34.880000000000003</v>
      </c>
      <c r="U59" s="58">
        <v>71.849999999999994</v>
      </c>
      <c r="V59" s="58">
        <v>0</v>
      </c>
      <c r="W59" s="58">
        <v>1.94</v>
      </c>
      <c r="X59" s="58">
        <v>5.2</v>
      </c>
      <c r="Y59" s="60">
        <f>SUM(RD[[#This Row],[IS1Inv1]:[IS3Inv1]])</f>
        <v>84386.700000000012</v>
      </c>
      <c r="Z59" s="60">
        <f>SUM(RD[[#This Row],[IS4Inv1]:[IS4Inv2]])</f>
        <v>31034.6</v>
      </c>
      <c r="AA59" s="60">
        <f>SUM(RD[[#This Row],[O2RE7]:[O2RE27]])</f>
        <v>115421.30000000002</v>
      </c>
      <c r="AB59" s="153"/>
      <c r="AC59" s="153">
        <v>14644</v>
      </c>
      <c r="AD59" s="153"/>
      <c r="AE59" s="153">
        <v>9559.5</v>
      </c>
      <c r="AF59" s="153">
        <v>14352.875</v>
      </c>
      <c r="AG59" s="153">
        <v>0.04</v>
      </c>
      <c r="AH59" s="153">
        <v>1.67</v>
      </c>
      <c r="AI59" s="154" t="str">
        <f>IF((RD[[#This Row],[33 kV_F1_Ex]]-AB58)*150000&lt;=0,"",(RD[[#This Row],[33 kV_F1_Ex]]-AB58)*150000)</f>
        <v/>
      </c>
      <c r="AJ59" s="154">
        <f>IF((RD[[#This Row],[33kV_OG1_Ex]]-AC58)*1000&lt;=0,0,(RD[[#This Row],[33kV_OG1_Ex]]-AC58)*1000)</f>
        <v>115000</v>
      </c>
      <c r="AK59" s="154">
        <f>IF((RD[[#This Row],[220kV_TL_TVM_Ex]]-AE58)*1600&lt;=0,0,(RD[[#This Row],[220kV_TL_TVM_Ex]]-AE58)*1600)</f>
        <v>113600</v>
      </c>
      <c r="AL59" s="154">
        <f>IF((RD[[#This Row],[220kV_C&amp;R_PQM_Ex]]-AF58)*1000&lt;=0,"",(RD[[#This Row],[220kV_C&amp;R_PQM_Ex]]-AF58)*1000)</f>
        <v>113280.00000000065</v>
      </c>
      <c r="AM59" s="154">
        <f>IF((RD[[#This Row],[33kV_Aux1_Im]]-AH58)*1000&lt;0,"",(RD[[#This Row],[33kV_Aux1_Im]]-AH58)*1000)</f>
        <v>0</v>
      </c>
      <c r="AN59" s="154">
        <f>IF((RD[[#This Row],[33kV_Aux1_Im]]-AH58)*1000&lt;0,"",(RD[[#This Row],[33kV_Aux1_Im]]-AH58)*1000)</f>
        <v>0</v>
      </c>
      <c r="AO59" s="61">
        <f>RD[[#This Row],[33kV_OG1_Energy (KWh)]]</f>
        <v>115000</v>
      </c>
      <c r="AP59" s="61">
        <f>IFERROR(RD[[#This Row],[220kV_TL_TVM Energy (KWh)]]-RD[[#This Row],[220kV_C&amp;R_PQM_Imp (KWh)2]],"")</f>
        <v>113600</v>
      </c>
      <c r="AQ59" s="63">
        <f>IFERROR(RD[[#This Row],[33 kV Total Export (KWH)]]/RD[[#This Row],[220 KV Net Export (KWh)]]-1,"")</f>
        <v>1.2323943661971759E-2</v>
      </c>
      <c r="AR59" s="64">
        <f>IFERROR((RD[[#This Row],[Sunset Time (POA&lt;20 W/m2)]]-RD[[#This Row],[Sunrise Time (POA&gt;20 W/m2)]])*24,0)</f>
        <v>12.299999999999999</v>
      </c>
      <c r="AS59" s="65">
        <f>RD[[#This Row],[33kV_OG1_Energy (KWh)]]</f>
        <v>115000</v>
      </c>
      <c r="AT59" s="65">
        <f>IFERROR(RD[[#This Row],[ Export (33 kV)]]*(1-RD[[#This Row],[33 kV Line Loss (%)]]),RD[[#This Row],[ Export (33 kV)]])</f>
        <v>113582.74647887325</v>
      </c>
      <c r="AU59" s="277">
        <v>39.21</v>
      </c>
      <c r="AV59" s="122"/>
      <c r="AW59" s="122"/>
      <c r="AX59" t="str">
        <f>IFERROR(RD[[#This Row],[E_AC (WPR)]]/RD[[#This Row],[E_DC (WPR)]],"")</f>
        <v/>
      </c>
    </row>
    <row r="60" spans="1:50">
      <c r="A60" s="148">
        <f t="shared" si="47"/>
        <v>45800</v>
      </c>
      <c r="B60" s="151">
        <f>YEAR(RD[[#This Row],[Date]])+IF(MONTH(RD[[#This Row],[Date]])&gt;=4,1,0)</f>
        <v>2026</v>
      </c>
      <c r="C60" s="151">
        <f>YEAR(RD[[#This Row],[Date]])</f>
        <v>2025</v>
      </c>
      <c r="D60" s="152">
        <f t="shared" si="46"/>
        <v>45778</v>
      </c>
      <c r="E60" s="151">
        <f>DAY(EOMONTH(RD[[#This Row],[Date]],0))</f>
        <v>31</v>
      </c>
      <c r="F60" s="122">
        <v>0.25555555555555554</v>
      </c>
      <c r="G60" s="122">
        <v>0.71736111111111112</v>
      </c>
      <c r="H60" s="138">
        <v>14926.4</v>
      </c>
      <c r="I60" s="138">
        <v>15213</v>
      </c>
      <c r="J60" s="138">
        <v>21054</v>
      </c>
      <c r="K60" s="138">
        <v>21594.400000000001</v>
      </c>
      <c r="L60" s="138">
        <v>21923.200000000001</v>
      </c>
      <c r="M60" s="138">
        <v>16839.099999999999</v>
      </c>
      <c r="N60" s="138">
        <v>16850.7</v>
      </c>
      <c r="O60" s="167"/>
      <c r="P60" s="167"/>
      <c r="Q60" s="58">
        <v>3.67</v>
      </c>
      <c r="R60" s="58">
        <v>3.8</v>
      </c>
      <c r="S60" s="58">
        <v>30.01</v>
      </c>
      <c r="T60" s="58">
        <v>38.159999999999997</v>
      </c>
      <c r="U60" s="58">
        <v>67.59</v>
      </c>
      <c r="V60" s="58">
        <v>0</v>
      </c>
      <c r="W60" s="58">
        <v>1.98</v>
      </c>
      <c r="X60" s="58">
        <v>5.6</v>
      </c>
      <c r="Y60" s="60">
        <f>SUM(RD[[#This Row],[IS1Inv1]:[IS3Inv1]])</f>
        <v>94711</v>
      </c>
      <c r="Z60" s="60">
        <f>SUM(RD[[#This Row],[IS4Inv1]:[IS4Inv2]])</f>
        <v>33689.800000000003</v>
      </c>
      <c r="AA60" s="60">
        <f>SUM(RD[[#This Row],[O2RE7]:[O2RE27]])</f>
        <v>128400.8</v>
      </c>
      <c r="AB60" s="153"/>
      <c r="AC60" s="153">
        <v>14771</v>
      </c>
      <c r="AD60" s="153"/>
      <c r="AE60" s="153">
        <v>9638.4</v>
      </c>
      <c r="AF60" s="153">
        <v>14478.651</v>
      </c>
      <c r="AG60" s="153">
        <v>0.04</v>
      </c>
      <c r="AH60" s="153">
        <v>1.67</v>
      </c>
      <c r="AI60" s="154" t="str">
        <f>IF((RD[[#This Row],[33 kV_F1_Ex]]-AB59)*150000&lt;=0,"",(RD[[#This Row],[33 kV_F1_Ex]]-AB59)*150000)</f>
        <v/>
      </c>
      <c r="AJ60" s="154">
        <f>IF((RD[[#This Row],[33kV_OG1_Ex]]-AC59)*1000&lt;=0,0,(RD[[#This Row],[33kV_OG1_Ex]]-AC59)*1000)</f>
        <v>127000</v>
      </c>
      <c r="AK60" s="154">
        <f>IF((RD[[#This Row],[220kV_TL_TVM_Ex]]-AE59)*1600&lt;=0,0,(RD[[#This Row],[220kV_TL_TVM_Ex]]-AE59)*1600)</f>
        <v>126239.99999999942</v>
      </c>
      <c r="AL60" s="154">
        <f>IF((RD[[#This Row],[220kV_C&amp;R_PQM_Ex]]-AF59)*1000&lt;=0,"",(RD[[#This Row],[220kV_C&amp;R_PQM_Ex]]-AF59)*1000)</f>
        <v>125775.99999999984</v>
      </c>
      <c r="AM60" s="154">
        <f>IF((RD[[#This Row],[33kV_Aux1_Im]]-AH59)*1000&lt;0,"",(RD[[#This Row],[33kV_Aux1_Im]]-AH59)*1000)</f>
        <v>0</v>
      </c>
      <c r="AN60" s="154">
        <f>IF((RD[[#This Row],[33kV_Aux1_Im]]-AH59)*1000&lt;0,"",(RD[[#This Row],[33kV_Aux1_Im]]-AH59)*1000)</f>
        <v>0</v>
      </c>
      <c r="AO60" s="61">
        <f>RD[[#This Row],[33kV_OG1_Energy (KWh)]]</f>
        <v>127000</v>
      </c>
      <c r="AP60" s="61">
        <f>IFERROR(RD[[#This Row],[220kV_TL_TVM Energy (KWh)]]-RD[[#This Row],[220kV_C&amp;R_PQM_Imp (KWh)2]],"")</f>
        <v>126239.99999999942</v>
      </c>
      <c r="AQ60" s="63">
        <f>IFERROR(RD[[#This Row],[33 kV Total Export (KWH)]]/RD[[#This Row],[220 KV Net Export (KWh)]]-1,"")</f>
        <v>6.020278833971604E-3</v>
      </c>
      <c r="AR60" s="64">
        <f>IFERROR((RD[[#This Row],[Sunset Time (POA&lt;20 W/m2)]]-RD[[#This Row],[Sunrise Time (POA&gt;20 W/m2)]])*24,0)</f>
        <v>11.083333333333334</v>
      </c>
      <c r="AS60" s="65">
        <f>RD[[#This Row],[33kV_OG1_Energy (KWh)]]</f>
        <v>127000</v>
      </c>
      <c r="AT60" s="65">
        <f>IFERROR(RD[[#This Row],[ Export (33 kV)]]*(1-RD[[#This Row],[33 kV Line Loss (%)]]),RD[[#This Row],[ Export (33 kV)]])</f>
        <v>126235.4245880856</v>
      </c>
      <c r="AU60" s="277">
        <v>39.21</v>
      </c>
      <c r="AV60" s="122"/>
      <c r="AW60" s="122"/>
      <c r="AX60" t="str">
        <f>IFERROR(RD[[#This Row],[E_AC (WPR)]]/RD[[#This Row],[E_DC (WPR)]],"")</f>
        <v/>
      </c>
    </row>
    <row r="61" spans="1:50">
      <c r="A61" s="148">
        <f t="shared" si="47"/>
        <v>45801</v>
      </c>
      <c r="B61" s="151">
        <f>YEAR(RD[[#This Row],[Date]])+IF(MONTH(RD[[#This Row],[Date]])&gt;=4,1,0)</f>
        <v>2026</v>
      </c>
      <c r="C61" s="151">
        <f>YEAR(RD[[#This Row],[Date]])</f>
        <v>2025</v>
      </c>
      <c r="D61" s="152">
        <f t="shared" si="46"/>
        <v>45778</v>
      </c>
      <c r="E61" s="151">
        <f>DAY(EOMONTH(RD[[#This Row],[Date]],0))</f>
        <v>31</v>
      </c>
      <c r="F61" s="122">
        <v>0.26319444444444445</v>
      </c>
      <c r="G61" s="122">
        <v>0.73611111111111116</v>
      </c>
      <c r="H61" s="138">
        <v>10691.2</v>
      </c>
      <c r="I61" s="138">
        <v>11547.6</v>
      </c>
      <c r="J61" s="138">
        <v>16137.1</v>
      </c>
      <c r="K61" s="138">
        <v>16450.8</v>
      </c>
      <c r="L61" s="138">
        <v>16668.7</v>
      </c>
      <c r="M61" s="138">
        <v>13429.4</v>
      </c>
      <c r="N61" s="138">
        <v>13458.6</v>
      </c>
      <c r="O61" s="167"/>
      <c r="P61" s="167"/>
      <c r="Q61" s="58">
        <v>3.33</v>
      </c>
      <c r="R61" s="58">
        <v>3.39</v>
      </c>
      <c r="S61" s="58">
        <v>28.12</v>
      </c>
      <c r="T61" s="58">
        <v>35.049999999999997</v>
      </c>
      <c r="U61" s="58">
        <v>80.78</v>
      </c>
      <c r="V61" s="58">
        <v>0</v>
      </c>
      <c r="W61" s="58">
        <v>1.92</v>
      </c>
      <c r="X61" s="58">
        <v>7.93</v>
      </c>
      <c r="Y61" s="60">
        <f>SUM(RD[[#This Row],[IS1Inv1]:[IS3Inv1]])</f>
        <v>71495.399999999994</v>
      </c>
      <c r="Z61" s="60">
        <f>SUM(RD[[#This Row],[IS4Inv1]:[IS4Inv2]])</f>
        <v>26888</v>
      </c>
      <c r="AA61" s="60">
        <f>SUM(RD[[#This Row],[O2RE7]:[O2RE27]])</f>
        <v>98383.4</v>
      </c>
      <c r="AB61" s="153"/>
      <c r="AC61" s="153">
        <v>14869</v>
      </c>
      <c r="AD61" s="153"/>
      <c r="AE61" s="153">
        <v>9698.7000000000007</v>
      </c>
      <c r="AF61" s="153">
        <v>14574.142</v>
      </c>
      <c r="AG61" s="153">
        <v>0.04</v>
      </c>
      <c r="AH61" s="153">
        <v>1.67</v>
      </c>
      <c r="AI61" s="154" t="str">
        <f>IF((RD[[#This Row],[33 kV_F1_Ex]]-AB60)*150000&lt;=0,"",(RD[[#This Row],[33 kV_F1_Ex]]-AB60)*150000)</f>
        <v/>
      </c>
      <c r="AJ61" s="154">
        <f>IF((RD[[#This Row],[33kV_OG1_Ex]]-AC60)*1000&lt;=0,0,(RD[[#This Row],[33kV_OG1_Ex]]-AC60)*1000)</f>
        <v>98000</v>
      </c>
      <c r="AK61" s="154">
        <f>IF((RD[[#This Row],[220kV_TL_TVM_Ex]]-AE60)*1600&lt;=0,0,(RD[[#This Row],[220kV_TL_TVM_Ex]]-AE60)*1600)</f>
        <v>96480.000000001746</v>
      </c>
      <c r="AL61" s="154">
        <f>IF((RD[[#This Row],[220kV_C&amp;R_PQM_Ex]]-AF60)*1000&lt;=0,"",(RD[[#This Row],[220kV_C&amp;R_PQM_Ex]]-AF60)*1000)</f>
        <v>95490.999999999985</v>
      </c>
      <c r="AM61" s="154">
        <f>IF((RD[[#This Row],[33kV_Aux1_Im]]-AH60)*1000&lt;0,"",(RD[[#This Row],[33kV_Aux1_Im]]-AH60)*1000)</f>
        <v>0</v>
      </c>
      <c r="AN61" s="154">
        <f>IF((RD[[#This Row],[33kV_Aux1_Im]]-AH60)*1000&lt;0,"",(RD[[#This Row],[33kV_Aux1_Im]]-AH60)*1000)</f>
        <v>0</v>
      </c>
      <c r="AO61" s="61">
        <f>RD[[#This Row],[33kV_OG1_Energy (KWh)]]</f>
        <v>98000</v>
      </c>
      <c r="AP61" s="61">
        <f>IFERROR(RD[[#This Row],[220kV_TL_TVM Energy (KWh)]]-RD[[#This Row],[220kV_C&amp;R_PQM_Imp (KWh)2]],"")</f>
        <v>96480.000000001746</v>
      </c>
      <c r="AQ61" s="63">
        <f>IFERROR(RD[[#This Row],[33 kV Total Export (KWH)]]/RD[[#This Row],[220 KV Net Export (KWh)]]-1,"")</f>
        <v>1.5754560530661488E-2</v>
      </c>
      <c r="AR61" s="64">
        <f>IFERROR((RD[[#This Row],[Sunset Time (POA&lt;20 W/m2)]]-RD[[#This Row],[Sunrise Time (POA&gt;20 W/m2)]])*24,0)</f>
        <v>11.350000000000001</v>
      </c>
      <c r="AS61" s="65">
        <f>RD[[#This Row],[33kV_OG1_Energy (KWh)]]</f>
        <v>98000</v>
      </c>
      <c r="AT61" s="65">
        <f>IFERROR(RD[[#This Row],[ Export (33 kV)]]*(1-RD[[#This Row],[33 kV Line Loss (%)]]),RD[[#This Row],[ Export (33 kV)]])</f>
        <v>96456.053067995177</v>
      </c>
      <c r="AU61" s="277">
        <v>39.21</v>
      </c>
      <c r="AV61" s="122"/>
      <c r="AW61" s="122"/>
      <c r="AX61" t="str">
        <f>IFERROR(RD[[#This Row],[E_AC (WPR)]]/RD[[#This Row],[E_DC (WPR)]],"")</f>
        <v/>
      </c>
    </row>
    <row r="62" spans="1:50">
      <c r="A62" s="148">
        <f t="shared" si="47"/>
        <v>45802</v>
      </c>
      <c r="B62" s="151">
        <f>YEAR(RD[[#This Row],[Date]])+IF(MONTH(RD[[#This Row],[Date]])&gt;=4,1,0)</f>
        <v>2026</v>
      </c>
      <c r="C62" s="151">
        <f>YEAR(RD[[#This Row],[Date]])</f>
        <v>2025</v>
      </c>
      <c r="D62" s="152">
        <f t="shared" si="46"/>
        <v>45778</v>
      </c>
      <c r="E62" s="151">
        <f>DAY(EOMONTH(RD[[#This Row],[Date]],0))</f>
        <v>31</v>
      </c>
      <c r="F62" s="122">
        <v>0.25277777777777777</v>
      </c>
      <c r="G62" s="122">
        <v>0.75972222222222219</v>
      </c>
      <c r="H62" s="138">
        <v>19513.2</v>
      </c>
      <c r="I62" s="138">
        <v>19459.400000000001</v>
      </c>
      <c r="J62" s="138">
        <v>26739.1</v>
      </c>
      <c r="K62" s="138">
        <v>26828.400000000001</v>
      </c>
      <c r="L62" s="138">
        <v>27268</v>
      </c>
      <c r="M62" s="138">
        <v>19846.5</v>
      </c>
      <c r="N62" s="138">
        <v>19601.099999999999</v>
      </c>
      <c r="O62" s="167"/>
      <c r="P62" s="167"/>
      <c r="Q62" s="58">
        <v>5.0599999999999996</v>
      </c>
      <c r="R62" s="58">
        <v>5.29</v>
      </c>
      <c r="S62" s="58">
        <v>30.16</v>
      </c>
      <c r="T62" s="58">
        <v>39.49</v>
      </c>
      <c r="U62" s="58">
        <v>70.540000000000006</v>
      </c>
      <c r="V62" s="58">
        <v>0</v>
      </c>
      <c r="W62" s="58">
        <v>1.97</v>
      </c>
      <c r="X62" s="58">
        <v>7.16</v>
      </c>
      <c r="Y62" s="60">
        <f>SUM(RD[[#This Row],[IS1Inv1]:[IS3Inv1]])</f>
        <v>119808.1</v>
      </c>
      <c r="Z62" s="60">
        <f>SUM(RD[[#This Row],[IS4Inv1]:[IS4Inv2]])</f>
        <v>39447.599999999999</v>
      </c>
      <c r="AA62" s="60">
        <f>SUM(RD[[#This Row],[O2RE7]:[O2RE27]])</f>
        <v>159255.70000000001</v>
      </c>
      <c r="AB62" s="153"/>
      <c r="AC62" s="153">
        <v>15027</v>
      </c>
      <c r="AD62" s="153"/>
      <c r="AE62" s="153">
        <v>9796.7999999999993</v>
      </c>
      <c r="AF62" s="153">
        <v>14730.710999999999</v>
      </c>
      <c r="AG62" s="153">
        <v>0.04</v>
      </c>
      <c r="AH62" s="153">
        <v>1.67</v>
      </c>
      <c r="AI62" s="154" t="str">
        <f>IF((RD[[#This Row],[33 kV_F1_Ex]]-AB61)*150000&lt;=0,"",(RD[[#This Row],[33 kV_F1_Ex]]-AB61)*150000)</f>
        <v/>
      </c>
      <c r="AJ62" s="154">
        <f>IF((RD[[#This Row],[33kV_OG1_Ex]]-AC61)*1000&lt;=0,0,(RD[[#This Row],[33kV_OG1_Ex]]-AC61)*1000)</f>
        <v>158000</v>
      </c>
      <c r="AK62" s="154">
        <f>IF((RD[[#This Row],[220kV_TL_TVM_Ex]]-AE61)*1600&lt;=0,0,(RD[[#This Row],[220kV_TL_TVM_Ex]]-AE61)*1600)</f>
        <v>156959.99999999767</v>
      </c>
      <c r="AL62" s="154">
        <f>IF((RD[[#This Row],[220kV_C&amp;R_PQM_Ex]]-AF61)*1000&lt;=0,"",(RD[[#This Row],[220kV_C&amp;R_PQM_Ex]]-AF61)*1000)</f>
        <v>156568.99999999951</v>
      </c>
      <c r="AM62" s="154">
        <f>IF((RD[[#This Row],[33kV_Aux1_Im]]-AH61)*1000&lt;0,"",(RD[[#This Row],[33kV_Aux1_Im]]-AH61)*1000)</f>
        <v>0</v>
      </c>
      <c r="AN62" s="154">
        <f>IF((RD[[#This Row],[33kV_Aux1_Im]]-AH61)*1000&lt;0,"",(RD[[#This Row],[33kV_Aux1_Im]]-AH61)*1000)</f>
        <v>0</v>
      </c>
      <c r="AO62" s="61">
        <f>RD[[#This Row],[33kV_OG1_Energy (KWh)]]</f>
        <v>158000</v>
      </c>
      <c r="AP62" s="61">
        <f>IFERROR(RD[[#This Row],[220kV_TL_TVM Energy (KWh)]]-RD[[#This Row],[220kV_C&amp;R_PQM_Imp (KWh)2]],"")</f>
        <v>156959.99999999767</v>
      </c>
      <c r="AQ62" s="63">
        <f>IFERROR(RD[[#This Row],[33 kV Total Export (KWH)]]/RD[[#This Row],[220 KV Net Export (KWh)]]-1,"")</f>
        <v>6.6258919470076894E-3</v>
      </c>
      <c r="AR62" s="64">
        <f>IFERROR((RD[[#This Row],[Sunset Time (POA&lt;20 W/m2)]]-RD[[#This Row],[Sunrise Time (POA&gt;20 W/m2)]])*24,0)</f>
        <v>12.166666666666666</v>
      </c>
      <c r="AS62" s="65">
        <f>RD[[#This Row],[33kV_OG1_Energy (KWh)]]</f>
        <v>158000</v>
      </c>
      <c r="AT62" s="65">
        <f>IFERROR(RD[[#This Row],[ Export (33 kV)]]*(1-RD[[#This Row],[33 kV Line Loss (%)]]),RD[[#This Row],[ Export (33 kV)]])</f>
        <v>156953.10907237278</v>
      </c>
      <c r="AU62" s="277">
        <v>39.21</v>
      </c>
      <c r="AV62" s="122"/>
      <c r="AW62" s="122"/>
      <c r="AX62" t="str">
        <f>IFERROR(RD[[#This Row],[E_AC (WPR)]]/RD[[#This Row],[E_DC (WPR)]],"")</f>
        <v/>
      </c>
    </row>
    <row r="63" spans="1:50">
      <c r="A63" s="148">
        <f t="shared" si="47"/>
        <v>45803</v>
      </c>
      <c r="B63" s="151">
        <f>YEAR(RD[[#This Row],[Date]])+IF(MONTH(RD[[#This Row],[Date]])&gt;=4,1,0)</f>
        <v>2026</v>
      </c>
      <c r="C63" s="151">
        <f>YEAR(RD[[#This Row],[Date]])</f>
        <v>2025</v>
      </c>
      <c r="D63" s="152">
        <f t="shared" si="46"/>
        <v>45778</v>
      </c>
      <c r="E63" s="151">
        <f>DAY(EOMONTH(RD[[#This Row],[Date]],0))</f>
        <v>31</v>
      </c>
      <c r="F63" s="122">
        <v>0.25</v>
      </c>
      <c r="G63" s="122">
        <v>0.77777777777777779</v>
      </c>
      <c r="H63" s="138">
        <v>21898.9</v>
      </c>
      <c r="I63" s="138">
        <v>21972.400000000001</v>
      </c>
      <c r="J63" s="138">
        <v>29889.5</v>
      </c>
      <c r="K63" s="343">
        <v>30427.5</v>
      </c>
      <c r="L63" s="138">
        <v>30775</v>
      </c>
      <c r="M63" s="138">
        <v>24945.4</v>
      </c>
      <c r="N63" s="138">
        <v>24977.200000000001</v>
      </c>
      <c r="O63" s="167"/>
      <c r="P63" s="167"/>
      <c r="Q63" s="58">
        <v>5.58</v>
      </c>
      <c r="R63" s="58">
        <v>5.99</v>
      </c>
      <c r="S63" s="58">
        <v>32.11</v>
      </c>
      <c r="T63" s="58">
        <v>40.130000000000003</v>
      </c>
      <c r="U63" s="58">
        <v>62.24</v>
      </c>
      <c r="V63" s="58">
        <v>0</v>
      </c>
      <c r="W63" s="58">
        <v>2.73</v>
      </c>
      <c r="X63" s="58">
        <v>8.16</v>
      </c>
      <c r="Y63" s="60">
        <f>SUM(RD[[#This Row],[IS1Inv1]:[IS3Inv1]])</f>
        <v>134963.29999999999</v>
      </c>
      <c r="Z63" s="60">
        <f>SUM(RD[[#This Row],[IS4Inv1]:[IS4Inv2]])</f>
        <v>49922.600000000006</v>
      </c>
      <c r="AA63" s="60">
        <f>SUM(RD[[#This Row],[O2RE7]:[O2RE27]])</f>
        <v>184885.9</v>
      </c>
      <c r="AB63" s="153"/>
      <c r="AC63" s="153">
        <v>15210</v>
      </c>
      <c r="AD63" s="153"/>
      <c r="AE63" s="153">
        <v>9910.5</v>
      </c>
      <c r="AF63" s="153">
        <v>14912.501</v>
      </c>
      <c r="AG63" s="153">
        <v>0.04</v>
      </c>
      <c r="AH63" s="153">
        <v>1.68</v>
      </c>
      <c r="AI63" s="154" t="str">
        <f>IF((RD[[#This Row],[33 kV_F1_Ex]]-AB62)*150000&lt;=0,"",(RD[[#This Row],[33 kV_F1_Ex]]-AB62)*150000)</f>
        <v/>
      </c>
      <c r="AJ63" s="154">
        <f>IF((RD[[#This Row],[33kV_OG1_Ex]]-AC62)*1000&lt;=0,0,(RD[[#This Row],[33kV_OG1_Ex]]-AC62)*1000)</f>
        <v>183000</v>
      </c>
      <c r="AK63" s="154">
        <f>IF((RD[[#This Row],[220kV_TL_TVM_Ex]]-AE62)*1600&lt;=0,0,(RD[[#This Row],[220kV_TL_TVM_Ex]]-AE62)*1600)</f>
        <v>181920.00000000116</v>
      </c>
      <c r="AL63" s="154">
        <f>IF((RD[[#This Row],[220kV_C&amp;R_PQM_Ex]]-AF62)*1000&lt;=0,"",(RD[[#This Row],[220kV_C&amp;R_PQM_Ex]]-AF62)*1000)</f>
        <v>181790.00000000087</v>
      </c>
      <c r="AM63" s="154">
        <f>IF((RD[[#This Row],[33kV_Aux1_Im]]-AH62)*1000&lt;0,"",(RD[[#This Row],[33kV_Aux1_Im]]-AH62)*1000)</f>
        <v>10.000000000000009</v>
      </c>
      <c r="AN63" s="154">
        <f>IF((RD[[#This Row],[33kV_Aux1_Im]]-AH62)*1000&lt;0,"",(RD[[#This Row],[33kV_Aux1_Im]]-AH62)*1000)</f>
        <v>10.000000000000009</v>
      </c>
      <c r="AO63" s="61">
        <f>RD[[#This Row],[33kV_OG1_Energy (KWh)]]</f>
        <v>183000</v>
      </c>
      <c r="AP63" s="61">
        <f>IFERROR(RD[[#This Row],[220kV_TL_TVM Energy (KWh)]]-RD[[#This Row],[220kV_C&amp;R_PQM_Imp (KWh)2]],"")</f>
        <v>181910.00000000116</v>
      </c>
      <c r="AQ63" s="63">
        <f>IFERROR(RD[[#This Row],[33 kV Total Export (KWH)]]/RD[[#This Row],[220 KV Net Export (KWh)]]-1,"")</f>
        <v>5.9919740530967047E-3</v>
      </c>
      <c r="AR63" s="64">
        <f>IFERROR((RD[[#This Row],[Sunset Time (POA&lt;20 W/m2)]]-RD[[#This Row],[Sunrise Time (POA&gt;20 W/m2)]])*24,0)</f>
        <v>12.666666666666668</v>
      </c>
      <c r="AS63" s="65">
        <f>RD[[#This Row],[33kV_OG1_Energy (KWh)]]</f>
        <v>183000</v>
      </c>
      <c r="AT63" s="65">
        <f>IFERROR(RD[[#This Row],[ Export (33 kV)]]*(1-RD[[#This Row],[33 kV Line Loss (%)]]),RD[[#This Row],[ Export (33 kV)]])</f>
        <v>181903.46874828331</v>
      </c>
      <c r="AU63" s="277">
        <v>39.21</v>
      </c>
      <c r="AV63" s="122"/>
      <c r="AW63" s="122"/>
      <c r="AX63" t="str">
        <f>IFERROR(RD[[#This Row],[E_AC (WPR)]]/RD[[#This Row],[E_DC (WPR)]],"")</f>
        <v/>
      </c>
    </row>
    <row r="64" spans="1:50">
      <c r="A64" s="148">
        <f t="shared" si="47"/>
        <v>45804</v>
      </c>
      <c r="B64" s="151">
        <f>YEAR(RD[[#This Row],[Date]])+IF(MONTH(RD[[#This Row],[Date]])&gt;=4,1,0)</f>
        <v>2026</v>
      </c>
      <c r="C64" s="151">
        <f>YEAR(RD[[#This Row],[Date]])</f>
        <v>2025</v>
      </c>
      <c r="D64" s="152">
        <f t="shared" si="46"/>
        <v>45778</v>
      </c>
      <c r="E64" s="151">
        <f>DAY(EOMONTH(RD[[#This Row],[Date]],0))</f>
        <v>31</v>
      </c>
      <c r="F64" s="122">
        <v>0.25069444444444444</v>
      </c>
      <c r="G64" s="122">
        <v>0.75694444444444442</v>
      </c>
      <c r="H64" s="138">
        <v>15474.9</v>
      </c>
      <c r="I64" s="138">
        <v>15423.5</v>
      </c>
      <c r="J64" s="138">
        <v>21061.200000000001</v>
      </c>
      <c r="K64" s="138">
        <v>21195.5</v>
      </c>
      <c r="L64" s="138">
        <v>21372.400000000001</v>
      </c>
      <c r="M64" s="138">
        <v>17148.3</v>
      </c>
      <c r="N64" s="138">
        <v>17082.900000000001</v>
      </c>
      <c r="O64" s="167"/>
      <c r="P64" s="167"/>
      <c r="Q64" s="58">
        <v>3.71</v>
      </c>
      <c r="R64" s="58">
        <v>3.82</v>
      </c>
      <c r="S64" s="58">
        <v>30.66</v>
      </c>
      <c r="T64" s="58">
        <v>37.840000000000003</v>
      </c>
      <c r="U64" s="58">
        <v>71.31</v>
      </c>
      <c r="V64" s="58">
        <v>0</v>
      </c>
      <c r="W64" s="58">
        <v>2.56</v>
      </c>
      <c r="X64" s="58">
        <v>6.52</v>
      </c>
      <c r="Y64" s="60">
        <f>SUM(RD[[#This Row],[IS1Inv1]:[IS3Inv1]])</f>
        <v>94527.5</v>
      </c>
      <c r="Z64" s="60">
        <f>SUM(RD[[#This Row],[IS4Inv1]:[IS4Inv2]])</f>
        <v>34231.199999999997</v>
      </c>
      <c r="AA64" s="60">
        <f>SUM(RD[[#This Row],[O2RE7]:[O2RE27]])</f>
        <v>128758.7</v>
      </c>
      <c r="AB64" s="153"/>
      <c r="AC64" s="153">
        <v>15337</v>
      </c>
      <c r="AD64" s="153"/>
      <c r="AE64" s="153">
        <v>9989.6</v>
      </c>
      <c r="AF64" s="153">
        <v>15038.584000000001</v>
      </c>
      <c r="AG64" s="153">
        <v>0.04</v>
      </c>
      <c r="AH64" s="153">
        <v>1.68</v>
      </c>
      <c r="AI64" s="154" t="str">
        <f>IF((RD[[#This Row],[33 kV_F1_Ex]]-AB63)*150000&lt;=0,"",(RD[[#This Row],[33 kV_F1_Ex]]-AB63)*150000)</f>
        <v/>
      </c>
      <c r="AJ64" s="154">
        <f>IF((RD[[#This Row],[33kV_OG1_Ex]]-AC63)*1000&lt;=0,0,(RD[[#This Row],[33kV_OG1_Ex]]-AC63)*1000)</f>
        <v>127000</v>
      </c>
      <c r="AK64" s="154">
        <f>IF((RD[[#This Row],[220kV_TL_TVM_Ex]]-AE63)*1600&lt;=0,0,(RD[[#This Row],[220kV_TL_TVM_Ex]]-AE63)*1600)</f>
        <v>126560.00000000058</v>
      </c>
      <c r="AL64" s="154">
        <f>IF((RD[[#This Row],[220kV_C&amp;R_PQM_Ex]]-AF63)*1000&lt;=0,"",(RD[[#This Row],[220kV_C&amp;R_PQM_Ex]]-AF63)*1000)</f>
        <v>126083.00000000054</v>
      </c>
      <c r="AM64" s="154">
        <f>IF((RD[[#This Row],[33kV_Aux1_Im]]-AH63)*1000&lt;0,"",(RD[[#This Row],[33kV_Aux1_Im]]-AH63)*1000)</f>
        <v>0</v>
      </c>
      <c r="AN64" s="154">
        <f>IF((RD[[#This Row],[33kV_Aux1_Im]]-AH63)*1000&lt;0,"",(RD[[#This Row],[33kV_Aux1_Im]]-AH63)*1000)</f>
        <v>0</v>
      </c>
      <c r="AO64" s="61">
        <f>RD[[#This Row],[33kV_OG1_Energy (KWh)]]</f>
        <v>127000</v>
      </c>
      <c r="AP64" s="61">
        <f>IFERROR(RD[[#This Row],[220kV_TL_TVM Energy (KWh)]]-RD[[#This Row],[220kV_C&amp;R_PQM_Imp (KWh)2]],"")</f>
        <v>126560.00000000058</v>
      </c>
      <c r="AQ64" s="63">
        <f>IFERROR(RD[[#This Row],[33 kV Total Export (KWH)]]/RD[[#This Row],[220 KV Net Export (KWh)]]-1,"")</f>
        <v>3.4766118836868642E-3</v>
      </c>
      <c r="AR64" s="64">
        <f>IFERROR((RD[[#This Row],[Sunset Time (POA&lt;20 W/m2)]]-RD[[#This Row],[Sunrise Time (POA&gt;20 W/m2)]])*24,0)</f>
        <v>12.149999999999999</v>
      </c>
      <c r="AS64" s="65">
        <f>RD[[#This Row],[33kV_OG1_Energy (KWh)]]</f>
        <v>127000</v>
      </c>
      <c r="AT64" s="65">
        <f>IFERROR(RD[[#This Row],[ Export (33 kV)]]*(1-RD[[#This Row],[33 kV Line Loss (%)]]),RD[[#This Row],[ Export (33 kV)]])</f>
        <v>126558.47029077177</v>
      </c>
      <c r="AU64" s="277">
        <v>39.21</v>
      </c>
      <c r="AV64" s="122"/>
      <c r="AW64" s="122"/>
      <c r="AX64" t="str">
        <f>IFERROR(RD[[#This Row],[E_AC (WPR)]]/RD[[#This Row],[E_DC (WPR)]],"")</f>
        <v/>
      </c>
    </row>
    <row r="65" spans="1:50">
      <c r="A65" s="148">
        <f t="shared" si="47"/>
        <v>45805</v>
      </c>
      <c r="B65" s="151">
        <f>YEAR(RD[[#This Row],[Date]])+IF(MONTH(RD[[#This Row],[Date]])&gt;=4,1,0)</f>
        <v>2026</v>
      </c>
      <c r="C65" s="151">
        <f>YEAR(RD[[#This Row],[Date]])</f>
        <v>2025</v>
      </c>
      <c r="D65" s="152">
        <f t="shared" si="46"/>
        <v>45778</v>
      </c>
      <c r="E65" s="151">
        <f>DAY(EOMONTH(RD[[#This Row],[Date]],0))</f>
        <v>31</v>
      </c>
      <c r="F65" s="122">
        <v>0.26666666666666666</v>
      </c>
      <c r="G65" s="122">
        <v>0.77013888888888893</v>
      </c>
      <c r="H65" s="138">
        <v>11802.5</v>
      </c>
      <c r="I65" s="138">
        <v>11973.3</v>
      </c>
      <c r="J65" s="138">
        <v>16441.099999999999</v>
      </c>
      <c r="K65" s="138">
        <v>16782.400000000001</v>
      </c>
      <c r="L65" s="138">
        <v>16913</v>
      </c>
      <c r="M65" s="138">
        <v>13148.3</v>
      </c>
      <c r="N65" s="138">
        <v>13243.6</v>
      </c>
      <c r="O65" s="167"/>
      <c r="P65" s="167"/>
      <c r="Q65" s="58">
        <v>2.79</v>
      </c>
      <c r="R65" s="58">
        <v>2.87</v>
      </c>
      <c r="S65" s="58">
        <v>28.48</v>
      </c>
      <c r="T65" s="58">
        <v>32.9711</v>
      </c>
      <c r="U65" s="58">
        <v>76.489000000000004</v>
      </c>
      <c r="V65" s="58">
        <v>0</v>
      </c>
      <c r="W65" s="58">
        <v>2.444</v>
      </c>
      <c r="X65" s="58">
        <v>6.14</v>
      </c>
      <c r="Y65" s="60">
        <f>SUM(RD[[#This Row],[IS1Inv1]:[IS3Inv1]])</f>
        <v>73912.299999999988</v>
      </c>
      <c r="Z65" s="60">
        <f>SUM(RD[[#This Row],[IS4Inv1]:[IS4Inv2]])</f>
        <v>26391.9</v>
      </c>
      <c r="AA65" s="60">
        <f>SUM(RD[[#This Row],[O2RE7]:[O2RE27]])</f>
        <v>100304.19999999998</v>
      </c>
      <c r="AB65" s="153"/>
      <c r="AC65" s="153">
        <v>15437</v>
      </c>
      <c r="AD65" s="153"/>
      <c r="AE65" s="153">
        <v>10051.299999999999</v>
      </c>
      <c r="AF65" s="153">
        <v>15136.995000000001</v>
      </c>
      <c r="AG65" s="153">
        <v>0.04</v>
      </c>
      <c r="AH65" s="153">
        <v>1.68</v>
      </c>
      <c r="AI65" s="154" t="str">
        <f>IF((RD[[#This Row],[33 kV_F1_Ex]]-AB64)*150000&lt;=0,"",(RD[[#This Row],[33 kV_F1_Ex]]-AB64)*150000)</f>
        <v/>
      </c>
      <c r="AJ65" s="154">
        <f>IF((RD[[#This Row],[33kV_OG1_Ex]]-AC64)*1000&lt;=0,0,(RD[[#This Row],[33kV_OG1_Ex]]-AC64)*1000)</f>
        <v>100000</v>
      </c>
      <c r="AK65" s="154">
        <f>IF((RD[[#This Row],[220kV_TL_TVM_Ex]]-AE64)*1600&lt;=0,0,(RD[[#This Row],[220kV_TL_TVM_Ex]]-AE64)*1600)</f>
        <v>98719.999999998254</v>
      </c>
      <c r="AL65" s="154">
        <f>IF((RD[[#This Row],[220kV_C&amp;R_PQM_Ex]]-AF64)*1000&lt;=0,"",(RD[[#This Row],[220kV_C&amp;R_PQM_Ex]]-AF64)*1000)</f>
        <v>98411.000000000058</v>
      </c>
      <c r="AM65" s="154">
        <f>IF((RD[[#This Row],[33kV_Aux1_Im]]-AH64)*1000&lt;0,"",(RD[[#This Row],[33kV_Aux1_Im]]-AH64)*1000)</f>
        <v>0</v>
      </c>
      <c r="AN65" s="154">
        <f>IF((RD[[#This Row],[33kV_Aux1_Im]]-AH64)*1000&lt;0,"",(RD[[#This Row],[33kV_Aux1_Im]]-AH64)*1000)</f>
        <v>0</v>
      </c>
      <c r="AO65" s="61">
        <f>RD[[#This Row],[33kV_OG1_Energy (KWh)]]</f>
        <v>100000</v>
      </c>
      <c r="AP65" s="61">
        <f>IFERROR(RD[[#This Row],[220kV_TL_TVM Energy (KWh)]]-RD[[#This Row],[220kV_C&amp;R_PQM_Imp (KWh)2]],"")</f>
        <v>98719.999999998254</v>
      </c>
      <c r="AQ65" s="63">
        <f>IFERROR(RD[[#This Row],[33 kV Total Export (KWH)]]/RD[[#This Row],[220 KV Net Export (KWh)]]-1,"")</f>
        <v>1.2965964343615966E-2</v>
      </c>
      <c r="AR65" s="64">
        <f>IFERROR((RD[[#This Row],[Sunset Time (POA&lt;20 W/m2)]]-RD[[#This Row],[Sunrise Time (POA&gt;20 W/m2)]])*24,0)</f>
        <v>12.083333333333336</v>
      </c>
      <c r="AS65" s="65">
        <f>RD[[#This Row],[33kV_OG1_Energy (KWh)]]</f>
        <v>100000</v>
      </c>
      <c r="AT65" s="65">
        <f>IFERROR(RD[[#This Row],[ Export (33 kV)]]*(1-RD[[#This Row],[33 kV Line Loss (%)]]),RD[[#This Row],[ Export (33 kV)]])</f>
        <v>98703.403565638408</v>
      </c>
      <c r="AU65" s="277">
        <v>39.21</v>
      </c>
      <c r="AV65" s="122"/>
      <c r="AW65" s="122"/>
      <c r="AX65" t="str">
        <f>IFERROR(RD[[#This Row],[E_AC (WPR)]]/RD[[#This Row],[E_DC (WPR)]],"")</f>
        <v/>
      </c>
    </row>
    <row r="66" spans="1:50">
      <c r="A66" s="148">
        <f t="shared" si="47"/>
        <v>45806</v>
      </c>
      <c r="B66" s="151">
        <f>YEAR(RD[[#This Row],[Date]])+IF(MONTH(RD[[#This Row],[Date]])&gt;=4,1,0)</f>
        <v>2026</v>
      </c>
      <c r="C66" s="151">
        <f>YEAR(RD[[#This Row],[Date]])</f>
        <v>2025</v>
      </c>
      <c r="D66" s="152">
        <f t="shared" si="46"/>
        <v>45778</v>
      </c>
      <c r="E66" s="151">
        <f>DAY(EOMONTH(RD[[#This Row],[Date]],0))</f>
        <v>31</v>
      </c>
      <c r="F66" s="122">
        <v>0.26111111111111113</v>
      </c>
      <c r="G66" s="122">
        <v>0.77152777777777781</v>
      </c>
      <c r="H66" s="138">
        <v>21769.599999999999</v>
      </c>
      <c r="I66" s="138">
        <v>22020.3</v>
      </c>
      <c r="J66" s="138">
        <v>30285</v>
      </c>
      <c r="K66" s="138">
        <v>30780</v>
      </c>
      <c r="L66" s="138">
        <v>31272</v>
      </c>
      <c r="M66" s="138">
        <v>24255</v>
      </c>
      <c r="N66" s="138">
        <v>24361</v>
      </c>
      <c r="O66" s="167"/>
      <c r="P66" s="167"/>
      <c r="Q66" s="58">
        <v>5.38</v>
      </c>
      <c r="R66" s="58">
        <v>5.59</v>
      </c>
      <c r="S66" s="58">
        <v>32.35</v>
      </c>
      <c r="T66" s="58">
        <v>39.619999999999997</v>
      </c>
      <c r="U66" s="58">
        <v>62.78</v>
      </c>
      <c r="V66" s="58">
        <v>0</v>
      </c>
      <c r="W66" s="58">
        <v>3.94</v>
      </c>
      <c r="X66" s="58">
        <v>10.17</v>
      </c>
      <c r="Y66" s="60">
        <f>SUM(RD[[#This Row],[IS1Inv1]:[IS3Inv1]])</f>
        <v>136126.9</v>
      </c>
      <c r="Z66" s="60">
        <f>SUM(RD[[#This Row],[IS4Inv1]:[IS4Inv2]])</f>
        <v>48616</v>
      </c>
      <c r="AA66" s="60">
        <f>SUM(RD[[#This Row],[O2RE7]:[O2RE27]])</f>
        <v>184742.9</v>
      </c>
      <c r="AB66" s="153"/>
      <c r="AC66" s="153">
        <v>15620</v>
      </c>
      <c r="AD66" s="153"/>
      <c r="AE66" s="153">
        <v>10165.6</v>
      </c>
      <c r="AF66" s="153">
        <v>15318.507</v>
      </c>
      <c r="AG66" s="153">
        <v>0.04</v>
      </c>
      <c r="AH66" s="153">
        <v>1.69</v>
      </c>
      <c r="AI66" s="154" t="str">
        <f>IF((RD[[#This Row],[33 kV_F1_Ex]]-AB65)*150000&lt;=0,"",(RD[[#This Row],[33 kV_F1_Ex]]-AB65)*150000)</f>
        <v/>
      </c>
      <c r="AJ66" s="154">
        <f>IF((RD[[#This Row],[33kV_OG1_Ex]]-AC65)*1000&lt;=0,0,(RD[[#This Row],[33kV_OG1_Ex]]-AC65)*1000)</f>
        <v>183000</v>
      </c>
      <c r="AK66" s="154">
        <f>IF((RD[[#This Row],[220kV_TL_TVM_Ex]]-AE65)*1600&lt;=0,0,(RD[[#This Row],[220kV_TL_TVM_Ex]]-AE65)*1600)</f>
        <v>182880.00000000175</v>
      </c>
      <c r="AL66" s="154">
        <f>IF((RD[[#This Row],[220kV_C&amp;R_PQM_Ex]]-AF65)*1000&lt;=0,"",(RD[[#This Row],[220kV_C&amp;R_PQM_Ex]]-AF65)*1000)</f>
        <v>181511.99999999881</v>
      </c>
      <c r="AM66" s="154">
        <f>IF((RD[[#This Row],[33kV_Aux1_Im]]-AH65)*1000&lt;0,"",(RD[[#This Row],[33kV_Aux1_Im]]-AH65)*1000)</f>
        <v>10.000000000000009</v>
      </c>
      <c r="AN66" s="154">
        <f>IF((RD[[#This Row],[33kV_Aux1_Im]]-AH65)*1000&lt;0,"",(RD[[#This Row],[33kV_Aux1_Im]]-AH65)*1000)</f>
        <v>10.000000000000009</v>
      </c>
      <c r="AO66" s="61">
        <f>RD[[#This Row],[33kV_OG1_Energy (KWh)]]</f>
        <v>183000</v>
      </c>
      <c r="AP66" s="61">
        <f>IFERROR(RD[[#This Row],[220kV_TL_TVM Energy (KWh)]]-RD[[#This Row],[220kV_C&amp;R_PQM_Imp (KWh)2]],"")</f>
        <v>182870.00000000175</v>
      </c>
      <c r="AQ66" s="63">
        <f>IFERROR(RD[[#This Row],[33 kV Total Export (KWH)]]/RD[[#This Row],[220 KV Net Export (KWh)]]-1,"")</f>
        <v>7.1088751571202202E-4</v>
      </c>
      <c r="AR66" s="64">
        <f>IFERROR((RD[[#This Row],[Sunset Time (POA&lt;20 W/m2)]]-RD[[#This Row],[Sunrise Time (POA&gt;20 W/m2)]])*24,0)</f>
        <v>12.250000000000002</v>
      </c>
      <c r="AS66" s="65">
        <f>RD[[#This Row],[33kV_OG1_Energy (KWh)]]</f>
        <v>183000</v>
      </c>
      <c r="AT66" s="65">
        <f>IFERROR(RD[[#This Row],[ Export (33 kV)]]*(1-RD[[#This Row],[33 kV Line Loss (%)]]),RD[[#This Row],[ Export (33 kV)]])</f>
        <v>182869.90758462471</v>
      </c>
      <c r="AU66" s="277">
        <v>39.21</v>
      </c>
      <c r="AV66" s="122"/>
      <c r="AW66" s="122"/>
      <c r="AX66" t="str">
        <f>IFERROR(RD[[#This Row],[E_AC (WPR)]]/RD[[#This Row],[E_DC (WPR)]],"")</f>
        <v/>
      </c>
    </row>
    <row r="67" spans="1:50">
      <c r="A67" s="148">
        <f t="shared" si="47"/>
        <v>45807</v>
      </c>
      <c r="B67" s="151">
        <f>YEAR(RD[[#This Row],[Date]])+IF(MONTH(RD[[#This Row],[Date]])&gt;=4,1,0)</f>
        <v>2026</v>
      </c>
      <c r="C67" s="151">
        <f>YEAR(RD[[#This Row],[Date]])</f>
        <v>2025</v>
      </c>
      <c r="D67" s="152">
        <f t="shared" si="46"/>
        <v>45778</v>
      </c>
      <c r="E67" s="151">
        <f>DAY(EOMONTH(RD[[#This Row],[Date]],0))</f>
        <v>31</v>
      </c>
      <c r="F67" s="122">
        <v>0.25416666666666665</v>
      </c>
      <c r="G67" s="122">
        <v>0.77083333333333337</v>
      </c>
      <c r="H67" s="138">
        <v>14512.2</v>
      </c>
      <c r="I67" s="138">
        <v>14615.6</v>
      </c>
      <c r="J67" s="138">
        <v>20360.5</v>
      </c>
      <c r="K67" s="138">
        <v>20693.2</v>
      </c>
      <c r="L67" s="138">
        <v>20855</v>
      </c>
      <c r="M67" s="138">
        <v>15955.4</v>
      </c>
      <c r="N67" s="138">
        <v>16077.9</v>
      </c>
      <c r="O67" s="167"/>
      <c r="P67" s="167"/>
      <c r="Q67" s="58">
        <v>3.3679999999999999</v>
      </c>
      <c r="R67" s="58">
        <v>3.504</v>
      </c>
      <c r="S67" s="58">
        <v>31.091999999999999</v>
      </c>
      <c r="T67" s="58">
        <v>35.154000000000003</v>
      </c>
      <c r="U67" s="58">
        <v>64.828000000000003</v>
      </c>
      <c r="V67" s="58">
        <v>0</v>
      </c>
      <c r="W67" s="58">
        <v>3.29</v>
      </c>
      <c r="X67" s="58">
        <v>7.67</v>
      </c>
      <c r="Y67" s="60">
        <f>SUM(RD[[#This Row],[IS1Inv1]:[IS3Inv1]])</f>
        <v>91036.5</v>
      </c>
      <c r="Z67" s="60">
        <f>SUM(RD[[#This Row],[IS4Inv1]:[IS4Inv2]])</f>
        <v>32033.3</v>
      </c>
      <c r="AA67" s="60">
        <f>SUM(RD[[#This Row],[O2RE7]:[O2RE27]])</f>
        <v>123069.8</v>
      </c>
      <c r="AB67" s="153"/>
      <c r="AC67" s="153">
        <v>15742</v>
      </c>
      <c r="AD67" s="153"/>
      <c r="AE67" s="153">
        <v>10240.700000000001</v>
      </c>
      <c r="AF67" s="153">
        <v>15439.433000000001</v>
      </c>
      <c r="AG67" s="153">
        <v>0.04</v>
      </c>
      <c r="AH67" s="153">
        <v>1.69</v>
      </c>
      <c r="AI67" s="154" t="str">
        <f>IF((RD[[#This Row],[33 kV_F1_Ex]]-AB66)*150000&lt;=0,"",(RD[[#This Row],[33 kV_F1_Ex]]-AB66)*150000)</f>
        <v/>
      </c>
      <c r="AJ67" s="154">
        <f>IF((RD[[#This Row],[33kV_OG1_Ex]]-AC66)*1000&lt;=0,0,(RD[[#This Row],[33kV_OG1_Ex]]-AC66)*1000)</f>
        <v>122000</v>
      </c>
      <c r="AK67" s="154">
        <f>IF((RD[[#This Row],[220kV_TL_TVM_Ex]]-AE66)*1600&lt;=0,0,(RD[[#This Row],[220kV_TL_TVM_Ex]]-AE66)*1600)</f>
        <v>120160.00000000058</v>
      </c>
      <c r="AL67" s="154">
        <f>IF((RD[[#This Row],[220kV_C&amp;R_PQM_Ex]]-AF66)*1000&lt;=0,"",(RD[[#This Row],[220kV_C&amp;R_PQM_Ex]]-AF66)*1000)</f>
        <v>120926.0000000013</v>
      </c>
      <c r="AM67" s="154">
        <f>IF((RD[[#This Row],[33kV_Aux1_Im]]-AH66)*1000&lt;0,"",(RD[[#This Row],[33kV_Aux1_Im]]-AH66)*1000)</f>
        <v>0</v>
      </c>
      <c r="AN67" s="154">
        <f>IF((RD[[#This Row],[33kV_Aux1_Im]]-AH66)*1000&lt;0,"",(RD[[#This Row],[33kV_Aux1_Im]]-AH66)*1000)</f>
        <v>0</v>
      </c>
      <c r="AO67" s="61">
        <f>RD[[#This Row],[33kV_OG1_Energy (KWh)]]</f>
        <v>122000</v>
      </c>
      <c r="AP67" s="61">
        <f>IFERROR(RD[[#This Row],[220kV_TL_TVM Energy (KWh)]]-RD[[#This Row],[220kV_C&amp;R_PQM_Imp (KWh)2]],"")</f>
        <v>120160.00000000058</v>
      </c>
      <c r="AQ67" s="63">
        <f>IFERROR(RD[[#This Row],[33 kV Total Export (KWH)]]/RD[[#This Row],[220 KV Net Export (KWh)]]-1,"")</f>
        <v>1.5312916111845931E-2</v>
      </c>
      <c r="AR67" s="64">
        <f>IFERROR((RD[[#This Row],[Sunset Time (POA&lt;20 W/m2)]]-RD[[#This Row],[Sunrise Time (POA&gt;20 W/m2)]])*24,0)</f>
        <v>12.400000000000002</v>
      </c>
      <c r="AS67" s="65">
        <f>RD[[#This Row],[33kV_OG1_Energy (KWh)]]</f>
        <v>122000</v>
      </c>
      <c r="AT67" s="65">
        <f>IFERROR(RD[[#This Row],[ Export (33 kV)]]*(1-RD[[#This Row],[33 kV Line Loss (%)]]),RD[[#This Row],[ Export (33 kV)]])</f>
        <v>120131.82423435479</v>
      </c>
      <c r="AU67" s="277">
        <v>39.21</v>
      </c>
      <c r="AV67" s="122"/>
      <c r="AW67" s="122"/>
      <c r="AX67" t="str">
        <f>IFERROR(RD[[#This Row],[E_AC (WPR)]]/RD[[#This Row],[E_DC (WPR)]],"")</f>
        <v/>
      </c>
    </row>
    <row r="68" spans="1:50">
      <c r="A68" s="148">
        <f t="shared" si="47"/>
        <v>45808</v>
      </c>
      <c r="B68" s="151">
        <f>YEAR(RD[[#This Row],[Date]])+IF(MONTH(RD[[#This Row],[Date]])&gt;=4,1,0)</f>
        <v>2026</v>
      </c>
      <c r="C68" s="151">
        <f>YEAR(RD[[#This Row],[Date]])</f>
        <v>2025</v>
      </c>
      <c r="D68" s="152">
        <f t="shared" si="46"/>
        <v>45778</v>
      </c>
      <c r="E68" s="151">
        <f>DAY(EOMONTH(RD[[#This Row],[Date]],0))</f>
        <v>31</v>
      </c>
      <c r="F68" s="122">
        <v>0.25069444444444444</v>
      </c>
      <c r="G68" s="122">
        <v>0.77083333333333337</v>
      </c>
      <c r="H68" s="138">
        <v>25992</v>
      </c>
      <c r="I68" s="138">
        <v>26047.9</v>
      </c>
      <c r="J68" s="138">
        <v>35462.800000000003</v>
      </c>
      <c r="K68" s="138">
        <v>35762.1</v>
      </c>
      <c r="L68" s="138">
        <v>36111.599999999999</v>
      </c>
      <c r="M68" s="138">
        <v>29920.799999999999</v>
      </c>
      <c r="N68" s="138">
        <v>29801.7</v>
      </c>
      <c r="O68" s="167"/>
      <c r="P68" s="167"/>
      <c r="Q68" s="58">
        <v>6.71</v>
      </c>
      <c r="R68" s="58">
        <v>7.06</v>
      </c>
      <c r="S68" s="58">
        <v>33.61</v>
      </c>
      <c r="T68" s="58">
        <v>42.51</v>
      </c>
      <c r="U68" s="58">
        <v>47.66</v>
      </c>
      <c r="V68" s="58">
        <v>0</v>
      </c>
      <c r="W68" s="58">
        <v>4.68</v>
      </c>
      <c r="X68" s="58">
        <v>8.7899999999999991</v>
      </c>
      <c r="Y68" s="60">
        <f>SUM(RD[[#This Row],[IS1Inv1]:[IS3Inv1]])</f>
        <v>159376.40000000002</v>
      </c>
      <c r="Z68" s="60">
        <f>SUM(RD[[#This Row],[IS4Inv1]:[IS4Inv2]])</f>
        <v>59722.5</v>
      </c>
      <c r="AA68" s="60">
        <f>SUM(RD[[#This Row],[O2RE7]:[O2RE27]])</f>
        <v>219098.90000000002</v>
      </c>
      <c r="AB68" s="153"/>
      <c r="AC68" s="153">
        <v>15959</v>
      </c>
      <c r="AD68" s="153"/>
      <c r="AE68" s="153">
        <v>10375.299999999999</v>
      </c>
      <c r="AF68" s="153">
        <v>15654.553</v>
      </c>
      <c r="AG68" s="153">
        <v>0.04</v>
      </c>
      <c r="AH68" s="153">
        <v>1.69</v>
      </c>
      <c r="AI68" s="154" t="str">
        <f>IF((RD[[#This Row],[33 kV_F1_Ex]]-AB67)*150000&lt;=0,"",(RD[[#This Row],[33 kV_F1_Ex]]-AB67)*150000)</f>
        <v/>
      </c>
      <c r="AJ68" s="154">
        <f>IF((RD[[#This Row],[33kV_OG1_Ex]]-AC67)*1000&lt;=0,0,(RD[[#This Row],[33kV_OG1_Ex]]-AC67)*1000)</f>
        <v>217000</v>
      </c>
      <c r="AK68" s="154">
        <f>IF((RD[[#This Row],[220kV_TL_TVM_Ex]]-AE67)*1600&lt;=0,0,(RD[[#This Row],[220kV_TL_TVM_Ex]]-AE67)*1600)</f>
        <v>215359.99999999767</v>
      </c>
      <c r="AL68" s="154">
        <f>IF((RD[[#This Row],[220kV_C&amp;R_PQM_Ex]]-AF67)*1000&lt;=0,"",(RD[[#This Row],[220kV_C&amp;R_PQM_Ex]]-AF67)*1000)</f>
        <v>215119.99999999898</v>
      </c>
      <c r="AM68" s="154">
        <f>IF((RD[[#This Row],[33kV_Aux1_Im]]-AH67)*1000&lt;0,"",(RD[[#This Row],[33kV_Aux1_Im]]-AH67)*1000)</f>
        <v>0</v>
      </c>
      <c r="AN68" s="154">
        <f>IF((RD[[#This Row],[33kV_Aux1_Im]]-AH67)*1000&lt;0,"",(RD[[#This Row],[33kV_Aux1_Im]]-AH67)*1000)</f>
        <v>0</v>
      </c>
      <c r="AO68" s="61">
        <f>RD[[#This Row],[33kV_OG1_Energy (KWh)]]</f>
        <v>217000</v>
      </c>
      <c r="AP68" s="61">
        <f>IFERROR(RD[[#This Row],[220kV_TL_TVM Energy (KWh)]]-RD[[#This Row],[220kV_C&amp;R_PQM_Imp (KWh)2]],"")</f>
        <v>215359.99999999767</v>
      </c>
      <c r="AQ68" s="63">
        <f>IFERROR(RD[[#This Row],[33 kV Total Export (KWH)]]/RD[[#This Row],[220 KV Net Export (KWh)]]-1,"")</f>
        <v>7.6151560178414623E-3</v>
      </c>
      <c r="AR68" s="64">
        <f>IFERROR((RD[[#This Row],[Sunset Time (POA&lt;20 W/m2)]]-RD[[#This Row],[Sunrise Time (POA&gt;20 W/m2)]])*24,0)</f>
        <v>12.483333333333334</v>
      </c>
      <c r="AS68" s="65">
        <f>RD[[#This Row],[33kV_OG1_Energy (KWh)]]</f>
        <v>217000</v>
      </c>
      <c r="AT68" s="65">
        <f>IFERROR(RD[[#This Row],[ Export (33 kV)]]*(1-RD[[#This Row],[33 kV Line Loss (%)]]),RD[[#This Row],[ Export (33 kV)]])</f>
        <v>215347.5111441284</v>
      </c>
      <c r="AU68" s="277">
        <v>39.21</v>
      </c>
      <c r="AV68" s="122"/>
      <c r="AW68" s="122"/>
      <c r="AX68" t="str">
        <f>IFERROR(RD[[#This Row],[E_AC (WPR)]]/RD[[#This Row],[E_DC (WPR)]],"")</f>
        <v/>
      </c>
    </row>
    <row r="69" spans="1:50">
      <c r="A69" s="148">
        <f t="shared" si="47"/>
        <v>45809</v>
      </c>
      <c r="B69" s="151">
        <f>YEAR(RD[[#This Row],[Date]])+IF(MONTH(RD[[#This Row],[Date]])&gt;=4,1,0)</f>
        <v>2026</v>
      </c>
      <c r="C69" s="151">
        <f>YEAR(RD[[#This Row],[Date]])</f>
        <v>2025</v>
      </c>
      <c r="D69" s="152">
        <f t="shared" si="46"/>
        <v>45809</v>
      </c>
      <c r="E69" s="151">
        <f>DAY(EOMONTH(RD[[#This Row],[Date]],0))</f>
        <v>30</v>
      </c>
      <c r="F69" s="122">
        <v>0.24861111111111112</v>
      </c>
      <c r="G69" s="122">
        <v>0.7729166666666667</v>
      </c>
      <c r="H69" s="138">
        <v>11350.2</v>
      </c>
      <c r="I69" s="138">
        <v>11384.9</v>
      </c>
      <c r="J69" s="138">
        <v>15664.4</v>
      </c>
      <c r="K69" s="138">
        <v>15955.7</v>
      </c>
      <c r="L69" s="138">
        <v>16152.7</v>
      </c>
      <c r="M69" s="138">
        <v>12499.8</v>
      </c>
      <c r="N69" s="138">
        <v>12291.9</v>
      </c>
      <c r="O69" s="167"/>
      <c r="P69" s="167"/>
      <c r="Q69" s="58">
        <v>6.58</v>
      </c>
      <c r="R69" s="58">
        <v>6.96</v>
      </c>
      <c r="S69" s="58">
        <v>33.58</v>
      </c>
      <c r="T69" s="58">
        <v>45.55</v>
      </c>
      <c r="U69" s="58">
        <v>43.63</v>
      </c>
      <c r="V69" s="58">
        <v>0</v>
      </c>
      <c r="W69" s="58">
        <v>4.62</v>
      </c>
      <c r="X69" s="58">
        <v>9.42</v>
      </c>
      <c r="Y69" s="60">
        <f>SUM(RD[[#This Row],[IS1Inv1]:[IS3Inv1]])</f>
        <v>70507.899999999994</v>
      </c>
      <c r="Z69" s="60">
        <f>SUM(RD[[#This Row],[IS4Inv1]:[IS4Inv2]])</f>
        <v>24791.699999999997</v>
      </c>
      <c r="AA69" s="60">
        <f>SUM(RD[[#This Row],[O2RE7]:[O2RE27]])</f>
        <v>95299.599999999991</v>
      </c>
      <c r="AB69" s="153"/>
      <c r="AC69" s="153">
        <v>16053</v>
      </c>
      <c r="AD69" s="153"/>
      <c r="AE69" s="153">
        <v>10434</v>
      </c>
      <c r="AF69" s="153">
        <v>15748.129000000001</v>
      </c>
      <c r="AG69" s="153">
        <v>0.04</v>
      </c>
      <c r="AH69" s="153">
        <v>1.71</v>
      </c>
      <c r="AI69" s="154" t="str">
        <f>IF((RD[[#This Row],[33 kV_F1_Ex]]-AB68)*150000&lt;=0,"",(RD[[#This Row],[33 kV_F1_Ex]]-AB68)*150000)</f>
        <v/>
      </c>
      <c r="AJ69" s="154">
        <f>IF((RD[[#This Row],[33kV_OG1_Ex]]-AC68)*1000&lt;=0,0,(RD[[#This Row],[33kV_OG1_Ex]]-AC68)*1000)</f>
        <v>94000</v>
      </c>
      <c r="AK69" s="154">
        <f>IF((RD[[#This Row],[220kV_TL_TVM_Ex]]-AE68)*1600&lt;=0,0,(RD[[#This Row],[220kV_TL_TVM_Ex]]-AE68)*1600)</f>
        <v>93920.000000001164</v>
      </c>
      <c r="AL69" s="154">
        <f>IF((RD[[#This Row],[220kV_C&amp;R_PQM_Ex]]-AF68)*1000&lt;=0,"",(RD[[#This Row],[220kV_C&amp;R_PQM_Ex]]-AF68)*1000)</f>
        <v>93576.000000000931</v>
      </c>
      <c r="AM69" s="154">
        <f>IF((RD[[#This Row],[33kV_Aux1_Im]]-AH68)*1000&lt;0,"",(RD[[#This Row],[33kV_Aux1_Im]]-AH68)*1000)</f>
        <v>20.000000000000018</v>
      </c>
      <c r="AN69" s="154">
        <f>IF((RD[[#This Row],[33kV_Aux1_Im]]-AH68)*1000&lt;0,"",(RD[[#This Row],[33kV_Aux1_Im]]-AH68)*1000)</f>
        <v>20.000000000000018</v>
      </c>
      <c r="AO69" s="61">
        <f>RD[[#This Row],[33kV_OG1_Energy (KWh)]]</f>
        <v>94000</v>
      </c>
      <c r="AP69" s="61">
        <f>IFERROR(RD[[#This Row],[220kV_TL_TVM Energy (KWh)]]-RD[[#This Row],[220kV_C&amp;R_PQM_Imp (KWh)2]],"")</f>
        <v>93900.000000001164</v>
      </c>
      <c r="AQ69" s="63">
        <f>IFERROR(RD[[#This Row],[33 kV Total Export (KWH)]]/RD[[#This Row],[220 KV Net Export (KWh)]]-1,"")</f>
        <v>1.0649627262921957E-3</v>
      </c>
      <c r="AR69" s="64">
        <f>IFERROR((RD[[#This Row],[Sunset Time (POA&lt;20 W/m2)]]-RD[[#This Row],[Sunrise Time (POA&gt;20 W/m2)]])*24,0)</f>
        <v>12.583333333333334</v>
      </c>
      <c r="AS69" s="65">
        <f>RD[[#This Row],[33kV_OG1_Energy (KWh)]]</f>
        <v>94000</v>
      </c>
      <c r="AT69" s="65">
        <f>IFERROR(RD[[#This Row],[ Export (33 kV)]]*(1-RD[[#This Row],[33 kV Line Loss (%)]]),RD[[#This Row],[ Export (33 kV)]])</f>
        <v>93899.893503728526</v>
      </c>
      <c r="AU69" s="277">
        <v>39.21</v>
      </c>
      <c r="AV69" s="122"/>
      <c r="AW69" s="122"/>
      <c r="AX69" t="str">
        <f>IFERROR(RD[[#This Row],[E_AC (WPR)]]/RD[[#This Row],[E_DC (WPR)]],"")</f>
        <v/>
      </c>
    </row>
    <row r="70" spans="1:50">
      <c r="A70" s="148">
        <f t="shared" si="47"/>
        <v>45810</v>
      </c>
      <c r="B70" s="151">
        <f>YEAR(RD[[#This Row],[Date]])+IF(MONTH(RD[[#This Row],[Date]])&gt;=4,1,0)</f>
        <v>2026</v>
      </c>
      <c r="C70" s="151">
        <f>YEAR(RD[[#This Row],[Date]])</f>
        <v>2025</v>
      </c>
      <c r="D70" s="152">
        <f t="shared" si="46"/>
        <v>45809</v>
      </c>
      <c r="E70" s="151">
        <f>DAY(EOMONTH(RD[[#This Row],[Date]],0))</f>
        <v>30</v>
      </c>
      <c r="F70" s="122">
        <v>0.25</v>
      </c>
      <c r="G70" s="122">
        <v>0.77013888888888893</v>
      </c>
      <c r="H70" s="138">
        <v>23622.7</v>
      </c>
      <c r="I70" s="138">
        <v>23664.5</v>
      </c>
      <c r="J70" s="138">
        <v>32476.799999999999</v>
      </c>
      <c r="K70" s="138">
        <v>32801.300000000003</v>
      </c>
      <c r="L70" s="138">
        <v>33594.9</v>
      </c>
      <c r="M70" s="138">
        <v>26777.1</v>
      </c>
      <c r="N70" s="138">
        <v>26731.200000000001</v>
      </c>
      <c r="O70" s="167"/>
      <c r="P70" s="167"/>
      <c r="Q70" s="58">
        <v>6.1</v>
      </c>
      <c r="R70" s="58">
        <v>6.49</v>
      </c>
      <c r="S70" s="58">
        <v>32.75</v>
      </c>
      <c r="T70" s="58">
        <v>43.67</v>
      </c>
      <c r="U70" s="58">
        <v>46</v>
      </c>
      <c r="V70" s="58">
        <v>0</v>
      </c>
      <c r="W70" s="58">
        <v>3.97</v>
      </c>
      <c r="X70" s="58">
        <v>8.5500000000000007</v>
      </c>
      <c r="Y70" s="60">
        <f>SUM(RD[[#This Row],[IS1Inv1]:[IS3Inv1]])</f>
        <v>146160.20000000001</v>
      </c>
      <c r="Z70" s="60">
        <f>SUM(RD[[#This Row],[IS4Inv1]:[IS4Inv2]])</f>
        <v>53508.3</v>
      </c>
      <c r="AA70" s="60">
        <f>SUM(RD[[#This Row],[O2RE7]:[O2RE27]])</f>
        <v>199668.5</v>
      </c>
      <c r="AB70" s="153"/>
      <c r="AC70" s="153">
        <v>16251</v>
      </c>
      <c r="AD70" s="153"/>
      <c r="AE70" s="153">
        <v>10556.7</v>
      </c>
      <c r="AF70" s="153">
        <v>15944.245000000001</v>
      </c>
      <c r="AG70" s="153">
        <v>0.04</v>
      </c>
      <c r="AH70" s="153">
        <v>1.72</v>
      </c>
      <c r="AI70" s="154" t="str">
        <f>IF((RD[[#This Row],[33 kV_F1_Ex]]-AB69)*150000&lt;=0,"",(RD[[#This Row],[33 kV_F1_Ex]]-AB69)*150000)</f>
        <v/>
      </c>
      <c r="AJ70" s="154">
        <f>IF((RD[[#This Row],[33kV_OG1_Ex]]-AC69)*1000&lt;=0,0,(RD[[#This Row],[33kV_OG1_Ex]]-AC69)*1000)</f>
        <v>198000</v>
      </c>
      <c r="AK70" s="154">
        <f>IF((RD[[#This Row],[220kV_TL_TVM_Ex]]-AE69)*1600&lt;=0,0,(RD[[#This Row],[220kV_TL_TVM_Ex]]-AE69)*1600)</f>
        <v>196320.00000000116</v>
      </c>
      <c r="AL70" s="154">
        <f>IF((RD[[#This Row],[220kV_C&amp;R_PQM_Ex]]-AF69)*1000&lt;=0,"",(RD[[#This Row],[220kV_C&amp;R_PQM_Ex]]-AF69)*1000)</f>
        <v>196116</v>
      </c>
      <c r="AM70" s="154">
        <f>IF((RD[[#This Row],[33kV_Aux1_Im]]-AH69)*1000&lt;0,"",(RD[[#This Row],[33kV_Aux1_Im]]-AH69)*1000)</f>
        <v>10.000000000000009</v>
      </c>
      <c r="AN70" s="154">
        <f>IF((RD[[#This Row],[33kV_Aux1_Im]]-AH69)*1000&lt;0,"",(RD[[#This Row],[33kV_Aux1_Im]]-AH69)*1000)</f>
        <v>10.000000000000009</v>
      </c>
      <c r="AO70" s="61">
        <f>RD[[#This Row],[33kV_OG1_Energy (KWh)]]</f>
        <v>198000</v>
      </c>
      <c r="AP70" s="61">
        <f>IFERROR(RD[[#This Row],[220kV_TL_TVM Energy (KWh)]]-RD[[#This Row],[220kV_C&amp;R_PQM_Imp (KWh)2]],"")</f>
        <v>196310.00000000116</v>
      </c>
      <c r="AQ70" s="63">
        <f>IFERROR(RD[[#This Row],[33 kV Total Export (KWH)]]/RD[[#This Row],[220 KV Net Export (KWh)]]-1,"")</f>
        <v>8.6088329682585396E-3</v>
      </c>
      <c r="AR70" s="64">
        <f>IFERROR((RD[[#This Row],[Sunset Time (POA&lt;20 W/m2)]]-RD[[#This Row],[Sunrise Time (POA&gt;20 W/m2)]])*24,0)</f>
        <v>12.483333333333334</v>
      </c>
      <c r="AS70" s="65">
        <f>RD[[#This Row],[33kV_OG1_Energy (KWh)]]</f>
        <v>198000</v>
      </c>
      <c r="AT70" s="65">
        <f>IFERROR(RD[[#This Row],[ Export (33 kV)]]*(1-RD[[#This Row],[33 kV Line Loss (%)]]),RD[[#This Row],[ Export (33 kV)]])</f>
        <v>196295.45107228481</v>
      </c>
      <c r="AU70" s="277">
        <v>39.21</v>
      </c>
      <c r="AV70" s="122"/>
      <c r="AW70" s="122"/>
      <c r="AX70" t="str">
        <f>IFERROR(RD[[#This Row],[E_AC (WPR)]]/RD[[#This Row],[E_DC (WPR)]],"")</f>
        <v/>
      </c>
    </row>
    <row r="71" spans="1:50">
      <c r="A71" s="148">
        <f t="shared" si="47"/>
        <v>45811</v>
      </c>
      <c r="B71" s="151">
        <f>YEAR(RD[[#This Row],[Date]])+IF(MONTH(RD[[#This Row],[Date]])&gt;=4,1,0)</f>
        <v>2026</v>
      </c>
      <c r="C71" s="151">
        <f>YEAR(RD[[#This Row],[Date]])</f>
        <v>2025</v>
      </c>
      <c r="D71" s="152">
        <f t="shared" si="46"/>
        <v>45809</v>
      </c>
      <c r="E71" s="151">
        <f>DAY(EOMONTH(RD[[#This Row],[Date]],0))</f>
        <v>30</v>
      </c>
      <c r="F71" s="122">
        <v>0.25069444444444444</v>
      </c>
      <c r="G71" s="122">
        <v>0.77430555555555558</v>
      </c>
      <c r="H71" s="138">
        <v>23648.3</v>
      </c>
      <c r="I71" s="138">
        <v>23720.3</v>
      </c>
      <c r="J71" s="138">
        <v>32407.4</v>
      </c>
      <c r="K71" s="138">
        <v>32783.699999999997</v>
      </c>
      <c r="L71" s="138">
        <v>33084.1</v>
      </c>
      <c r="M71" s="138">
        <v>27005.599999999999</v>
      </c>
      <c r="N71" s="138">
        <v>26901.3</v>
      </c>
      <c r="O71" s="167"/>
      <c r="P71" s="167"/>
      <c r="Q71" s="58">
        <v>6.08</v>
      </c>
      <c r="R71" s="58">
        <v>6.54</v>
      </c>
      <c r="S71" s="58">
        <v>33.880000000000003</v>
      </c>
      <c r="T71" s="58">
        <v>42.48</v>
      </c>
      <c r="U71" s="58">
        <v>40.86</v>
      </c>
      <c r="V71" s="58">
        <v>0</v>
      </c>
      <c r="W71" s="58">
        <v>4.46</v>
      </c>
      <c r="X71" s="58">
        <v>9.18</v>
      </c>
      <c r="Y71" s="60">
        <f>SUM(RD[[#This Row],[IS1Inv1]:[IS3Inv1]])</f>
        <v>145643.79999999999</v>
      </c>
      <c r="Z71" s="60">
        <f>SUM(RD[[#This Row],[IS4Inv1]:[IS4Inv2]])</f>
        <v>53906.899999999994</v>
      </c>
      <c r="AA71" s="60">
        <f>SUM(RD[[#This Row],[O2RE7]:[O2RE27]])</f>
        <v>199550.69999999998</v>
      </c>
      <c r="AB71" s="153"/>
      <c r="AC71" s="153">
        <v>16448</v>
      </c>
      <c r="AD71" s="153"/>
      <c r="AE71" s="153">
        <v>10679.3</v>
      </c>
      <c r="AF71" s="153">
        <v>16140.189</v>
      </c>
      <c r="AG71" s="153">
        <v>0.04</v>
      </c>
      <c r="AH71" s="153">
        <v>1.75</v>
      </c>
      <c r="AI71" s="154" t="str">
        <f>IF((RD[[#This Row],[33 kV_F1_Ex]]-AB70)*150000&lt;=0,"",(RD[[#This Row],[33 kV_F1_Ex]]-AB70)*150000)</f>
        <v/>
      </c>
      <c r="AJ71" s="154">
        <f>IF((RD[[#This Row],[33kV_OG1_Ex]]-AC70)*1000&lt;=0,0,(RD[[#This Row],[33kV_OG1_Ex]]-AC70)*1000)</f>
        <v>197000</v>
      </c>
      <c r="AK71" s="154">
        <f>IF((RD[[#This Row],[220kV_TL_TVM_Ex]]-AE70)*1600&lt;=0,0,(RD[[#This Row],[220kV_TL_TVM_Ex]]-AE70)*1600)</f>
        <v>196159.99999999767</v>
      </c>
      <c r="AL71" s="154">
        <f>IF((RD[[#This Row],[220kV_C&amp;R_PQM_Ex]]-AF70)*1000&lt;=0,"",(RD[[#This Row],[220kV_C&amp;R_PQM_Ex]]-AF70)*1000)</f>
        <v>195943.99999999951</v>
      </c>
      <c r="AM71" s="154">
        <f>IF((RD[[#This Row],[33kV_Aux1_Im]]-AH70)*1000&lt;0,"",(RD[[#This Row],[33kV_Aux1_Im]]-AH70)*1000)</f>
        <v>30.000000000000028</v>
      </c>
      <c r="AN71" s="154">
        <f>IF((RD[[#This Row],[33kV_Aux1_Im]]-AH70)*1000&lt;0,"",(RD[[#This Row],[33kV_Aux1_Im]]-AH70)*1000)</f>
        <v>30.000000000000028</v>
      </c>
      <c r="AO71" s="61">
        <f>RD[[#This Row],[33kV_OG1_Energy (KWh)]]</f>
        <v>197000</v>
      </c>
      <c r="AP71" s="61">
        <f>IFERROR(RD[[#This Row],[220kV_TL_TVM Energy (KWh)]]-RD[[#This Row],[220kV_C&amp;R_PQM_Imp (KWh)2]],"")</f>
        <v>196129.99999999767</v>
      </c>
      <c r="AQ71" s="63">
        <f>IFERROR(RD[[#This Row],[33 kV Total Export (KWH)]]/RD[[#This Row],[220 KV Net Export (KWh)]]-1,"")</f>
        <v>4.4358333758340862E-3</v>
      </c>
      <c r="AR71" s="64">
        <f>IFERROR((RD[[#This Row],[Sunset Time (POA&lt;20 W/m2)]]-RD[[#This Row],[Sunrise Time (POA&gt;20 W/m2)]])*24,0)</f>
        <v>12.566666666666666</v>
      </c>
      <c r="AS71" s="65">
        <f>RD[[#This Row],[33kV_OG1_Energy (KWh)]]</f>
        <v>197000</v>
      </c>
      <c r="AT71" s="65">
        <f>IFERROR(RD[[#This Row],[ Export (33 kV)]]*(1-RD[[#This Row],[33 kV Line Loss (%)]]),RD[[#This Row],[ Export (33 kV)]])</f>
        <v>196126.14082496069</v>
      </c>
      <c r="AU71" s="277">
        <v>39.21</v>
      </c>
      <c r="AV71" s="122"/>
      <c r="AW71" s="122"/>
      <c r="AX71" t="str">
        <f>IFERROR(RD[[#This Row],[E_AC (WPR)]]/RD[[#This Row],[E_DC (WPR)]],"")</f>
        <v/>
      </c>
    </row>
    <row r="72" spans="1:50">
      <c r="A72" s="148">
        <f t="shared" si="47"/>
        <v>45812</v>
      </c>
      <c r="B72" s="151">
        <f>YEAR(RD[[#This Row],[Date]])+IF(MONTH(RD[[#This Row],[Date]])&gt;=4,1,0)</f>
        <v>2026</v>
      </c>
      <c r="C72" s="151">
        <f>YEAR(RD[[#This Row],[Date]])</f>
        <v>2025</v>
      </c>
      <c r="D72" s="152">
        <f t="shared" si="46"/>
        <v>45809</v>
      </c>
      <c r="E72" s="151">
        <f>DAY(EOMONTH(RD[[#This Row],[Date]],0))</f>
        <v>30</v>
      </c>
      <c r="F72" s="122">
        <v>0.24930555555555556</v>
      </c>
      <c r="G72" s="122">
        <v>0.77222222222222225</v>
      </c>
      <c r="H72" s="138">
        <v>24183.7</v>
      </c>
      <c r="I72" s="138">
        <v>24204</v>
      </c>
      <c r="J72" s="138">
        <v>33292.300000000003</v>
      </c>
      <c r="K72" s="138">
        <v>33623.5</v>
      </c>
      <c r="L72" s="138">
        <v>33784.5</v>
      </c>
      <c r="M72" s="138">
        <v>27278.400000000001</v>
      </c>
      <c r="N72" s="138">
        <v>27290</v>
      </c>
      <c r="O72" s="167"/>
      <c r="P72" s="167"/>
      <c r="Q72" s="58">
        <v>6.32</v>
      </c>
      <c r="R72" s="58">
        <v>6.81</v>
      </c>
      <c r="S72" s="58">
        <v>33.85</v>
      </c>
      <c r="T72" s="58">
        <v>45.19</v>
      </c>
      <c r="U72" s="58">
        <v>41.91</v>
      </c>
      <c r="V72" s="58">
        <v>0</v>
      </c>
      <c r="W72" s="58">
        <v>3.2</v>
      </c>
      <c r="X72" s="58">
        <v>8.39</v>
      </c>
      <c r="Y72" s="60">
        <f>SUM(RD[[#This Row],[IS1Inv1]:[IS3Inv1]])</f>
        <v>149088</v>
      </c>
      <c r="Z72" s="60">
        <f>SUM(RD[[#This Row],[IS4Inv1]:[IS4Inv2]])</f>
        <v>54568.4</v>
      </c>
      <c r="AA72" s="60">
        <f>SUM(RD[[#This Row],[O2RE7]:[O2RE27]])</f>
        <v>203656.4</v>
      </c>
      <c r="AB72" s="153"/>
      <c r="AC72" s="153">
        <v>16650</v>
      </c>
      <c r="AD72" s="153"/>
      <c r="AE72" s="153">
        <v>10804.5</v>
      </c>
      <c r="AF72" s="153">
        <v>16340.052</v>
      </c>
      <c r="AG72" s="153">
        <v>0.04</v>
      </c>
      <c r="AH72" s="153">
        <v>2.0299999999999998</v>
      </c>
      <c r="AI72" s="154" t="str">
        <f>IF((RD[[#This Row],[33 kV_F1_Ex]]-AB71)*150000&lt;=0,"",(RD[[#This Row],[33 kV_F1_Ex]]-AB71)*150000)</f>
        <v/>
      </c>
      <c r="AJ72" s="154">
        <f>IF((RD[[#This Row],[33kV_OG1_Ex]]-AC71)*1000&lt;=0,0,(RD[[#This Row],[33kV_OG1_Ex]]-AC71)*1000)</f>
        <v>202000</v>
      </c>
      <c r="AK72" s="154">
        <f>IF((RD[[#This Row],[220kV_TL_TVM_Ex]]-AE71)*1600&lt;=0,0,(RD[[#This Row],[220kV_TL_TVM_Ex]]-AE71)*1600)</f>
        <v>200320.00000000116</v>
      </c>
      <c r="AL72" s="154">
        <f>IF((RD[[#This Row],[220kV_C&amp;R_PQM_Ex]]-AF71)*1000&lt;=0,"",(RD[[#This Row],[220kV_C&amp;R_PQM_Ex]]-AF71)*1000)</f>
        <v>199862.99999999936</v>
      </c>
      <c r="AM72" s="154">
        <f>IF((RD[[#This Row],[33kV_Aux1_Im]]-AH71)*1000&lt;0,"",(RD[[#This Row],[33kV_Aux1_Im]]-AH71)*1000)</f>
        <v>279.99999999999983</v>
      </c>
      <c r="AN72" s="154">
        <f>IF((RD[[#This Row],[33kV_Aux1_Im]]-AH71)*1000&lt;0,"",(RD[[#This Row],[33kV_Aux1_Im]]-AH71)*1000)</f>
        <v>279.99999999999983</v>
      </c>
      <c r="AO72" s="61">
        <f>RD[[#This Row],[33kV_OG1_Energy (KWh)]]</f>
        <v>202000</v>
      </c>
      <c r="AP72" s="61">
        <f>IFERROR(RD[[#This Row],[220kV_TL_TVM Energy (KWh)]]-RD[[#This Row],[220kV_C&amp;R_PQM_Imp (KWh)2]],"")</f>
        <v>200040.00000000116</v>
      </c>
      <c r="AQ72" s="63">
        <f>IFERROR(RD[[#This Row],[33 kV Total Export (KWH)]]/RD[[#This Row],[220 KV Net Export (KWh)]]-1,"")</f>
        <v>9.7980403919157855E-3</v>
      </c>
      <c r="AR72" s="64">
        <f>IFERROR((RD[[#This Row],[Sunset Time (POA&lt;20 W/m2)]]-RD[[#This Row],[Sunrise Time (POA&gt;20 W/m2)]])*24,0)</f>
        <v>12.55</v>
      </c>
      <c r="AS72" s="65">
        <f>RD[[#This Row],[33kV_OG1_Energy (KWh)]]</f>
        <v>202000</v>
      </c>
      <c r="AT72" s="65">
        <f>IFERROR(RD[[#This Row],[ Export (33 kV)]]*(1-RD[[#This Row],[33 kV Line Loss (%)]]),RD[[#This Row],[ Export (33 kV)]])</f>
        <v>200020.79584083302</v>
      </c>
      <c r="AU72" s="277">
        <v>39.21</v>
      </c>
      <c r="AV72" s="122"/>
      <c r="AW72" s="122"/>
      <c r="AX72" t="str">
        <f>IFERROR(RD[[#This Row],[E_AC (WPR)]]/RD[[#This Row],[E_DC (WPR)]],"")</f>
        <v/>
      </c>
    </row>
    <row r="73" spans="1:50">
      <c r="A73" s="148">
        <f t="shared" si="47"/>
        <v>45813</v>
      </c>
      <c r="B73" s="151">
        <f>YEAR(RD[[#This Row],[Date]])+IF(MONTH(RD[[#This Row],[Date]])&gt;=4,1,0)</f>
        <v>2026</v>
      </c>
      <c r="C73" s="151">
        <f>YEAR(RD[[#This Row],[Date]])</f>
        <v>2025</v>
      </c>
      <c r="D73" s="152">
        <f t="shared" si="46"/>
        <v>45809</v>
      </c>
      <c r="E73" s="151">
        <f>DAY(EOMONTH(RD[[#This Row],[Date]],0))</f>
        <v>30</v>
      </c>
      <c r="F73" s="122">
        <v>0.26041666666666669</v>
      </c>
      <c r="G73" s="122">
        <v>0.77083333333333337</v>
      </c>
      <c r="H73" s="138">
        <v>20282.599999999999</v>
      </c>
      <c r="I73" s="138">
        <v>20148.7</v>
      </c>
      <c r="J73" s="138">
        <v>27587.1</v>
      </c>
      <c r="K73" s="138">
        <v>27793.9</v>
      </c>
      <c r="L73" s="138">
        <v>27700.1</v>
      </c>
      <c r="M73" s="138">
        <v>22845.3</v>
      </c>
      <c r="N73" s="138">
        <v>22527.8</v>
      </c>
      <c r="O73" s="167"/>
      <c r="P73" s="167"/>
      <c r="Q73" s="58">
        <v>5.25</v>
      </c>
      <c r="R73" s="58">
        <v>5.42</v>
      </c>
      <c r="S73" s="58">
        <v>32.74</v>
      </c>
      <c r="T73" s="58">
        <v>43.09</v>
      </c>
      <c r="U73" s="58">
        <v>47.8</v>
      </c>
      <c r="V73" s="58">
        <v>0</v>
      </c>
      <c r="W73" s="58">
        <v>1.96</v>
      </c>
      <c r="X73" s="58">
        <v>6.64</v>
      </c>
      <c r="Y73" s="60">
        <f>SUM(RD[[#This Row],[IS1Inv1]:[IS3Inv1]])</f>
        <v>123512.4</v>
      </c>
      <c r="Z73" s="60">
        <f>SUM(RD[[#This Row],[IS4Inv1]:[IS4Inv2]])</f>
        <v>45373.1</v>
      </c>
      <c r="AA73" s="60">
        <f>SUM(RD[[#This Row],[O2RE7]:[O2RE27]])</f>
        <v>168885.5</v>
      </c>
      <c r="AB73" s="153"/>
      <c r="AC73" s="153">
        <v>16817</v>
      </c>
      <c r="AD73" s="153"/>
      <c r="AE73" s="153">
        <v>10908.3</v>
      </c>
      <c r="AF73" s="153">
        <v>16505.776999999998</v>
      </c>
      <c r="AG73" s="153">
        <v>0.04</v>
      </c>
      <c r="AH73" s="153">
        <v>2.27</v>
      </c>
      <c r="AI73" s="154" t="str">
        <f>IF((RD[[#This Row],[33 kV_F1_Ex]]-AB72)*150000&lt;=0,"",(RD[[#This Row],[33 kV_F1_Ex]]-AB72)*150000)</f>
        <v/>
      </c>
      <c r="AJ73" s="154">
        <f>IF((RD[[#This Row],[33kV_OG1_Ex]]-AC72)*1000&lt;=0,0,(RD[[#This Row],[33kV_OG1_Ex]]-AC72)*1000)</f>
        <v>167000</v>
      </c>
      <c r="AK73" s="154">
        <f>IF((RD[[#This Row],[220kV_TL_TVM_Ex]]-AE72)*1600&lt;=0,0,(RD[[#This Row],[220kV_TL_TVM_Ex]]-AE72)*1600)</f>
        <v>166079.99999999884</v>
      </c>
      <c r="AL73" s="154">
        <f>IF((RD[[#This Row],[220kV_C&amp;R_PQM_Ex]]-AF72)*1000&lt;=0,"",(RD[[#This Row],[220kV_C&amp;R_PQM_Ex]]-AF72)*1000)</f>
        <v>165724.99999999854</v>
      </c>
      <c r="AM73" s="154">
        <f>IF((RD[[#This Row],[33kV_Aux1_Im]]-AH72)*1000&lt;0,"",(RD[[#This Row],[33kV_Aux1_Im]]-AH72)*1000)</f>
        <v>240.00000000000023</v>
      </c>
      <c r="AN73" s="154">
        <f>IF((RD[[#This Row],[33kV_Aux1_Im]]-AH72)*1000&lt;0,"",(RD[[#This Row],[33kV_Aux1_Im]]-AH72)*1000)</f>
        <v>240.00000000000023</v>
      </c>
      <c r="AO73" s="61">
        <f>RD[[#This Row],[33kV_OG1_Energy (KWh)]]</f>
        <v>167000</v>
      </c>
      <c r="AP73" s="61">
        <f>IFERROR(RD[[#This Row],[220kV_TL_TVM Energy (KWh)]]-RD[[#This Row],[220kV_C&amp;R_PQM_Imp (KWh)2]],"")</f>
        <v>165839.99999999884</v>
      </c>
      <c r="AQ73" s="63">
        <f>IFERROR(RD[[#This Row],[33 kV Total Export (KWH)]]/RD[[#This Row],[220 KV Net Export (KWh)]]-1,"")</f>
        <v>6.9946936806630777E-3</v>
      </c>
      <c r="AR73" s="64">
        <f>IFERROR((RD[[#This Row],[Sunset Time (POA&lt;20 W/m2)]]-RD[[#This Row],[Sunrise Time (POA&gt;20 W/m2)]])*24,0)</f>
        <v>12.250000000000002</v>
      </c>
      <c r="AS73" s="65">
        <f>RD[[#This Row],[33kV_OG1_Energy (KWh)]]</f>
        <v>167000</v>
      </c>
      <c r="AT73" s="65">
        <f>IFERROR(RD[[#This Row],[ Export (33 kV)]]*(1-RD[[#This Row],[33 kV Line Loss (%)]]),RD[[#This Row],[ Export (33 kV)]])</f>
        <v>165831.88615532927</v>
      </c>
      <c r="AU73" s="277">
        <v>39.21</v>
      </c>
      <c r="AV73" s="122"/>
      <c r="AW73" s="122"/>
      <c r="AX73" t="str">
        <f>IFERROR(RD[[#This Row],[E_AC (WPR)]]/RD[[#This Row],[E_DC (WPR)]],"")</f>
        <v/>
      </c>
    </row>
    <row r="74" spans="1:50">
      <c r="A74" s="148">
        <f t="shared" si="47"/>
        <v>45814</v>
      </c>
      <c r="B74" s="151">
        <f>YEAR(RD[[#This Row],[Date]])+IF(MONTH(RD[[#This Row],[Date]])&gt;=4,1,0)</f>
        <v>2026</v>
      </c>
      <c r="C74" s="151">
        <f>YEAR(RD[[#This Row],[Date]])</f>
        <v>2025</v>
      </c>
      <c r="D74" s="152">
        <f t="shared" si="46"/>
        <v>45809</v>
      </c>
      <c r="E74" s="151">
        <f>DAY(EOMONTH(RD[[#This Row],[Date]],0))</f>
        <v>30</v>
      </c>
      <c r="F74" s="122">
        <v>0.25</v>
      </c>
      <c r="G74" s="122">
        <v>0.77430555555555558</v>
      </c>
      <c r="H74" s="138">
        <v>26245.1</v>
      </c>
      <c r="I74" s="138">
        <v>26085.3</v>
      </c>
      <c r="J74" s="138">
        <v>35795.800000000003</v>
      </c>
      <c r="K74" s="138">
        <v>36050.9</v>
      </c>
      <c r="L74" s="138">
        <v>35745.300000000003</v>
      </c>
      <c r="M74" s="138">
        <v>28654.3</v>
      </c>
      <c r="N74" s="138">
        <v>28496.3</v>
      </c>
      <c r="O74" s="167"/>
      <c r="P74" s="167"/>
      <c r="Q74" s="58">
        <v>6.77</v>
      </c>
      <c r="R74" s="58">
        <v>7.22</v>
      </c>
      <c r="S74" s="58">
        <v>35.74</v>
      </c>
      <c r="T74" s="58">
        <v>36.479999999999997</v>
      </c>
      <c r="U74" s="58">
        <v>46.55</v>
      </c>
      <c r="V74" s="58">
        <v>0</v>
      </c>
      <c r="W74" s="58">
        <v>2.27</v>
      </c>
      <c r="X74" s="58">
        <v>6.36</v>
      </c>
      <c r="Y74" s="60">
        <f>SUM(RD[[#This Row],[IS1Inv1]:[IS3Inv1]])</f>
        <v>159922.40000000002</v>
      </c>
      <c r="Z74" s="60">
        <f>SUM(RD[[#This Row],[IS4Inv1]:[IS4Inv2]])</f>
        <v>57150.6</v>
      </c>
      <c r="AA74" s="60">
        <f>SUM(RD[[#This Row],[O2RE7]:[O2RE27]])</f>
        <v>217073.00000000003</v>
      </c>
      <c r="AB74" s="153"/>
      <c r="AC74" s="153">
        <v>17031</v>
      </c>
      <c r="AD74" s="153"/>
      <c r="AE74" s="153">
        <v>11041.6</v>
      </c>
      <c r="AF74" s="153">
        <v>16718.843000000001</v>
      </c>
      <c r="AG74" s="153">
        <v>0.04</v>
      </c>
      <c r="AH74" s="153">
        <v>2.5</v>
      </c>
      <c r="AI74" s="154" t="str">
        <f>IF((RD[[#This Row],[33 kV_F1_Ex]]-AB73)*150000&lt;=0,"",(RD[[#This Row],[33 kV_F1_Ex]]-AB73)*150000)</f>
        <v/>
      </c>
      <c r="AJ74" s="154">
        <f>IF((RD[[#This Row],[33kV_OG1_Ex]]-AC73)*1000&lt;=0,0,(RD[[#This Row],[33kV_OG1_Ex]]-AC73)*1000)</f>
        <v>214000</v>
      </c>
      <c r="AK74" s="154">
        <f>IF((RD[[#This Row],[220kV_TL_TVM_Ex]]-AE73)*1600&lt;=0,0,(RD[[#This Row],[220kV_TL_TVM_Ex]]-AE73)*1600)</f>
        <v>213280.00000000175</v>
      </c>
      <c r="AL74" s="154">
        <f>IF((RD[[#This Row],[220kV_C&amp;R_PQM_Ex]]-AF73)*1000&lt;=0,"",(RD[[#This Row],[220kV_C&amp;R_PQM_Ex]]-AF73)*1000)</f>
        <v>213066.00000000253</v>
      </c>
      <c r="AM74" s="154">
        <f>IF((RD[[#This Row],[33kV_Aux1_Im]]-AH73)*1000&lt;0,"",(RD[[#This Row],[33kV_Aux1_Im]]-AH73)*1000)</f>
        <v>229.99999999999997</v>
      </c>
      <c r="AN74" s="154">
        <f>IF((RD[[#This Row],[33kV_Aux1_Im]]-AH73)*1000&lt;0,"",(RD[[#This Row],[33kV_Aux1_Im]]-AH73)*1000)</f>
        <v>229.99999999999997</v>
      </c>
      <c r="AO74" s="61">
        <f>RD[[#This Row],[33kV_OG1_Energy (KWh)]]</f>
        <v>214000</v>
      </c>
      <c r="AP74" s="61">
        <f>IFERROR(RD[[#This Row],[220kV_TL_TVM Energy (KWh)]]-RD[[#This Row],[220kV_C&amp;R_PQM_Imp (KWh)2]],"")</f>
        <v>213050.00000000175</v>
      </c>
      <c r="AQ74" s="63">
        <f>IFERROR(RD[[#This Row],[33 kV Total Export (KWH)]]/RD[[#This Row],[220 KV Net Export (KWh)]]-1,"")</f>
        <v>4.459047172017172E-3</v>
      </c>
      <c r="AR74" s="64">
        <f>IFERROR((RD[[#This Row],[Sunset Time (POA&lt;20 W/m2)]]-RD[[#This Row],[Sunrise Time (POA&gt;20 W/m2)]])*24,0)</f>
        <v>12.583333333333334</v>
      </c>
      <c r="AS74" s="65">
        <f>RD[[#This Row],[33kV_OG1_Energy (KWh)]]</f>
        <v>214000</v>
      </c>
      <c r="AT74" s="65">
        <f>IFERROR(RD[[#This Row],[ Export (33 kV)]]*(1-RD[[#This Row],[33 kV Line Loss (%)]]),RD[[#This Row],[ Export (33 kV)]])</f>
        <v>213045.76390518833</v>
      </c>
      <c r="AU74" s="277">
        <v>39.21</v>
      </c>
      <c r="AV74" s="122"/>
      <c r="AW74" s="122"/>
      <c r="AX74" t="str">
        <f>IFERROR(RD[[#This Row],[E_AC (WPR)]]/RD[[#This Row],[E_DC (WPR)]],"")</f>
        <v/>
      </c>
    </row>
    <row r="75" spans="1:50">
      <c r="A75" s="148">
        <f t="shared" si="47"/>
        <v>45815</v>
      </c>
      <c r="B75" s="151">
        <f>YEAR(RD[[#This Row],[Date]])+IF(MONTH(RD[[#This Row],[Date]])&gt;=4,1,0)</f>
        <v>2026</v>
      </c>
      <c r="C75" s="151">
        <f>YEAR(RD[[#This Row],[Date]])</f>
        <v>2025</v>
      </c>
      <c r="D75" s="152">
        <f t="shared" si="46"/>
        <v>45809</v>
      </c>
      <c r="E75" s="151">
        <f>DAY(EOMONTH(RD[[#This Row],[Date]],0))</f>
        <v>30</v>
      </c>
      <c r="F75" s="122">
        <v>0.24930555555555556</v>
      </c>
      <c r="G75" s="122">
        <v>0.76249999999999996</v>
      </c>
      <c r="H75" s="138">
        <v>20548.2</v>
      </c>
      <c r="I75" s="138">
        <v>20519.900000000001</v>
      </c>
      <c r="J75" s="138">
        <v>28227.599999999999</v>
      </c>
      <c r="K75" s="138">
        <v>28506.3</v>
      </c>
      <c r="L75" s="138">
        <v>28600</v>
      </c>
      <c r="M75" s="138">
        <v>23079.200000000001</v>
      </c>
      <c r="N75" s="138">
        <v>22933.7</v>
      </c>
      <c r="O75" s="167"/>
      <c r="P75" s="167"/>
      <c r="Q75" s="58">
        <v>5.23</v>
      </c>
      <c r="R75" s="58">
        <v>5.54</v>
      </c>
      <c r="S75" s="58">
        <v>34.450000000000003</v>
      </c>
      <c r="T75" s="58">
        <v>40.98</v>
      </c>
      <c r="U75" s="58">
        <v>44.319499999999998</v>
      </c>
      <c r="V75" s="58">
        <v>0</v>
      </c>
      <c r="W75" s="58">
        <v>3.45</v>
      </c>
      <c r="X75" s="58">
        <v>10.47</v>
      </c>
      <c r="Y75" s="60">
        <f>SUM(RD[[#This Row],[IS1Inv1]:[IS3Inv1]])</f>
        <v>126402.00000000001</v>
      </c>
      <c r="Z75" s="60">
        <f>SUM(RD[[#This Row],[IS4Inv1]:[IS4Inv2]])</f>
        <v>46012.9</v>
      </c>
      <c r="AA75" s="60">
        <f>SUM(RD[[#This Row],[O2RE7]:[O2RE27]])</f>
        <v>172414.90000000002</v>
      </c>
      <c r="AB75" s="153"/>
      <c r="AC75" s="153">
        <v>17202</v>
      </c>
      <c r="AD75" s="153"/>
      <c r="AE75" s="153">
        <v>11147.6</v>
      </c>
      <c r="AF75" s="153">
        <v>16888.118999999999</v>
      </c>
      <c r="AG75" s="153">
        <v>0.04</v>
      </c>
      <c r="AH75" s="153">
        <v>2.74</v>
      </c>
      <c r="AI75" s="154" t="str">
        <f>IF((RD[[#This Row],[33 kV_F1_Ex]]-AB74)*150000&lt;=0,"",(RD[[#This Row],[33 kV_F1_Ex]]-AB74)*150000)</f>
        <v/>
      </c>
      <c r="AJ75" s="154">
        <f>IF((RD[[#This Row],[33kV_OG1_Ex]]-AC74)*1000&lt;=0,0,(RD[[#This Row],[33kV_OG1_Ex]]-AC74)*1000)</f>
        <v>171000</v>
      </c>
      <c r="AK75" s="154">
        <f>IF((RD[[#This Row],[220kV_TL_TVM_Ex]]-AE74)*1600&lt;=0,0,(RD[[#This Row],[220kV_TL_TVM_Ex]]-AE74)*1600)</f>
        <v>169600</v>
      </c>
      <c r="AL75" s="154">
        <f>IF((RD[[#This Row],[220kV_C&amp;R_PQM_Ex]]-AF74)*1000&lt;=0,"",(RD[[#This Row],[220kV_C&amp;R_PQM_Ex]]-AF74)*1000)</f>
        <v>169275.99999999802</v>
      </c>
      <c r="AM75" s="154">
        <f>IF((RD[[#This Row],[33kV_Aux1_Im]]-AH74)*1000&lt;0,"",(RD[[#This Row],[33kV_Aux1_Im]]-AH74)*1000)</f>
        <v>240.00000000000023</v>
      </c>
      <c r="AN75" s="154">
        <f>IF((RD[[#This Row],[33kV_Aux1_Im]]-AH74)*1000&lt;0,"",(RD[[#This Row],[33kV_Aux1_Im]]-AH74)*1000)</f>
        <v>240.00000000000023</v>
      </c>
      <c r="AO75" s="61">
        <f>RD[[#This Row],[33kV_OG1_Energy (KWh)]]</f>
        <v>171000</v>
      </c>
      <c r="AP75" s="61">
        <f>IFERROR(RD[[#This Row],[220kV_TL_TVM Energy (KWh)]]-RD[[#This Row],[220kV_C&amp;R_PQM_Imp (KWh)2]],"")</f>
        <v>169360</v>
      </c>
      <c r="AQ75" s="63">
        <f>IFERROR(RD[[#This Row],[33 kV Total Export (KWH)]]/RD[[#This Row],[220 KV Net Export (KWh)]]-1,"")</f>
        <v>9.6835144071800716E-3</v>
      </c>
      <c r="AR75" s="64">
        <f>IFERROR((RD[[#This Row],[Sunset Time (POA&lt;20 W/m2)]]-RD[[#This Row],[Sunrise Time (POA&gt;20 W/m2)]])*24,0)</f>
        <v>12.316666666666666</v>
      </c>
      <c r="AS75" s="65">
        <f>RD[[#This Row],[33kV_OG1_Energy (KWh)]]</f>
        <v>171000</v>
      </c>
      <c r="AT75" s="65">
        <f>IFERROR(RD[[#This Row],[ Export (33 kV)]]*(1-RD[[#This Row],[33 kV Line Loss (%)]]),RD[[#This Row],[ Export (33 kV)]])</f>
        <v>169344.1190363722</v>
      </c>
      <c r="AU75" s="277">
        <v>39.21</v>
      </c>
      <c r="AV75" s="122"/>
      <c r="AW75" s="122"/>
      <c r="AX75" t="str">
        <f>IFERROR(RD[[#This Row],[E_AC (WPR)]]/RD[[#This Row],[E_DC (WPR)]],"")</f>
        <v/>
      </c>
    </row>
    <row r="76" spans="1:50">
      <c r="A76" s="148">
        <f t="shared" si="47"/>
        <v>45816</v>
      </c>
      <c r="B76" s="151">
        <f>YEAR(RD[[#This Row],[Date]])+IF(MONTH(RD[[#This Row],[Date]])&gt;=4,1,0)</f>
        <v>2026</v>
      </c>
      <c r="C76" s="151">
        <f>YEAR(RD[[#This Row],[Date]])</f>
        <v>2025</v>
      </c>
      <c r="D76" s="152">
        <f t="shared" si="46"/>
        <v>45809</v>
      </c>
      <c r="E76" s="151">
        <f>DAY(EOMONTH(RD[[#This Row],[Date]],0))</f>
        <v>30</v>
      </c>
      <c r="F76" s="122">
        <v>0.25138888888888888</v>
      </c>
      <c r="G76" s="122">
        <v>0.77430555555555558</v>
      </c>
      <c r="H76" s="138">
        <v>22467.9</v>
      </c>
      <c r="I76" s="138">
        <v>22693.9</v>
      </c>
      <c r="J76" s="138">
        <v>31227.599999999999</v>
      </c>
      <c r="K76" s="138">
        <v>31778.6</v>
      </c>
      <c r="L76" s="138">
        <v>32087.5</v>
      </c>
      <c r="M76" s="138">
        <v>25149.599999999999</v>
      </c>
      <c r="N76" s="138">
        <v>25141.599999999999</v>
      </c>
      <c r="O76" s="167"/>
      <c r="P76" s="167"/>
      <c r="Q76" s="58">
        <v>5.65</v>
      </c>
      <c r="R76" s="58">
        <v>5.95</v>
      </c>
      <c r="S76" s="58">
        <v>35.869999999999997</v>
      </c>
      <c r="T76" s="58">
        <v>42.72</v>
      </c>
      <c r="U76" s="58">
        <v>41.55</v>
      </c>
      <c r="V76" s="58">
        <v>0</v>
      </c>
      <c r="W76" s="58">
        <v>4.45</v>
      </c>
      <c r="X76" s="58">
        <v>9.2100000000000009</v>
      </c>
      <c r="Y76" s="60">
        <f>SUM(RD[[#This Row],[IS1Inv1]:[IS3Inv1]])</f>
        <v>140255.5</v>
      </c>
      <c r="Z76" s="60">
        <f>SUM(RD[[#This Row],[IS4Inv1]:[IS4Inv2]])</f>
        <v>50291.199999999997</v>
      </c>
      <c r="AA76" s="60">
        <f>SUM(RD[[#This Row],[O2RE7]:[O2RE27]])</f>
        <v>190546.7</v>
      </c>
      <c r="AB76" s="153"/>
      <c r="AC76" s="153">
        <v>17390</v>
      </c>
      <c r="AD76" s="153"/>
      <c r="AE76" s="153">
        <v>11264.7</v>
      </c>
      <c r="AF76" s="153">
        <v>17075.226999999999</v>
      </c>
      <c r="AG76" s="153">
        <v>0.04</v>
      </c>
      <c r="AH76" s="153">
        <v>2.96</v>
      </c>
      <c r="AI76" s="154" t="str">
        <f>IF((RD[[#This Row],[33 kV_F1_Ex]]-AB75)*150000&lt;=0,"",(RD[[#This Row],[33 kV_F1_Ex]]-AB75)*150000)</f>
        <v/>
      </c>
      <c r="AJ76" s="154">
        <f>IF((RD[[#This Row],[33kV_OG1_Ex]]-AC75)*1000&lt;=0,0,(RD[[#This Row],[33kV_OG1_Ex]]-AC75)*1000)</f>
        <v>188000</v>
      </c>
      <c r="AK76" s="154">
        <f>IF((RD[[#This Row],[220kV_TL_TVM_Ex]]-AE75)*1600&lt;=0,0,(RD[[#This Row],[220kV_TL_TVM_Ex]]-AE75)*1600)</f>
        <v>187360.00000000058</v>
      </c>
      <c r="AL76" s="154">
        <f>IF((RD[[#This Row],[220kV_C&amp;R_PQM_Ex]]-AF75)*1000&lt;=0,"",(RD[[#This Row],[220kV_C&amp;R_PQM_Ex]]-AF75)*1000)</f>
        <v>187108.00000000017</v>
      </c>
      <c r="AM76" s="154">
        <f>IF((RD[[#This Row],[33kV_Aux1_Im]]-AH75)*1000&lt;0,"",(RD[[#This Row],[33kV_Aux1_Im]]-AH75)*1000)</f>
        <v>219.99999999999974</v>
      </c>
      <c r="AN76" s="154">
        <f>IF((RD[[#This Row],[33kV_Aux1_Im]]-AH75)*1000&lt;0,"",(RD[[#This Row],[33kV_Aux1_Im]]-AH75)*1000)</f>
        <v>219.99999999999974</v>
      </c>
      <c r="AO76" s="61">
        <f>RD[[#This Row],[33kV_OG1_Energy (KWh)]]</f>
        <v>188000</v>
      </c>
      <c r="AP76" s="61">
        <f>IFERROR(RD[[#This Row],[220kV_TL_TVM Energy (KWh)]]-RD[[#This Row],[220kV_C&amp;R_PQM_Imp (KWh)2]],"")</f>
        <v>187140.00000000058</v>
      </c>
      <c r="AQ76" s="63">
        <f>IFERROR(RD[[#This Row],[33 kV Total Export (KWH)]]/RD[[#This Row],[220 KV Net Export (KWh)]]-1,"")</f>
        <v>4.5954900074778315E-3</v>
      </c>
      <c r="AR76" s="64">
        <f>IFERROR((RD[[#This Row],[Sunset Time (POA&lt;20 W/m2)]]-RD[[#This Row],[Sunrise Time (POA&gt;20 W/m2)]])*24,0)</f>
        <v>12.55</v>
      </c>
      <c r="AS76" s="65">
        <f>RD[[#This Row],[33kV_OG1_Energy (KWh)]]</f>
        <v>188000</v>
      </c>
      <c r="AT76" s="65">
        <f>IFERROR(RD[[#This Row],[ Export (33 kV)]]*(1-RD[[#This Row],[33 kV Line Loss (%)]]),RD[[#This Row],[ Export (33 kV)]])</f>
        <v>187136.04787859417</v>
      </c>
      <c r="AU76" s="277">
        <v>39.21</v>
      </c>
      <c r="AV76" s="122"/>
      <c r="AW76" s="122"/>
      <c r="AX76" t="str">
        <f>IFERROR(RD[[#This Row],[E_AC (WPR)]]/RD[[#This Row],[E_DC (WPR)]],"")</f>
        <v/>
      </c>
    </row>
    <row r="77" spans="1:50">
      <c r="A77" s="148">
        <f t="shared" si="47"/>
        <v>45817</v>
      </c>
      <c r="B77" s="151">
        <f>YEAR(RD[[#This Row],[Date]])+IF(MONTH(RD[[#This Row],[Date]])&gt;=4,1,0)</f>
        <v>2026</v>
      </c>
      <c r="C77" s="151">
        <f>YEAR(RD[[#This Row],[Date]])</f>
        <v>2025</v>
      </c>
      <c r="D77" s="152">
        <f t="shared" ref="D77:D140" si="48">A77-DAY(A77)+1</f>
        <v>45809</v>
      </c>
      <c r="E77" s="151">
        <f>DAY(EOMONTH(RD[[#This Row],[Date]],0))</f>
        <v>30</v>
      </c>
      <c r="F77" s="122">
        <v>0.25138888888888888</v>
      </c>
      <c r="G77" s="122">
        <v>0.75763888888888886</v>
      </c>
      <c r="H77" s="138">
        <v>24440.3</v>
      </c>
      <c r="I77" s="138">
        <v>24606</v>
      </c>
      <c r="J77" s="138">
        <v>33713.699999999997</v>
      </c>
      <c r="K77" s="138">
        <v>33988.800000000003</v>
      </c>
      <c r="L77" s="138">
        <v>34051.300000000003</v>
      </c>
      <c r="M77" s="138">
        <v>27471.7</v>
      </c>
      <c r="N77" s="138">
        <v>27192.2</v>
      </c>
      <c r="O77" s="167"/>
      <c r="P77" s="167"/>
      <c r="Q77" s="58">
        <v>6.21</v>
      </c>
      <c r="R77" s="58">
        <v>6.56</v>
      </c>
      <c r="S77" s="58">
        <v>36.049999999999997</v>
      </c>
      <c r="T77" s="58">
        <v>44.68</v>
      </c>
      <c r="U77" s="58">
        <v>43.57</v>
      </c>
      <c r="V77" s="58">
        <v>0</v>
      </c>
      <c r="W77" s="58">
        <v>4.6500000000000004</v>
      </c>
      <c r="X77" s="58">
        <v>9.27</v>
      </c>
      <c r="Y77" s="60">
        <f>SUM(RD[[#This Row],[IS1Inv1]:[IS3Inv1]])</f>
        <v>150800.1</v>
      </c>
      <c r="Z77" s="60">
        <f>SUM(RD[[#This Row],[IS4Inv1]:[IS4Inv2]])</f>
        <v>54663.9</v>
      </c>
      <c r="AA77" s="60">
        <f>SUM(RD[[#This Row],[O2RE7]:[O2RE27]])</f>
        <v>205464</v>
      </c>
      <c r="AB77" s="153"/>
      <c r="AC77" s="153">
        <v>17594</v>
      </c>
      <c r="AD77" s="153"/>
      <c r="AE77" s="153">
        <v>11391</v>
      </c>
      <c r="AF77" s="153">
        <v>17277.007000000001</v>
      </c>
      <c r="AG77" s="153">
        <v>0.04</v>
      </c>
      <c r="AH77" s="153">
        <v>3.2</v>
      </c>
      <c r="AI77" s="154" t="str">
        <f>IF((RD[[#This Row],[33 kV_F1_Ex]]-AB76)*150000&lt;=0,"",(RD[[#This Row],[33 kV_F1_Ex]]-AB76)*150000)</f>
        <v/>
      </c>
      <c r="AJ77" s="154">
        <f>IF((RD[[#This Row],[33kV_OG1_Ex]]-AC76)*1000&lt;=0,0,(RD[[#This Row],[33kV_OG1_Ex]]-AC76)*1000)</f>
        <v>204000</v>
      </c>
      <c r="AK77" s="154">
        <f>IF((RD[[#This Row],[220kV_TL_TVM_Ex]]-AE76)*1600&lt;=0,0,(RD[[#This Row],[220kV_TL_TVM_Ex]]-AE76)*1600)</f>
        <v>202079.99999999884</v>
      </c>
      <c r="AL77" s="154">
        <f>IF((RD[[#This Row],[220kV_C&amp;R_PQM_Ex]]-AF76)*1000&lt;=0,"",(RD[[#This Row],[220kV_C&amp;R_PQM_Ex]]-AF76)*1000)</f>
        <v>201780.00000000247</v>
      </c>
      <c r="AM77" s="154">
        <f>IF((RD[[#This Row],[33kV_Aux1_Im]]-AH76)*1000&lt;0,"",(RD[[#This Row],[33kV_Aux1_Im]]-AH76)*1000)</f>
        <v>240.00000000000023</v>
      </c>
      <c r="AN77" s="154">
        <f>IF((RD[[#This Row],[33kV_Aux1_Im]]-AH76)*1000&lt;0,"",(RD[[#This Row],[33kV_Aux1_Im]]-AH76)*1000)</f>
        <v>240.00000000000023</v>
      </c>
      <c r="AO77" s="61">
        <f>RD[[#This Row],[33kV_OG1_Energy (KWh)]]</f>
        <v>204000</v>
      </c>
      <c r="AP77" s="61">
        <f>IFERROR(RD[[#This Row],[220kV_TL_TVM Energy (KWh)]]-RD[[#This Row],[220kV_C&amp;R_PQM_Imp (KWh)2]],"")</f>
        <v>201839.99999999884</v>
      </c>
      <c r="AQ77" s="63">
        <f>IFERROR(RD[[#This Row],[33 kV Total Export (KWH)]]/RD[[#This Row],[220 KV Net Export (KWh)]]-1,"")</f>
        <v>1.0701545778840638E-2</v>
      </c>
      <c r="AR77" s="64">
        <f>IFERROR((RD[[#This Row],[Sunset Time (POA&lt;20 W/m2)]]-RD[[#This Row],[Sunrise Time (POA&gt;20 W/m2)]])*24,0)</f>
        <v>12.149999999999999</v>
      </c>
      <c r="AS77" s="65">
        <f>RD[[#This Row],[33kV_OG1_Energy (KWh)]]</f>
        <v>204000</v>
      </c>
      <c r="AT77" s="65">
        <f>IFERROR(RD[[#This Row],[ Export (33 kV)]]*(1-RD[[#This Row],[33 kV Line Loss (%)]]),RD[[#This Row],[ Export (33 kV)]])</f>
        <v>201816.88466111652</v>
      </c>
      <c r="AU77" s="277">
        <v>39.21</v>
      </c>
      <c r="AV77" s="122"/>
      <c r="AW77" s="122"/>
      <c r="AX77" t="str">
        <f>IFERROR(RD[[#This Row],[E_AC (WPR)]]/RD[[#This Row],[E_DC (WPR)]],"")</f>
        <v/>
      </c>
    </row>
    <row r="78" spans="1:50">
      <c r="A78" s="148">
        <f t="shared" si="47"/>
        <v>45818</v>
      </c>
      <c r="B78" s="151">
        <f>YEAR(RD[[#This Row],[Date]])+IF(MONTH(RD[[#This Row],[Date]])&gt;=4,1,0)</f>
        <v>2026</v>
      </c>
      <c r="C78" s="151">
        <f>YEAR(RD[[#This Row],[Date]])</f>
        <v>2025</v>
      </c>
      <c r="D78" s="152">
        <f t="shared" si="48"/>
        <v>45809</v>
      </c>
      <c r="E78" s="151">
        <f>DAY(EOMONTH(RD[[#This Row],[Date]],0))</f>
        <v>30</v>
      </c>
      <c r="F78" s="122">
        <v>0.27430555555555558</v>
      </c>
      <c r="G78" s="122">
        <v>0.7055555555555556</v>
      </c>
      <c r="H78" s="138">
        <v>19669.8</v>
      </c>
      <c r="I78" s="138">
        <v>19638</v>
      </c>
      <c r="J78" s="138">
        <v>27168.400000000001</v>
      </c>
      <c r="K78" s="138">
        <v>27377</v>
      </c>
      <c r="L78" s="138">
        <v>27447.1</v>
      </c>
      <c r="M78" s="138">
        <v>21810.6</v>
      </c>
      <c r="N78" s="138">
        <v>21651.1</v>
      </c>
      <c r="O78" s="167"/>
      <c r="P78" s="167"/>
      <c r="Q78" s="58">
        <v>4.76</v>
      </c>
      <c r="R78" s="58">
        <v>4.93</v>
      </c>
      <c r="S78" s="58">
        <v>33.840000000000003</v>
      </c>
      <c r="T78" s="58">
        <v>40.71</v>
      </c>
      <c r="U78" s="58">
        <v>51.23</v>
      </c>
      <c r="V78" s="58">
        <v>0</v>
      </c>
      <c r="W78" s="58">
        <v>4.8600000000000003</v>
      </c>
      <c r="X78" s="58">
        <v>22.74</v>
      </c>
      <c r="Y78" s="60">
        <f>SUM(RD[[#This Row],[IS1Inv1]:[IS3Inv1]])</f>
        <v>121300.30000000002</v>
      </c>
      <c r="Z78" s="60">
        <f>SUM(RD[[#This Row],[IS4Inv1]:[IS4Inv2]])</f>
        <v>43461.7</v>
      </c>
      <c r="AA78" s="60">
        <f>SUM(RD[[#This Row],[O2RE7]:[O2RE27]])</f>
        <v>164762</v>
      </c>
      <c r="AB78" s="153"/>
      <c r="AC78" s="153">
        <v>17757</v>
      </c>
      <c r="AD78" s="153"/>
      <c r="AE78" s="153">
        <v>11492.3</v>
      </c>
      <c r="AF78" s="153">
        <v>17438</v>
      </c>
      <c r="AG78" s="153">
        <v>0.04</v>
      </c>
      <c r="AH78" s="153">
        <v>3.42</v>
      </c>
      <c r="AI78" s="154" t="str">
        <f>IF((RD[[#This Row],[33 kV_F1_Ex]]-AB77)*150000&lt;=0,"",(RD[[#This Row],[33 kV_F1_Ex]]-AB77)*150000)</f>
        <v/>
      </c>
      <c r="AJ78" s="154">
        <f>IF((RD[[#This Row],[33kV_OG1_Ex]]-AC77)*1000&lt;=0,0,(RD[[#This Row],[33kV_OG1_Ex]]-AC77)*1000)</f>
        <v>163000</v>
      </c>
      <c r="AK78" s="154">
        <f>IF((RD[[#This Row],[220kV_TL_TVM_Ex]]-AE77)*1600&lt;=0,0,(RD[[#This Row],[220kV_TL_TVM_Ex]]-AE77)*1600)</f>
        <v>162079.99999999884</v>
      </c>
      <c r="AL78" s="154">
        <f>IF((RD[[#This Row],[220kV_C&amp;R_PQM_Ex]]-AF77)*1000&lt;=0,"",(RD[[#This Row],[220kV_C&amp;R_PQM_Ex]]-AF77)*1000)</f>
        <v>160992.99999999857</v>
      </c>
      <c r="AM78" s="154">
        <f>IF((RD[[#This Row],[33kV_Aux1_Im]]-AH77)*1000&lt;0,"",(RD[[#This Row],[33kV_Aux1_Im]]-AH77)*1000)</f>
        <v>219.99999999999974</v>
      </c>
      <c r="AN78" s="154">
        <f>IF((RD[[#This Row],[33kV_Aux1_Im]]-AH77)*1000&lt;0,"",(RD[[#This Row],[33kV_Aux1_Im]]-AH77)*1000)</f>
        <v>219.99999999999974</v>
      </c>
      <c r="AO78" s="61">
        <f>RD[[#This Row],[33kV_OG1_Energy (KWh)]]</f>
        <v>163000</v>
      </c>
      <c r="AP78" s="61">
        <f>IFERROR(RD[[#This Row],[220kV_TL_TVM Energy (KWh)]]-RD[[#This Row],[220kV_C&amp;R_PQM_Imp (KWh)2]],"")</f>
        <v>161859.99999999884</v>
      </c>
      <c r="AQ78" s="63">
        <f>IFERROR(RD[[#This Row],[33 kV Total Export (KWH)]]/RD[[#This Row],[220 KV Net Export (KWh)]]-1,"")</f>
        <v>7.0431236871442149E-3</v>
      </c>
      <c r="AR78" s="64">
        <f>IFERROR((RD[[#This Row],[Sunset Time (POA&lt;20 W/m2)]]-RD[[#This Row],[Sunrise Time (POA&gt;20 W/m2)]])*24,0)</f>
        <v>10.350000000000001</v>
      </c>
      <c r="AS78" s="65">
        <f>RD[[#This Row],[33kV_OG1_Energy (KWh)]]</f>
        <v>163000</v>
      </c>
      <c r="AT78" s="65">
        <f>IFERROR(RD[[#This Row],[ Export (33 kV)]]*(1-RD[[#This Row],[33 kV Line Loss (%)]]),RD[[#This Row],[ Export (33 kV)]])</f>
        <v>161851.9708389955</v>
      </c>
      <c r="AU78" s="277">
        <v>39.21</v>
      </c>
      <c r="AV78" s="122"/>
      <c r="AW78" s="122"/>
      <c r="AX78" t="str">
        <f>IFERROR(RD[[#This Row],[E_AC (WPR)]]/RD[[#This Row],[E_DC (WPR)]],"")</f>
        <v/>
      </c>
    </row>
    <row r="79" spans="1:50">
      <c r="A79" s="148">
        <f t="shared" ref="A79:A142" si="49">A78+1</f>
        <v>45819</v>
      </c>
      <c r="B79" s="151">
        <f>YEAR(RD[[#This Row],[Date]])+IF(MONTH(RD[[#This Row],[Date]])&gt;=4,1,0)</f>
        <v>2026</v>
      </c>
      <c r="C79" s="151">
        <f>YEAR(RD[[#This Row],[Date]])</f>
        <v>2025</v>
      </c>
      <c r="D79" s="152">
        <f t="shared" si="48"/>
        <v>45809</v>
      </c>
      <c r="E79" s="151">
        <f>DAY(EOMONTH(RD[[#This Row],[Date]],0))</f>
        <v>30</v>
      </c>
      <c r="F79" s="122">
        <v>0.26805555555555555</v>
      </c>
      <c r="G79" s="122">
        <v>0.70972222222222225</v>
      </c>
      <c r="H79" s="138">
        <v>18312.7</v>
      </c>
      <c r="I79" s="138">
        <v>18334.5</v>
      </c>
      <c r="J79" s="138">
        <v>25468</v>
      </c>
      <c r="K79" s="138">
        <v>25744.400000000001</v>
      </c>
      <c r="L79" s="138">
        <v>25958</v>
      </c>
      <c r="M79" s="138">
        <v>20180.8</v>
      </c>
      <c r="N79" s="138">
        <v>20047.599999999999</v>
      </c>
      <c r="O79" s="167"/>
      <c r="P79" s="167"/>
      <c r="Q79" s="58">
        <v>4.53</v>
      </c>
      <c r="R79" s="58">
        <v>4.6500000000000004</v>
      </c>
      <c r="S79" s="58">
        <v>31.42</v>
      </c>
      <c r="T79" s="58">
        <v>41.11</v>
      </c>
      <c r="U79" s="58">
        <v>64.23</v>
      </c>
      <c r="V79" s="58">
        <v>0</v>
      </c>
      <c r="W79" s="58">
        <v>2.13</v>
      </c>
      <c r="X79" s="58">
        <v>9.66</v>
      </c>
      <c r="Y79" s="60">
        <f>SUM(RD[[#This Row],[IS1Inv1]:[IS3Inv1]])</f>
        <v>113817.60000000001</v>
      </c>
      <c r="Z79" s="60">
        <f>SUM(RD[[#This Row],[IS4Inv1]:[IS4Inv2]])</f>
        <v>40228.399999999994</v>
      </c>
      <c r="AA79" s="60">
        <f>SUM(RD[[#This Row],[O2RE7]:[O2RE27]])</f>
        <v>154046</v>
      </c>
      <c r="AB79" s="153"/>
      <c r="AC79" s="153">
        <v>17909</v>
      </c>
      <c r="AD79" s="153"/>
      <c r="AE79" s="153">
        <v>11586.9</v>
      </c>
      <c r="AF79" s="153">
        <v>17589.060000000001</v>
      </c>
      <c r="AG79" s="153">
        <v>0.04</v>
      </c>
      <c r="AH79" s="153">
        <v>3.64</v>
      </c>
      <c r="AI79" s="154" t="str">
        <f>IF((RD[[#This Row],[33 kV_F1_Ex]]-AB78)*150000&lt;=0,"",(RD[[#This Row],[33 kV_F1_Ex]]-AB78)*150000)</f>
        <v/>
      </c>
      <c r="AJ79" s="154">
        <f>IF((RD[[#This Row],[33kV_OG1_Ex]]-AC78)*1000&lt;=0,0,(RD[[#This Row],[33kV_OG1_Ex]]-AC78)*1000)</f>
        <v>152000</v>
      </c>
      <c r="AK79" s="154">
        <f>IF((RD[[#This Row],[220kV_TL_TVM_Ex]]-AE78)*1600&lt;=0,0,(RD[[#This Row],[220kV_TL_TVM_Ex]]-AE78)*1600)</f>
        <v>151360.00000000058</v>
      </c>
      <c r="AL79" s="154">
        <f>IF((RD[[#This Row],[220kV_C&amp;R_PQM_Ex]]-AF78)*1000&lt;=0,"",(RD[[#This Row],[220kV_C&amp;R_PQM_Ex]]-AF78)*1000)</f>
        <v>151060.00000000131</v>
      </c>
      <c r="AM79" s="154">
        <f>IF((RD[[#This Row],[33kV_Aux1_Im]]-AH78)*1000&lt;0,"",(RD[[#This Row],[33kV_Aux1_Im]]-AH78)*1000)</f>
        <v>220.0000000000002</v>
      </c>
      <c r="AN79" s="154">
        <f>IF((RD[[#This Row],[33kV_Aux1_Im]]-AH78)*1000&lt;0,"",(RD[[#This Row],[33kV_Aux1_Im]]-AH78)*1000)</f>
        <v>220.0000000000002</v>
      </c>
      <c r="AO79" s="61">
        <f>RD[[#This Row],[33kV_OG1_Energy (KWh)]]</f>
        <v>152000</v>
      </c>
      <c r="AP79" s="61">
        <f>IFERROR(RD[[#This Row],[220kV_TL_TVM Energy (KWh)]]-RD[[#This Row],[220kV_C&amp;R_PQM_Imp (KWh)2]],"")</f>
        <v>151140.00000000058</v>
      </c>
      <c r="AQ79" s="63">
        <f>IFERROR(RD[[#This Row],[33 kV Total Export (KWH)]]/RD[[#This Row],[220 KV Net Export (KWh)]]-1,"")</f>
        <v>5.6900886595170341E-3</v>
      </c>
      <c r="AR79" s="64">
        <f>IFERROR((RD[[#This Row],[Sunset Time (POA&lt;20 W/m2)]]-RD[[#This Row],[Sunrise Time (POA&gt;20 W/m2)]])*24,0)</f>
        <v>10.600000000000001</v>
      </c>
      <c r="AS79" s="65">
        <f>RD[[#This Row],[33kV_OG1_Energy (KWh)]]</f>
        <v>152000</v>
      </c>
      <c r="AT79" s="65">
        <f>IFERROR(RD[[#This Row],[ Export (33 kV)]]*(1-RD[[#This Row],[33 kV Line Loss (%)]]),RD[[#This Row],[ Export (33 kV)]])</f>
        <v>151135.10652375341</v>
      </c>
      <c r="AU79" s="277">
        <v>39.21</v>
      </c>
      <c r="AV79" s="122"/>
      <c r="AW79" s="122"/>
      <c r="AX79" t="str">
        <f>IFERROR(RD[[#This Row],[E_AC (WPR)]]/RD[[#This Row],[E_DC (WPR)]],"")</f>
        <v/>
      </c>
    </row>
    <row r="80" spans="1:50">
      <c r="A80" s="148">
        <f t="shared" si="49"/>
        <v>45820</v>
      </c>
      <c r="B80" s="151">
        <f>YEAR(RD[[#This Row],[Date]])+IF(MONTH(RD[[#This Row],[Date]])&gt;=4,1,0)</f>
        <v>2026</v>
      </c>
      <c r="C80" s="151">
        <f>YEAR(RD[[#This Row],[Date]])</f>
        <v>2025</v>
      </c>
      <c r="D80" s="152">
        <f t="shared" si="48"/>
        <v>45809</v>
      </c>
      <c r="E80" s="151">
        <f>DAY(EOMONTH(RD[[#This Row],[Date]],0))</f>
        <v>30</v>
      </c>
      <c r="F80" s="122">
        <v>0.25416666666666665</v>
      </c>
      <c r="G80" s="122">
        <v>0.76875000000000004</v>
      </c>
      <c r="H80" s="138">
        <v>13986.1</v>
      </c>
      <c r="I80" s="138">
        <v>14090.6</v>
      </c>
      <c r="J80" s="138">
        <v>19199.5</v>
      </c>
      <c r="K80" s="138">
        <v>19514.099999999999</v>
      </c>
      <c r="L80" s="138">
        <v>19969.900000000001</v>
      </c>
      <c r="M80" s="138">
        <v>15961.9</v>
      </c>
      <c r="N80" s="138">
        <v>15953.9</v>
      </c>
      <c r="O80" s="167"/>
      <c r="P80" s="167"/>
      <c r="Q80" s="58">
        <v>3.5</v>
      </c>
      <c r="R80" s="58">
        <v>3.62</v>
      </c>
      <c r="S80" s="58">
        <v>31.05</v>
      </c>
      <c r="T80" s="58">
        <v>36.9</v>
      </c>
      <c r="U80" s="58">
        <v>65.47</v>
      </c>
      <c r="V80" s="58">
        <v>0</v>
      </c>
      <c r="W80" s="58">
        <v>2.04</v>
      </c>
      <c r="X80" s="58">
        <v>7.18</v>
      </c>
      <c r="Y80" s="60">
        <f>SUM(RD[[#This Row],[IS1Inv1]:[IS3Inv1]])</f>
        <v>86760.199999999983</v>
      </c>
      <c r="Z80" s="60">
        <f>SUM(RD[[#This Row],[IS4Inv1]:[IS4Inv2]])</f>
        <v>31915.8</v>
      </c>
      <c r="AA80" s="60">
        <f>SUM(RD[[#This Row],[O2RE7]:[O2RE27]])</f>
        <v>118675.99999999999</v>
      </c>
      <c r="AB80" s="153"/>
      <c r="AC80" s="153">
        <v>18027</v>
      </c>
      <c r="AD80" s="153"/>
      <c r="AE80" s="153">
        <v>11659.7</v>
      </c>
      <c r="AF80" s="153">
        <v>17704.557000000001</v>
      </c>
      <c r="AG80" s="153">
        <v>0.04</v>
      </c>
      <c r="AH80" s="153">
        <v>3.87</v>
      </c>
      <c r="AI80" s="154" t="str">
        <f>IF((RD[[#This Row],[33 kV_F1_Ex]]-AB79)*150000&lt;=0,"",(RD[[#This Row],[33 kV_F1_Ex]]-AB79)*150000)</f>
        <v/>
      </c>
      <c r="AJ80" s="154">
        <f>IF((RD[[#This Row],[33kV_OG1_Ex]]-AC79)*1000&lt;=0,0,(RD[[#This Row],[33kV_OG1_Ex]]-AC79)*1000)</f>
        <v>118000</v>
      </c>
      <c r="AK80" s="154">
        <f>IF((RD[[#This Row],[220kV_TL_TVM_Ex]]-AE79)*1600&lt;=0,0,(RD[[#This Row],[220kV_TL_TVM_Ex]]-AE79)*1600)</f>
        <v>116480.00000000175</v>
      </c>
      <c r="AL80" s="154">
        <f>IF((RD[[#This Row],[220kV_C&amp;R_PQM_Ex]]-AF79)*1000&lt;=0,"",(RD[[#This Row],[220kV_C&amp;R_PQM_Ex]]-AF79)*1000)</f>
        <v>115496.99999999939</v>
      </c>
      <c r="AM80" s="154">
        <f>IF((RD[[#This Row],[33kV_Aux1_Im]]-AH79)*1000&lt;0,"",(RD[[#This Row],[33kV_Aux1_Im]]-AH79)*1000)</f>
        <v>229.99999999999997</v>
      </c>
      <c r="AN80" s="154">
        <f>IF((RD[[#This Row],[33kV_Aux1_Im]]-AH79)*1000&lt;0,"",(RD[[#This Row],[33kV_Aux1_Im]]-AH79)*1000)</f>
        <v>229.99999999999997</v>
      </c>
      <c r="AO80" s="61">
        <f>RD[[#This Row],[33kV_OG1_Energy (KWh)]]</f>
        <v>118000</v>
      </c>
      <c r="AP80" s="61">
        <f>IFERROR(RD[[#This Row],[220kV_TL_TVM Energy (KWh)]]-RD[[#This Row],[220kV_C&amp;R_PQM_Imp (KWh)2]],"")</f>
        <v>116250.00000000175</v>
      </c>
      <c r="AQ80" s="63">
        <f>IFERROR(RD[[#This Row],[33 kV Total Export (KWH)]]/RD[[#This Row],[220 KV Net Export (KWh)]]-1,"")</f>
        <v>1.5053763440844969E-2</v>
      </c>
      <c r="AR80" s="64">
        <f>IFERROR((RD[[#This Row],[Sunset Time (POA&lt;20 W/m2)]]-RD[[#This Row],[Sunrise Time (POA&gt;20 W/m2)]])*24,0)</f>
        <v>12.350000000000001</v>
      </c>
      <c r="AS80" s="65">
        <f>RD[[#This Row],[33kV_OG1_Energy (KWh)]]</f>
        <v>118000</v>
      </c>
      <c r="AT80" s="65">
        <f>IFERROR(RD[[#This Row],[ Export (33 kV)]]*(1-RD[[#This Row],[33 kV Line Loss (%)]]),RD[[#This Row],[ Export (33 kV)]])</f>
        <v>116223.6559139803</v>
      </c>
      <c r="AU80" s="277">
        <v>39.21</v>
      </c>
      <c r="AV80" s="122"/>
      <c r="AW80" s="122"/>
      <c r="AX80" t="str">
        <f>IFERROR(RD[[#This Row],[E_AC (WPR)]]/RD[[#This Row],[E_DC (WPR)]],"")</f>
        <v/>
      </c>
    </row>
    <row r="81" spans="1:50">
      <c r="A81" s="148">
        <f t="shared" si="49"/>
        <v>45821</v>
      </c>
      <c r="B81" s="151">
        <f>YEAR(RD[[#This Row],[Date]])+IF(MONTH(RD[[#This Row],[Date]])&gt;=4,1,0)</f>
        <v>2026</v>
      </c>
      <c r="C81" s="151">
        <f>YEAR(RD[[#This Row],[Date]])</f>
        <v>2025</v>
      </c>
      <c r="D81" s="152">
        <f t="shared" si="48"/>
        <v>45809</v>
      </c>
      <c r="E81" s="151">
        <f>DAY(EOMONTH(RD[[#This Row],[Date]],0))</f>
        <v>30</v>
      </c>
      <c r="F81" s="122">
        <v>0.25416666666666665</v>
      </c>
      <c r="G81" s="122">
        <v>0.76736111111111116</v>
      </c>
      <c r="H81" s="138">
        <v>19028</v>
      </c>
      <c r="I81" s="138">
        <v>18954</v>
      </c>
      <c r="J81" s="138">
        <v>26707.4</v>
      </c>
      <c r="K81" s="138">
        <v>26933.9</v>
      </c>
      <c r="L81" s="138">
        <v>27189.7</v>
      </c>
      <c r="M81" s="138">
        <v>20850.2</v>
      </c>
      <c r="N81" s="138">
        <v>21106.799999999999</v>
      </c>
      <c r="O81" s="167"/>
      <c r="P81" s="167"/>
      <c r="Q81" s="58">
        <v>4.83</v>
      </c>
      <c r="R81" s="58">
        <v>5.05</v>
      </c>
      <c r="S81" s="58">
        <v>32.369999999999997</v>
      </c>
      <c r="T81" s="58">
        <v>41.61</v>
      </c>
      <c r="U81" s="58">
        <v>62.81</v>
      </c>
      <c r="V81" s="58">
        <v>0</v>
      </c>
      <c r="W81" s="58">
        <v>1.86</v>
      </c>
      <c r="X81" s="58">
        <v>3.14</v>
      </c>
      <c r="Y81" s="60">
        <f>SUM(RD[[#This Row],[IS1Inv1]:[IS3Inv1]])</f>
        <v>118813</v>
      </c>
      <c r="Z81" s="60">
        <f>SUM(RD[[#This Row],[IS4Inv1]:[IS4Inv2]])</f>
        <v>41957</v>
      </c>
      <c r="AA81" s="60">
        <f>SUM(RD[[#This Row],[O2RE7]:[O2RE27]])</f>
        <v>160770</v>
      </c>
      <c r="AB81" s="153"/>
      <c r="AC81" s="153">
        <v>18186</v>
      </c>
      <c r="AD81" s="153"/>
      <c r="AE81" s="153">
        <v>11758.4</v>
      </c>
      <c r="AF81" s="153">
        <v>17862.624</v>
      </c>
      <c r="AG81" s="153">
        <v>0.04</v>
      </c>
      <c r="AH81" s="153">
        <v>4.08</v>
      </c>
      <c r="AI81" s="154" t="str">
        <f>IF((RD[[#This Row],[33 kV_F1_Ex]]-AB80)*150000&lt;=0,"",(RD[[#This Row],[33 kV_F1_Ex]]-AB80)*150000)</f>
        <v/>
      </c>
      <c r="AJ81" s="154">
        <f>IF((RD[[#This Row],[33kV_OG1_Ex]]-AC80)*1000&lt;=0,0,(RD[[#This Row],[33kV_OG1_Ex]]-AC80)*1000)</f>
        <v>159000</v>
      </c>
      <c r="AK81" s="154">
        <f>IF((RD[[#This Row],[220kV_TL_TVM_Ex]]-AE80)*1600&lt;=0,0,(RD[[#This Row],[220kV_TL_TVM_Ex]]-AE80)*1600)</f>
        <v>157919.99999999825</v>
      </c>
      <c r="AL81" s="154">
        <f>IF((RD[[#This Row],[220kV_C&amp;R_PQM_Ex]]-AF80)*1000&lt;=0,"",(RD[[#This Row],[220kV_C&amp;R_PQM_Ex]]-AF80)*1000)</f>
        <v>158066.9999999991</v>
      </c>
      <c r="AM81" s="154">
        <f>IF((RD[[#This Row],[33kV_Aux1_Im]]-AH80)*1000&lt;0,"",(RD[[#This Row],[33kV_Aux1_Im]]-AH80)*1000)</f>
        <v>209.99999999999997</v>
      </c>
      <c r="AN81" s="154">
        <f>IF((RD[[#This Row],[33kV_Aux1_Im]]-AH80)*1000&lt;0,"",(RD[[#This Row],[33kV_Aux1_Im]]-AH80)*1000)</f>
        <v>209.99999999999997</v>
      </c>
      <c r="AO81" s="61">
        <f>RD[[#This Row],[33kV_OG1_Energy (KWh)]]</f>
        <v>159000</v>
      </c>
      <c r="AP81" s="61">
        <f>IFERROR(RD[[#This Row],[220kV_TL_TVM Energy (KWh)]]-RD[[#This Row],[220kV_C&amp;R_PQM_Imp (KWh)2]],"")</f>
        <v>157709.99999999825</v>
      </c>
      <c r="AQ81" s="63">
        <f>IFERROR(RD[[#This Row],[33 kV Total Export (KWH)]]/RD[[#This Row],[220 KV Net Export (KWh)]]-1,"")</f>
        <v>8.1795700970246354E-3</v>
      </c>
      <c r="AR81" s="64">
        <f>IFERROR((RD[[#This Row],[Sunset Time (POA&lt;20 W/m2)]]-RD[[#This Row],[Sunrise Time (POA&gt;20 W/m2)]])*24,0)</f>
        <v>12.316666666666668</v>
      </c>
      <c r="AS81" s="65">
        <f>RD[[#This Row],[33kV_OG1_Energy (KWh)]]</f>
        <v>159000</v>
      </c>
      <c r="AT81" s="65">
        <f>IFERROR(RD[[#This Row],[ Export (33 kV)]]*(1-RD[[#This Row],[33 kV Line Loss (%)]]),RD[[#This Row],[ Export (33 kV)]])</f>
        <v>157699.44835457308</v>
      </c>
      <c r="AU81" s="277">
        <v>39.21</v>
      </c>
      <c r="AV81" s="122"/>
      <c r="AW81" s="122"/>
      <c r="AX81" t="str">
        <f>IFERROR(RD[[#This Row],[E_AC (WPR)]]/RD[[#This Row],[E_DC (WPR)]],"")</f>
        <v/>
      </c>
    </row>
    <row r="82" spans="1:50">
      <c r="A82" s="148">
        <f t="shared" si="49"/>
        <v>45822</v>
      </c>
      <c r="B82" s="151">
        <f>YEAR(RD[[#This Row],[Date]])+IF(MONTH(RD[[#This Row],[Date]])&gt;=4,1,0)</f>
        <v>2026</v>
      </c>
      <c r="C82" s="151">
        <f>YEAR(RD[[#This Row],[Date]])</f>
        <v>2025</v>
      </c>
      <c r="D82" s="152">
        <f t="shared" si="48"/>
        <v>45809</v>
      </c>
      <c r="E82" s="151">
        <f>DAY(EOMONTH(RD[[#This Row],[Date]],0))</f>
        <v>30</v>
      </c>
      <c r="F82" s="122">
        <v>0.24722222222222223</v>
      </c>
      <c r="G82" s="122">
        <v>0.76736111111111116</v>
      </c>
      <c r="H82" s="138">
        <v>23598.799999999999</v>
      </c>
      <c r="I82" s="138">
        <v>23323.8</v>
      </c>
      <c r="J82" s="138">
        <v>32170</v>
      </c>
      <c r="K82" s="138">
        <v>32231</v>
      </c>
      <c r="L82" s="138">
        <v>32053.599999999999</v>
      </c>
      <c r="M82" s="138">
        <v>26365.1</v>
      </c>
      <c r="N82" s="138">
        <v>25956.3</v>
      </c>
      <c r="O82" s="167"/>
      <c r="P82" s="167"/>
      <c r="Q82" s="58">
        <v>6</v>
      </c>
      <c r="R82" s="58">
        <v>6.42</v>
      </c>
      <c r="S82" s="58">
        <v>34.28</v>
      </c>
      <c r="T82" s="58">
        <v>45.49</v>
      </c>
      <c r="U82" s="58">
        <v>56.84</v>
      </c>
      <c r="V82" s="58">
        <v>0</v>
      </c>
      <c r="W82" s="58">
        <v>2.42</v>
      </c>
      <c r="X82" s="58">
        <v>7.64</v>
      </c>
      <c r="Y82" s="60">
        <f>SUM(RD[[#This Row],[IS1Inv1]:[IS3Inv1]])</f>
        <v>143377.20000000001</v>
      </c>
      <c r="Z82" s="60">
        <f>SUM(RD[[#This Row],[IS4Inv1]:[IS4Inv2]])</f>
        <v>52321.399999999994</v>
      </c>
      <c r="AA82" s="60">
        <f>SUM(RD[[#This Row],[O2RE7]:[O2RE27]])</f>
        <v>195698.6</v>
      </c>
      <c r="AB82" s="153"/>
      <c r="AC82" s="153">
        <v>18380</v>
      </c>
      <c r="AD82" s="153"/>
      <c r="AE82" s="153">
        <v>11879</v>
      </c>
      <c r="AF82" s="153">
        <v>18054.798999999999</v>
      </c>
      <c r="AG82" s="153">
        <v>0.04</v>
      </c>
      <c r="AH82" s="153">
        <v>4.32</v>
      </c>
      <c r="AI82" s="154" t="str">
        <f>IF((RD[[#This Row],[33 kV_F1_Ex]]-AB81)*150000&lt;=0,"",(RD[[#This Row],[33 kV_F1_Ex]]-AB81)*150000)</f>
        <v/>
      </c>
      <c r="AJ82" s="154">
        <f>IF((RD[[#This Row],[33kV_OG1_Ex]]-AC81)*1000&lt;=0,0,(RD[[#This Row],[33kV_OG1_Ex]]-AC81)*1000)</f>
        <v>194000</v>
      </c>
      <c r="AK82" s="154">
        <f>IF((RD[[#This Row],[220kV_TL_TVM_Ex]]-AE81)*1600&lt;=0,0,(RD[[#This Row],[220kV_TL_TVM_Ex]]-AE81)*1600)</f>
        <v>192960.00000000058</v>
      </c>
      <c r="AL82" s="154">
        <f>IF((RD[[#This Row],[220kV_C&amp;R_PQM_Ex]]-AF81)*1000&lt;=0,"",(RD[[#This Row],[220kV_C&amp;R_PQM_Ex]]-AF81)*1000)</f>
        <v>192174.99999999927</v>
      </c>
      <c r="AM82" s="154">
        <f>IF((RD[[#This Row],[33kV_Aux1_Im]]-AH81)*1000&lt;0,"",(RD[[#This Row],[33kV_Aux1_Im]]-AH81)*1000)</f>
        <v>240.00000000000023</v>
      </c>
      <c r="AN82" s="154">
        <f>IF((RD[[#This Row],[33kV_Aux1_Im]]-AH81)*1000&lt;0,"",(RD[[#This Row],[33kV_Aux1_Im]]-AH81)*1000)</f>
        <v>240.00000000000023</v>
      </c>
      <c r="AO82" s="61">
        <f>RD[[#This Row],[33kV_OG1_Energy (KWh)]]</f>
        <v>194000</v>
      </c>
      <c r="AP82" s="61">
        <f>IFERROR(RD[[#This Row],[220kV_TL_TVM Energy (KWh)]]-RD[[#This Row],[220kV_C&amp;R_PQM_Imp (KWh)2]],"")</f>
        <v>192720.00000000058</v>
      </c>
      <c r="AQ82" s="63">
        <f>IFERROR(RD[[#This Row],[33 kV Total Export (KWH)]]/RD[[#This Row],[220 KV Net Export (KWh)]]-1,"")</f>
        <v>6.6417600664145926E-3</v>
      </c>
      <c r="AR82" s="64">
        <f>IFERROR((RD[[#This Row],[Sunset Time (POA&lt;20 W/m2)]]-RD[[#This Row],[Sunrise Time (POA&gt;20 W/m2)]])*24,0)</f>
        <v>12.483333333333334</v>
      </c>
      <c r="AS82" s="65">
        <f>RD[[#This Row],[33kV_OG1_Energy (KWh)]]</f>
        <v>194000</v>
      </c>
      <c r="AT82" s="65">
        <f>IFERROR(RD[[#This Row],[ Export (33 kV)]]*(1-RD[[#This Row],[33 kV Line Loss (%)]]),RD[[#This Row],[ Export (33 kV)]])</f>
        <v>192711.49854711557</v>
      </c>
      <c r="AU82" s="277">
        <v>39.21</v>
      </c>
      <c r="AV82" s="122"/>
      <c r="AW82" s="122"/>
      <c r="AX82" t="str">
        <f>IFERROR(RD[[#This Row],[E_AC (WPR)]]/RD[[#This Row],[E_DC (WPR)]],"")</f>
        <v/>
      </c>
    </row>
    <row r="83" spans="1:50">
      <c r="A83" s="148">
        <f t="shared" si="49"/>
        <v>45823</v>
      </c>
      <c r="B83" s="151">
        <f>YEAR(RD[[#This Row],[Date]])+IF(MONTH(RD[[#This Row],[Date]])&gt;=4,1,0)</f>
        <v>2026</v>
      </c>
      <c r="C83" s="151">
        <f>YEAR(RD[[#This Row],[Date]])</f>
        <v>2025</v>
      </c>
      <c r="D83" s="152">
        <f t="shared" si="48"/>
        <v>45809</v>
      </c>
      <c r="E83" s="151">
        <f>DAY(EOMONTH(RD[[#This Row],[Date]],0))</f>
        <v>30</v>
      </c>
      <c r="F83" s="122">
        <v>0.25138888888888888</v>
      </c>
      <c r="G83" s="122">
        <v>0.77569444444444446</v>
      </c>
      <c r="H83" s="138">
        <v>19229.7</v>
      </c>
      <c r="I83" s="138">
        <v>19593.7</v>
      </c>
      <c r="J83" s="138">
        <v>26631.200000000001</v>
      </c>
      <c r="K83" s="138">
        <v>27268.9</v>
      </c>
      <c r="L83" s="138">
        <v>28666.9</v>
      </c>
      <c r="M83" s="138">
        <v>22497.4</v>
      </c>
      <c r="N83" s="138">
        <v>22430.6</v>
      </c>
      <c r="O83" s="167"/>
      <c r="P83" s="167"/>
      <c r="Q83" s="58">
        <v>5.21</v>
      </c>
      <c r="R83" s="58">
        <v>5.38</v>
      </c>
      <c r="S83" s="58">
        <v>32.479999999999997</v>
      </c>
      <c r="T83" s="58">
        <v>41.41</v>
      </c>
      <c r="U83" s="58">
        <v>60.31</v>
      </c>
      <c r="V83" s="58">
        <v>0</v>
      </c>
      <c r="W83" s="58">
        <v>3.51</v>
      </c>
      <c r="X83" s="58">
        <v>7.84</v>
      </c>
      <c r="Y83" s="60">
        <f>SUM(RD[[#This Row],[IS1Inv1]:[IS3Inv1]])</f>
        <v>121390.39999999999</v>
      </c>
      <c r="Z83" s="60">
        <f>SUM(RD[[#This Row],[IS4Inv1]:[IS4Inv2]])</f>
        <v>44928</v>
      </c>
      <c r="AA83" s="60">
        <f>SUM(RD[[#This Row],[O2RE7]:[O2RE27]])</f>
        <v>166318.39999999999</v>
      </c>
      <c r="AB83" s="153"/>
      <c r="AC83" s="153">
        <v>18544</v>
      </c>
      <c r="AD83" s="153"/>
      <c r="AE83" s="153">
        <v>11981.2</v>
      </c>
      <c r="AF83" s="153">
        <v>18218.125</v>
      </c>
      <c r="AG83" s="153">
        <v>0.04</v>
      </c>
      <c r="AH83" s="153">
        <v>4.5</v>
      </c>
      <c r="AI83" s="154" t="str">
        <f>IF((RD[[#This Row],[33 kV_F1_Ex]]-AB82)*150000&lt;=0,"",(RD[[#This Row],[33 kV_F1_Ex]]-AB82)*150000)</f>
        <v/>
      </c>
      <c r="AJ83" s="154">
        <f>IF((RD[[#This Row],[33kV_OG1_Ex]]-AC82)*1000&lt;=0,0,(RD[[#This Row],[33kV_OG1_Ex]]-AC82)*1000)</f>
        <v>164000</v>
      </c>
      <c r="AK83" s="154">
        <f>IF((RD[[#This Row],[220kV_TL_TVM_Ex]]-AE82)*1600&lt;=0,0,(RD[[#This Row],[220kV_TL_TVM_Ex]]-AE82)*1600)</f>
        <v>163520.00000000116</v>
      </c>
      <c r="AL83" s="154">
        <f>IF((RD[[#This Row],[220kV_C&amp;R_PQM_Ex]]-AF82)*1000&lt;=0,"",(RD[[#This Row],[220kV_C&amp;R_PQM_Ex]]-AF82)*1000)</f>
        <v>163326.00000000093</v>
      </c>
      <c r="AM83" s="154">
        <f>IF((RD[[#This Row],[33kV_Aux1_Im]]-AH82)*1000&lt;0,"",(RD[[#This Row],[33kV_Aux1_Im]]-AH82)*1000)</f>
        <v>179.99999999999972</v>
      </c>
      <c r="AN83" s="154">
        <f>IF((RD[[#This Row],[33kV_Aux1_Im]]-AH82)*1000&lt;0,"",(RD[[#This Row],[33kV_Aux1_Im]]-AH82)*1000)</f>
        <v>179.99999999999972</v>
      </c>
      <c r="AO83" s="61">
        <f>RD[[#This Row],[33kV_OG1_Energy (KWh)]]</f>
        <v>164000</v>
      </c>
      <c r="AP83" s="61">
        <f>IFERROR(RD[[#This Row],[220kV_TL_TVM Energy (KWh)]]-RD[[#This Row],[220kV_C&amp;R_PQM_Imp (KWh)2]],"")</f>
        <v>163340.00000000116</v>
      </c>
      <c r="AQ83" s="63">
        <f>IFERROR(RD[[#This Row],[33 kV Total Export (KWH)]]/RD[[#This Row],[220 KV Net Export (KWh)]]-1,"")</f>
        <v>4.0406514019764028E-3</v>
      </c>
      <c r="AR83" s="64">
        <f>IFERROR((RD[[#This Row],[Sunset Time (POA&lt;20 W/m2)]]-RD[[#This Row],[Sunrise Time (POA&gt;20 W/m2)]])*24,0)</f>
        <v>12.583333333333334</v>
      </c>
      <c r="AS83" s="65">
        <f>RD[[#This Row],[33kV_OG1_Energy (KWh)]]</f>
        <v>164000</v>
      </c>
      <c r="AT83" s="65">
        <f>IFERROR(RD[[#This Row],[ Export (33 kV)]]*(1-RD[[#This Row],[33 kV Line Loss (%)]]),RD[[#This Row],[ Export (33 kV)]])</f>
        <v>163337.33317007587</v>
      </c>
      <c r="AU83" s="277">
        <v>39.21</v>
      </c>
      <c r="AV83" s="122"/>
      <c r="AW83" s="122"/>
      <c r="AX83" t="str">
        <f>IFERROR(RD[[#This Row],[E_AC (WPR)]]/RD[[#This Row],[E_DC (WPR)]],"")</f>
        <v/>
      </c>
    </row>
    <row r="84" spans="1:50">
      <c r="A84" s="148">
        <f t="shared" si="49"/>
        <v>45824</v>
      </c>
      <c r="B84" s="151">
        <f>YEAR(RD[[#This Row],[Date]])+IF(MONTH(RD[[#This Row],[Date]])&gt;=4,1,0)</f>
        <v>2026</v>
      </c>
      <c r="C84" s="151">
        <f>YEAR(RD[[#This Row],[Date]])</f>
        <v>2025</v>
      </c>
      <c r="D84" s="152">
        <f t="shared" si="48"/>
        <v>45809</v>
      </c>
      <c r="E84" s="151">
        <f>DAY(EOMONTH(RD[[#This Row],[Date]],0))</f>
        <v>30</v>
      </c>
      <c r="F84" s="122">
        <v>0.27708333333333335</v>
      </c>
      <c r="G84" s="122">
        <v>0.77847222222222223</v>
      </c>
      <c r="H84" s="138">
        <v>14634.9</v>
      </c>
      <c r="I84" s="138">
        <v>14782.9</v>
      </c>
      <c r="J84" s="138">
        <v>20383.2</v>
      </c>
      <c r="K84" s="138">
        <v>20664</v>
      </c>
      <c r="L84" s="138">
        <v>20721.3</v>
      </c>
      <c r="M84" s="138">
        <v>16417.5</v>
      </c>
      <c r="N84" s="138">
        <v>16229.5</v>
      </c>
      <c r="O84" s="167"/>
      <c r="P84" s="167"/>
      <c r="Q84" s="58">
        <v>3.63</v>
      </c>
      <c r="R84" s="58">
        <v>3.72</v>
      </c>
      <c r="S84" s="58">
        <v>29.49</v>
      </c>
      <c r="T84" s="58">
        <v>36.21</v>
      </c>
      <c r="U84" s="58">
        <v>71.459999999999994</v>
      </c>
      <c r="V84" s="58">
        <v>0</v>
      </c>
      <c r="W84" s="58">
        <v>3.05</v>
      </c>
      <c r="X84" s="58">
        <v>7.5</v>
      </c>
      <c r="Y84" s="60">
        <f>SUM(RD[[#This Row],[IS1Inv1]:[IS3Inv1]])</f>
        <v>91186.3</v>
      </c>
      <c r="Z84" s="60">
        <f>SUM(RD[[#This Row],[IS4Inv1]:[IS4Inv2]])</f>
        <v>32647</v>
      </c>
      <c r="AA84" s="60">
        <f>SUM(RD[[#This Row],[O2RE7]:[O2RE27]])</f>
        <v>123833.3</v>
      </c>
      <c r="AB84" s="153"/>
      <c r="AC84" s="153">
        <v>18667</v>
      </c>
      <c r="AD84" s="153"/>
      <c r="AE84" s="153">
        <v>12057.4</v>
      </c>
      <c r="AF84" s="153">
        <v>18339.580000000002</v>
      </c>
      <c r="AG84" s="153">
        <v>0.04</v>
      </c>
      <c r="AH84" s="153">
        <v>4.7699999999999996</v>
      </c>
      <c r="AI84" s="154" t="str">
        <f>IF((RD[[#This Row],[33 kV_F1_Ex]]-AB83)*150000&lt;=0,"",(RD[[#This Row],[33 kV_F1_Ex]]-AB83)*150000)</f>
        <v/>
      </c>
      <c r="AJ84" s="154">
        <f>IF((RD[[#This Row],[33kV_OG1_Ex]]-AC83)*1000&lt;=0,0,(RD[[#This Row],[33kV_OG1_Ex]]-AC83)*1000)</f>
        <v>123000</v>
      </c>
      <c r="AK84" s="154">
        <f>IF((RD[[#This Row],[220kV_TL_TVM_Ex]]-AE83)*1600&lt;=0,0,(RD[[#This Row],[220kV_TL_TVM_Ex]]-AE83)*1600)</f>
        <v>121919.99999999825</v>
      </c>
      <c r="AL84" s="154">
        <f>IF((RD[[#This Row],[220kV_C&amp;R_PQM_Ex]]-AF83)*1000&lt;=0,"",(RD[[#This Row],[220kV_C&amp;R_PQM_Ex]]-AF83)*1000)</f>
        <v>121455.00000000175</v>
      </c>
      <c r="AM84" s="154">
        <f>IF((RD[[#This Row],[33kV_Aux1_Im]]-AH83)*1000&lt;0,"",(RD[[#This Row],[33kV_Aux1_Im]]-AH83)*1000)</f>
        <v>269.99999999999955</v>
      </c>
      <c r="AN84" s="154">
        <f>IF((RD[[#This Row],[33kV_Aux1_Im]]-AH83)*1000&lt;0,"",(RD[[#This Row],[33kV_Aux1_Im]]-AH83)*1000)</f>
        <v>269.99999999999955</v>
      </c>
      <c r="AO84" s="61">
        <f>RD[[#This Row],[33kV_OG1_Energy (KWh)]]</f>
        <v>123000</v>
      </c>
      <c r="AP84" s="61">
        <f>IFERROR(RD[[#This Row],[220kV_TL_TVM Energy (KWh)]]-RD[[#This Row],[220kV_C&amp;R_PQM_Imp (KWh)2]],"")</f>
        <v>121649.99999999825</v>
      </c>
      <c r="AQ84" s="63">
        <f>IFERROR(RD[[#This Row],[33 kV Total Export (KWH)]]/RD[[#This Row],[220 KV Net Export (KWh)]]-1,"")</f>
        <v>1.109741060420677E-2</v>
      </c>
      <c r="AR84" s="64">
        <f>IFERROR((RD[[#This Row],[Sunset Time (POA&lt;20 W/m2)]]-RD[[#This Row],[Sunrise Time (POA&gt;20 W/m2)]])*24,0)</f>
        <v>12.033333333333333</v>
      </c>
      <c r="AS84" s="65">
        <f>RD[[#This Row],[33kV_OG1_Energy (KWh)]]</f>
        <v>123000</v>
      </c>
      <c r="AT84" s="65">
        <f>IFERROR(RD[[#This Row],[ Export (33 kV)]]*(1-RD[[#This Row],[33 kV Line Loss (%)]]),RD[[#This Row],[ Export (33 kV)]])</f>
        <v>121635.01849568257</v>
      </c>
      <c r="AU84" s="277">
        <v>39.21</v>
      </c>
      <c r="AV84" s="122"/>
      <c r="AW84" s="122"/>
      <c r="AX84" t="str">
        <f>IFERROR(RD[[#This Row],[E_AC (WPR)]]/RD[[#This Row],[E_DC (WPR)]],"")</f>
        <v/>
      </c>
    </row>
    <row r="85" spans="1:50">
      <c r="A85" s="148">
        <f t="shared" si="49"/>
        <v>45825</v>
      </c>
      <c r="B85" s="151">
        <f>YEAR(RD[[#This Row],[Date]])+IF(MONTH(RD[[#This Row],[Date]])&gt;=4,1,0)</f>
        <v>2026</v>
      </c>
      <c r="C85" s="151">
        <f>YEAR(RD[[#This Row],[Date]])</f>
        <v>2025</v>
      </c>
      <c r="D85" s="152">
        <f t="shared" si="48"/>
        <v>45809</v>
      </c>
      <c r="E85" s="151">
        <f>DAY(EOMONTH(RD[[#This Row],[Date]],0))</f>
        <v>30</v>
      </c>
      <c r="F85" s="122">
        <v>0.25208333333333333</v>
      </c>
      <c r="G85" s="122">
        <v>0.77986111111111112</v>
      </c>
      <c r="H85" s="138">
        <v>25045</v>
      </c>
      <c r="I85" s="138">
        <v>25278.2</v>
      </c>
      <c r="J85" s="138">
        <v>34231.5</v>
      </c>
      <c r="K85" s="138">
        <v>34571.9</v>
      </c>
      <c r="L85" s="138">
        <v>35182.1</v>
      </c>
      <c r="M85" s="138">
        <v>28771</v>
      </c>
      <c r="N85" s="138">
        <v>28481.599999999999</v>
      </c>
      <c r="O85" s="167"/>
      <c r="P85" s="167"/>
      <c r="Q85" s="58">
        <v>6.38</v>
      </c>
      <c r="R85" s="58">
        <v>6.82</v>
      </c>
      <c r="S85" s="58">
        <v>32.42</v>
      </c>
      <c r="T85" s="58">
        <v>42.24</v>
      </c>
      <c r="U85" s="58">
        <v>56.75</v>
      </c>
      <c r="V85" s="58">
        <v>0</v>
      </c>
      <c r="W85" s="58">
        <v>5.16</v>
      </c>
      <c r="X85" s="58">
        <v>10.17</v>
      </c>
      <c r="Y85" s="60">
        <f>SUM(RD[[#This Row],[IS1Inv1]:[IS3Inv1]])</f>
        <v>154308.70000000001</v>
      </c>
      <c r="Z85" s="60">
        <f>SUM(RD[[#This Row],[IS4Inv1]:[IS4Inv2]])</f>
        <v>57252.6</v>
      </c>
      <c r="AA85" s="60">
        <f>SUM(RD[[#This Row],[O2RE7]:[O2RE27]])</f>
        <v>211561.30000000002</v>
      </c>
      <c r="AB85" s="153"/>
      <c r="AC85" s="153">
        <v>18877</v>
      </c>
      <c r="AD85" s="153"/>
      <c r="AE85" s="153">
        <v>12187.5</v>
      </c>
      <c r="AF85" s="153">
        <v>18547.516</v>
      </c>
      <c r="AG85" s="153">
        <v>0.04</v>
      </c>
      <c r="AH85" s="153">
        <v>4.99</v>
      </c>
      <c r="AI85" s="154" t="str">
        <f>IF((RD[[#This Row],[33 kV_F1_Ex]]-AB84)*150000&lt;=0,"",(RD[[#This Row],[33 kV_F1_Ex]]-AB84)*150000)</f>
        <v/>
      </c>
      <c r="AJ85" s="154">
        <f>IF((RD[[#This Row],[33kV_OG1_Ex]]-AC84)*1000&lt;=0,0,(RD[[#This Row],[33kV_OG1_Ex]]-AC84)*1000)</f>
        <v>210000</v>
      </c>
      <c r="AK85" s="154">
        <f>IF((RD[[#This Row],[220kV_TL_TVM_Ex]]-AE84)*1600&lt;=0,0,(RD[[#This Row],[220kV_TL_TVM_Ex]]-AE84)*1600)</f>
        <v>208160.00000000058</v>
      </c>
      <c r="AL85" s="154">
        <f>IF((RD[[#This Row],[220kV_C&amp;R_PQM_Ex]]-AF84)*1000&lt;=0,"",(RD[[#This Row],[220kV_C&amp;R_PQM_Ex]]-AF84)*1000)</f>
        <v>207935.99999999788</v>
      </c>
      <c r="AM85" s="154">
        <f>IF((RD[[#This Row],[33kV_Aux1_Im]]-AH84)*1000&lt;0,"",(RD[[#This Row],[33kV_Aux1_Im]]-AH84)*1000)</f>
        <v>220.00000000000063</v>
      </c>
      <c r="AN85" s="154">
        <f>IF((RD[[#This Row],[33kV_Aux1_Im]]-AH84)*1000&lt;0,"",(RD[[#This Row],[33kV_Aux1_Im]]-AH84)*1000)</f>
        <v>220.00000000000063</v>
      </c>
      <c r="AO85" s="61">
        <f>RD[[#This Row],[33kV_OG1_Energy (KWh)]]</f>
        <v>210000</v>
      </c>
      <c r="AP85" s="61">
        <f>IFERROR(RD[[#This Row],[220kV_TL_TVM Energy (KWh)]]-RD[[#This Row],[220kV_C&amp;R_PQM_Imp (KWh)2]],"")</f>
        <v>207940.00000000058</v>
      </c>
      <c r="AQ85" s="63">
        <f>IFERROR(RD[[#This Row],[33 kV Total Export (KWH)]]/RD[[#This Row],[220 KV Net Export (KWh)]]-1,"")</f>
        <v>9.9067038568789734E-3</v>
      </c>
      <c r="AR85" s="64">
        <f>IFERROR((RD[[#This Row],[Sunset Time (POA&lt;20 W/m2)]]-RD[[#This Row],[Sunrise Time (POA&gt;20 W/m2)]])*24,0)</f>
        <v>12.666666666666668</v>
      </c>
      <c r="AS85" s="65">
        <f>RD[[#This Row],[33kV_OG1_Energy (KWh)]]</f>
        <v>210000</v>
      </c>
      <c r="AT85" s="65">
        <f>IFERROR(RD[[#This Row],[ Export (33 kV)]]*(1-RD[[#This Row],[33 kV Line Loss (%)]]),RD[[#This Row],[ Export (33 kV)]])</f>
        <v>207919.59219005541</v>
      </c>
      <c r="AU85" s="277">
        <v>39.21</v>
      </c>
      <c r="AV85" s="122"/>
      <c r="AW85" s="122"/>
      <c r="AX85" t="str">
        <f>IFERROR(RD[[#This Row],[E_AC (WPR)]]/RD[[#This Row],[E_DC (WPR)]],"")</f>
        <v/>
      </c>
    </row>
    <row r="86" spans="1:50">
      <c r="A86" s="148">
        <f t="shared" si="49"/>
        <v>45826</v>
      </c>
      <c r="B86" s="151">
        <f>YEAR(RD[[#This Row],[Date]])+IF(MONTH(RD[[#This Row],[Date]])&gt;=4,1,0)</f>
        <v>2026</v>
      </c>
      <c r="C86" s="151">
        <f>YEAR(RD[[#This Row],[Date]])</f>
        <v>2025</v>
      </c>
      <c r="D86" s="152">
        <f t="shared" si="48"/>
        <v>45809</v>
      </c>
      <c r="E86" s="151">
        <f>DAY(EOMONTH(RD[[#This Row],[Date]],0))</f>
        <v>30</v>
      </c>
      <c r="F86" s="122">
        <v>0.24722222222222223</v>
      </c>
      <c r="G86" s="122">
        <v>0.78194444444444444</v>
      </c>
      <c r="H86" s="138">
        <v>17037.5</v>
      </c>
      <c r="I86" s="138">
        <v>17066.599999999999</v>
      </c>
      <c r="J86" s="138">
        <v>23835</v>
      </c>
      <c r="K86" s="138">
        <v>24100.7</v>
      </c>
      <c r="L86" s="138">
        <v>24426.7</v>
      </c>
      <c r="M86" s="138">
        <v>18929.3</v>
      </c>
      <c r="N86" s="138">
        <v>18918</v>
      </c>
      <c r="O86" s="167"/>
      <c r="P86" s="167"/>
      <c r="Q86" s="58">
        <v>4.21</v>
      </c>
      <c r="R86" s="58">
        <v>4.51</v>
      </c>
      <c r="S86" s="58">
        <v>30.68</v>
      </c>
      <c r="T86" s="58">
        <v>36.659999999999997</v>
      </c>
      <c r="U86" s="58">
        <v>63.43</v>
      </c>
      <c r="V86" s="58">
        <v>0</v>
      </c>
      <c r="W86" s="58">
        <v>5.0999999999999996</v>
      </c>
      <c r="X86" s="58">
        <v>13.52</v>
      </c>
      <c r="Y86" s="60">
        <f>SUM(RD[[#This Row],[IS1Inv1]:[IS3Inv1]])</f>
        <v>106466.5</v>
      </c>
      <c r="Z86" s="60">
        <f>SUM(RD[[#This Row],[IS4Inv1]:[IS4Inv2]])</f>
        <v>37847.300000000003</v>
      </c>
      <c r="AA86" s="60">
        <f>SUM(RD[[#This Row],[O2RE7]:[O2RE27]])</f>
        <v>144313.79999999999</v>
      </c>
      <c r="AB86" s="153"/>
      <c r="AC86" s="153">
        <v>19020</v>
      </c>
      <c r="AD86" s="153"/>
      <c r="AE86" s="153">
        <v>12276.2</v>
      </c>
      <c r="AF86" s="153">
        <v>18688.984</v>
      </c>
      <c r="AG86" s="153">
        <v>0.04</v>
      </c>
      <c r="AH86" s="153">
        <v>5.2</v>
      </c>
      <c r="AI86" s="154" t="str">
        <f>IF((RD[[#This Row],[33 kV_F1_Ex]]-AB85)*150000&lt;=0,"",(RD[[#This Row],[33 kV_F1_Ex]]-AB85)*150000)</f>
        <v/>
      </c>
      <c r="AJ86" s="154">
        <f>IF((RD[[#This Row],[33kV_OG1_Ex]]-AC85)*1000&lt;=0,0,(RD[[#This Row],[33kV_OG1_Ex]]-AC85)*1000)</f>
        <v>143000</v>
      </c>
      <c r="AK86" s="154">
        <f>IF((RD[[#This Row],[220kV_TL_TVM_Ex]]-AE85)*1600&lt;=0,0,(RD[[#This Row],[220kV_TL_TVM_Ex]]-AE85)*1600)</f>
        <v>141920.00000000116</v>
      </c>
      <c r="AL86" s="154">
        <f>IF((RD[[#This Row],[220kV_C&amp;R_PQM_Ex]]-AF85)*1000&lt;=0,"",(RD[[#This Row],[220kV_C&amp;R_PQM_Ex]]-AF85)*1000)</f>
        <v>141468.00000000076</v>
      </c>
      <c r="AM86" s="154">
        <f>IF((RD[[#This Row],[33kV_Aux1_Im]]-AH85)*1000&lt;0,"",(RD[[#This Row],[33kV_Aux1_Im]]-AH85)*1000)</f>
        <v>209.99999999999997</v>
      </c>
      <c r="AN86" s="154">
        <f>IF((RD[[#This Row],[33kV_Aux1_Im]]-AH85)*1000&lt;0,"",(RD[[#This Row],[33kV_Aux1_Im]]-AH85)*1000)</f>
        <v>209.99999999999997</v>
      </c>
      <c r="AO86" s="61">
        <f>RD[[#This Row],[33kV_OG1_Energy (KWh)]]</f>
        <v>143000</v>
      </c>
      <c r="AP86" s="61">
        <f>IFERROR(RD[[#This Row],[220kV_TL_TVM Energy (KWh)]]-RD[[#This Row],[220kV_C&amp;R_PQM_Imp (KWh)2]],"")</f>
        <v>141710.00000000116</v>
      </c>
      <c r="AQ86" s="63">
        <f>IFERROR(RD[[#This Row],[33 kV Total Export (KWH)]]/RD[[#This Row],[220 KV Net Export (KWh)]]-1,"")</f>
        <v>9.1030978759354397E-3</v>
      </c>
      <c r="AR86" s="64">
        <f>IFERROR((RD[[#This Row],[Sunset Time (POA&lt;20 W/m2)]]-RD[[#This Row],[Sunrise Time (POA&gt;20 W/m2)]])*24,0)</f>
        <v>12.833333333333332</v>
      </c>
      <c r="AS86" s="65">
        <f>RD[[#This Row],[33kV_OG1_Energy (KWh)]]</f>
        <v>143000</v>
      </c>
      <c r="AT86" s="65">
        <f>IFERROR(RD[[#This Row],[ Export (33 kV)]]*(1-RD[[#This Row],[33 kV Line Loss (%)]]),RD[[#This Row],[ Export (33 kV)]])</f>
        <v>141698.25700374122</v>
      </c>
      <c r="AU86" s="277">
        <v>39.21</v>
      </c>
      <c r="AV86" s="122"/>
      <c r="AW86" s="122"/>
      <c r="AX86" t="str">
        <f>IFERROR(RD[[#This Row],[E_AC (WPR)]]/RD[[#This Row],[E_DC (WPR)]],"")</f>
        <v/>
      </c>
    </row>
    <row r="87" spans="1:50">
      <c r="A87" s="148">
        <f t="shared" si="49"/>
        <v>45827</v>
      </c>
      <c r="B87" s="151">
        <f>YEAR(RD[[#This Row],[Date]])+IF(MONTH(RD[[#This Row],[Date]])&gt;=4,1,0)</f>
        <v>2026</v>
      </c>
      <c r="C87" s="151">
        <f>YEAR(RD[[#This Row],[Date]])</f>
        <v>2025</v>
      </c>
      <c r="D87" s="152">
        <f t="shared" si="48"/>
        <v>45809</v>
      </c>
      <c r="E87" s="151">
        <f>DAY(EOMONTH(RD[[#This Row],[Date]],0))</f>
        <v>30</v>
      </c>
      <c r="F87" s="122">
        <v>0.25555555555555554</v>
      </c>
      <c r="G87" s="122">
        <v>0.71388888888888891</v>
      </c>
      <c r="H87" s="138">
        <v>15468.9</v>
      </c>
      <c r="I87" s="138">
        <v>15540.7</v>
      </c>
      <c r="J87" s="138">
        <v>21246.799999999999</v>
      </c>
      <c r="K87" s="138">
        <v>21419.7</v>
      </c>
      <c r="L87" s="138">
        <v>21764.400000000001</v>
      </c>
      <c r="M87" s="138">
        <v>17475.400000000001</v>
      </c>
      <c r="N87" s="138">
        <v>17389.900000000001</v>
      </c>
      <c r="O87" s="167"/>
      <c r="P87" s="167"/>
      <c r="Q87" s="58">
        <v>3.91</v>
      </c>
      <c r="R87" s="58">
        <v>4.03</v>
      </c>
      <c r="S87" s="58">
        <v>29.64</v>
      </c>
      <c r="T87" s="58">
        <v>36.14</v>
      </c>
      <c r="U87" s="58">
        <v>70.959999999999994</v>
      </c>
      <c r="V87" s="58">
        <v>0</v>
      </c>
      <c r="W87" s="58">
        <v>5.14</v>
      </c>
      <c r="X87" s="58">
        <v>14.85</v>
      </c>
      <c r="Y87" s="60">
        <f>SUM(RD[[#This Row],[IS1Inv1]:[IS3Inv1]])</f>
        <v>95440.5</v>
      </c>
      <c r="Z87" s="60">
        <f>SUM(RD[[#This Row],[IS4Inv1]:[IS4Inv2]])</f>
        <v>34865.300000000003</v>
      </c>
      <c r="AA87" s="60">
        <f>SUM(RD[[#This Row],[O2RE7]:[O2RE27]])</f>
        <v>130305.8</v>
      </c>
      <c r="AB87" s="153"/>
      <c r="AC87" s="153">
        <v>19148</v>
      </c>
      <c r="AD87" s="153"/>
      <c r="AE87" s="153">
        <v>12356.2</v>
      </c>
      <c r="AF87" s="153">
        <v>18816.381000000001</v>
      </c>
      <c r="AG87" s="153">
        <v>0.04</v>
      </c>
      <c r="AH87" s="153">
        <v>5.42</v>
      </c>
      <c r="AI87" s="154" t="str">
        <f>IF((RD[[#This Row],[33 kV_F1_Ex]]-AB86)*150000&lt;=0,"",(RD[[#This Row],[33 kV_F1_Ex]]-AB86)*150000)</f>
        <v/>
      </c>
      <c r="AJ87" s="154">
        <f>IF((RD[[#This Row],[33kV_OG1_Ex]]-AC86)*1000&lt;=0,0,(RD[[#This Row],[33kV_OG1_Ex]]-AC86)*1000)</f>
        <v>128000</v>
      </c>
      <c r="AK87" s="154">
        <f>IF((RD[[#This Row],[220kV_TL_TVM_Ex]]-AE86)*1600&lt;=0,0,(RD[[#This Row],[220kV_TL_TVM_Ex]]-AE86)*1600)</f>
        <v>128000</v>
      </c>
      <c r="AL87" s="154">
        <f>IF((RD[[#This Row],[220kV_C&amp;R_PQM_Ex]]-AF86)*1000&lt;=0,"",(RD[[#This Row],[220kV_C&amp;R_PQM_Ex]]-AF86)*1000)</f>
        <v>127397.00000000084</v>
      </c>
      <c r="AM87" s="154">
        <f>IF((RD[[#This Row],[33kV_Aux1_Im]]-AH86)*1000&lt;0,"",(RD[[#This Row],[33kV_Aux1_Im]]-AH86)*1000)</f>
        <v>219.99999999999974</v>
      </c>
      <c r="AN87" s="154">
        <f>IF((RD[[#This Row],[33kV_Aux1_Im]]-AH86)*1000&lt;0,"",(RD[[#This Row],[33kV_Aux1_Im]]-AH86)*1000)</f>
        <v>219.99999999999974</v>
      </c>
      <c r="AO87" s="61">
        <f>RD[[#This Row],[33kV_OG1_Energy (KWh)]]</f>
        <v>128000</v>
      </c>
      <c r="AP87" s="61">
        <f>IFERROR(RD[[#This Row],[220kV_TL_TVM Energy (KWh)]]-RD[[#This Row],[220kV_C&amp;R_PQM_Imp (KWh)2]],"")</f>
        <v>127780</v>
      </c>
      <c r="AQ87" s="63">
        <f>IFERROR(RD[[#This Row],[33 kV Total Export (KWH)]]/RD[[#This Row],[220 KV Net Export (KWh)]]-1,"")</f>
        <v>1.7217091876662316E-3</v>
      </c>
      <c r="AR87" s="64">
        <f>IFERROR((RD[[#This Row],[Sunset Time (POA&lt;20 W/m2)]]-RD[[#This Row],[Sunrise Time (POA&gt;20 W/m2)]])*24,0)</f>
        <v>11</v>
      </c>
      <c r="AS87" s="65">
        <f>RD[[#This Row],[33kV_OG1_Energy (KWh)]]</f>
        <v>128000</v>
      </c>
      <c r="AT87" s="65">
        <f>IFERROR(RD[[#This Row],[ Export (33 kV)]]*(1-RD[[#This Row],[33 kV Line Loss (%)]]),RD[[#This Row],[ Export (33 kV)]])</f>
        <v>127779.62122397873</v>
      </c>
      <c r="AU87" s="277">
        <v>39.21</v>
      </c>
      <c r="AV87" s="122"/>
      <c r="AW87" s="122"/>
      <c r="AX87" t="str">
        <f>IFERROR(RD[[#This Row],[E_AC (WPR)]]/RD[[#This Row],[E_DC (WPR)]],"")</f>
        <v/>
      </c>
    </row>
    <row r="88" spans="1:50">
      <c r="A88" s="148">
        <f t="shared" si="49"/>
        <v>45828</v>
      </c>
      <c r="B88" s="151">
        <f>YEAR(RD[[#This Row],[Date]])+IF(MONTH(RD[[#This Row],[Date]])&gt;=4,1,0)</f>
        <v>2026</v>
      </c>
      <c r="C88" s="151">
        <f>YEAR(RD[[#This Row],[Date]])</f>
        <v>2025</v>
      </c>
      <c r="D88" s="152">
        <f t="shared" si="48"/>
        <v>45809</v>
      </c>
      <c r="E88" s="151">
        <f>DAY(EOMONTH(RD[[#This Row],[Date]],0))</f>
        <v>30</v>
      </c>
      <c r="F88" s="122">
        <v>0.25416666666666665</v>
      </c>
      <c r="G88" s="122">
        <v>0.77847222222222223</v>
      </c>
      <c r="H88" s="138">
        <v>23879</v>
      </c>
      <c r="I88" s="138">
        <v>24010.5</v>
      </c>
      <c r="J88" s="138">
        <v>33031.599999999999</v>
      </c>
      <c r="K88" s="138">
        <v>33187.699999999997</v>
      </c>
      <c r="L88" s="138">
        <v>33862.800000000003</v>
      </c>
      <c r="M88" s="138">
        <v>27356.3</v>
      </c>
      <c r="N88" s="138">
        <v>27264.3</v>
      </c>
      <c r="O88" s="167"/>
      <c r="P88" s="167"/>
      <c r="Q88" s="58">
        <v>6.13</v>
      </c>
      <c r="R88" s="58">
        <v>6.46</v>
      </c>
      <c r="S88" s="58">
        <v>31.83</v>
      </c>
      <c r="T88" s="58">
        <v>39.69</v>
      </c>
      <c r="U88" s="58">
        <v>58.45</v>
      </c>
      <c r="V88" s="58">
        <v>0</v>
      </c>
      <c r="W88" s="58">
        <v>5.37</v>
      </c>
      <c r="X88" s="58">
        <v>11.97</v>
      </c>
      <c r="Y88" s="60">
        <f>SUM(RD[[#This Row],[IS1Inv1]:[IS3Inv1]])</f>
        <v>147971.6</v>
      </c>
      <c r="Z88" s="60">
        <f>SUM(RD[[#This Row],[IS4Inv1]:[IS4Inv2]])</f>
        <v>54620.6</v>
      </c>
      <c r="AA88" s="60">
        <f>SUM(RD[[#This Row],[O2RE7]:[O2RE27]])</f>
        <v>202592.2</v>
      </c>
      <c r="AB88" s="153"/>
      <c r="AC88" s="153">
        <v>19349</v>
      </c>
      <c r="AD88" s="153"/>
      <c r="AE88" s="153">
        <v>12480.8</v>
      </c>
      <c r="AF88" s="153">
        <v>19015.37</v>
      </c>
      <c r="AG88" s="153">
        <v>0.04</v>
      </c>
      <c r="AH88" s="153">
        <v>5.66</v>
      </c>
      <c r="AI88" s="154" t="str">
        <f>IF((RD[[#This Row],[33 kV_F1_Ex]]-AB87)*150000&lt;=0,"",(RD[[#This Row],[33 kV_F1_Ex]]-AB87)*150000)</f>
        <v/>
      </c>
      <c r="AJ88" s="154">
        <f>IF((RD[[#This Row],[33kV_OG1_Ex]]-AC87)*1000&lt;=0,0,(RD[[#This Row],[33kV_OG1_Ex]]-AC87)*1000)</f>
        <v>201000</v>
      </c>
      <c r="AK88" s="154">
        <f>IF((RD[[#This Row],[220kV_TL_TVM_Ex]]-AE87)*1600&lt;=0,0,(RD[[#This Row],[220kV_TL_TVM_Ex]]-AE87)*1600)</f>
        <v>199359.99999999767</v>
      </c>
      <c r="AL88" s="154">
        <f>IF((RD[[#This Row],[220kV_C&amp;R_PQM_Ex]]-AF87)*1000&lt;=0,"",(RD[[#This Row],[220kV_C&amp;R_PQM_Ex]]-AF87)*1000)</f>
        <v>198988.99999999776</v>
      </c>
      <c r="AM88" s="154">
        <f>IF((RD[[#This Row],[33kV_Aux1_Im]]-AH87)*1000&lt;0,"",(RD[[#This Row],[33kV_Aux1_Im]]-AH87)*1000)</f>
        <v>240.00000000000023</v>
      </c>
      <c r="AN88" s="154">
        <f>IF((RD[[#This Row],[33kV_Aux1_Im]]-AH87)*1000&lt;0,"",(RD[[#This Row],[33kV_Aux1_Im]]-AH87)*1000)</f>
        <v>240.00000000000023</v>
      </c>
      <c r="AO88" s="61">
        <f>RD[[#This Row],[33kV_OG1_Energy (KWh)]]</f>
        <v>201000</v>
      </c>
      <c r="AP88" s="61">
        <f>IFERROR(RD[[#This Row],[220kV_TL_TVM Energy (KWh)]]-RD[[#This Row],[220kV_C&amp;R_PQM_Imp (KWh)2]],"")</f>
        <v>199119.99999999767</v>
      </c>
      <c r="AQ88" s="63">
        <f>IFERROR(RD[[#This Row],[33 kV Total Export (KWH)]]/RD[[#This Row],[220 KV Net Export (KWh)]]-1,"")</f>
        <v>9.4415427882801328E-3</v>
      </c>
      <c r="AR88" s="64">
        <f>IFERROR((RD[[#This Row],[Sunset Time (POA&lt;20 W/m2)]]-RD[[#This Row],[Sunrise Time (POA&gt;20 W/m2)]])*24,0)</f>
        <v>12.583333333333334</v>
      </c>
      <c r="AS88" s="65">
        <f>RD[[#This Row],[33kV_OG1_Energy (KWh)]]</f>
        <v>201000</v>
      </c>
      <c r="AT88" s="65">
        <f>IFERROR(RD[[#This Row],[ Export (33 kV)]]*(1-RD[[#This Row],[33 kV Line Loss (%)]]),RD[[#This Row],[ Export (33 kV)]])</f>
        <v>199102.2498995557</v>
      </c>
      <c r="AU88" s="277">
        <v>39.21</v>
      </c>
      <c r="AV88" s="122"/>
      <c r="AW88" s="122"/>
      <c r="AX88" t="str">
        <f>IFERROR(RD[[#This Row],[E_AC (WPR)]]/RD[[#This Row],[E_DC (WPR)]],"")</f>
        <v/>
      </c>
    </row>
    <row r="89" spans="1:50">
      <c r="A89" s="148">
        <f t="shared" si="49"/>
        <v>45829</v>
      </c>
      <c r="B89" s="151">
        <f>YEAR(RD[[#This Row],[Date]])+IF(MONTH(RD[[#This Row],[Date]])&gt;=4,1,0)</f>
        <v>2026</v>
      </c>
      <c r="C89" s="151">
        <f>YEAR(RD[[#This Row],[Date]])</f>
        <v>2025</v>
      </c>
      <c r="D89" s="152">
        <f t="shared" si="48"/>
        <v>45809</v>
      </c>
      <c r="E89" s="151">
        <f>DAY(EOMONTH(RD[[#This Row],[Date]],0))</f>
        <v>30</v>
      </c>
      <c r="F89" s="122">
        <v>0.24930555555555556</v>
      </c>
      <c r="G89" s="122">
        <v>0.76944444444444449</v>
      </c>
      <c r="H89" s="138">
        <v>19159</v>
      </c>
      <c r="I89" s="138">
        <v>19282</v>
      </c>
      <c r="J89" s="138">
        <v>26286</v>
      </c>
      <c r="K89" s="138">
        <v>26529</v>
      </c>
      <c r="L89" s="138">
        <v>26988</v>
      </c>
      <c r="M89" s="138">
        <v>21917</v>
      </c>
      <c r="N89" s="138">
        <v>21824</v>
      </c>
      <c r="O89" s="167"/>
      <c r="P89" s="167"/>
      <c r="Q89" s="58">
        <v>4.8499999999999996</v>
      </c>
      <c r="R89" s="58">
        <v>5.1100000000000003</v>
      </c>
      <c r="S89" s="58">
        <v>30.4</v>
      </c>
      <c r="T89" s="58">
        <v>37.590000000000003</v>
      </c>
      <c r="U89" s="58">
        <v>66.709999999999994</v>
      </c>
      <c r="V89" s="58">
        <v>0</v>
      </c>
      <c r="W89" s="58">
        <v>4.09</v>
      </c>
      <c r="X89" s="58">
        <v>13.91</v>
      </c>
      <c r="Y89" s="60">
        <f>SUM(RD[[#This Row],[IS1Inv1]:[IS3Inv1]])</f>
        <v>118244</v>
      </c>
      <c r="Z89" s="60">
        <f>SUM(RD[[#This Row],[IS4Inv1]:[IS4Inv2]])</f>
        <v>43741</v>
      </c>
      <c r="AA89" s="60">
        <f>SUM(RD[[#This Row],[O2RE7]:[O2RE27]])</f>
        <v>161985</v>
      </c>
      <c r="AB89" s="153"/>
      <c r="AC89" s="153">
        <v>19510</v>
      </c>
      <c r="AD89" s="153"/>
      <c r="AE89" s="153">
        <v>12580.4</v>
      </c>
      <c r="AF89" s="153">
        <v>19174.532999999999</v>
      </c>
      <c r="AG89" s="153">
        <v>0.04</v>
      </c>
      <c r="AH89" s="153">
        <v>5.88</v>
      </c>
      <c r="AI89" s="154" t="str">
        <f>IF((RD[[#This Row],[33 kV_F1_Ex]]-AB88)*150000&lt;=0,"",(RD[[#This Row],[33 kV_F1_Ex]]-AB88)*150000)</f>
        <v/>
      </c>
      <c r="AJ89" s="154">
        <f>IF((RD[[#This Row],[33kV_OG1_Ex]]-AC88)*1000&lt;=0,0,(RD[[#This Row],[33kV_OG1_Ex]]-AC88)*1000)</f>
        <v>161000</v>
      </c>
      <c r="AK89" s="154">
        <f>IF((RD[[#This Row],[220kV_TL_TVM_Ex]]-AE88)*1600&lt;=0,0,(RD[[#This Row],[220kV_TL_TVM_Ex]]-AE88)*1600)</f>
        <v>159360.00000000058</v>
      </c>
      <c r="AL89" s="154">
        <f>IF((RD[[#This Row],[220kV_C&amp;R_PQM_Ex]]-AF88)*1000&lt;=0,"",(RD[[#This Row],[220kV_C&amp;R_PQM_Ex]]-AF88)*1000)</f>
        <v>159163.00000000047</v>
      </c>
      <c r="AM89" s="154">
        <f>IF((RD[[#This Row],[33kV_Aux1_Im]]-AH88)*1000&lt;0,"",(RD[[#This Row],[33kV_Aux1_Im]]-AH88)*1000)</f>
        <v>219.99999999999974</v>
      </c>
      <c r="AN89" s="154">
        <f>IF((RD[[#This Row],[33kV_Aux1_Im]]-AH88)*1000&lt;0,"",(RD[[#This Row],[33kV_Aux1_Im]]-AH88)*1000)</f>
        <v>219.99999999999974</v>
      </c>
      <c r="AO89" s="61">
        <f>RD[[#This Row],[33kV_OG1_Energy (KWh)]]</f>
        <v>161000</v>
      </c>
      <c r="AP89" s="61">
        <f>IFERROR(RD[[#This Row],[220kV_TL_TVM Energy (KWh)]]-RD[[#This Row],[220kV_C&amp;R_PQM_Imp (KWh)2]],"")</f>
        <v>159140.00000000058</v>
      </c>
      <c r="AQ89" s="63">
        <f>IFERROR(RD[[#This Row],[33 kV Total Export (KWH)]]/RD[[#This Row],[220 KV Net Export (KWh)]]-1,"")</f>
        <v>1.1687822043479956E-2</v>
      </c>
      <c r="AR89" s="64">
        <f>IFERROR((RD[[#This Row],[Sunset Time (POA&lt;20 W/m2)]]-RD[[#This Row],[Sunrise Time (POA&gt;20 W/m2)]])*24,0)</f>
        <v>12.483333333333334</v>
      </c>
      <c r="AS89" s="65">
        <f>RD[[#This Row],[33kV_OG1_Energy (KWh)]]</f>
        <v>161000</v>
      </c>
      <c r="AT89" s="65">
        <f>IFERROR(RD[[#This Row],[ Export (33 kV)]]*(1-RD[[#This Row],[33 kV Line Loss (%)]]),RD[[#This Row],[ Export (33 kV)]])</f>
        <v>159118.26065099973</v>
      </c>
      <c r="AU89" s="277">
        <v>39.21</v>
      </c>
      <c r="AV89" s="122"/>
      <c r="AW89" s="122"/>
      <c r="AX89" t="str">
        <f>IFERROR(RD[[#This Row],[E_AC (WPR)]]/RD[[#This Row],[E_DC (WPR)]],"")</f>
        <v/>
      </c>
    </row>
    <row r="90" spans="1:50">
      <c r="A90" s="148">
        <f t="shared" si="49"/>
        <v>45830</v>
      </c>
      <c r="B90" s="151">
        <f>YEAR(RD[[#This Row],[Date]])+IF(MONTH(RD[[#This Row],[Date]])&gt;=4,1,0)</f>
        <v>2026</v>
      </c>
      <c r="C90" s="151">
        <f>YEAR(RD[[#This Row],[Date]])</f>
        <v>2025</v>
      </c>
      <c r="D90" s="152">
        <f t="shared" si="48"/>
        <v>45809</v>
      </c>
      <c r="E90" s="151">
        <f>DAY(EOMONTH(RD[[#This Row],[Date]],0))</f>
        <v>30</v>
      </c>
      <c r="F90" s="122">
        <v>0.25763888888888886</v>
      </c>
      <c r="G90" s="122">
        <v>0.76458333333333328</v>
      </c>
      <c r="H90" s="138">
        <v>17917.7</v>
      </c>
      <c r="I90" s="138">
        <v>17887.8</v>
      </c>
      <c r="J90" s="138">
        <v>24523.599999999999</v>
      </c>
      <c r="K90" s="138">
        <v>24714.6</v>
      </c>
      <c r="L90" s="138">
        <v>24821.599999999999</v>
      </c>
      <c r="M90" s="138">
        <v>20075.599999999999</v>
      </c>
      <c r="N90" s="138">
        <v>19939.099999999999</v>
      </c>
      <c r="O90" s="167"/>
      <c r="P90" s="167"/>
      <c r="Q90" s="58">
        <v>4.4000000000000004</v>
      </c>
      <c r="R90" s="58">
        <v>4.5</v>
      </c>
      <c r="S90" s="58">
        <v>30.53</v>
      </c>
      <c r="T90" s="58">
        <v>36.64</v>
      </c>
      <c r="U90" s="58">
        <v>62.02</v>
      </c>
      <c r="V90" s="58">
        <v>0</v>
      </c>
      <c r="W90" s="58">
        <v>4.75</v>
      </c>
      <c r="X90" s="58">
        <v>10.61</v>
      </c>
      <c r="Y90" s="60">
        <f>SUM(RD[[#This Row],[IS1Inv1]:[IS3Inv1]])</f>
        <v>109865.29999999999</v>
      </c>
      <c r="Z90" s="60">
        <f>SUM(RD[[#This Row],[IS4Inv1]:[IS4Inv2]])</f>
        <v>40014.699999999997</v>
      </c>
      <c r="AA90" s="60">
        <f>SUM(RD[[#This Row],[O2RE7]:[O2RE27]])</f>
        <v>149880</v>
      </c>
      <c r="AB90" s="153"/>
      <c r="AC90" s="153">
        <v>19658</v>
      </c>
      <c r="AD90" s="153"/>
      <c r="AE90" s="153">
        <v>12672.6</v>
      </c>
      <c r="AF90" s="153">
        <v>19321.593000000001</v>
      </c>
      <c r="AG90" s="153">
        <v>0.04</v>
      </c>
      <c r="AH90" s="153">
        <v>6.11</v>
      </c>
      <c r="AI90" s="154" t="str">
        <f>IF((RD[[#This Row],[33 kV_F1_Ex]]-AB89)*150000&lt;=0,"",(RD[[#This Row],[33 kV_F1_Ex]]-AB89)*150000)</f>
        <v/>
      </c>
      <c r="AJ90" s="154">
        <f>IF((RD[[#This Row],[33kV_OG1_Ex]]-AC89)*1000&lt;=0,0,(RD[[#This Row],[33kV_OG1_Ex]]-AC89)*1000)</f>
        <v>148000</v>
      </c>
      <c r="AK90" s="154">
        <f>IF((RD[[#This Row],[220kV_TL_TVM_Ex]]-AE89)*1600&lt;=0,0,(RD[[#This Row],[220kV_TL_TVM_Ex]]-AE89)*1600)</f>
        <v>147520.00000000116</v>
      </c>
      <c r="AL90" s="154">
        <f>IF((RD[[#This Row],[220kV_C&amp;R_PQM_Ex]]-AF89)*1000&lt;=0,"",(RD[[#This Row],[220kV_C&amp;R_PQM_Ex]]-AF89)*1000)</f>
        <v>147060.00000000131</v>
      </c>
      <c r="AM90" s="154">
        <f>IF((RD[[#This Row],[33kV_Aux1_Im]]-AH89)*1000&lt;0,"",(RD[[#This Row],[33kV_Aux1_Im]]-AH89)*1000)</f>
        <v>230.00000000000043</v>
      </c>
      <c r="AN90" s="154">
        <f>IF((RD[[#This Row],[33kV_Aux1_Im]]-AH89)*1000&lt;0,"",(RD[[#This Row],[33kV_Aux1_Im]]-AH89)*1000)</f>
        <v>230.00000000000043</v>
      </c>
      <c r="AO90" s="61">
        <f>RD[[#This Row],[33kV_OG1_Energy (KWh)]]</f>
        <v>148000</v>
      </c>
      <c r="AP90" s="61">
        <f>IFERROR(RD[[#This Row],[220kV_TL_TVM Energy (KWh)]]-RD[[#This Row],[220kV_C&amp;R_PQM_Imp (KWh)2]],"")</f>
        <v>147290.00000000116</v>
      </c>
      <c r="AQ90" s="63">
        <f>IFERROR(RD[[#This Row],[33 kV Total Export (KWH)]]/RD[[#This Row],[220 KV Net Export (KWh)]]-1,"")</f>
        <v>4.8204222961425458E-3</v>
      </c>
      <c r="AR90" s="64">
        <f>IFERROR((RD[[#This Row],[Sunset Time (POA&lt;20 W/m2)]]-RD[[#This Row],[Sunrise Time (POA&gt;20 W/m2)]])*24,0)</f>
        <v>12.166666666666666</v>
      </c>
      <c r="AS90" s="65">
        <f>RD[[#This Row],[33kV_OG1_Energy (KWh)]]</f>
        <v>148000</v>
      </c>
      <c r="AT90" s="65">
        <f>IFERROR(RD[[#This Row],[ Export (33 kV)]]*(1-RD[[#This Row],[33 kV Line Loss (%)]]),RD[[#This Row],[ Export (33 kV)]])</f>
        <v>147286.57750017091</v>
      </c>
      <c r="AU90" s="277">
        <v>39.21</v>
      </c>
      <c r="AV90" s="122"/>
      <c r="AW90" s="122"/>
      <c r="AX90" t="str">
        <f>IFERROR(RD[[#This Row],[E_AC (WPR)]]/RD[[#This Row],[E_DC (WPR)]],"")</f>
        <v/>
      </c>
    </row>
    <row r="91" spans="1:50">
      <c r="A91" s="148">
        <f t="shared" si="49"/>
        <v>45831</v>
      </c>
      <c r="B91" s="151">
        <f>YEAR(RD[[#This Row],[Date]])+IF(MONTH(RD[[#This Row],[Date]])&gt;=4,1,0)</f>
        <v>2026</v>
      </c>
      <c r="C91" s="151">
        <f>YEAR(RD[[#This Row],[Date]])</f>
        <v>2025</v>
      </c>
      <c r="D91" s="152">
        <f t="shared" si="48"/>
        <v>45809</v>
      </c>
      <c r="E91" s="151">
        <f>DAY(EOMONTH(RD[[#This Row],[Date]],0))</f>
        <v>30</v>
      </c>
      <c r="F91" s="122">
        <v>0.24930555555555556</v>
      </c>
      <c r="G91" s="122">
        <v>0.76527777777777772</v>
      </c>
      <c r="H91" s="138">
        <v>12293.2</v>
      </c>
      <c r="I91" s="138">
        <v>12416.1</v>
      </c>
      <c r="J91" s="138">
        <v>17123.099999999999</v>
      </c>
      <c r="K91" s="138">
        <v>17366.900000000001</v>
      </c>
      <c r="L91" s="138">
        <v>17384.099999999999</v>
      </c>
      <c r="M91" s="138">
        <v>13692</v>
      </c>
      <c r="N91" s="138">
        <v>13666.6</v>
      </c>
      <c r="O91" s="167"/>
      <c r="P91" s="167"/>
      <c r="Q91" s="58">
        <v>2.87</v>
      </c>
      <c r="R91" s="58">
        <v>3</v>
      </c>
      <c r="S91" s="58">
        <v>29.43</v>
      </c>
      <c r="T91" s="58">
        <v>32.99</v>
      </c>
      <c r="U91" s="58">
        <v>66.760000000000005</v>
      </c>
      <c r="V91" s="58">
        <v>0</v>
      </c>
      <c r="W91" s="58">
        <v>4.05</v>
      </c>
      <c r="X91" s="58">
        <v>8.89</v>
      </c>
      <c r="Y91" s="60">
        <f>SUM(RD[[#This Row],[IS1Inv1]:[IS3Inv1]])</f>
        <v>76583.399999999994</v>
      </c>
      <c r="Z91" s="60">
        <f>SUM(RD[[#This Row],[IS4Inv1]:[IS4Inv2]])</f>
        <v>27358.6</v>
      </c>
      <c r="AA91" s="60">
        <f>SUM(RD[[#This Row],[O2RE7]:[O2RE27]])</f>
        <v>103942</v>
      </c>
      <c r="AB91" s="153"/>
      <c r="AC91" s="153">
        <v>19761</v>
      </c>
      <c r="AD91" s="153"/>
      <c r="AE91" s="153">
        <v>12736.6</v>
      </c>
      <c r="AF91" s="153">
        <v>19423.826000000001</v>
      </c>
      <c r="AG91" s="153">
        <v>0.04</v>
      </c>
      <c r="AH91" s="153">
        <v>6.32</v>
      </c>
      <c r="AI91" s="154" t="str">
        <f>IF((RD[[#This Row],[33 kV_F1_Ex]]-AB90)*150000&lt;=0,"",(RD[[#This Row],[33 kV_F1_Ex]]-AB90)*150000)</f>
        <v/>
      </c>
      <c r="AJ91" s="154">
        <f>IF((RD[[#This Row],[33kV_OG1_Ex]]-AC90)*1000&lt;=0,0,(RD[[#This Row],[33kV_OG1_Ex]]-AC90)*1000)</f>
        <v>103000</v>
      </c>
      <c r="AK91" s="154">
        <f>IF((RD[[#This Row],[220kV_TL_TVM_Ex]]-AE90)*1600&lt;=0,0,(RD[[#This Row],[220kV_TL_TVM_Ex]]-AE90)*1600)</f>
        <v>102400</v>
      </c>
      <c r="AL91" s="154">
        <f>IF((RD[[#This Row],[220kV_C&amp;R_PQM_Ex]]-AF90)*1000&lt;=0,"",(RD[[#This Row],[220kV_C&amp;R_PQM_Ex]]-AF90)*1000)</f>
        <v>102233.00000000017</v>
      </c>
      <c r="AM91" s="154">
        <f>IF((RD[[#This Row],[33kV_Aux1_Im]]-AH90)*1000&lt;0,"",(RD[[#This Row],[33kV_Aux1_Im]]-AH90)*1000)</f>
        <v>209.99999999999997</v>
      </c>
      <c r="AN91" s="154">
        <f>IF((RD[[#This Row],[33kV_Aux1_Im]]-AH90)*1000&lt;0,"",(RD[[#This Row],[33kV_Aux1_Im]]-AH90)*1000)</f>
        <v>209.99999999999997</v>
      </c>
      <c r="AO91" s="61">
        <f>RD[[#This Row],[33kV_OG1_Energy (KWh)]]</f>
        <v>103000</v>
      </c>
      <c r="AP91" s="61">
        <f>IFERROR(RD[[#This Row],[220kV_TL_TVM Energy (KWh)]]-RD[[#This Row],[220kV_C&amp;R_PQM_Imp (KWh)2]],"")</f>
        <v>102190</v>
      </c>
      <c r="AQ91" s="63">
        <f>IFERROR(RD[[#This Row],[33 kV Total Export (KWH)]]/RD[[#This Row],[220 KV Net Export (KWh)]]-1,"")</f>
        <v>7.9264115862609508E-3</v>
      </c>
      <c r="AR91" s="64">
        <f>IFERROR((RD[[#This Row],[Sunset Time (POA&lt;20 W/m2)]]-RD[[#This Row],[Sunrise Time (POA&gt;20 W/m2)]])*24,0)</f>
        <v>12.383333333333333</v>
      </c>
      <c r="AS91" s="65">
        <f>RD[[#This Row],[33kV_OG1_Energy (KWh)]]</f>
        <v>103000</v>
      </c>
      <c r="AT91" s="65">
        <f>IFERROR(RD[[#This Row],[ Export (33 kV)]]*(1-RD[[#This Row],[33 kV Line Loss (%)]]),RD[[#This Row],[ Export (33 kV)]])</f>
        <v>102183.57960661512</v>
      </c>
      <c r="AU91" s="277">
        <v>39.21</v>
      </c>
      <c r="AV91" s="122"/>
      <c r="AW91" s="122"/>
      <c r="AX91" t="str">
        <f>IFERROR(RD[[#This Row],[E_AC (WPR)]]/RD[[#This Row],[E_DC (WPR)]],"")</f>
        <v/>
      </c>
    </row>
    <row r="92" spans="1:50">
      <c r="A92" s="148">
        <f t="shared" si="49"/>
        <v>45832</v>
      </c>
      <c r="B92" s="151">
        <f>YEAR(RD[[#This Row],[Date]])+IF(MONTH(RD[[#This Row],[Date]])&gt;=4,1,0)</f>
        <v>2026</v>
      </c>
      <c r="C92" s="151">
        <f>YEAR(RD[[#This Row],[Date]])</f>
        <v>2025</v>
      </c>
      <c r="D92" s="152">
        <f t="shared" si="48"/>
        <v>45809</v>
      </c>
      <c r="E92" s="151">
        <f>DAY(EOMONTH(RD[[#This Row],[Date]],0))</f>
        <v>30</v>
      </c>
      <c r="F92" s="122">
        <v>0.25277777777777777</v>
      </c>
      <c r="G92" s="122">
        <v>0.76180555555555551</v>
      </c>
      <c r="H92" s="138">
        <v>16758.599999999999</v>
      </c>
      <c r="I92" s="138">
        <v>16851.5</v>
      </c>
      <c r="J92" s="138">
        <v>23034.3</v>
      </c>
      <c r="K92" s="138">
        <v>23248.9</v>
      </c>
      <c r="L92" s="138">
        <v>23351.599999999999</v>
      </c>
      <c r="M92" s="138">
        <v>18798.3</v>
      </c>
      <c r="N92" s="138">
        <v>18626</v>
      </c>
      <c r="O92" s="167"/>
      <c r="P92" s="167"/>
      <c r="Q92" s="58">
        <v>4.1120000000000001</v>
      </c>
      <c r="R92" s="58">
        <v>4.2220000000000004</v>
      </c>
      <c r="S92" s="58">
        <v>28.765999999999998</v>
      </c>
      <c r="T92" s="58">
        <v>34.624000000000002</v>
      </c>
      <c r="U92" s="58">
        <v>72.555999999999997</v>
      </c>
      <c r="V92" s="58">
        <v>0</v>
      </c>
      <c r="W92" s="58">
        <v>4.5960000000000001</v>
      </c>
      <c r="X92" s="58">
        <v>11.02</v>
      </c>
      <c r="Y92" s="60">
        <f>SUM(RD[[#This Row],[IS1Inv1]:[IS3Inv1]])</f>
        <v>103244.9</v>
      </c>
      <c r="Z92" s="60">
        <f>SUM(RD[[#This Row],[IS4Inv1]:[IS4Inv2]])</f>
        <v>37424.300000000003</v>
      </c>
      <c r="AA92" s="60">
        <f>SUM(RD[[#This Row],[O2RE7]:[O2RE27]])</f>
        <v>140669.20000000001</v>
      </c>
      <c r="AB92" s="153"/>
      <c r="AC92" s="153">
        <v>19901</v>
      </c>
      <c r="AD92" s="153"/>
      <c r="AE92" s="153">
        <v>12822.9</v>
      </c>
      <c r="AF92" s="153">
        <v>19561.877</v>
      </c>
      <c r="AG92" s="153">
        <v>0.04</v>
      </c>
      <c r="AH92" s="153">
        <v>6.53</v>
      </c>
      <c r="AI92" s="154" t="str">
        <f>IF((RD[[#This Row],[33 kV_F1_Ex]]-AB91)*150000&lt;=0,"",(RD[[#This Row],[33 kV_F1_Ex]]-AB91)*150000)</f>
        <v/>
      </c>
      <c r="AJ92" s="154">
        <f>IF((RD[[#This Row],[33kV_OG1_Ex]]-AC91)*1000&lt;=0,0,(RD[[#This Row],[33kV_OG1_Ex]]-AC91)*1000)</f>
        <v>140000</v>
      </c>
      <c r="AK92" s="154">
        <f>IF((RD[[#This Row],[220kV_TL_TVM_Ex]]-AE91)*1600&lt;=0,0,(RD[[#This Row],[220kV_TL_TVM_Ex]]-AE91)*1600)</f>
        <v>138079.99999999884</v>
      </c>
      <c r="AL92" s="154">
        <f>IF((RD[[#This Row],[220kV_C&amp;R_PQM_Ex]]-AF91)*1000&lt;=0,"",(RD[[#This Row],[220kV_C&amp;R_PQM_Ex]]-AF91)*1000)</f>
        <v>138050.99999999948</v>
      </c>
      <c r="AM92" s="154">
        <f>IF((RD[[#This Row],[33kV_Aux1_Im]]-AH91)*1000&lt;0,"",(RD[[#This Row],[33kV_Aux1_Im]]-AH91)*1000)</f>
        <v>209.99999999999997</v>
      </c>
      <c r="AN92" s="154">
        <f>IF((RD[[#This Row],[33kV_Aux1_Im]]-AH91)*1000&lt;0,"",(RD[[#This Row],[33kV_Aux1_Im]]-AH91)*1000)</f>
        <v>209.99999999999997</v>
      </c>
      <c r="AO92" s="61">
        <f>RD[[#This Row],[33kV_OG1_Energy (KWh)]]</f>
        <v>140000</v>
      </c>
      <c r="AP92" s="61">
        <f>IFERROR(RD[[#This Row],[220kV_TL_TVM Energy (KWh)]]-RD[[#This Row],[220kV_C&amp;R_PQM_Imp (KWh)2]],"")</f>
        <v>137869.99999999884</v>
      </c>
      <c r="AQ92" s="63">
        <f>IFERROR(RD[[#This Row],[33 kV Total Export (KWH)]]/RD[[#This Row],[220 KV Net Export (KWh)]]-1,"")</f>
        <v>1.5449336331335273E-2</v>
      </c>
      <c r="AR92" s="64">
        <f>IFERROR((RD[[#This Row],[Sunset Time (POA&lt;20 W/m2)]]-RD[[#This Row],[Sunrise Time (POA&gt;20 W/m2)]])*24,0)</f>
        <v>12.216666666666665</v>
      </c>
      <c r="AS92" s="65">
        <f>RD[[#This Row],[33kV_OG1_Energy (KWh)]]</f>
        <v>140000</v>
      </c>
      <c r="AT92" s="65">
        <f>IFERROR(RD[[#This Row],[ Export (33 kV)]]*(1-RD[[#This Row],[33 kV Line Loss (%)]]),RD[[#This Row],[ Export (33 kV)]])</f>
        <v>137837.09291361307</v>
      </c>
      <c r="AU92" s="277">
        <v>39.21</v>
      </c>
      <c r="AV92" s="122"/>
      <c r="AW92" s="122"/>
      <c r="AX92" t="str">
        <f>IFERROR(RD[[#This Row],[E_AC (WPR)]]/RD[[#This Row],[E_DC (WPR)]],"")</f>
        <v/>
      </c>
    </row>
    <row r="93" spans="1:50">
      <c r="A93" s="148">
        <f t="shared" si="49"/>
        <v>45833</v>
      </c>
      <c r="B93" s="151">
        <f>YEAR(RD[[#This Row],[Date]])+IF(MONTH(RD[[#This Row],[Date]])&gt;=4,1,0)</f>
        <v>2026</v>
      </c>
      <c r="C93" s="151">
        <f>YEAR(RD[[#This Row],[Date]])</f>
        <v>2025</v>
      </c>
      <c r="D93" s="152">
        <f t="shared" si="48"/>
        <v>45809</v>
      </c>
      <c r="E93" s="151">
        <f>DAY(EOMONTH(RD[[#This Row],[Date]],0))</f>
        <v>30</v>
      </c>
      <c r="F93" s="122">
        <v>0.27291666666666664</v>
      </c>
      <c r="G93" s="122">
        <v>0.76111111111111107</v>
      </c>
      <c r="H93" s="138">
        <v>12609.5</v>
      </c>
      <c r="I93" s="138">
        <v>12737.7</v>
      </c>
      <c r="J93" s="138">
        <v>17665.900000000001</v>
      </c>
      <c r="K93" s="138">
        <v>17933.3</v>
      </c>
      <c r="L93" s="138">
        <v>17945.599999999999</v>
      </c>
      <c r="M93" s="138">
        <v>14040</v>
      </c>
      <c r="N93" s="138">
        <v>13988.5</v>
      </c>
      <c r="O93" s="167"/>
      <c r="P93" s="167"/>
      <c r="Q93" s="58">
        <v>2.79</v>
      </c>
      <c r="R93" s="58">
        <v>2.84</v>
      </c>
      <c r="S93" s="58">
        <v>28.997</v>
      </c>
      <c r="T93" s="58">
        <v>33.979999999999997</v>
      </c>
      <c r="U93" s="58">
        <v>71.709999999999994</v>
      </c>
      <c r="V93" s="58">
        <v>0</v>
      </c>
      <c r="W93" s="58">
        <v>2.891</v>
      </c>
      <c r="X93" s="58">
        <v>10.85</v>
      </c>
      <c r="Y93" s="60">
        <f>SUM(RD[[#This Row],[IS1Inv1]:[IS3Inv1]])</f>
        <v>78892</v>
      </c>
      <c r="Z93" s="60">
        <f>SUM(RD[[#This Row],[IS4Inv1]:[IS4Inv2]])</f>
        <v>28028.5</v>
      </c>
      <c r="AA93" s="60">
        <f>SUM(RD[[#This Row],[O2RE7]:[O2RE27]])</f>
        <v>106920.5</v>
      </c>
      <c r="AB93" s="153"/>
      <c r="AC93" s="153">
        <v>20007</v>
      </c>
      <c r="AD93" s="153"/>
      <c r="AE93" s="153">
        <v>12889</v>
      </c>
      <c r="AF93" s="153">
        <v>19666.453000000001</v>
      </c>
      <c r="AG93" s="153">
        <v>0.04</v>
      </c>
      <c r="AH93" s="153">
        <v>6.74</v>
      </c>
      <c r="AI93" s="154" t="str">
        <f>IF((RD[[#This Row],[33 kV_F1_Ex]]-AB92)*150000&lt;=0,"",(RD[[#This Row],[33 kV_F1_Ex]]-AB92)*150000)</f>
        <v/>
      </c>
      <c r="AJ93" s="154">
        <f>IF((RD[[#This Row],[33kV_OG1_Ex]]-AC92)*1000&lt;=0,0,(RD[[#This Row],[33kV_OG1_Ex]]-AC92)*1000)</f>
        <v>106000</v>
      </c>
      <c r="AK93" s="154">
        <f>IF((RD[[#This Row],[220kV_TL_TVM_Ex]]-AE92)*1600&lt;=0,0,(RD[[#This Row],[220kV_TL_TVM_Ex]]-AE92)*1600)</f>
        <v>105760.00000000058</v>
      </c>
      <c r="AL93" s="154">
        <f>IF((RD[[#This Row],[220kV_C&amp;R_PQM_Ex]]-AF92)*1000&lt;=0,"",(RD[[#This Row],[220kV_C&amp;R_PQM_Ex]]-AF92)*1000)</f>
        <v>104576.00000000093</v>
      </c>
      <c r="AM93" s="154">
        <f>IF((RD[[#This Row],[33kV_Aux1_Im]]-AH92)*1000&lt;0,"",(RD[[#This Row],[33kV_Aux1_Im]]-AH92)*1000)</f>
        <v>209.99999999999997</v>
      </c>
      <c r="AN93" s="154">
        <f>IF((RD[[#This Row],[33kV_Aux1_Im]]-AH92)*1000&lt;0,"",(RD[[#This Row],[33kV_Aux1_Im]]-AH92)*1000)</f>
        <v>209.99999999999997</v>
      </c>
      <c r="AO93" s="61">
        <f>RD[[#This Row],[33kV_OG1_Energy (KWh)]]</f>
        <v>106000</v>
      </c>
      <c r="AP93" s="61">
        <f>IFERROR(RD[[#This Row],[220kV_TL_TVM Energy (KWh)]]-RD[[#This Row],[220kV_C&amp;R_PQM_Imp (KWh)2]],"")</f>
        <v>105550.00000000058</v>
      </c>
      <c r="AQ93" s="63">
        <f>IFERROR(RD[[#This Row],[33 kV Total Export (KWH)]]/RD[[#This Row],[220 KV Net Export (KWh)]]-1,"")</f>
        <v>4.2633822832724988E-3</v>
      </c>
      <c r="AR93" s="64">
        <f>IFERROR((RD[[#This Row],[Sunset Time (POA&lt;20 W/m2)]]-RD[[#This Row],[Sunrise Time (POA&gt;20 W/m2)]])*24,0)</f>
        <v>11.716666666666667</v>
      </c>
      <c r="AS93" s="65">
        <f>RD[[#This Row],[33kV_OG1_Energy (KWh)]]</f>
        <v>106000</v>
      </c>
      <c r="AT93" s="65">
        <f>IFERROR(RD[[#This Row],[ Export (33 kV)]]*(1-RD[[#This Row],[33 kV Line Loss (%)]]),RD[[#This Row],[ Export (33 kV)]])</f>
        <v>105548.08147797312</v>
      </c>
      <c r="AU93" s="277">
        <v>39.21</v>
      </c>
      <c r="AV93" s="122"/>
      <c r="AW93" s="122"/>
      <c r="AX93" t="str">
        <f>IFERROR(RD[[#This Row],[E_AC (WPR)]]/RD[[#This Row],[E_DC (WPR)]],"")</f>
        <v/>
      </c>
    </row>
    <row r="94" spans="1:50">
      <c r="A94" s="148">
        <f t="shared" si="49"/>
        <v>45834</v>
      </c>
      <c r="B94" s="151">
        <f>YEAR(RD[[#This Row],[Date]])+IF(MONTH(RD[[#This Row],[Date]])&gt;=4,1,0)</f>
        <v>2026</v>
      </c>
      <c r="C94" s="151">
        <f>YEAR(RD[[#This Row],[Date]])</f>
        <v>2025</v>
      </c>
      <c r="D94" s="152">
        <f t="shared" si="48"/>
        <v>45809</v>
      </c>
      <c r="E94" s="151">
        <f>DAY(EOMONTH(RD[[#This Row],[Date]],0))</f>
        <v>30</v>
      </c>
      <c r="F94" s="122">
        <v>0.34722222222222221</v>
      </c>
      <c r="G94" s="122">
        <v>0.7631944444444444</v>
      </c>
      <c r="H94" s="138">
        <v>3855</v>
      </c>
      <c r="I94" s="138">
        <v>3926.5</v>
      </c>
      <c r="J94" s="138">
        <v>5377.9</v>
      </c>
      <c r="K94" s="138">
        <v>5498.8</v>
      </c>
      <c r="L94" s="138">
        <v>1681.2</v>
      </c>
      <c r="M94" s="138">
        <v>2462.6</v>
      </c>
      <c r="N94" s="138">
        <v>4358</v>
      </c>
      <c r="O94" s="167"/>
      <c r="P94" s="167"/>
      <c r="Q94" s="58">
        <v>0.94869823666666675</v>
      </c>
      <c r="R94" s="58">
        <v>0.94666352666666631</v>
      </c>
      <c r="S94" s="58">
        <v>25.18</v>
      </c>
      <c r="T94" s="58">
        <v>25.71</v>
      </c>
      <c r="U94" s="58">
        <v>95.6</v>
      </c>
      <c r="V94" s="58">
        <v>0</v>
      </c>
      <c r="W94" s="58">
        <v>2.33</v>
      </c>
      <c r="X94" s="58">
        <v>5.3</v>
      </c>
      <c r="Y94" s="60">
        <f>SUM(RD[[#This Row],[IS1Inv1]:[IS3Inv1]])</f>
        <v>20339.400000000001</v>
      </c>
      <c r="Z94" s="60">
        <f>SUM(RD[[#This Row],[IS4Inv1]:[IS4Inv2]])</f>
        <v>6820.6</v>
      </c>
      <c r="AA94" s="60">
        <f>SUM(RD[[#This Row],[O2RE7]:[O2RE27]])</f>
        <v>27160</v>
      </c>
      <c r="AB94" s="153"/>
      <c r="AC94" s="153">
        <v>20034</v>
      </c>
      <c r="AD94" s="153"/>
      <c r="AE94" s="153">
        <v>12905.3</v>
      </c>
      <c r="AF94" s="153">
        <v>19692.218400000002</v>
      </c>
      <c r="AG94" s="153">
        <v>0.04</v>
      </c>
      <c r="AH94" s="153">
        <v>6.95</v>
      </c>
      <c r="AI94" s="154" t="str">
        <f>IF((RD[[#This Row],[33 kV_F1_Ex]]-AB93)*150000&lt;=0,"",(RD[[#This Row],[33 kV_F1_Ex]]-AB93)*150000)</f>
        <v/>
      </c>
      <c r="AJ94" s="154">
        <f>IF((RD[[#This Row],[33kV_OG1_Ex]]-AC93)*1000&lt;=0,0,(RD[[#This Row],[33kV_OG1_Ex]]-AC93)*1000)</f>
        <v>27000</v>
      </c>
      <c r="AK94" s="154">
        <f>IF((RD[[#This Row],[220kV_TL_TVM_Ex]]-AE93)*1600&lt;=0,0,(RD[[#This Row],[220kV_TL_TVM_Ex]]-AE93)*1600)</f>
        <v>26079.999999998836</v>
      </c>
      <c r="AL94" s="154">
        <f>IF((RD[[#This Row],[220kV_C&amp;R_PQM_Ex]]-AF93)*1000&lt;=0,"",(RD[[#This Row],[220kV_C&amp;R_PQM_Ex]]-AF93)*1000)</f>
        <v>25765.400000000227</v>
      </c>
      <c r="AM94" s="154">
        <f>IF((RD[[#This Row],[33kV_Aux1_Im]]-AH93)*1000&lt;0,"",(RD[[#This Row],[33kV_Aux1_Im]]-AH93)*1000)</f>
        <v>209.99999999999997</v>
      </c>
      <c r="AN94" s="154">
        <f>IF((RD[[#This Row],[33kV_Aux1_Im]]-AH93)*1000&lt;0,"",(RD[[#This Row],[33kV_Aux1_Im]]-AH93)*1000)</f>
        <v>209.99999999999997</v>
      </c>
      <c r="AO94" s="61">
        <f>RD[[#This Row],[33kV_OG1_Energy (KWh)]]</f>
        <v>27000</v>
      </c>
      <c r="AP94" s="61">
        <f>IFERROR(RD[[#This Row],[220kV_TL_TVM Energy (KWh)]]-RD[[#This Row],[220kV_C&amp;R_PQM_Imp (KWh)2]],"")</f>
        <v>25869.999999998836</v>
      </c>
      <c r="AQ94" s="63">
        <f>IFERROR(RD[[#This Row],[33 kV Total Export (KWH)]]/RD[[#This Row],[220 KV Net Export (KWh)]]-1,"")</f>
        <v>4.3679938152346942E-2</v>
      </c>
      <c r="AR94" s="64">
        <f>IFERROR((RD[[#This Row],[Sunset Time (POA&lt;20 W/m2)]]-RD[[#This Row],[Sunrise Time (POA&gt;20 W/m2)]])*24,0)</f>
        <v>9.9833333333333325</v>
      </c>
      <c r="AS94" s="65">
        <f>RD[[#This Row],[33kV_OG1_Energy (KWh)]]</f>
        <v>27000</v>
      </c>
      <c r="AT94" s="65">
        <f>IFERROR(RD[[#This Row],[ Export (33 kV)]]*(1-RD[[#This Row],[33 kV Line Loss (%)]]),RD[[#This Row],[ Export (33 kV)]])</f>
        <v>25820.641669886634</v>
      </c>
      <c r="AU94" s="277">
        <v>39.21</v>
      </c>
      <c r="AV94" s="122"/>
      <c r="AW94" s="122"/>
      <c r="AX94" t="str">
        <f>IFERROR(RD[[#This Row],[E_AC (WPR)]]/RD[[#This Row],[E_DC (WPR)]],"")</f>
        <v/>
      </c>
    </row>
    <row r="95" spans="1:50">
      <c r="A95" s="148">
        <f t="shared" si="49"/>
        <v>45835</v>
      </c>
      <c r="B95" s="151">
        <f>YEAR(RD[[#This Row],[Date]])+IF(MONTH(RD[[#This Row],[Date]])&gt;=4,1,0)</f>
        <v>2026</v>
      </c>
      <c r="C95" s="151">
        <f>YEAR(RD[[#This Row],[Date]])</f>
        <v>2025</v>
      </c>
      <c r="D95" s="152">
        <f t="shared" si="48"/>
        <v>45809</v>
      </c>
      <c r="E95" s="151">
        <f>DAY(EOMONTH(RD[[#This Row],[Date]],0))</f>
        <v>30</v>
      </c>
      <c r="F95" s="122">
        <v>0.25208333333333333</v>
      </c>
      <c r="G95" s="122">
        <v>0.77847222222222223</v>
      </c>
      <c r="H95" s="138">
        <v>17531</v>
      </c>
      <c r="I95" s="138">
        <v>17670</v>
      </c>
      <c r="J95" s="138">
        <v>24042</v>
      </c>
      <c r="K95" s="138">
        <v>24689.200000000001</v>
      </c>
      <c r="L95" s="138">
        <v>24103.4</v>
      </c>
      <c r="M95" s="138">
        <v>19357</v>
      </c>
      <c r="N95" s="138">
        <v>19325.599999999999</v>
      </c>
      <c r="O95" s="167"/>
      <c r="P95" s="167"/>
      <c r="Q95" s="58">
        <v>4.18</v>
      </c>
      <c r="R95" s="58">
        <v>4.32</v>
      </c>
      <c r="S95" s="58">
        <v>29.35</v>
      </c>
      <c r="T95" s="58">
        <v>36.57</v>
      </c>
      <c r="U95" s="58">
        <v>73.125</v>
      </c>
      <c r="V95" s="58">
        <v>0</v>
      </c>
      <c r="W95" s="58">
        <v>3.1970000000000001</v>
      </c>
      <c r="X95" s="58">
        <v>8.59</v>
      </c>
      <c r="Y95" s="60">
        <f>SUM(RD[[#This Row],[IS1Inv1]:[IS3Inv1]])</f>
        <v>108035.6</v>
      </c>
      <c r="Z95" s="60">
        <f>SUM(RD[[#This Row],[IS4Inv1]:[IS4Inv2]])</f>
        <v>38682.6</v>
      </c>
      <c r="AA95" s="60">
        <f>SUM(RD[[#This Row],[O2RE7]:[O2RE27]])</f>
        <v>146718.20000000001</v>
      </c>
      <c r="AB95" s="153"/>
      <c r="AC95" s="153">
        <v>20179</v>
      </c>
      <c r="AD95" s="153"/>
      <c r="AE95" s="153">
        <v>12995.6</v>
      </c>
      <c r="AF95" s="153">
        <v>19836.411</v>
      </c>
      <c r="AG95" s="153">
        <v>0.04</v>
      </c>
      <c r="AH95" s="153">
        <v>7.27</v>
      </c>
      <c r="AI95" s="154" t="str">
        <f>IF((RD[[#This Row],[33 kV_F1_Ex]]-AB94)*150000&lt;=0,"",(RD[[#This Row],[33 kV_F1_Ex]]-AB94)*150000)</f>
        <v/>
      </c>
      <c r="AJ95" s="154">
        <f>IF((RD[[#This Row],[33kV_OG1_Ex]]-AC94)*1000&lt;=0,0,(RD[[#This Row],[33kV_OG1_Ex]]-AC94)*1000)</f>
        <v>145000</v>
      </c>
      <c r="AK95" s="154">
        <f>IF((RD[[#This Row],[220kV_TL_TVM_Ex]]-AE94)*1600&lt;=0,0,(RD[[#This Row],[220kV_TL_TVM_Ex]]-AE94)*1600)</f>
        <v>144480.00000000175</v>
      </c>
      <c r="AL95" s="154">
        <f>IF((RD[[#This Row],[220kV_C&amp;R_PQM_Ex]]-AF94)*1000&lt;=0,"",(RD[[#This Row],[220kV_C&amp;R_PQM_Ex]]-AF94)*1000)</f>
        <v>144192.59999999849</v>
      </c>
      <c r="AM95" s="154">
        <f>IF((RD[[#This Row],[33kV_Aux1_Im]]-AH94)*1000&lt;0,"",(RD[[#This Row],[33kV_Aux1_Im]]-AH94)*1000)</f>
        <v>319.99999999999937</v>
      </c>
      <c r="AN95" s="154">
        <f>IF((RD[[#This Row],[33kV_Aux1_Im]]-AH94)*1000&lt;0,"",(RD[[#This Row],[33kV_Aux1_Im]]-AH94)*1000)</f>
        <v>319.99999999999937</v>
      </c>
      <c r="AO95" s="61">
        <f>RD[[#This Row],[33kV_OG1_Energy (KWh)]]</f>
        <v>145000</v>
      </c>
      <c r="AP95" s="61">
        <f>IFERROR(RD[[#This Row],[220kV_TL_TVM Energy (KWh)]]-RD[[#This Row],[220kV_C&amp;R_PQM_Imp (KWh)2]],"")</f>
        <v>144160.00000000175</v>
      </c>
      <c r="AQ95" s="63">
        <f>IFERROR(RD[[#This Row],[33 kV Total Export (KWH)]]/RD[[#This Row],[220 KV Net Export (KWh)]]-1,"")</f>
        <v>5.8268590454928493E-3</v>
      </c>
      <c r="AR95" s="64">
        <f>IFERROR((RD[[#This Row],[Sunset Time (POA&lt;20 W/m2)]]-RD[[#This Row],[Sunrise Time (POA&gt;20 W/m2)]])*24,0)</f>
        <v>12.633333333333333</v>
      </c>
      <c r="AS95" s="65">
        <f>RD[[#This Row],[33kV_OG1_Energy (KWh)]]</f>
        <v>145000</v>
      </c>
      <c r="AT95" s="65">
        <f>IFERROR(RD[[#This Row],[ Export (33 kV)]]*(1-RD[[#This Row],[33 kV Line Loss (%)]]),RD[[#This Row],[ Export (33 kV)]])</f>
        <v>144155.10543840352</v>
      </c>
      <c r="AU95" s="277">
        <v>39.21</v>
      </c>
      <c r="AV95" s="122"/>
      <c r="AW95" s="122"/>
      <c r="AX95" t="str">
        <f>IFERROR(RD[[#This Row],[E_AC (WPR)]]/RD[[#This Row],[E_DC (WPR)]],"")</f>
        <v/>
      </c>
    </row>
    <row r="96" spans="1:50">
      <c r="A96" s="148">
        <f t="shared" si="49"/>
        <v>45836</v>
      </c>
      <c r="B96" s="151">
        <f>YEAR(RD[[#This Row],[Date]])+IF(MONTH(RD[[#This Row],[Date]])&gt;=4,1,0)</f>
        <v>2026</v>
      </c>
      <c r="C96" s="151">
        <f>YEAR(RD[[#This Row],[Date]])</f>
        <v>2025</v>
      </c>
      <c r="D96" s="152">
        <f t="shared" si="48"/>
        <v>45809</v>
      </c>
      <c r="E96" s="151">
        <f>DAY(EOMONTH(RD[[#This Row],[Date]],0))</f>
        <v>30</v>
      </c>
      <c r="F96" s="122">
        <v>0.26458333333333334</v>
      </c>
      <c r="G96" s="122">
        <v>0.76388888888888884</v>
      </c>
      <c r="H96" s="138">
        <v>19422</v>
      </c>
      <c r="I96" s="138">
        <v>19525</v>
      </c>
      <c r="J96" s="138">
        <v>26673.200000000001</v>
      </c>
      <c r="K96" s="138">
        <v>27035</v>
      </c>
      <c r="L96" s="138">
        <v>27278.9</v>
      </c>
      <c r="M96" s="138">
        <v>21988.6</v>
      </c>
      <c r="N96" s="138">
        <v>21886</v>
      </c>
      <c r="O96" s="167"/>
      <c r="P96" s="167"/>
      <c r="Q96" s="58">
        <v>4.7489999999999997</v>
      </c>
      <c r="R96" s="58">
        <v>4.9455</v>
      </c>
      <c r="S96" s="58">
        <v>30.309000000000001</v>
      </c>
      <c r="T96" s="58">
        <v>37.622</v>
      </c>
      <c r="U96" s="58">
        <v>61.89</v>
      </c>
      <c r="V96" s="58">
        <v>0</v>
      </c>
      <c r="W96" s="58">
        <v>4.7416</v>
      </c>
      <c r="X96" s="58">
        <v>10.52</v>
      </c>
      <c r="Y96" s="60">
        <f>SUM(RD[[#This Row],[IS1Inv1]:[IS3Inv1]])</f>
        <v>119934.1</v>
      </c>
      <c r="Z96" s="60">
        <f>SUM(RD[[#This Row],[IS4Inv1]:[IS4Inv2]])</f>
        <v>43874.6</v>
      </c>
      <c r="AA96" s="60">
        <f>SUM(RD[[#This Row],[O2RE7]:[O2RE27]])</f>
        <v>163808.70000000001</v>
      </c>
      <c r="AB96" s="153"/>
      <c r="AC96" s="153">
        <v>20342</v>
      </c>
      <c r="AD96" s="153"/>
      <c r="AE96" s="153">
        <v>13096.5</v>
      </c>
      <c r="AF96" s="153">
        <v>19997.464</v>
      </c>
      <c r="AG96" s="153">
        <v>0.04</v>
      </c>
      <c r="AH96" s="153">
        <v>7.58</v>
      </c>
      <c r="AI96" s="154" t="str">
        <f>IF((RD[[#This Row],[33 kV_F1_Ex]]-AB95)*150000&lt;=0,"",(RD[[#This Row],[33 kV_F1_Ex]]-AB95)*150000)</f>
        <v/>
      </c>
      <c r="AJ96" s="154">
        <f>IF((RD[[#This Row],[33kV_OG1_Ex]]-AC95)*1000&lt;=0,0,(RD[[#This Row],[33kV_OG1_Ex]]-AC95)*1000)</f>
        <v>163000</v>
      </c>
      <c r="AK96" s="154">
        <f>IF((RD[[#This Row],[220kV_TL_TVM_Ex]]-AE95)*1600&lt;=0,0,(RD[[#This Row],[220kV_TL_TVM_Ex]]-AE95)*1600)</f>
        <v>161439.99999999942</v>
      </c>
      <c r="AL96" s="154">
        <f>IF((RD[[#This Row],[220kV_C&amp;R_PQM_Ex]]-AF95)*1000&lt;=0,"",(RD[[#This Row],[220kV_C&amp;R_PQM_Ex]]-AF95)*1000)</f>
        <v>161052.99999999988</v>
      </c>
      <c r="AM96" s="154">
        <f>IF((RD[[#This Row],[33kV_Aux1_Im]]-AH95)*1000&lt;0,"",(RD[[#This Row],[33kV_Aux1_Im]]-AH95)*1000)</f>
        <v>310.00000000000051</v>
      </c>
      <c r="AN96" s="154">
        <f>IF((RD[[#This Row],[33kV_Aux1_Im]]-AH95)*1000&lt;0,"",(RD[[#This Row],[33kV_Aux1_Im]]-AH95)*1000)</f>
        <v>310.00000000000051</v>
      </c>
      <c r="AO96" s="61">
        <f>RD[[#This Row],[33kV_OG1_Energy (KWh)]]</f>
        <v>163000</v>
      </c>
      <c r="AP96" s="61">
        <f>IFERROR(RD[[#This Row],[220kV_TL_TVM Energy (KWh)]]-RD[[#This Row],[220kV_C&amp;R_PQM_Imp (KWh)2]],"")</f>
        <v>161129.99999999942</v>
      </c>
      <c r="AQ96" s="63">
        <f>IFERROR(RD[[#This Row],[33 kV Total Export (KWH)]]/RD[[#This Row],[220 KV Net Export (KWh)]]-1,"")</f>
        <v>1.1605535902690978E-2</v>
      </c>
      <c r="AR96" s="64">
        <f>IFERROR((RD[[#This Row],[Sunset Time (POA&lt;20 W/m2)]]-RD[[#This Row],[Sunrise Time (POA&gt;20 W/m2)]])*24,0)</f>
        <v>11.983333333333333</v>
      </c>
      <c r="AS96" s="65">
        <f>RD[[#This Row],[33kV_OG1_Energy (KWh)]]</f>
        <v>163000</v>
      </c>
      <c r="AT96" s="65">
        <f>IFERROR(RD[[#This Row],[ Export (33 kV)]]*(1-RD[[#This Row],[33 kV Line Loss (%)]]),RD[[#This Row],[ Export (33 kV)]])</f>
        <v>161108.29764786136</v>
      </c>
      <c r="AU96" s="277">
        <v>39.21</v>
      </c>
      <c r="AV96" s="122"/>
      <c r="AW96" s="122"/>
      <c r="AX96" t="str">
        <f>IFERROR(RD[[#This Row],[E_AC (WPR)]]/RD[[#This Row],[E_DC (WPR)]],"")</f>
        <v/>
      </c>
    </row>
    <row r="97" spans="1:50">
      <c r="A97" s="148">
        <f t="shared" si="49"/>
        <v>45837</v>
      </c>
      <c r="B97" s="151">
        <f>YEAR(RD[[#This Row],[Date]])+IF(MONTH(RD[[#This Row],[Date]])&gt;=4,1,0)</f>
        <v>2026</v>
      </c>
      <c r="C97" s="151">
        <f>YEAR(RD[[#This Row],[Date]])</f>
        <v>2025</v>
      </c>
      <c r="D97" s="152">
        <f t="shared" si="48"/>
        <v>45809</v>
      </c>
      <c r="E97" s="151">
        <f>DAY(EOMONTH(RD[[#This Row],[Date]],0))</f>
        <v>30</v>
      </c>
      <c r="F97" s="122">
        <v>0.27500000000000002</v>
      </c>
      <c r="G97" s="122">
        <v>0.75069444444444444</v>
      </c>
      <c r="H97" s="138">
        <v>3396.8</v>
      </c>
      <c r="I97" s="138">
        <v>3416.4</v>
      </c>
      <c r="J97" s="138">
        <v>4476.3999999999996</v>
      </c>
      <c r="K97" s="138">
        <v>4517</v>
      </c>
      <c r="L97" s="138">
        <v>4592.8</v>
      </c>
      <c r="M97" s="138">
        <v>3911.8</v>
      </c>
      <c r="N97" s="138">
        <v>3791.2</v>
      </c>
      <c r="O97" s="167"/>
      <c r="P97" s="167"/>
      <c r="Q97" s="58">
        <v>1.4</v>
      </c>
      <c r="R97" s="58">
        <v>1.4059999999999999</v>
      </c>
      <c r="S97" s="58">
        <v>25.088799999999999</v>
      </c>
      <c r="T97" s="58">
        <v>26.024000000000001</v>
      </c>
      <c r="U97" s="58">
        <v>89.577699999999993</v>
      </c>
      <c r="V97" s="58">
        <v>0</v>
      </c>
      <c r="W97" s="58">
        <v>2.8610000000000002</v>
      </c>
      <c r="X97" s="58">
        <v>8.32</v>
      </c>
      <c r="Y97" s="60">
        <f>SUM(RD[[#This Row],[IS1Inv1]:[IS3Inv1]])</f>
        <v>20399.400000000001</v>
      </c>
      <c r="Z97" s="60">
        <f>SUM(RD[[#This Row],[IS4Inv1]:[IS4Inv2]])</f>
        <v>7703</v>
      </c>
      <c r="AA97" s="60">
        <f>SUM(RD[[#This Row],[O2RE7]:[O2RE27]])</f>
        <v>28102.400000000001</v>
      </c>
      <c r="AB97" s="153"/>
      <c r="AC97" s="153">
        <v>20370</v>
      </c>
      <c r="AD97" s="153"/>
      <c r="AE97" s="153">
        <v>13113.6</v>
      </c>
      <c r="AF97" s="153">
        <v>20023.987249999998</v>
      </c>
      <c r="AG97" s="153">
        <v>0.04</v>
      </c>
      <c r="AH97" s="153">
        <v>7.84</v>
      </c>
      <c r="AI97" s="154" t="str">
        <f>IF((RD[[#This Row],[33 kV_F1_Ex]]-AB96)*150000&lt;=0,"",(RD[[#This Row],[33 kV_F1_Ex]]-AB96)*150000)</f>
        <v/>
      </c>
      <c r="AJ97" s="154">
        <f>IF((RD[[#This Row],[33kV_OG1_Ex]]-AC96)*1000&lt;=0,0,(RD[[#This Row],[33kV_OG1_Ex]]-AC96)*1000)</f>
        <v>28000</v>
      </c>
      <c r="AK97" s="154">
        <f>IF((RD[[#This Row],[220kV_TL_TVM_Ex]]-AE96)*1600&lt;=0,0,(RD[[#This Row],[220kV_TL_TVM_Ex]]-AE96)*1600)</f>
        <v>27360.000000000582</v>
      </c>
      <c r="AL97" s="154">
        <f>IF((RD[[#This Row],[220kV_C&amp;R_PQM_Ex]]-AF96)*1000&lt;=0,"",(RD[[#This Row],[220kV_C&amp;R_PQM_Ex]]-AF96)*1000)</f>
        <v>26523.24999999837</v>
      </c>
      <c r="AM97" s="154">
        <f>IF((RD[[#This Row],[33kV_Aux1_Im]]-AH96)*1000&lt;0,"",(RD[[#This Row],[33kV_Aux1_Im]]-AH96)*1000)</f>
        <v>259.99999999999977</v>
      </c>
      <c r="AN97" s="154">
        <f>IF((RD[[#This Row],[33kV_Aux1_Im]]-AH96)*1000&lt;0,"",(RD[[#This Row],[33kV_Aux1_Im]]-AH96)*1000)</f>
        <v>259.99999999999977</v>
      </c>
      <c r="AO97" s="61">
        <f>RD[[#This Row],[33kV_OG1_Energy (KWh)]]</f>
        <v>28000</v>
      </c>
      <c r="AP97" s="61">
        <f>IFERROR(RD[[#This Row],[220kV_TL_TVM Energy (KWh)]]-RD[[#This Row],[220kV_C&amp;R_PQM_Imp (KWh)2]],"")</f>
        <v>27100.000000000582</v>
      </c>
      <c r="AQ97" s="63">
        <f>IFERROR(RD[[#This Row],[33 kV Total Export (KWH)]]/RD[[#This Row],[220 KV Net Export (KWh)]]-1,"")</f>
        <v>3.3210332103298823E-2</v>
      </c>
      <c r="AR97" s="64">
        <f>IFERROR((RD[[#This Row],[Sunset Time (POA&lt;20 W/m2)]]-RD[[#This Row],[Sunrise Time (POA&gt;20 W/m2)]])*24,0)</f>
        <v>11.416666666666666</v>
      </c>
      <c r="AS97" s="65">
        <f>RD[[#This Row],[33kV_OG1_Energy (KWh)]]</f>
        <v>28000</v>
      </c>
      <c r="AT97" s="65">
        <f>IFERROR(RD[[#This Row],[ Export (33 kV)]]*(1-RD[[#This Row],[33 kV Line Loss (%)]]),RD[[#This Row],[ Export (33 kV)]])</f>
        <v>27070.110701107635</v>
      </c>
      <c r="AU97" s="277">
        <v>39.21</v>
      </c>
      <c r="AV97" s="122"/>
      <c r="AW97" s="122"/>
      <c r="AX97" t="str">
        <f>IFERROR(RD[[#This Row],[E_AC (WPR)]]/RD[[#This Row],[E_DC (WPR)]],"")</f>
        <v/>
      </c>
    </row>
    <row r="98" spans="1:50">
      <c r="A98" s="148">
        <f t="shared" si="49"/>
        <v>45838</v>
      </c>
      <c r="B98" s="151">
        <f>YEAR(RD[[#This Row],[Date]])+IF(MONTH(RD[[#This Row],[Date]])&gt;=4,1,0)</f>
        <v>2026</v>
      </c>
      <c r="C98" s="151">
        <f>YEAR(RD[[#This Row],[Date]])</f>
        <v>2025</v>
      </c>
      <c r="D98" s="152">
        <f t="shared" si="48"/>
        <v>45809</v>
      </c>
      <c r="E98" s="151">
        <f>DAY(EOMONTH(RD[[#This Row],[Date]],0))</f>
        <v>30</v>
      </c>
      <c r="F98" s="122">
        <v>0.26111111111111113</v>
      </c>
      <c r="G98" s="122">
        <v>0.73541666666666672</v>
      </c>
      <c r="H98" s="138">
        <v>7663.5</v>
      </c>
      <c r="I98" s="138">
        <v>7720.4</v>
      </c>
      <c r="J98" s="138">
        <v>10722.5</v>
      </c>
      <c r="K98" s="138">
        <v>10861</v>
      </c>
      <c r="L98" s="138">
        <v>10851.6</v>
      </c>
      <c r="M98" s="138">
        <v>8506.1</v>
      </c>
      <c r="N98" s="138">
        <v>8401</v>
      </c>
      <c r="O98" s="167"/>
      <c r="P98" s="167"/>
      <c r="Q98" s="58">
        <v>1.72</v>
      </c>
      <c r="R98" s="58">
        <v>1.73</v>
      </c>
      <c r="S98" s="58">
        <v>25.98</v>
      </c>
      <c r="T98" s="58">
        <v>28.19</v>
      </c>
      <c r="U98" s="58">
        <v>85.42</v>
      </c>
      <c r="V98" s="58">
        <v>0</v>
      </c>
      <c r="W98" s="58">
        <v>2.83</v>
      </c>
      <c r="X98" s="58">
        <v>7.2</v>
      </c>
      <c r="Y98" s="60">
        <f>SUM(RD[[#This Row],[IS1Inv1]:[IS3Inv1]])</f>
        <v>47819</v>
      </c>
      <c r="Z98" s="60">
        <f>SUM(RD[[#This Row],[IS4Inv1]:[IS4Inv2]])</f>
        <v>16907.099999999999</v>
      </c>
      <c r="AA98" s="60">
        <f>SUM(RD[[#This Row],[O2RE7]:[O2RE27]])</f>
        <v>64726.1</v>
      </c>
      <c r="AB98" s="153"/>
      <c r="AC98" s="153">
        <v>20434</v>
      </c>
      <c r="AD98" s="153"/>
      <c r="AE98" s="153">
        <v>13153.2</v>
      </c>
      <c r="AF98" s="153">
        <v>20087.141</v>
      </c>
      <c r="AG98" s="153">
        <v>0.04</v>
      </c>
      <c r="AH98" s="153">
        <v>8.07</v>
      </c>
      <c r="AI98" s="154" t="str">
        <f>IF((RD[[#This Row],[33 kV_F1_Ex]]-AB97)*150000&lt;=0,"",(RD[[#This Row],[33 kV_F1_Ex]]-AB97)*150000)</f>
        <v/>
      </c>
      <c r="AJ98" s="154">
        <f>IF((RD[[#This Row],[33kV_OG1_Ex]]-AC97)*1000&lt;=0,0,(RD[[#This Row],[33kV_OG1_Ex]]-AC97)*1000)</f>
        <v>64000</v>
      </c>
      <c r="AK98" s="154">
        <f>IF((RD[[#This Row],[220kV_TL_TVM_Ex]]-AE97)*1600&lt;=0,0,(RD[[#This Row],[220kV_TL_TVM_Ex]]-AE97)*1600)</f>
        <v>63360.000000000582</v>
      </c>
      <c r="AL98" s="154">
        <f>IF((RD[[#This Row],[220kV_C&amp;R_PQM_Ex]]-AF97)*1000&lt;=0,"",(RD[[#This Row],[220kV_C&amp;R_PQM_Ex]]-AF97)*1000)</f>
        <v>63153.75000000131</v>
      </c>
      <c r="AM98" s="154">
        <f>IF((RD[[#This Row],[33kV_Aux1_Im]]-AH97)*1000&lt;0,"",(RD[[#This Row],[33kV_Aux1_Im]]-AH97)*1000)</f>
        <v>230.00000000000043</v>
      </c>
      <c r="AN98" s="154">
        <f>IF((RD[[#This Row],[33kV_Aux1_Im]]-AH97)*1000&lt;0,"",(RD[[#This Row],[33kV_Aux1_Im]]-AH97)*1000)</f>
        <v>230.00000000000043</v>
      </c>
      <c r="AO98" s="61">
        <f>RD[[#This Row],[33kV_OG1_Energy (KWh)]]</f>
        <v>64000</v>
      </c>
      <c r="AP98" s="61">
        <f>IFERROR(RD[[#This Row],[220kV_TL_TVM Energy (KWh)]]-RD[[#This Row],[220kV_C&amp;R_PQM_Imp (KWh)2]],"")</f>
        <v>63130.000000000582</v>
      </c>
      <c r="AQ98" s="63">
        <f>IFERROR(RD[[#This Row],[33 kV Total Export (KWH)]]/RD[[#This Row],[220 KV Net Export (KWh)]]-1,"")</f>
        <v>1.3781086646592833E-2</v>
      </c>
      <c r="AR98" s="64">
        <f>IFERROR((RD[[#This Row],[Sunset Time (POA&lt;20 W/m2)]]-RD[[#This Row],[Sunrise Time (POA&gt;20 W/m2)]])*24,0)</f>
        <v>11.383333333333335</v>
      </c>
      <c r="AS98" s="65">
        <f>RD[[#This Row],[33kV_OG1_Energy (KWh)]]</f>
        <v>64000</v>
      </c>
      <c r="AT98" s="65">
        <f>IFERROR(RD[[#This Row],[ Export (33 kV)]]*(1-RD[[#This Row],[33 kV Line Loss (%)]]),RD[[#This Row],[ Export (33 kV)]])</f>
        <v>63118.010454618059</v>
      </c>
      <c r="AU98" s="277">
        <v>39.21</v>
      </c>
      <c r="AV98" s="122"/>
      <c r="AW98" s="122"/>
      <c r="AX98" t="str">
        <f>IFERROR(RD[[#This Row],[E_AC (WPR)]]/RD[[#This Row],[E_DC (WPR)]],"")</f>
        <v/>
      </c>
    </row>
    <row r="99" spans="1:50">
      <c r="A99" s="148">
        <f t="shared" si="49"/>
        <v>45839</v>
      </c>
      <c r="B99" s="151">
        <f>YEAR(RD[[#This Row],[Date]])+IF(MONTH(RD[[#This Row],[Date]])&gt;=4,1,0)</f>
        <v>2026</v>
      </c>
      <c r="C99" s="151">
        <f>YEAR(RD[[#This Row],[Date]])</f>
        <v>2025</v>
      </c>
      <c r="D99" s="152">
        <f t="shared" si="48"/>
        <v>45839</v>
      </c>
      <c r="E99" s="151">
        <f>DAY(EOMONTH(RD[[#This Row],[Date]],0))</f>
        <v>31</v>
      </c>
      <c r="F99" s="122">
        <v>0.2638888888888889</v>
      </c>
      <c r="G99" s="122">
        <v>0.75555555555555554</v>
      </c>
      <c r="H99" s="138">
        <v>6341.3</v>
      </c>
      <c r="I99" s="138">
        <v>6426.7</v>
      </c>
      <c r="J99" s="138">
        <v>8817</v>
      </c>
      <c r="K99" s="138">
        <v>8960</v>
      </c>
      <c r="L99" s="138">
        <v>9133</v>
      </c>
      <c r="M99" s="138">
        <v>7275</v>
      </c>
      <c r="N99" s="138">
        <v>6626.8</v>
      </c>
      <c r="O99" s="167"/>
      <c r="P99" s="167"/>
      <c r="Q99" s="58">
        <v>1.7470000000000001</v>
      </c>
      <c r="R99" s="58">
        <v>1.7490000000000001</v>
      </c>
      <c r="S99" s="58">
        <v>26.297000000000001</v>
      </c>
      <c r="T99" s="58">
        <v>28.05</v>
      </c>
      <c r="U99" s="58">
        <v>86.71</v>
      </c>
      <c r="V99" s="58">
        <v>0</v>
      </c>
      <c r="W99" s="58">
        <v>3.21</v>
      </c>
      <c r="X99" s="58">
        <v>7.29</v>
      </c>
      <c r="Y99" s="60">
        <f>SUM(RD[[#This Row],[IS1Inv1]:[IS3Inv1]])</f>
        <v>39678</v>
      </c>
      <c r="Z99" s="60">
        <f>SUM(RD[[#This Row],[IS4Inv1]:[IS4Inv2]])</f>
        <v>13901.8</v>
      </c>
      <c r="AA99" s="60">
        <f>SUM(RD[[#This Row],[O2RE7]:[O2RE27]])</f>
        <v>53579.8</v>
      </c>
      <c r="AB99" s="153"/>
      <c r="AC99" s="153">
        <v>20487</v>
      </c>
      <c r="AD99" s="153"/>
      <c r="AE99" s="153">
        <v>13186.1</v>
      </c>
      <c r="AF99" s="153">
        <v>20139.067999999999</v>
      </c>
      <c r="AG99" s="153">
        <v>0.04</v>
      </c>
      <c r="AH99" s="153">
        <v>8.31</v>
      </c>
      <c r="AI99" s="154" t="str">
        <f>IF((RD[[#This Row],[33 kV_F1_Ex]]-AB98)*150000&lt;=0,"",(RD[[#This Row],[33 kV_F1_Ex]]-AB98)*150000)</f>
        <v/>
      </c>
      <c r="AJ99" s="154">
        <f>IF((RD[[#This Row],[33kV_OG1_Ex]]-AC98)*1000&lt;=0,0,(RD[[#This Row],[33kV_OG1_Ex]]-AC98)*1000)</f>
        <v>53000</v>
      </c>
      <c r="AK99" s="154">
        <f>IF((RD[[#This Row],[220kV_TL_TVM_Ex]]-AE98)*1600&lt;=0,0,(RD[[#This Row],[220kV_TL_TVM_Ex]]-AE98)*1600)</f>
        <v>52639.999999999418</v>
      </c>
      <c r="AL99" s="154">
        <f>IF((RD[[#This Row],[220kV_C&amp;R_PQM_Ex]]-AF98)*1000&lt;=0,"",(RD[[#This Row],[220kV_C&amp;R_PQM_Ex]]-AF98)*1000)</f>
        <v>51926.99999999968</v>
      </c>
      <c r="AM99" s="154">
        <f>IF((RD[[#This Row],[33kV_Aux1_Im]]-AH98)*1000&lt;0,"",(RD[[#This Row],[33kV_Aux1_Im]]-AH98)*1000)</f>
        <v>240.00000000000023</v>
      </c>
      <c r="AN99" s="154">
        <f>IF((RD[[#This Row],[33kV_Aux1_Im]]-AH98)*1000&lt;0,"",(RD[[#This Row],[33kV_Aux1_Im]]-AH98)*1000)</f>
        <v>240.00000000000023</v>
      </c>
      <c r="AO99" s="61">
        <f>RD[[#This Row],[33kV_OG1_Energy (KWh)]]</f>
        <v>53000</v>
      </c>
      <c r="AP99" s="61">
        <f>IFERROR(RD[[#This Row],[220kV_TL_TVM Energy (KWh)]]-RD[[#This Row],[220kV_C&amp;R_PQM_Imp (KWh)2]],"")</f>
        <v>52399.999999999418</v>
      </c>
      <c r="AQ99" s="63">
        <f>IFERROR(RD[[#This Row],[33 kV Total Export (KWH)]]/RD[[#This Row],[220 KV Net Export (KWh)]]-1,"")</f>
        <v>1.145038167940049E-2</v>
      </c>
      <c r="AR99" s="64">
        <f>IFERROR((RD[[#This Row],[Sunset Time (POA&lt;20 W/m2)]]-RD[[#This Row],[Sunrise Time (POA&gt;20 W/m2)]])*24,0)</f>
        <v>11.799999999999999</v>
      </c>
      <c r="AS99" s="65">
        <f>RD[[#This Row],[33kV_OG1_Energy (KWh)]]</f>
        <v>53000</v>
      </c>
      <c r="AT99" s="65">
        <f>IFERROR(RD[[#This Row],[ Export (33 kV)]]*(1-RD[[#This Row],[33 kV Line Loss (%)]]),RD[[#This Row],[ Export (33 kV)]])</f>
        <v>52393.129770991771</v>
      </c>
      <c r="AU99" s="277">
        <v>39.21</v>
      </c>
      <c r="AV99" s="122"/>
      <c r="AW99" s="122"/>
      <c r="AX99" t="str">
        <f>IFERROR(RD[[#This Row],[E_AC (WPR)]]/RD[[#This Row],[E_DC (WPR)]],"")</f>
        <v/>
      </c>
    </row>
    <row r="100" spans="1:50">
      <c r="A100" s="148">
        <f t="shared" si="49"/>
        <v>45840</v>
      </c>
      <c r="B100" s="151">
        <f>YEAR(RD[[#This Row],[Date]])+IF(MONTH(RD[[#This Row],[Date]])&gt;=4,1,0)</f>
        <v>2026</v>
      </c>
      <c r="C100" s="151">
        <f>YEAR(RD[[#This Row],[Date]])</f>
        <v>2025</v>
      </c>
      <c r="D100" s="152">
        <f t="shared" si="48"/>
        <v>45839</v>
      </c>
      <c r="E100" s="151">
        <f>DAY(EOMONTH(RD[[#This Row],[Date]],0))</f>
        <v>31</v>
      </c>
      <c r="F100" s="122">
        <v>0.25486111111111109</v>
      </c>
      <c r="G100" s="122">
        <v>0.7319444444444444</v>
      </c>
      <c r="H100" s="138">
        <v>12041.9</v>
      </c>
      <c r="I100" s="138">
        <v>12107.4</v>
      </c>
      <c r="J100" s="138">
        <v>16149.3</v>
      </c>
      <c r="K100" s="138">
        <v>16346.6</v>
      </c>
      <c r="L100" s="138">
        <v>16918.2</v>
      </c>
      <c r="M100" s="138">
        <v>13360.7</v>
      </c>
      <c r="N100" s="138">
        <v>13186</v>
      </c>
      <c r="O100" s="167"/>
      <c r="P100" s="167"/>
      <c r="Q100" s="58">
        <v>2.9289999999999998</v>
      </c>
      <c r="R100" s="58">
        <v>2.9550000000000001</v>
      </c>
      <c r="S100" s="58">
        <v>28.277999999999999</v>
      </c>
      <c r="T100" s="58">
        <v>33.409999999999997</v>
      </c>
      <c r="U100" s="58">
        <v>76.626999999999995</v>
      </c>
      <c r="V100" s="58">
        <v>0</v>
      </c>
      <c r="W100" s="58">
        <v>4.26</v>
      </c>
      <c r="X100" s="58">
        <v>12.1</v>
      </c>
      <c r="Y100" s="60">
        <f>SUM(RD[[#This Row],[IS1Inv1]:[IS3Inv1]])</f>
        <v>73563.399999999994</v>
      </c>
      <c r="Z100" s="60">
        <f>SUM(RD[[#This Row],[IS4Inv1]:[IS4Inv2]])</f>
        <v>26546.7</v>
      </c>
      <c r="AA100" s="60">
        <f>SUM(RD[[#This Row],[O2RE7]:[O2RE27]])</f>
        <v>100110.09999999999</v>
      </c>
      <c r="AB100" s="153"/>
      <c r="AC100" s="153">
        <v>20587</v>
      </c>
      <c r="AD100" s="153"/>
      <c r="AE100" s="153">
        <v>13247.7</v>
      </c>
      <c r="AF100" s="153">
        <v>20236.63</v>
      </c>
      <c r="AG100" s="153">
        <v>0.04</v>
      </c>
      <c r="AH100" s="153">
        <v>8.57</v>
      </c>
      <c r="AI100" s="154" t="str">
        <f>IF((RD[[#This Row],[33 kV_F1_Ex]]-AB99)*150000&lt;=0,"",(RD[[#This Row],[33 kV_F1_Ex]]-AB99)*150000)</f>
        <v/>
      </c>
      <c r="AJ100" s="154">
        <f>IF((RD[[#This Row],[33kV_OG1_Ex]]-AC99)*1000&lt;=0,0,(RD[[#This Row],[33kV_OG1_Ex]]-AC99)*1000)</f>
        <v>100000</v>
      </c>
      <c r="AK100" s="154">
        <f>IF((RD[[#This Row],[220kV_TL_TVM_Ex]]-AE99)*1600&lt;=0,0,(RD[[#This Row],[220kV_TL_TVM_Ex]]-AE99)*1600)</f>
        <v>98560.000000000582</v>
      </c>
      <c r="AL100" s="154">
        <f>IF((RD[[#This Row],[220kV_C&amp;R_PQM_Ex]]-AF99)*1000&lt;=0,"",(RD[[#This Row],[220kV_C&amp;R_PQM_Ex]]-AF99)*1000)</f>
        <v>97562.000000001717</v>
      </c>
      <c r="AM100" s="154">
        <f>IF((RD[[#This Row],[33kV_Aux1_Im]]-AH99)*1000&lt;0,"",(RD[[#This Row],[33kV_Aux1_Im]]-AH99)*1000)</f>
        <v>259.99999999999977</v>
      </c>
      <c r="AN100" s="154">
        <f>IF((RD[[#This Row],[33kV_Aux1_Im]]-AH99)*1000&lt;0,"",(RD[[#This Row],[33kV_Aux1_Im]]-AH99)*1000)</f>
        <v>259.99999999999977</v>
      </c>
      <c r="AO100" s="61">
        <f>RD[[#This Row],[33kV_OG1_Energy (KWh)]]</f>
        <v>100000</v>
      </c>
      <c r="AP100" s="61">
        <f>IFERROR(RD[[#This Row],[220kV_TL_TVM Energy (KWh)]]-RD[[#This Row],[220kV_C&amp;R_PQM_Imp (KWh)2]],"")</f>
        <v>98300.000000000582</v>
      </c>
      <c r="AQ100" s="63">
        <f>IFERROR(RD[[#This Row],[33 kV Total Export (KWH)]]/RD[[#This Row],[220 KV Net Export (KWh)]]-1,"")</f>
        <v>1.7293997965405872E-2</v>
      </c>
      <c r="AR100" s="64">
        <f>IFERROR((RD[[#This Row],[Sunset Time (POA&lt;20 W/m2)]]-RD[[#This Row],[Sunrise Time (POA&gt;20 W/m2)]])*24,0)</f>
        <v>11.45</v>
      </c>
      <c r="AS100" s="65">
        <f>RD[[#This Row],[33kV_OG1_Energy (KWh)]]</f>
        <v>100000</v>
      </c>
      <c r="AT100" s="65">
        <f>IFERROR(RD[[#This Row],[ Export (33 kV)]]*(1-RD[[#This Row],[33 kV Line Loss (%)]]),RD[[#This Row],[ Export (33 kV)]])</f>
        <v>98270.600203459413</v>
      </c>
      <c r="AU100" s="277">
        <v>39.21</v>
      </c>
      <c r="AV100" s="122"/>
      <c r="AW100" s="122"/>
      <c r="AX100" t="str">
        <f>IFERROR(RD[[#This Row],[E_AC (WPR)]]/RD[[#This Row],[E_DC (WPR)]],"")</f>
        <v/>
      </c>
    </row>
    <row r="101" spans="1:50">
      <c r="A101" s="148">
        <f t="shared" si="49"/>
        <v>45841</v>
      </c>
      <c r="B101" s="151">
        <f>YEAR(RD[[#This Row],[Date]])+IF(MONTH(RD[[#This Row],[Date]])&gt;=4,1,0)</f>
        <v>2026</v>
      </c>
      <c r="C101" s="151">
        <f>YEAR(RD[[#This Row],[Date]])</f>
        <v>2025</v>
      </c>
      <c r="D101" s="152">
        <f t="shared" si="48"/>
        <v>45839</v>
      </c>
      <c r="E101" s="151">
        <f>DAY(EOMONTH(RD[[#This Row],[Date]],0))</f>
        <v>31</v>
      </c>
      <c r="F101" s="122">
        <v>0.25763888888888886</v>
      </c>
      <c r="G101" s="122">
        <v>0.77152777777777781</v>
      </c>
      <c r="H101" s="138">
        <v>17183.599999999999</v>
      </c>
      <c r="I101" s="138">
        <v>17231.7</v>
      </c>
      <c r="J101" s="138">
        <v>23732.6</v>
      </c>
      <c r="K101" s="138">
        <v>23943.1</v>
      </c>
      <c r="L101" s="138">
        <v>23990.2</v>
      </c>
      <c r="M101" s="138">
        <v>19032</v>
      </c>
      <c r="N101" s="138">
        <v>18697.5</v>
      </c>
      <c r="O101" s="167"/>
      <c r="P101" s="167"/>
      <c r="Q101" s="58">
        <v>3.92</v>
      </c>
      <c r="R101" s="58">
        <v>3.99</v>
      </c>
      <c r="S101" s="58">
        <v>29.07</v>
      </c>
      <c r="T101" s="58">
        <v>35.270000000000003</v>
      </c>
      <c r="U101" s="58">
        <v>72.930000000000007</v>
      </c>
      <c r="V101" s="58">
        <v>0</v>
      </c>
      <c r="W101" s="58">
        <v>3.9</v>
      </c>
      <c r="X101" s="58">
        <v>8.73</v>
      </c>
      <c r="Y101" s="60">
        <f>SUM(RD[[#This Row],[IS1Inv1]:[IS3Inv1]])</f>
        <v>106081.2</v>
      </c>
      <c r="Z101" s="60">
        <f>SUM(RD[[#This Row],[IS4Inv1]:[IS4Inv2]])</f>
        <v>37729.5</v>
      </c>
      <c r="AA101" s="60">
        <f>SUM(RD[[#This Row],[O2RE7]:[O2RE27]])</f>
        <v>143810.70000000001</v>
      </c>
      <c r="AB101" s="153"/>
      <c r="AC101" s="153">
        <v>20729</v>
      </c>
      <c r="AD101" s="153"/>
      <c r="AE101" s="153">
        <v>13336.2</v>
      </c>
      <c r="AF101" s="153">
        <v>20378.059000000001</v>
      </c>
      <c r="AG101" s="153">
        <v>0.04</v>
      </c>
      <c r="AH101" s="153">
        <v>8.85</v>
      </c>
      <c r="AI101" s="154" t="str">
        <f>IF((RD[[#This Row],[33 kV_F1_Ex]]-AB100)*150000&lt;=0,"",(RD[[#This Row],[33 kV_F1_Ex]]-AB100)*150000)</f>
        <v/>
      </c>
      <c r="AJ101" s="154">
        <f>IF((RD[[#This Row],[33kV_OG1_Ex]]-AC100)*1000&lt;=0,0,(RD[[#This Row],[33kV_OG1_Ex]]-AC100)*1000)</f>
        <v>142000</v>
      </c>
      <c r="AK101" s="154">
        <f>IF((RD[[#This Row],[220kV_TL_TVM_Ex]]-AE100)*1600&lt;=0,0,(RD[[#This Row],[220kV_TL_TVM_Ex]]-AE100)*1600)</f>
        <v>141600</v>
      </c>
      <c r="AL101" s="154">
        <f>IF((RD[[#This Row],[220kV_C&amp;R_PQM_Ex]]-AF100)*1000&lt;=0,"",(RD[[#This Row],[220kV_C&amp;R_PQM_Ex]]-AF100)*1000)</f>
        <v>141429.00000000009</v>
      </c>
      <c r="AM101" s="154">
        <f>IF((RD[[#This Row],[33kV_Aux1_Im]]-AH100)*1000&lt;0,"",(RD[[#This Row],[33kV_Aux1_Im]]-AH100)*1000)</f>
        <v>279.99999999999937</v>
      </c>
      <c r="AN101" s="154">
        <f>IF((RD[[#This Row],[33kV_Aux1_Im]]-AH100)*1000&lt;0,"",(RD[[#This Row],[33kV_Aux1_Im]]-AH100)*1000)</f>
        <v>279.99999999999937</v>
      </c>
      <c r="AO101" s="61">
        <f>RD[[#This Row],[33kV_OG1_Energy (KWh)]]</f>
        <v>142000</v>
      </c>
      <c r="AP101" s="61">
        <f>IFERROR(RD[[#This Row],[220kV_TL_TVM Energy (KWh)]]-RD[[#This Row],[220kV_C&amp;R_PQM_Imp (KWh)2]],"")</f>
        <v>141320</v>
      </c>
      <c r="AQ101" s="63">
        <f>IFERROR(RD[[#This Row],[33 kV Total Export (KWH)]]/RD[[#This Row],[220 KV Net Export (KWh)]]-1,"")</f>
        <v>4.8117746957259122E-3</v>
      </c>
      <c r="AR101" s="64">
        <f>IFERROR((RD[[#This Row],[Sunset Time (POA&lt;20 W/m2)]]-RD[[#This Row],[Sunrise Time (POA&gt;20 W/m2)]])*24,0)</f>
        <v>12.333333333333336</v>
      </c>
      <c r="AS101" s="65">
        <f>RD[[#This Row],[33kV_OG1_Energy (KWh)]]</f>
        <v>142000</v>
      </c>
      <c r="AT101" s="65">
        <f>IFERROR(RD[[#This Row],[ Export (33 kV)]]*(1-RD[[#This Row],[33 kV Line Loss (%)]]),RD[[#This Row],[ Export (33 kV)]])</f>
        <v>141316.72799320691</v>
      </c>
      <c r="AU101" s="277">
        <v>39.21</v>
      </c>
      <c r="AV101" s="122"/>
      <c r="AW101" s="122"/>
      <c r="AX101" t="str">
        <f>IFERROR(RD[[#This Row],[E_AC (WPR)]]/RD[[#This Row],[E_DC (WPR)]],"")</f>
        <v/>
      </c>
    </row>
    <row r="102" spans="1:50">
      <c r="A102" s="148">
        <f t="shared" si="49"/>
        <v>45842</v>
      </c>
      <c r="B102" s="151">
        <f>YEAR(RD[[#This Row],[Date]])+IF(MONTH(RD[[#This Row],[Date]])&gt;=4,1,0)</f>
        <v>2026</v>
      </c>
      <c r="C102" s="151">
        <f>YEAR(RD[[#This Row],[Date]])</f>
        <v>2025</v>
      </c>
      <c r="D102" s="152">
        <f t="shared" si="48"/>
        <v>45839</v>
      </c>
      <c r="E102" s="151">
        <f>DAY(EOMONTH(RD[[#This Row],[Date]],0))</f>
        <v>31</v>
      </c>
      <c r="F102" s="122">
        <v>0.26250000000000001</v>
      </c>
      <c r="G102" s="122">
        <v>0.74652777777777779</v>
      </c>
      <c r="H102" s="138">
        <v>11838</v>
      </c>
      <c r="I102" s="138">
        <v>11956.5</v>
      </c>
      <c r="J102" s="138">
        <v>16551.2</v>
      </c>
      <c r="K102" s="138">
        <v>16790.400000000001</v>
      </c>
      <c r="L102" s="138">
        <v>16926.900000000001</v>
      </c>
      <c r="M102" s="138">
        <v>13121.7</v>
      </c>
      <c r="N102" s="138">
        <v>12972.4</v>
      </c>
      <c r="O102" s="167"/>
      <c r="P102" s="167"/>
      <c r="Q102" s="58">
        <v>2.71</v>
      </c>
      <c r="R102" s="58">
        <v>2.74</v>
      </c>
      <c r="S102" s="58">
        <v>28.22</v>
      </c>
      <c r="T102" s="58">
        <v>32.409999999999997</v>
      </c>
      <c r="U102" s="58">
        <v>76</v>
      </c>
      <c r="V102" s="58">
        <v>0</v>
      </c>
      <c r="W102" s="58">
        <v>3.62</v>
      </c>
      <c r="X102" s="58">
        <v>11.91</v>
      </c>
      <c r="Y102" s="60">
        <f>SUM(RD[[#This Row],[IS1Inv1]:[IS3Inv1]])</f>
        <v>74063</v>
      </c>
      <c r="Z102" s="60">
        <f>SUM(RD[[#This Row],[IS4Inv1]:[IS4Inv2]])</f>
        <v>26094.1</v>
      </c>
      <c r="AA102" s="60">
        <f>SUM(RD[[#This Row],[O2RE7]:[O2RE27]])</f>
        <v>100157.1</v>
      </c>
      <c r="AB102" s="153"/>
      <c r="AC102" s="153">
        <v>20829</v>
      </c>
      <c r="AD102" s="153"/>
      <c r="AE102" s="153">
        <v>13397.8</v>
      </c>
      <c r="AF102" s="153">
        <v>20476.162</v>
      </c>
      <c r="AG102" s="153">
        <v>0.04</v>
      </c>
      <c r="AH102" s="153">
        <v>9.15</v>
      </c>
      <c r="AI102" s="154" t="str">
        <f>IF((RD[[#This Row],[33 kV_F1_Ex]]-AB101)*150000&lt;=0,"",(RD[[#This Row],[33 kV_F1_Ex]]-AB101)*150000)</f>
        <v/>
      </c>
      <c r="AJ102" s="154">
        <f>IF((RD[[#This Row],[33kV_OG1_Ex]]-AC101)*1000&lt;=0,0,(RD[[#This Row],[33kV_OG1_Ex]]-AC101)*1000)</f>
        <v>100000</v>
      </c>
      <c r="AK102" s="154">
        <f>IF((RD[[#This Row],[220kV_TL_TVM_Ex]]-AE101)*1600&lt;=0,0,(RD[[#This Row],[220kV_TL_TVM_Ex]]-AE101)*1600)</f>
        <v>98559.999999997672</v>
      </c>
      <c r="AL102" s="154">
        <f>IF((RD[[#This Row],[220kV_C&amp;R_PQM_Ex]]-AF101)*1000&lt;=0,"",(RD[[#This Row],[220kV_C&amp;R_PQM_Ex]]-AF101)*1000)</f>
        <v>98102.999999999156</v>
      </c>
      <c r="AM102" s="154">
        <f>IF((RD[[#This Row],[33kV_Aux1_Im]]-AH101)*1000&lt;0,"",(RD[[#This Row],[33kV_Aux1_Im]]-AH101)*1000)</f>
        <v>300.00000000000068</v>
      </c>
      <c r="AN102" s="154">
        <f>IF((RD[[#This Row],[33kV_Aux1_Im]]-AH101)*1000&lt;0,"",(RD[[#This Row],[33kV_Aux1_Im]]-AH101)*1000)</f>
        <v>300.00000000000068</v>
      </c>
      <c r="AO102" s="61">
        <f>RD[[#This Row],[33kV_OG1_Energy (KWh)]]</f>
        <v>100000</v>
      </c>
      <c r="AP102" s="61">
        <f>IFERROR(RD[[#This Row],[220kV_TL_TVM Energy (KWh)]]-RD[[#This Row],[220kV_C&amp;R_PQM_Imp (KWh)2]],"")</f>
        <v>98259.999999997672</v>
      </c>
      <c r="AQ102" s="63">
        <f>IFERROR(RD[[#This Row],[33 kV Total Export (KWH)]]/RD[[#This Row],[220 KV Net Export (KWh)]]-1,"")</f>
        <v>1.7708121310832103E-2</v>
      </c>
      <c r="AR102" s="64">
        <f>IFERROR((RD[[#This Row],[Sunset Time (POA&lt;20 W/m2)]]-RD[[#This Row],[Sunrise Time (POA&gt;20 W/m2)]])*24,0)</f>
        <v>11.616666666666667</v>
      </c>
      <c r="AS102" s="65">
        <f>RD[[#This Row],[33kV_OG1_Energy (KWh)]]</f>
        <v>100000</v>
      </c>
      <c r="AT102" s="65">
        <f>IFERROR(RD[[#This Row],[ Export (33 kV)]]*(1-RD[[#This Row],[33 kV Line Loss (%)]]),RD[[#This Row],[ Export (33 kV)]])</f>
        <v>98229.187868916793</v>
      </c>
      <c r="AU102" s="277">
        <v>39.21</v>
      </c>
      <c r="AV102" s="122"/>
      <c r="AW102" s="122"/>
      <c r="AX102" t="str">
        <f>IFERROR(RD[[#This Row],[E_AC (WPR)]]/RD[[#This Row],[E_DC (WPR)]],"")</f>
        <v/>
      </c>
    </row>
    <row r="103" spans="1:50">
      <c r="A103" s="148">
        <f t="shared" si="49"/>
        <v>45843</v>
      </c>
      <c r="B103" s="151">
        <f>YEAR(RD[[#This Row],[Date]])+IF(MONTH(RD[[#This Row],[Date]])&gt;=4,1,0)</f>
        <v>2026</v>
      </c>
      <c r="C103" s="151">
        <f>YEAR(RD[[#This Row],[Date]])</f>
        <v>2025</v>
      </c>
      <c r="D103" s="152">
        <f t="shared" si="48"/>
        <v>45839</v>
      </c>
      <c r="E103" s="151">
        <f>DAY(EOMONTH(RD[[#This Row],[Date]],0))</f>
        <v>31</v>
      </c>
      <c r="F103" s="122">
        <v>0.26944444444444443</v>
      </c>
      <c r="G103" s="122">
        <v>0.75</v>
      </c>
      <c r="H103" s="138">
        <v>12838.9</v>
      </c>
      <c r="I103" s="138">
        <v>12924.6</v>
      </c>
      <c r="J103" s="138">
        <v>17948.400000000001</v>
      </c>
      <c r="K103" s="138">
        <v>18114.900000000001</v>
      </c>
      <c r="L103" s="138">
        <v>18066</v>
      </c>
      <c r="M103" s="138">
        <v>14139</v>
      </c>
      <c r="N103" s="138">
        <v>13889.7</v>
      </c>
      <c r="O103" s="167"/>
      <c r="P103" s="167"/>
      <c r="Q103" s="58">
        <v>2.95</v>
      </c>
      <c r="R103" s="58">
        <v>3</v>
      </c>
      <c r="S103" s="58">
        <v>28.56</v>
      </c>
      <c r="T103" s="58">
        <v>33.659999999999997</v>
      </c>
      <c r="U103" s="58">
        <v>73.86</v>
      </c>
      <c r="V103" s="58">
        <v>0</v>
      </c>
      <c r="W103" s="58">
        <v>3.87</v>
      </c>
      <c r="X103" s="58">
        <v>9.07</v>
      </c>
      <c r="Y103" s="60">
        <f>SUM(RD[[#This Row],[IS1Inv1]:[IS3Inv1]])</f>
        <v>79892.800000000003</v>
      </c>
      <c r="Z103" s="60">
        <f>SUM(RD[[#This Row],[IS4Inv1]:[IS4Inv2]])</f>
        <v>28028.7</v>
      </c>
      <c r="AA103" s="60">
        <f>SUM(RD[[#This Row],[O2RE7]:[O2RE27]])</f>
        <v>107921.5</v>
      </c>
      <c r="AB103" s="153"/>
      <c r="AC103" s="153">
        <v>20936</v>
      </c>
      <c r="AD103" s="153"/>
      <c r="AE103" s="153">
        <v>13464.3</v>
      </c>
      <c r="AF103" s="153">
        <v>20581.954000000002</v>
      </c>
      <c r="AG103" s="153">
        <v>0.04</v>
      </c>
      <c r="AH103" s="153">
        <v>9.42</v>
      </c>
      <c r="AI103" s="154" t="str">
        <f>IF((RD[[#This Row],[33 kV_F1_Ex]]-AB102)*150000&lt;=0,"",(RD[[#This Row],[33 kV_F1_Ex]]-AB102)*150000)</f>
        <v/>
      </c>
      <c r="AJ103" s="154">
        <f>IF((RD[[#This Row],[33kV_OG1_Ex]]-AC102)*1000&lt;=0,0,(RD[[#This Row],[33kV_OG1_Ex]]-AC102)*1000)</f>
        <v>107000</v>
      </c>
      <c r="AK103" s="154">
        <f>IF((RD[[#This Row],[220kV_TL_TVM_Ex]]-AE102)*1600&lt;=0,0,(RD[[#This Row],[220kV_TL_TVM_Ex]]-AE102)*1600)</f>
        <v>106400</v>
      </c>
      <c r="AL103" s="154">
        <f>IF((RD[[#This Row],[220kV_C&amp;R_PQM_Ex]]-AF102)*1000&lt;=0,"",(RD[[#This Row],[220kV_C&amp;R_PQM_Ex]]-AF102)*1000)</f>
        <v>105792.00000000128</v>
      </c>
      <c r="AM103" s="154">
        <f>IF((RD[[#This Row],[33kV_Aux1_Im]]-AH102)*1000&lt;0,"",(RD[[#This Row],[33kV_Aux1_Im]]-AH102)*1000)</f>
        <v>269.99999999999955</v>
      </c>
      <c r="AN103" s="154">
        <f>IF((RD[[#This Row],[33kV_Aux1_Im]]-AH102)*1000&lt;0,"",(RD[[#This Row],[33kV_Aux1_Im]]-AH102)*1000)</f>
        <v>269.99999999999955</v>
      </c>
      <c r="AO103" s="61">
        <f>RD[[#This Row],[33kV_OG1_Energy (KWh)]]</f>
        <v>107000</v>
      </c>
      <c r="AP103" s="61">
        <f>IFERROR(RD[[#This Row],[220kV_TL_TVM Energy (KWh)]]-RD[[#This Row],[220kV_C&amp;R_PQM_Imp (KWh)2]],"")</f>
        <v>106130</v>
      </c>
      <c r="AQ103" s="63">
        <f>IFERROR(RD[[#This Row],[33 kV Total Export (KWH)]]/RD[[#This Row],[220 KV Net Export (KWh)]]-1,"")</f>
        <v>8.1974936398756526E-3</v>
      </c>
      <c r="AR103" s="64">
        <f>IFERROR((RD[[#This Row],[Sunset Time (POA&lt;20 W/m2)]]-RD[[#This Row],[Sunrise Time (POA&gt;20 W/m2)]])*24,0)</f>
        <v>11.533333333333333</v>
      </c>
      <c r="AS103" s="65">
        <f>RD[[#This Row],[33kV_OG1_Energy (KWh)]]</f>
        <v>107000</v>
      </c>
      <c r="AT103" s="65">
        <f>IFERROR(RD[[#This Row],[ Export (33 kV)]]*(1-RD[[#This Row],[33 kV Line Loss (%)]]),RD[[#This Row],[ Export (33 kV)]])</f>
        <v>106122.8681805333</v>
      </c>
      <c r="AU103" s="277">
        <v>39.21</v>
      </c>
      <c r="AV103" s="122"/>
      <c r="AW103" s="122"/>
      <c r="AX103" t="str">
        <f>IFERROR(RD[[#This Row],[E_AC (WPR)]]/RD[[#This Row],[E_DC (WPR)]],"")</f>
        <v/>
      </c>
    </row>
    <row r="104" spans="1:50">
      <c r="A104" s="148">
        <f t="shared" si="49"/>
        <v>45844</v>
      </c>
      <c r="B104" s="151">
        <f>YEAR(RD[[#This Row],[Date]])+IF(MONTH(RD[[#This Row],[Date]])&gt;=4,1,0)</f>
        <v>2026</v>
      </c>
      <c r="C104" s="151">
        <f>YEAR(RD[[#This Row],[Date]])</f>
        <v>2025</v>
      </c>
      <c r="D104" s="152">
        <f t="shared" si="48"/>
        <v>45839</v>
      </c>
      <c r="E104" s="151">
        <f>DAY(EOMONTH(RD[[#This Row],[Date]],0))</f>
        <v>31</v>
      </c>
      <c r="F104" s="122">
        <v>0.27291666666666664</v>
      </c>
      <c r="G104" s="122">
        <v>0.74861111111111112</v>
      </c>
      <c r="H104" s="138">
        <v>9171.7000000000007</v>
      </c>
      <c r="I104" s="138">
        <v>9239.7000000000007</v>
      </c>
      <c r="J104" s="138">
        <v>12856.3</v>
      </c>
      <c r="K104" s="138">
        <v>12439.5</v>
      </c>
      <c r="L104" s="138">
        <v>12527.9</v>
      </c>
      <c r="M104" s="138">
        <v>10081.200000000001</v>
      </c>
      <c r="N104" s="138">
        <v>9754.2000000000007</v>
      </c>
      <c r="O104" s="167"/>
      <c r="P104" s="167"/>
      <c r="Q104" s="58">
        <v>2.06</v>
      </c>
      <c r="R104" s="58">
        <v>2.09</v>
      </c>
      <c r="S104" s="58">
        <v>26.86</v>
      </c>
      <c r="T104" s="58">
        <v>30</v>
      </c>
      <c r="U104" s="58">
        <v>82.85</v>
      </c>
      <c r="V104" s="58">
        <v>1.1999999999999999E-3</v>
      </c>
      <c r="W104" s="58">
        <v>3.47</v>
      </c>
      <c r="X104" s="58">
        <v>7.6</v>
      </c>
      <c r="Y104" s="60">
        <f>SUM(RD[[#This Row],[IS1Inv1]:[IS3Inv1]])</f>
        <v>56235.1</v>
      </c>
      <c r="Z104" s="60">
        <f>SUM(RD[[#This Row],[IS4Inv1]:[IS4Inv2]])</f>
        <v>19835.400000000001</v>
      </c>
      <c r="AA104" s="60">
        <f>SUM(RD[[#This Row],[O2RE7]:[O2RE27]])</f>
        <v>76070.5</v>
      </c>
      <c r="AB104" s="153"/>
      <c r="AC104" s="153">
        <v>21011</v>
      </c>
      <c r="AD104" s="153"/>
      <c r="AE104" s="153">
        <v>13511</v>
      </c>
      <c r="AF104" s="153">
        <v>20655.466</v>
      </c>
      <c r="AG104" s="153">
        <v>0.04</v>
      </c>
      <c r="AH104" s="153">
        <v>9.6999999999999993</v>
      </c>
      <c r="AI104" s="154" t="str">
        <f>IF((RD[[#This Row],[33 kV_F1_Ex]]-AB103)*150000&lt;=0,"",(RD[[#This Row],[33 kV_F1_Ex]]-AB103)*150000)</f>
        <v/>
      </c>
      <c r="AJ104" s="154">
        <f>IF((RD[[#This Row],[33kV_OG1_Ex]]-AC103)*1000&lt;=0,0,(RD[[#This Row],[33kV_OG1_Ex]]-AC103)*1000)</f>
        <v>75000</v>
      </c>
      <c r="AK104" s="154">
        <f>IF((RD[[#This Row],[220kV_TL_TVM_Ex]]-AE103)*1600&lt;=0,0,(RD[[#This Row],[220kV_TL_TVM_Ex]]-AE103)*1600)</f>
        <v>74720.000000001164</v>
      </c>
      <c r="AL104" s="154">
        <f>IF((RD[[#This Row],[220kV_C&amp;R_PQM_Ex]]-AF103)*1000&lt;=0,"",(RD[[#This Row],[220kV_C&amp;R_PQM_Ex]]-AF103)*1000)</f>
        <v>73511.999999998807</v>
      </c>
      <c r="AM104" s="154">
        <f>IF((RD[[#This Row],[33kV_Aux1_Im]]-AH103)*1000&lt;0,"",(RD[[#This Row],[33kV_Aux1_Im]]-AH103)*1000)</f>
        <v>279.99999999999937</v>
      </c>
      <c r="AN104" s="154">
        <f>IF((RD[[#This Row],[33kV_Aux1_Im]]-AH103)*1000&lt;0,"",(RD[[#This Row],[33kV_Aux1_Im]]-AH103)*1000)</f>
        <v>279.99999999999937</v>
      </c>
      <c r="AO104" s="61">
        <f>RD[[#This Row],[33kV_OG1_Energy (KWh)]]</f>
        <v>75000</v>
      </c>
      <c r="AP104" s="61">
        <f>IFERROR(RD[[#This Row],[220kV_TL_TVM Energy (KWh)]]-RD[[#This Row],[220kV_C&amp;R_PQM_Imp (KWh)2]],"")</f>
        <v>74440.000000001164</v>
      </c>
      <c r="AQ104" s="63">
        <f>IFERROR(RD[[#This Row],[33 kV Total Export (KWH)]]/RD[[#This Row],[220 KV Net Export (KWh)]]-1,"")</f>
        <v>7.5228371842936959E-3</v>
      </c>
      <c r="AR104" s="64">
        <f>IFERROR((RD[[#This Row],[Sunset Time (POA&lt;20 W/m2)]]-RD[[#This Row],[Sunrise Time (POA&gt;20 W/m2)]])*24,0)</f>
        <v>11.416666666666668</v>
      </c>
      <c r="AS104" s="65">
        <f>RD[[#This Row],[33kV_OG1_Energy (KWh)]]</f>
        <v>75000</v>
      </c>
      <c r="AT104" s="65">
        <f>IFERROR(RD[[#This Row],[ Export (33 kV)]]*(1-RD[[#This Row],[33 kV Line Loss (%)]]),RD[[#This Row],[ Export (33 kV)]])</f>
        <v>74435.787211177972</v>
      </c>
      <c r="AU104" s="277">
        <v>39.21</v>
      </c>
      <c r="AV104" s="122"/>
      <c r="AW104" s="122"/>
      <c r="AX104" t="str">
        <f>IFERROR(RD[[#This Row],[E_AC (WPR)]]/RD[[#This Row],[E_DC (WPR)]],"")</f>
        <v/>
      </c>
    </row>
    <row r="105" spans="1:50">
      <c r="A105" s="148">
        <f t="shared" si="49"/>
        <v>45845</v>
      </c>
      <c r="B105" s="151">
        <f>YEAR(RD[[#This Row],[Date]])+IF(MONTH(RD[[#This Row],[Date]])&gt;=4,1,0)</f>
        <v>2026</v>
      </c>
      <c r="C105" s="151">
        <f>YEAR(RD[[#This Row],[Date]])</f>
        <v>2025</v>
      </c>
      <c r="D105" s="152">
        <f t="shared" si="48"/>
        <v>45839</v>
      </c>
      <c r="E105" s="151">
        <f>DAY(EOMONTH(RD[[#This Row],[Date]],0))</f>
        <v>31</v>
      </c>
      <c r="F105" s="122">
        <v>0.27291666666666664</v>
      </c>
      <c r="G105" s="122">
        <v>0.77083333333333337</v>
      </c>
      <c r="H105" s="138">
        <v>6741.8</v>
      </c>
      <c r="I105" s="138">
        <v>6826.1</v>
      </c>
      <c r="J105" s="138">
        <v>9373.1</v>
      </c>
      <c r="K105" s="138">
        <v>9503.2000000000007</v>
      </c>
      <c r="L105" s="138">
        <v>9534.5</v>
      </c>
      <c r="M105" s="138">
        <v>7493.6</v>
      </c>
      <c r="N105" s="138">
        <v>7407.3</v>
      </c>
      <c r="O105" s="167"/>
      <c r="P105" s="167"/>
      <c r="Q105" s="58">
        <v>1.39</v>
      </c>
      <c r="R105" s="58">
        <v>1.39</v>
      </c>
      <c r="S105" s="58">
        <v>25.01</v>
      </c>
      <c r="T105" s="58">
        <v>25.15</v>
      </c>
      <c r="U105" s="58">
        <v>89.96</v>
      </c>
      <c r="V105" s="58">
        <v>7.1630000000000001E-4</v>
      </c>
      <c r="W105" s="58">
        <v>3.9</v>
      </c>
      <c r="X105" s="58">
        <v>8.42</v>
      </c>
      <c r="Y105" s="60">
        <f>SUM(RD[[#This Row],[IS1Inv1]:[IS3Inv1]])</f>
        <v>41978.7</v>
      </c>
      <c r="Z105" s="60">
        <f>SUM(RD[[#This Row],[IS4Inv1]:[IS4Inv2]])</f>
        <v>14900.900000000001</v>
      </c>
      <c r="AA105" s="60">
        <f>SUM(RD[[#This Row],[O2RE7]:[O2RE27]])</f>
        <v>56879.6</v>
      </c>
      <c r="AB105" s="153"/>
      <c r="AC105" s="153">
        <v>21068</v>
      </c>
      <c r="AD105" s="153"/>
      <c r="AE105" s="153">
        <v>13545.7</v>
      </c>
      <c r="AF105" s="153">
        <v>20710.617999999999</v>
      </c>
      <c r="AG105" s="153">
        <v>0.04</v>
      </c>
      <c r="AH105" s="153">
        <v>10</v>
      </c>
      <c r="AI105" s="154"/>
      <c r="AJ105" s="154">
        <f>IF((RD[[#This Row],[33kV_OG1_Ex]]-AC104)*1000&lt;=0,0,(RD[[#This Row],[33kV_OG1_Ex]]-AC104)*1000)</f>
        <v>57000</v>
      </c>
      <c r="AK105" s="154">
        <f>IF((RD[[#This Row],[220kV_TL_TVM_Ex]]-AE104)*1600&lt;=0,0,(RD[[#This Row],[220kV_TL_TVM_Ex]]-AE104)*1600)</f>
        <v>55520.000000001164</v>
      </c>
      <c r="AL105" s="154">
        <f>IF((RD[[#This Row],[220kV_C&amp;R_PQM_Ex]]-AF104)*1000&lt;=0,"",(RD[[#This Row],[220kV_C&amp;R_PQM_Ex]]-AF104)*1000)</f>
        <v>55151.999999998225</v>
      </c>
      <c r="AM105" s="154">
        <f>IF((RD[[#This Row],[33kV_Aux1_Im]]-AH104)*1000&lt;0,"",(RD[[#This Row],[33kV_Aux1_Im]]-AH104)*1000)</f>
        <v>300.00000000000068</v>
      </c>
      <c r="AN105" s="154">
        <f>IF((RD[[#This Row],[33kV_Aux1_Im]]-AH104)*1000&lt;0,"",(RD[[#This Row],[33kV_Aux1_Im]]-AH104)*1000)</f>
        <v>300.00000000000068</v>
      </c>
      <c r="AO105" s="61">
        <f>RD[[#This Row],[33kV_OG1_Energy (KWh)]]</f>
        <v>57000</v>
      </c>
      <c r="AP105" s="61">
        <f>IFERROR(RD[[#This Row],[220kV_TL_TVM Energy (KWh)]]-RD[[#This Row],[220kV_C&amp;R_PQM_Imp (KWh)2]],"")</f>
        <v>55220.000000001164</v>
      </c>
      <c r="AQ105" s="63">
        <f>IFERROR(RD[[#This Row],[33 kV Total Export (KWH)]]/RD[[#This Row],[220 KV Net Export (KWh)]]-1,"")</f>
        <v>3.2234697573321203E-2</v>
      </c>
      <c r="AR105" s="64">
        <f>IFERROR((RD[[#This Row],[Sunset Time (POA&lt;20 W/m2)]]-RD[[#This Row],[Sunrise Time (POA&gt;20 W/m2)]])*24,0)</f>
        <v>11.950000000000001</v>
      </c>
      <c r="AS105" s="65">
        <f>RD[[#This Row],[33kV_OG1_Energy (KWh)]]</f>
        <v>57000</v>
      </c>
      <c r="AT105" s="65">
        <f>IFERROR(RD[[#This Row],[ Export (33 kV)]]*(1-RD[[#This Row],[33 kV Line Loss (%)]]),RD[[#This Row],[ Export (33 kV)]])</f>
        <v>55162.622238320691</v>
      </c>
      <c r="AU105" s="277">
        <v>39.21</v>
      </c>
      <c r="AV105" s="122"/>
      <c r="AW105" s="122"/>
      <c r="AX105" t="str">
        <f>IFERROR(RD[[#This Row],[E_AC (WPR)]]/RD[[#This Row],[E_DC (WPR)]],"")</f>
        <v/>
      </c>
    </row>
    <row r="106" spans="1:50">
      <c r="A106" s="148">
        <f t="shared" si="49"/>
        <v>45846</v>
      </c>
      <c r="B106" s="151">
        <f>YEAR(RD[[#This Row],[Date]])+IF(MONTH(RD[[#This Row],[Date]])&gt;=4,1,0)</f>
        <v>2026</v>
      </c>
      <c r="C106" s="151">
        <f>YEAR(RD[[#This Row],[Date]])</f>
        <v>2025</v>
      </c>
      <c r="D106" s="152">
        <f t="shared" si="48"/>
        <v>45839</v>
      </c>
      <c r="E106" s="151">
        <f>DAY(EOMONTH(RD[[#This Row],[Date]],0))</f>
        <v>31</v>
      </c>
      <c r="F106" s="122">
        <v>0.26805555555555555</v>
      </c>
      <c r="G106" s="122">
        <v>0.75347222222222221</v>
      </c>
      <c r="H106" s="138">
        <v>7793.1</v>
      </c>
      <c r="I106" s="138">
        <v>7898.8</v>
      </c>
      <c r="J106" s="138">
        <v>10974.2</v>
      </c>
      <c r="K106" s="138">
        <v>11144</v>
      </c>
      <c r="L106" s="138">
        <v>11197.9</v>
      </c>
      <c r="M106" s="138">
        <v>8721.4</v>
      </c>
      <c r="N106" s="138">
        <v>8622.7000000000007</v>
      </c>
      <c r="O106" s="167"/>
      <c r="P106" s="167"/>
      <c r="Q106" s="58">
        <v>1.72</v>
      </c>
      <c r="R106" s="58">
        <v>1.7</v>
      </c>
      <c r="S106" s="58">
        <v>25.64</v>
      </c>
      <c r="T106" s="58">
        <v>26.103999999999999</v>
      </c>
      <c r="U106" s="58">
        <v>88.53</v>
      </c>
      <c r="V106" s="58">
        <v>1.4326599999999999E-4</v>
      </c>
      <c r="W106" s="58">
        <v>3.26</v>
      </c>
      <c r="X106" s="58">
        <v>6.65</v>
      </c>
      <c r="Y106" s="60">
        <f>SUM(RD[[#This Row],[IS1Inv1]:[IS3Inv1]])</f>
        <v>49008.000000000007</v>
      </c>
      <c r="Z106" s="60">
        <f>SUM(RD[[#This Row],[IS4Inv1]:[IS4Inv2]])</f>
        <v>17344.099999999999</v>
      </c>
      <c r="AA106" s="60">
        <f>SUM(RD[[#This Row],[O2RE7]:[O2RE27]])</f>
        <v>66352.100000000006</v>
      </c>
      <c r="AB106" s="153"/>
      <c r="AC106" s="153">
        <v>21134</v>
      </c>
      <c r="AD106" s="153"/>
      <c r="AE106" s="153">
        <v>13586.2</v>
      </c>
      <c r="AF106" s="153">
        <v>20775.162</v>
      </c>
      <c r="AG106" s="153">
        <v>0.04</v>
      </c>
      <c r="AH106" s="153">
        <v>10.48</v>
      </c>
      <c r="AI106" s="154" t="str">
        <f>IF((RD[[#This Row],[33 kV_F1_Ex]]-AB105)*150000&lt;=0,"",(RD[[#This Row],[33 kV_F1_Ex]]-AB105)*150000)</f>
        <v/>
      </c>
      <c r="AJ106" s="154">
        <f>IF((RD[[#This Row],[33kV_OG1_Ex]]-AC105)*1000&lt;=0,0,(RD[[#This Row],[33kV_OG1_Ex]]-AC105)*1000)</f>
        <v>66000</v>
      </c>
      <c r="AK106" s="154">
        <f>IF((RD[[#This Row],[220kV_TL_TVM_Ex]]-AE105)*1600&lt;=0,0,(RD[[#This Row],[220kV_TL_TVM_Ex]]-AE105)*1600)</f>
        <v>64800</v>
      </c>
      <c r="AL106" s="154">
        <f>IF((RD[[#This Row],[220kV_C&amp;R_PQM_Ex]]-AF105)*1000&lt;=0,"",(RD[[#This Row],[220kV_C&amp;R_PQM_Ex]]-AF105)*1000)</f>
        <v>64544.000000001688</v>
      </c>
      <c r="AM106" s="154">
        <f>IF((RD[[#This Row],[33kV_Aux1_Im]]-AH105)*1000&lt;0,"",(RD[[#This Row],[33kV_Aux1_Im]]-AH105)*1000)</f>
        <v>480.00000000000045</v>
      </c>
      <c r="AN106" s="154">
        <f>IF((RD[[#This Row],[33kV_Aux1_Im]]-AH105)*1000&lt;0,"",(RD[[#This Row],[33kV_Aux1_Im]]-AH105)*1000)</f>
        <v>480.00000000000045</v>
      </c>
      <c r="AO106" s="61">
        <f>RD[[#This Row],[33kV_OG1_Energy (KWh)]]</f>
        <v>66000</v>
      </c>
      <c r="AP106" s="61">
        <f>IFERROR(RD[[#This Row],[220kV_TL_TVM Energy (KWh)]]-RD[[#This Row],[220kV_C&amp;R_PQM_Imp (KWh)2]],"")</f>
        <v>64320</v>
      </c>
      <c r="AQ106" s="63">
        <f>IFERROR(RD[[#This Row],[33 kV Total Export (KWH)]]/RD[[#This Row],[220 KV Net Export (KWh)]]-1,"")</f>
        <v>2.6119402985074647E-2</v>
      </c>
      <c r="AR106" s="64">
        <f>IFERROR((RD[[#This Row],[Sunset Time (POA&lt;20 W/m2)]]-RD[[#This Row],[Sunrise Time (POA&gt;20 W/m2)]])*24,0)</f>
        <v>11.65</v>
      </c>
      <c r="AS106" s="65">
        <f>RD[[#This Row],[33kV_OG1_Energy (KWh)]]</f>
        <v>66000</v>
      </c>
      <c r="AT106" s="65">
        <f>IFERROR(RD[[#This Row],[ Export (33 kV)]]*(1-RD[[#This Row],[33 kV Line Loss (%)]]),RD[[#This Row],[ Export (33 kV)]])</f>
        <v>64276.119402985074</v>
      </c>
      <c r="AU106" s="277">
        <v>39.21</v>
      </c>
      <c r="AV106" s="122"/>
      <c r="AW106" s="122"/>
      <c r="AX106" t="str">
        <f>IFERROR(RD[[#This Row],[E_AC (WPR)]]/RD[[#This Row],[E_DC (WPR)]],"")</f>
        <v/>
      </c>
    </row>
    <row r="107" spans="1:50">
      <c r="A107" s="148">
        <f t="shared" si="49"/>
        <v>45847</v>
      </c>
      <c r="B107" s="151">
        <f>YEAR(RD[[#This Row],[Date]])+IF(MONTH(RD[[#This Row],[Date]])&gt;=4,1,0)</f>
        <v>2026</v>
      </c>
      <c r="C107" s="151">
        <f>YEAR(RD[[#This Row],[Date]])</f>
        <v>2025</v>
      </c>
      <c r="D107" s="152">
        <f t="shared" si="48"/>
        <v>45839</v>
      </c>
      <c r="E107" s="151">
        <f>DAY(EOMONTH(RD[[#This Row],[Date]],0))</f>
        <v>31</v>
      </c>
      <c r="F107" s="122">
        <v>0.2673611111111111</v>
      </c>
      <c r="G107" s="122">
        <v>0.76666666666666672</v>
      </c>
      <c r="H107" s="138">
        <v>6643.7</v>
      </c>
      <c r="I107" s="138">
        <v>6716.3</v>
      </c>
      <c r="J107" s="138">
        <v>9291.9</v>
      </c>
      <c r="K107" s="138">
        <v>9411</v>
      </c>
      <c r="L107" s="138">
        <v>9415.2999999999993</v>
      </c>
      <c r="M107" s="138">
        <v>7373.5</v>
      </c>
      <c r="N107" s="138">
        <v>7340.3</v>
      </c>
      <c r="O107" s="167"/>
      <c r="P107" s="167"/>
      <c r="Q107" s="58">
        <v>1.45</v>
      </c>
      <c r="R107" s="58">
        <v>1.4450000000000001</v>
      </c>
      <c r="S107" s="58">
        <v>25.149000000000001</v>
      </c>
      <c r="T107" s="58">
        <v>26.08</v>
      </c>
      <c r="U107" s="58">
        <v>83.52</v>
      </c>
      <c r="V107" s="58">
        <v>2.7777800000000001E-4</v>
      </c>
      <c r="W107" s="58">
        <v>2.99</v>
      </c>
      <c r="X107" s="58">
        <v>5.35</v>
      </c>
      <c r="Y107" s="60">
        <f>SUM(RD[[#This Row],[IS1Inv1]:[IS3Inv1]])</f>
        <v>41478.199999999997</v>
      </c>
      <c r="Z107" s="60">
        <f>SUM(RD[[#This Row],[IS4Inv1]:[IS4Inv2]])</f>
        <v>14713.8</v>
      </c>
      <c r="AA107" s="60">
        <f>SUM(RD[[#This Row],[O2RE7]:[O2RE27]])</f>
        <v>56192</v>
      </c>
      <c r="AB107" s="153"/>
      <c r="AC107" s="153">
        <v>21189</v>
      </c>
      <c r="AD107" s="153"/>
      <c r="AE107" s="153">
        <v>13620.5</v>
      </c>
      <c r="AF107" s="153">
        <v>20829.570625</v>
      </c>
      <c r="AG107" s="153">
        <v>0.04</v>
      </c>
      <c r="AH107" s="153">
        <v>10.73</v>
      </c>
      <c r="AI107" s="154" t="str">
        <f>IF((RD[[#This Row],[33 kV_F1_Ex]]-AB106)*150000&lt;=0,"",(RD[[#This Row],[33 kV_F1_Ex]]-AB106)*150000)</f>
        <v/>
      </c>
      <c r="AJ107" s="154">
        <f>IF((RD[[#This Row],[33kV_OG1_Ex]]-AC106)*1000&lt;=0,0,(RD[[#This Row],[33kV_OG1_Ex]]-AC106)*1000)</f>
        <v>55000</v>
      </c>
      <c r="AK107" s="154">
        <f>IF((RD[[#This Row],[220kV_TL_TVM_Ex]]-AE106)*1600&lt;=0,0,(RD[[#This Row],[220kV_TL_TVM_Ex]]-AE106)*1600)</f>
        <v>54879.999999998836</v>
      </c>
      <c r="AL107" s="154">
        <f>IF((RD[[#This Row],[220kV_C&amp;R_PQM_Ex]]-AF106)*1000&lt;=0,"",(RD[[#This Row],[220kV_C&amp;R_PQM_Ex]]-AF106)*1000)</f>
        <v>54408.625000000029</v>
      </c>
      <c r="AM107" s="154">
        <f>IF((RD[[#This Row],[33kV_Aux1_Im]]-AH106)*1000&lt;0,"",(RD[[#This Row],[33kV_Aux1_Im]]-AH106)*1000)</f>
        <v>250</v>
      </c>
      <c r="AN107" s="154">
        <f>IF((RD[[#This Row],[33kV_Aux1_Im]]-AH106)*1000&lt;0,"",(RD[[#This Row],[33kV_Aux1_Im]]-AH106)*1000)</f>
        <v>250</v>
      </c>
      <c r="AO107" s="61">
        <f>RD[[#This Row],[33kV_OG1_Energy (KWh)]]</f>
        <v>55000</v>
      </c>
      <c r="AP107" s="61">
        <f>IFERROR(RD[[#This Row],[220kV_TL_TVM Energy (KWh)]]-RD[[#This Row],[220kV_C&amp;R_PQM_Imp (KWh)2]],"")</f>
        <v>54629.999999998836</v>
      </c>
      <c r="AQ107" s="63">
        <f>IFERROR(RD[[#This Row],[33 kV Total Export (KWH)]]/RD[[#This Row],[220 KV Net Export (KWh)]]-1,"")</f>
        <v>6.7728354384253286E-3</v>
      </c>
      <c r="AR107" s="64">
        <f>IFERROR((RD[[#This Row],[Sunset Time (POA&lt;20 W/m2)]]-RD[[#This Row],[Sunrise Time (POA&gt;20 W/m2)]])*24,0)</f>
        <v>11.983333333333334</v>
      </c>
      <c r="AS107" s="65">
        <f>RD[[#This Row],[33kV_OG1_Energy (KWh)]]</f>
        <v>55000</v>
      </c>
      <c r="AT107" s="65">
        <f>IFERROR(RD[[#This Row],[ Export (33 kV)]]*(1-RD[[#This Row],[33 kV Line Loss (%)]]),RD[[#This Row],[ Export (33 kV)]])</f>
        <v>54627.494050886606</v>
      </c>
      <c r="AU107" s="277">
        <v>39.21</v>
      </c>
      <c r="AV107" s="122"/>
      <c r="AW107" s="122"/>
      <c r="AX107" t="str">
        <f>IFERROR(RD[[#This Row],[E_AC (WPR)]]/RD[[#This Row],[E_DC (WPR)]],"")</f>
        <v/>
      </c>
    </row>
    <row r="108" spans="1:50">
      <c r="A108" s="148">
        <f t="shared" si="49"/>
        <v>45848</v>
      </c>
      <c r="B108" s="151">
        <f>YEAR(RD[[#This Row],[Date]])+IF(MONTH(RD[[#This Row],[Date]])&gt;=4,1,0)</f>
        <v>2026</v>
      </c>
      <c r="C108" s="151">
        <f>YEAR(RD[[#This Row],[Date]])</f>
        <v>2025</v>
      </c>
      <c r="D108" s="152">
        <f t="shared" si="48"/>
        <v>45839</v>
      </c>
      <c r="E108" s="151">
        <f>DAY(EOMONTH(RD[[#This Row],[Date]],0))</f>
        <v>31</v>
      </c>
      <c r="F108" s="122">
        <v>0.32361111111111113</v>
      </c>
      <c r="G108" s="122">
        <v>0.76527777777777772</v>
      </c>
      <c r="H108" s="138">
        <v>6886.9</v>
      </c>
      <c r="I108" s="138">
        <v>6956.3</v>
      </c>
      <c r="J108" s="138">
        <v>9687.6</v>
      </c>
      <c r="K108" s="138">
        <v>9796.6</v>
      </c>
      <c r="L108" s="138">
        <v>9804.2999999999993</v>
      </c>
      <c r="M108" s="138">
        <v>7723</v>
      </c>
      <c r="N108" s="138">
        <v>7668.7</v>
      </c>
      <c r="O108" s="167"/>
      <c r="P108" s="167"/>
      <c r="Q108" s="58">
        <v>1.66</v>
      </c>
      <c r="R108" s="58">
        <v>1.67</v>
      </c>
      <c r="S108" s="58">
        <v>25.05</v>
      </c>
      <c r="T108" s="58">
        <v>26.89</v>
      </c>
      <c r="U108" s="58">
        <v>83</v>
      </c>
      <c r="V108" s="58">
        <v>1.5698599999999999E-4</v>
      </c>
      <c r="W108" s="58">
        <v>2.62</v>
      </c>
      <c r="X108" s="58">
        <v>6.32</v>
      </c>
      <c r="Y108" s="60">
        <f>SUM(RD[[#This Row],[IS1Inv1]:[IS3Inv1]])</f>
        <v>43131.7</v>
      </c>
      <c r="Z108" s="60">
        <f>SUM(RD[[#This Row],[IS4Inv1]:[IS4Inv2]])</f>
        <v>15391.7</v>
      </c>
      <c r="AA108" s="60">
        <f>SUM(RD[[#This Row],[O2RE7]:[O2RE27]])</f>
        <v>58523.399999999994</v>
      </c>
      <c r="AB108" s="153"/>
      <c r="AC108" s="153">
        <v>21248</v>
      </c>
      <c r="AD108" s="153"/>
      <c r="AE108" s="153">
        <v>13656.4</v>
      </c>
      <c r="AF108" s="153">
        <v>20886.388999999999</v>
      </c>
      <c r="AG108" s="153">
        <v>0.04</v>
      </c>
      <c r="AH108" s="153">
        <v>11.02</v>
      </c>
      <c r="AI108" s="154" t="str">
        <f>IF((RD[[#This Row],[33 kV_F1_Ex]]-AB107)*150000&lt;=0,"",(RD[[#This Row],[33 kV_F1_Ex]]-AB107)*150000)</f>
        <v/>
      </c>
      <c r="AJ108" s="154">
        <f>IF((RD[[#This Row],[33kV_OG1_Ex]]-AC107)*1000&lt;=0,0,(RD[[#This Row],[33kV_OG1_Ex]]-AC107)*1000)</f>
        <v>59000</v>
      </c>
      <c r="AK108" s="154">
        <f>IF((RD[[#This Row],[220kV_TL_TVM_Ex]]-AE107)*1600&lt;=0,0,(RD[[#This Row],[220kV_TL_TVM_Ex]]-AE107)*1600)</f>
        <v>57439.999999999418</v>
      </c>
      <c r="AL108" s="154">
        <f>IF((RD[[#This Row],[220kV_C&amp;R_PQM_Ex]]-AF107)*1000&lt;=0,"",(RD[[#This Row],[220kV_C&amp;R_PQM_Ex]]-AF107)*1000)</f>
        <v>56818.374999998923</v>
      </c>
      <c r="AM108" s="154">
        <f>IF((RD[[#This Row],[33kV_Aux1_Im]]-AH107)*1000&lt;0,"",(RD[[#This Row],[33kV_Aux1_Im]]-AH107)*1000)</f>
        <v>289.99999999999915</v>
      </c>
      <c r="AN108" s="154">
        <f>IF((RD[[#This Row],[33kV_Aux1_Im]]-AH107)*1000&lt;0,"",(RD[[#This Row],[33kV_Aux1_Im]]-AH107)*1000)</f>
        <v>289.99999999999915</v>
      </c>
      <c r="AO108" s="61">
        <f>RD[[#This Row],[33kV_OG1_Energy (KWh)]]</f>
        <v>59000</v>
      </c>
      <c r="AP108" s="61">
        <f>IFERROR(RD[[#This Row],[220kV_TL_TVM Energy (KWh)]]-RD[[#This Row],[220kV_C&amp;R_PQM_Imp (KWh)2]],"")</f>
        <v>57149.999999999418</v>
      </c>
      <c r="AQ108" s="63">
        <f>IFERROR(RD[[#This Row],[33 kV Total Export (KWH)]]/RD[[#This Row],[220 KV Net Export (KWh)]]-1,"")</f>
        <v>3.2370953630806776E-2</v>
      </c>
      <c r="AR108" s="64">
        <f>IFERROR((RD[[#This Row],[Sunset Time (POA&lt;20 W/m2)]]-RD[[#This Row],[Sunrise Time (POA&gt;20 W/m2)]])*24,0)</f>
        <v>10.599999999999998</v>
      </c>
      <c r="AS108" s="65">
        <f>RD[[#This Row],[33kV_OG1_Energy (KWh)]]</f>
        <v>59000</v>
      </c>
      <c r="AT108" s="65">
        <f>IFERROR(RD[[#This Row],[ Export (33 kV)]]*(1-RD[[#This Row],[33 kV Line Loss (%)]]),RD[[#This Row],[ Export (33 kV)]])</f>
        <v>57090.113735782397</v>
      </c>
      <c r="AU108" s="277">
        <v>39.21</v>
      </c>
      <c r="AV108" s="122"/>
      <c r="AW108" s="122"/>
      <c r="AX108" t="str">
        <f>IFERROR(RD[[#This Row],[E_AC (WPR)]]/RD[[#This Row],[E_DC (WPR)]],"")</f>
        <v/>
      </c>
    </row>
    <row r="109" spans="1:50">
      <c r="A109" s="148">
        <f t="shared" si="49"/>
        <v>45849</v>
      </c>
      <c r="B109" s="151">
        <f>YEAR(RD[[#This Row],[Date]])+IF(MONTH(RD[[#This Row],[Date]])&gt;=4,1,0)</f>
        <v>2026</v>
      </c>
      <c r="C109" s="151">
        <f>YEAR(RD[[#This Row],[Date]])</f>
        <v>2025</v>
      </c>
      <c r="D109" s="152">
        <f t="shared" si="48"/>
        <v>45839</v>
      </c>
      <c r="E109" s="151">
        <f>DAY(EOMONTH(RD[[#This Row],[Date]],0))</f>
        <v>31</v>
      </c>
      <c r="F109" s="122">
        <v>0.25486111111111109</v>
      </c>
      <c r="G109" s="122">
        <v>0.78194444444444444</v>
      </c>
      <c r="H109" s="138">
        <v>22901</v>
      </c>
      <c r="I109" s="138">
        <v>23071</v>
      </c>
      <c r="J109" s="138">
        <v>31689.599999999999</v>
      </c>
      <c r="K109" s="138">
        <v>31977</v>
      </c>
      <c r="L109" s="138">
        <v>32413.5</v>
      </c>
      <c r="M109" s="138">
        <v>25766.400000000001</v>
      </c>
      <c r="N109" s="138">
        <v>25635.7</v>
      </c>
      <c r="O109" s="167"/>
      <c r="P109" s="167"/>
      <c r="Q109" s="58">
        <v>5.5789999999999997</v>
      </c>
      <c r="R109" s="58">
        <v>5.8419999999999996</v>
      </c>
      <c r="S109" s="58">
        <v>29.898</v>
      </c>
      <c r="T109" s="58">
        <v>37.64</v>
      </c>
      <c r="U109" s="58">
        <v>69.260400000000004</v>
      </c>
      <c r="V109" s="58">
        <v>1.5698599999999999E-4</v>
      </c>
      <c r="W109" s="58">
        <v>3.77</v>
      </c>
      <c r="X109" s="58">
        <v>7.67</v>
      </c>
      <c r="Y109" s="60">
        <f>SUM(RD[[#This Row],[IS1Inv1]:[IS3Inv1]])</f>
        <v>142052.1</v>
      </c>
      <c r="Z109" s="60">
        <f>SUM(RD[[#This Row],[IS4Inv1]:[IS4Inv2]])</f>
        <v>51402.100000000006</v>
      </c>
      <c r="AA109" s="60">
        <f>SUM(RD[[#This Row],[O2RE7]:[O2RE27]])</f>
        <v>193454.2</v>
      </c>
      <c r="AB109" s="153"/>
      <c r="AC109" s="153">
        <v>21439</v>
      </c>
      <c r="AD109" s="153"/>
      <c r="AE109" s="153">
        <v>13775.6</v>
      </c>
      <c r="AF109" s="153">
        <v>21076.588</v>
      </c>
      <c r="AG109" s="153">
        <v>0.04</v>
      </c>
      <c r="AH109" s="153">
        <v>11.32</v>
      </c>
      <c r="AI109" s="154" t="str">
        <f>IF((RD[[#This Row],[33 kV_F1_Ex]]-AB108)*150000&lt;=0,"",(RD[[#This Row],[33 kV_F1_Ex]]-AB108)*150000)</f>
        <v/>
      </c>
      <c r="AJ109" s="154">
        <f>IF((RD[[#This Row],[33kV_OG1_Ex]]-AC108)*1000&lt;=0,0,(RD[[#This Row],[33kV_OG1_Ex]]-AC108)*1000)</f>
        <v>191000</v>
      </c>
      <c r="AK109" s="154">
        <f>IF((RD[[#This Row],[220kV_TL_TVM_Ex]]-AE108)*1600&lt;=0,0,(RD[[#This Row],[220kV_TL_TVM_Ex]]-AE108)*1600)</f>
        <v>190720.00000000116</v>
      </c>
      <c r="AL109" s="154">
        <f>IF((RD[[#This Row],[220kV_C&amp;R_PQM_Ex]]-AF108)*1000&lt;=0,"",(RD[[#This Row],[220kV_C&amp;R_PQM_Ex]]-AF108)*1000)</f>
        <v>190199.00000000052</v>
      </c>
      <c r="AM109" s="154">
        <f>IF((RD[[#This Row],[33kV_Aux1_Im]]-AH108)*1000&lt;0,"",(RD[[#This Row],[33kV_Aux1_Im]]-AH108)*1000)</f>
        <v>300.00000000000068</v>
      </c>
      <c r="AN109" s="154">
        <f>IF((RD[[#This Row],[33kV_Aux1_Im]]-AH108)*1000&lt;0,"",(RD[[#This Row],[33kV_Aux1_Im]]-AH108)*1000)</f>
        <v>300.00000000000068</v>
      </c>
      <c r="AO109" s="61">
        <f>RD[[#This Row],[33kV_OG1_Energy (KWh)]]</f>
        <v>191000</v>
      </c>
      <c r="AP109" s="61">
        <f>IFERROR(RD[[#This Row],[220kV_TL_TVM Energy (KWh)]]-RD[[#This Row],[220kV_C&amp;R_PQM_Imp (KWh)2]],"")</f>
        <v>190420.00000000116</v>
      </c>
      <c r="AQ109" s="63">
        <f>IFERROR(RD[[#This Row],[33 kV Total Export (KWH)]]/RD[[#This Row],[220 KV Net Export (KWh)]]-1,"")</f>
        <v>3.0458985400632077E-3</v>
      </c>
      <c r="AR109" s="64">
        <f>IFERROR((RD[[#This Row],[Sunset Time (POA&lt;20 W/m2)]]-RD[[#This Row],[Sunrise Time (POA&gt;20 W/m2)]])*24,0)</f>
        <v>12.65</v>
      </c>
      <c r="AS109" s="65">
        <f>RD[[#This Row],[33kV_OG1_Energy (KWh)]]</f>
        <v>191000</v>
      </c>
      <c r="AT109" s="65">
        <f>IFERROR(RD[[#This Row],[ Export (33 kV)]]*(1-RD[[#This Row],[33 kV Line Loss (%)]]),RD[[#This Row],[ Export (33 kV)]])</f>
        <v>190418.23337884792</v>
      </c>
      <c r="AU109" s="277">
        <v>39.21</v>
      </c>
      <c r="AV109" s="122"/>
      <c r="AW109" s="122"/>
      <c r="AX109" t="str">
        <f>IFERROR(RD[[#This Row],[E_AC (WPR)]]/RD[[#This Row],[E_DC (WPR)]],"")</f>
        <v/>
      </c>
    </row>
    <row r="110" spans="1:50">
      <c r="A110" s="148">
        <f t="shared" si="49"/>
        <v>45850</v>
      </c>
      <c r="B110" s="151">
        <f>YEAR(RD[[#This Row],[Date]])+IF(MONTH(RD[[#This Row],[Date]])&gt;=4,1,0)</f>
        <v>2026</v>
      </c>
      <c r="C110" s="151">
        <f>YEAR(RD[[#This Row],[Date]])</f>
        <v>2025</v>
      </c>
      <c r="D110" s="152">
        <f t="shared" si="48"/>
        <v>45839</v>
      </c>
      <c r="E110" s="151">
        <f>DAY(EOMONTH(RD[[#This Row],[Date]],0))</f>
        <v>31</v>
      </c>
      <c r="F110" s="122">
        <v>0.25069444444444444</v>
      </c>
      <c r="G110" s="122">
        <v>0.77638888888888891</v>
      </c>
      <c r="H110" s="138">
        <v>22972.3</v>
      </c>
      <c r="I110" s="138">
        <v>23080.3</v>
      </c>
      <c r="J110" s="138">
        <v>31572.2</v>
      </c>
      <c r="K110" s="138">
        <v>31810.6</v>
      </c>
      <c r="L110" s="138">
        <v>32423.200000000001</v>
      </c>
      <c r="M110" s="138">
        <v>24488</v>
      </c>
      <c r="N110" s="138">
        <v>24239.8</v>
      </c>
      <c r="O110" s="167"/>
      <c r="P110" s="167"/>
      <c r="Q110" s="58">
        <v>5.93</v>
      </c>
      <c r="R110" s="58">
        <v>6.17</v>
      </c>
      <c r="S110" s="58">
        <v>30.19</v>
      </c>
      <c r="T110" s="58">
        <v>37.99</v>
      </c>
      <c r="U110" s="58">
        <v>65.680000000000007</v>
      </c>
      <c r="V110" s="58">
        <v>1.5698599999999999E-4</v>
      </c>
      <c r="W110" s="58">
        <v>4.29</v>
      </c>
      <c r="X110" s="58">
        <v>9.1199999999999992</v>
      </c>
      <c r="Y110" s="60">
        <f>SUM(RD[[#This Row],[IS1Inv1]:[IS3Inv1]])</f>
        <v>141858.6</v>
      </c>
      <c r="Z110" s="60">
        <f>SUM(RD[[#This Row],[IS4Inv1]:[IS4Inv2]])</f>
        <v>48727.8</v>
      </c>
      <c r="AA110" s="60">
        <f>SUM(RD[[#This Row],[O2RE7]:[O2RE27]])</f>
        <v>190586.40000000002</v>
      </c>
      <c r="AB110" s="153"/>
      <c r="AC110" s="153">
        <v>21628</v>
      </c>
      <c r="AD110" s="153"/>
      <c r="AE110" s="153">
        <v>13892.2</v>
      </c>
      <c r="AF110" s="153">
        <v>21263</v>
      </c>
      <c r="AG110" s="153">
        <v>0.04</v>
      </c>
      <c r="AH110" s="153">
        <v>11.6</v>
      </c>
      <c r="AI110" s="154" t="str">
        <f>IF((RD[[#This Row],[33 kV_F1_Ex]]-AB109)*150000&lt;=0,"",(RD[[#This Row],[33 kV_F1_Ex]]-AB109)*150000)</f>
        <v/>
      </c>
      <c r="AJ110" s="154">
        <f>IF((RD[[#This Row],[33kV_OG1_Ex]]-AC109)*1000&lt;=0,0,(RD[[#This Row],[33kV_OG1_Ex]]-AC109)*1000)</f>
        <v>189000</v>
      </c>
      <c r="AK110" s="154">
        <f>IF((RD[[#This Row],[220kV_TL_TVM_Ex]]-AE109)*1600&lt;=0,0,(RD[[#This Row],[220kV_TL_TVM_Ex]]-AE109)*1600)</f>
        <v>186560.00000000058</v>
      </c>
      <c r="AL110" s="154">
        <f>IF((RD[[#This Row],[220kV_C&amp;R_PQM_Ex]]-AF109)*1000&lt;=0,"",(RD[[#This Row],[220kV_C&amp;R_PQM_Ex]]-AF109)*1000)</f>
        <v>186412.00000000026</v>
      </c>
      <c r="AM110" s="154">
        <f>IF((RD[[#This Row],[33kV_Aux1_Im]]-AH109)*1000&lt;0,"",(RD[[#This Row],[33kV_Aux1_Im]]-AH109)*1000)</f>
        <v>279.99999999999937</v>
      </c>
      <c r="AN110" s="154">
        <f>IF((RD[[#This Row],[33kV_Aux1_Im]]-AH109)*1000&lt;0,"",(RD[[#This Row],[33kV_Aux1_Im]]-AH109)*1000)</f>
        <v>279.99999999999937</v>
      </c>
      <c r="AO110" s="61">
        <f>RD[[#This Row],[33kV_OG1_Energy (KWh)]]</f>
        <v>189000</v>
      </c>
      <c r="AP110" s="61">
        <f>IFERROR(RD[[#This Row],[220kV_TL_TVM Energy (KWh)]]-RD[[#This Row],[220kV_C&amp;R_PQM_Imp (KWh)2]],"")</f>
        <v>186280.00000000058</v>
      </c>
      <c r="AQ110" s="63">
        <f>IFERROR(RD[[#This Row],[33 kV Total Export (KWH)]]/RD[[#This Row],[220 KV Net Export (KWh)]]-1,"")</f>
        <v>1.4601674897999795E-2</v>
      </c>
      <c r="AR110" s="64">
        <f>IFERROR((RD[[#This Row],[Sunset Time (POA&lt;20 W/m2)]]-RD[[#This Row],[Sunrise Time (POA&gt;20 W/m2)]])*24,0)</f>
        <v>12.616666666666667</v>
      </c>
      <c r="AS110" s="65">
        <f>RD[[#This Row],[33kV_OG1_Energy (KWh)]]</f>
        <v>189000</v>
      </c>
      <c r="AT110" s="65">
        <f>IFERROR(RD[[#This Row],[ Export (33 kV)]]*(1-RD[[#This Row],[33 kV Line Loss (%)]]),RD[[#This Row],[ Export (33 kV)]])</f>
        <v>186240.28344427803</v>
      </c>
      <c r="AU110" s="277">
        <v>39.21</v>
      </c>
      <c r="AV110" s="122"/>
      <c r="AW110" s="122"/>
      <c r="AX110" t="str">
        <f>IFERROR(RD[[#This Row],[E_AC (WPR)]]/RD[[#This Row],[E_DC (WPR)]],"")</f>
        <v/>
      </c>
    </row>
    <row r="111" spans="1:50">
      <c r="A111" s="148">
        <f t="shared" si="49"/>
        <v>45851</v>
      </c>
      <c r="B111" s="151">
        <f>YEAR(RD[[#This Row],[Date]])+IF(MONTH(RD[[#This Row],[Date]])&gt;=4,1,0)</f>
        <v>2026</v>
      </c>
      <c r="C111" s="151">
        <f>YEAR(RD[[#This Row],[Date]])</f>
        <v>2025</v>
      </c>
      <c r="D111" s="152">
        <f t="shared" si="48"/>
        <v>45839</v>
      </c>
      <c r="E111" s="151">
        <f>DAY(EOMONTH(RD[[#This Row],[Date]],0))</f>
        <v>31</v>
      </c>
      <c r="F111" s="122">
        <v>0.25694444444444442</v>
      </c>
      <c r="G111" s="122">
        <v>0.77777777777777779</v>
      </c>
      <c r="H111" s="138">
        <v>17940</v>
      </c>
      <c r="I111" s="138">
        <v>18101</v>
      </c>
      <c r="J111" s="138">
        <v>25078</v>
      </c>
      <c r="K111" s="138">
        <v>25281</v>
      </c>
      <c r="L111" s="138">
        <v>25339.5</v>
      </c>
      <c r="M111" s="138">
        <v>19902.7</v>
      </c>
      <c r="N111" s="138">
        <v>19755.5</v>
      </c>
      <c r="O111" s="167"/>
      <c r="P111" s="167"/>
      <c r="Q111" s="58">
        <v>4.2805</v>
      </c>
      <c r="R111" s="58">
        <v>4.3949999999999996</v>
      </c>
      <c r="S111" s="58">
        <v>29.503</v>
      </c>
      <c r="T111" s="58">
        <v>35.71</v>
      </c>
      <c r="U111" s="58">
        <v>67.37</v>
      </c>
      <c r="V111" s="58">
        <v>1.5698599999999999E-4</v>
      </c>
      <c r="W111" s="58">
        <v>4.0599999999999996</v>
      </c>
      <c r="X111" s="58">
        <v>10.17</v>
      </c>
      <c r="Y111" s="60">
        <f>SUM(RD[[#This Row],[IS1Inv1]:[IS3Inv1]])</f>
        <v>111739.5</v>
      </c>
      <c r="Z111" s="60">
        <f>SUM(RD[[#This Row],[IS4Inv1]:[IS4Inv2]])</f>
        <v>39658.199999999997</v>
      </c>
      <c r="AA111" s="60">
        <f>SUM(RD[[#This Row],[O2RE7]:[O2RE27]])</f>
        <v>151397.70000000001</v>
      </c>
      <c r="AB111" s="153"/>
      <c r="AC111" s="153">
        <v>21778</v>
      </c>
      <c r="AD111" s="153"/>
      <c r="AE111" s="153">
        <v>13986</v>
      </c>
      <c r="AF111" s="153">
        <v>21412.7428</v>
      </c>
      <c r="AG111" s="153">
        <v>0.04</v>
      </c>
      <c r="AH111" s="153">
        <v>11.91</v>
      </c>
      <c r="AI111" s="154" t="str">
        <f>IF((RD[[#This Row],[33 kV_F1_Ex]]-AB110)*150000&lt;=0,"",(RD[[#This Row],[33 kV_F1_Ex]]-AB110)*150000)</f>
        <v/>
      </c>
      <c r="AJ111" s="154">
        <f>IF((RD[[#This Row],[33kV_OG1_Ex]]-AC110)*1000&lt;=0,0,(RD[[#This Row],[33kV_OG1_Ex]]-AC110)*1000)</f>
        <v>150000</v>
      </c>
      <c r="AK111" s="154">
        <f>IF((RD[[#This Row],[220kV_TL_TVM_Ex]]-AE110)*1600&lt;=0,0,(RD[[#This Row],[220kV_TL_TVM_Ex]]-AE110)*1600)</f>
        <v>150079.99999999884</v>
      </c>
      <c r="AL111" s="154">
        <f>IF((RD[[#This Row],[220kV_C&amp;R_PQM_Ex]]-AF110)*1000&lt;=0,"",(RD[[#This Row],[220kV_C&amp;R_PQM_Ex]]-AF110)*1000)</f>
        <v>149742.79999999999</v>
      </c>
      <c r="AM111" s="154">
        <f>IF((RD[[#This Row],[33kV_Aux1_Im]]-AH110)*1000&lt;0,"",(RD[[#This Row],[33kV_Aux1_Im]]-AH110)*1000)</f>
        <v>310.00000000000051</v>
      </c>
      <c r="AN111" s="154">
        <f>IF((RD[[#This Row],[33kV_Aux1_Im]]-AH110)*1000&lt;0,"",(RD[[#This Row],[33kV_Aux1_Im]]-AH110)*1000)</f>
        <v>310.00000000000051</v>
      </c>
      <c r="AO111" s="61">
        <f>RD[[#This Row],[33kV_OG1_Energy (KWh)]]</f>
        <v>150000</v>
      </c>
      <c r="AP111" s="61">
        <f>IFERROR(RD[[#This Row],[220kV_TL_TVM Energy (KWh)]]-RD[[#This Row],[220kV_C&amp;R_PQM_Imp (KWh)2]],"")</f>
        <v>149769.99999999884</v>
      </c>
      <c r="AQ111" s="63">
        <f>IFERROR(RD[[#This Row],[33 kV Total Export (KWH)]]/RD[[#This Row],[220 KV Net Export (KWh)]]-1,"")</f>
        <v>1.5356880550254637E-3</v>
      </c>
      <c r="AR111" s="64">
        <f>IFERROR((RD[[#This Row],[Sunset Time (POA&lt;20 W/m2)]]-RD[[#This Row],[Sunrise Time (POA&gt;20 W/m2)]])*24,0)</f>
        <v>12.5</v>
      </c>
      <c r="AS111" s="65">
        <f>RD[[#This Row],[33kV_OG1_Energy (KWh)]]</f>
        <v>150000</v>
      </c>
      <c r="AT111" s="65">
        <f>IFERROR(RD[[#This Row],[ Export (33 kV)]]*(1-RD[[#This Row],[33 kV Line Loss (%)]]),RD[[#This Row],[ Export (33 kV)]])</f>
        <v>149769.64679174617</v>
      </c>
      <c r="AU111" s="277">
        <v>39.21</v>
      </c>
      <c r="AV111" s="122"/>
      <c r="AW111" s="122"/>
      <c r="AX111" t="str">
        <f>IFERROR(RD[[#This Row],[E_AC (WPR)]]/RD[[#This Row],[E_DC (WPR)]],"")</f>
        <v/>
      </c>
    </row>
    <row r="112" spans="1:50">
      <c r="A112" s="148">
        <f t="shared" si="49"/>
        <v>45852</v>
      </c>
      <c r="B112" s="151">
        <f>YEAR(RD[[#This Row],[Date]])+IF(MONTH(RD[[#This Row],[Date]])&gt;=4,1,0)</f>
        <v>2026</v>
      </c>
      <c r="C112" s="151">
        <f>YEAR(RD[[#This Row],[Date]])</f>
        <v>2025</v>
      </c>
      <c r="D112" s="152">
        <f t="shared" si="48"/>
        <v>45839</v>
      </c>
      <c r="E112" s="151">
        <f>DAY(EOMONTH(RD[[#This Row],[Date]],0))</f>
        <v>31</v>
      </c>
      <c r="F112" s="122">
        <v>0.25347222222222221</v>
      </c>
      <c r="G112" s="122">
        <v>0.78125</v>
      </c>
      <c r="H112" s="138">
        <v>20293.599999999999</v>
      </c>
      <c r="I112" s="138">
        <v>20542.7</v>
      </c>
      <c r="J112" s="138">
        <v>27833.9</v>
      </c>
      <c r="K112" s="138">
        <v>28202.1</v>
      </c>
      <c r="L112" s="138">
        <v>28650</v>
      </c>
      <c r="M112" s="138">
        <v>22899.4</v>
      </c>
      <c r="N112" s="138">
        <v>22832.9</v>
      </c>
      <c r="O112" s="167"/>
      <c r="P112" s="167"/>
      <c r="Q112" s="58">
        <v>5.4051</v>
      </c>
      <c r="R112" s="58">
        <v>5.6662999999999997</v>
      </c>
      <c r="S112" s="58">
        <v>30.363099999999999</v>
      </c>
      <c r="T112" s="58">
        <v>39.270499999999998</v>
      </c>
      <c r="U112" s="58">
        <v>64.1601</v>
      </c>
      <c r="V112" s="58">
        <v>1.5698599999999999E-4</v>
      </c>
      <c r="W112" s="58">
        <v>3.7974999999999999</v>
      </c>
      <c r="X112" s="58">
        <v>8.27</v>
      </c>
      <c r="Y112" s="60">
        <f>SUM(RD[[#This Row],[IS1Inv1]:[IS3Inv1]])</f>
        <v>125522.30000000002</v>
      </c>
      <c r="Z112" s="60">
        <f>SUM(RD[[#This Row],[IS4Inv1]:[IS4Inv2]])</f>
        <v>45732.3</v>
      </c>
      <c r="AA112" s="60">
        <f>SUM(RD[[#This Row],[O2RE7]:[O2RE27]])</f>
        <v>171254.60000000003</v>
      </c>
      <c r="AB112" s="153"/>
      <c r="AC112" s="153">
        <v>21946</v>
      </c>
      <c r="AD112" s="153"/>
      <c r="AE112" s="153">
        <v>14091.4</v>
      </c>
      <c r="AF112" s="153">
        <v>21581.309000000001</v>
      </c>
      <c r="AG112" s="153">
        <v>0.04</v>
      </c>
      <c r="AH112" s="153">
        <v>12.21</v>
      </c>
      <c r="AI112" s="154" t="str">
        <f>IF((RD[[#This Row],[33 kV_F1_Ex]]-AB111)*150000&lt;=0,"",(RD[[#This Row],[33 kV_F1_Ex]]-AB111)*150000)</f>
        <v/>
      </c>
      <c r="AJ112" s="154">
        <f>IF((RD[[#This Row],[33kV_OG1_Ex]]-AC111)*1000&lt;=0,0,(RD[[#This Row],[33kV_OG1_Ex]]-AC111)*1000)</f>
        <v>168000</v>
      </c>
      <c r="AK112" s="154">
        <f>IF((RD[[#This Row],[220kV_TL_TVM_Ex]]-AE111)*1600&lt;=0,0,(RD[[#This Row],[220kV_TL_TVM_Ex]]-AE111)*1600)</f>
        <v>168639.99999999942</v>
      </c>
      <c r="AL112" s="154">
        <f>IF((RD[[#This Row],[220kV_C&amp;R_PQM_Ex]]-AF111)*1000&lt;=0,"",(RD[[#This Row],[220kV_C&amp;R_PQM_Ex]]-AF111)*1000)</f>
        <v>168566.20000000112</v>
      </c>
      <c r="AM112" s="154">
        <f>IF((RD[[#This Row],[33kV_Aux1_Im]]-AH111)*1000&lt;0,"",(RD[[#This Row],[33kV_Aux1_Im]]-AH111)*1000)</f>
        <v>300.00000000000068</v>
      </c>
      <c r="AN112" s="154">
        <f>IF((RD[[#This Row],[33kV_Aux1_Im]]-AH111)*1000&lt;0,"",(RD[[#This Row],[33kV_Aux1_Im]]-AH111)*1000)</f>
        <v>300.00000000000068</v>
      </c>
      <c r="AO112" s="61">
        <f>RD[[#This Row],[33kV_OG1_Energy (KWh)]]</f>
        <v>168000</v>
      </c>
      <c r="AP112" s="61">
        <f>IFERROR(RD[[#This Row],[220kV_TL_TVM Energy (KWh)]]-RD[[#This Row],[220kV_C&amp;R_PQM_Imp (KWh)2]],"")</f>
        <v>168339.99999999942</v>
      </c>
      <c r="AQ112" s="63">
        <f>IFERROR(RD[[#This Row],[33 kV Total Export (KWH)]]/RD[[#This Row],[220 KV Net Export (KWh)]]-1,"")</f>
        <v>-2.0197219912048148E-3</v>
      </c>
      <c r="AR112" s="64">
        <f>IFERROR((RD[[#This Row],[Sunset Time (POA&lt;20 W/m2)]]-RD[[#This Row],[Sunrise Time (POA&gt;20 W/m2)]])*24,0)</f>
        <v>12.666666666666668</v>
      </c>
      <c r="AS112" s="65">
        <f>RD[[#This Row],[33kV_OG1_Energy (KWh)]]</f>
        <v>168000</v>
      </c>
      <c r="AT112" s="65">
        <f>IFERROR(RD[[#This Row],[ Export (33 kV)]]*(1-RD[[#This Row],[33 kV Line Loss (%)]]),RD[[#This Row],[ Export (33 kV)]])</f>
        <v>168339.31329452241</v>
      </c>
      <c r="AU112" s="277">
        <v>39.21</v>
      </c>
      <c r="AV112" s="122"/>
      <c r="AW112" s="122"/>
      <c r="AX112" t="str">
        <f>IFERROR(RD[[#This Row],[E_AC (WPR)]]/RD[[#This Row],[E_DC (WPR)]],"")</f>
        <v/>
      </c>
    </row>
    <row r="113" spans="1:50">
      <c r="A113" s="148">
        <f t="shared" si="49"/>
        <v>45853</v>
      </c>
      <c r="B113" s="151">
        <f>YEAR(RD[[#This Row],[Date]])+IF(MONTH(RD[[#This Row],[Date]])&gt;=4,1,0)</f>
        <v>2026</v>
      </c>
      <c r="C113" s="151">
        <f>YEAR(RD[[#This Row],[Date]])</f>
        <v>2025</v>
      </c>
      <c r="D113" s="152">
        <f t="shared" si="48"/>
        <v>45839</v>
      </c>
      <c r="E113" s="151">
        <f>DAY(EOMONTH(RD[[#This Row],[Date]],0))</f>
        <v>31</v>
      </c>
      <c r="F113" s="122">
        <v>0.25347222222222221</v>
      </c>
      <c r="G113" s="122">
        <v>0.78402777777777777</v>
      </c>
      <c r="H113" s="138">
        <v>17233.099999999999</v>
      </c>
      <c r="I113" s="138">
        <v>17143.5</v>
      </c>
      <c r="J113" s="138">
        <v>23646</v>
      </c>
      <c r="K113" s="138">
        <v>23860</v>
      </c>
      <c r="L113" s="138">
        <v>24043</v>
      </c>
      <c r="M113" s="138">
        <v>19321</v>
      </c>
      <c r="N113" s="138">
        <v>19123</v>
      </c>
      <c r="O113" s="167"/>
      <c r="P113" s="167"/>
      <c r="Q113" s="58">
        <v>4.4325999999999999</v>
      </c>
      <c r="R113" s="58">
        <v>4.6680000000000001</v>
      </c>
      <c r="S113" s="58">
        <v>29.57</v>
      </c>
      <c r="T113" s="58">
        <v>37.479999999999997</v>
      </c>
      <c r="U113" s="58">
        <v>70.75</v>
      </c>
      <c r="V113" s="58">
        <v>3.9267000000000002E-4</v>
      </c>
      <c r="W113" s="58">
        <v>2.7519999999999998</v>
      </c>
      <c r="X113" s="58">
        <v>8</v>
      </c>
      <c r="Y113" s="60">
        <f>SUM(RD[[#This Row],[IS1Inv1]:[IS3Inv1]])</f>
        <v>105925.6</v>
      </c>
      <c r="Z113" s="60">
        <f>SUM(RD[[#This Row],[IS4Inv1]:[IS4Inv2]])</f>
        <v>38444</v>
      </c>
      <c r="AA113" s="60">
        <f>SUM(RD[[#This Row],[O2RE7]:[O2RE27]])</f>
        <v>144369.60000000001</v>
      </c>
      <c r="AB113" s="153"/>
      <c r="AC113" s="153">
        <v>22091</v>
      </c>
      <c r="AD113" s="153"/>
      <c r="AE113" s="153">
        <v>14180.2</v>
      </c>
      <c r="AF113" s="153">
        <v>21723.064375999998</v>
      </c>
      <c r="AG113" s="153">
        <v>0.04</v>
      </c>
      <c r="AH113" s="153">
        <v>12.48</v>
      </c>
      <c r="AI113" s="154" t="str">
        <f>IF((RD[[#This Row],[33 kV_F1_Ex]]-AB112)*150000&lt;=0,"",(RD[[#This Row],[33 kV_F1_Ex]]-AB112)*150000)</f>
        <v/>
      </c>
      <c r="AJ113" s="154">
        <f>IF((RD[[#This Row],[33kV_OG1_Ex]]-AC112)*1000&lt;=0,0,(RD[[#This Row],[33kV_OG1_Ex]]-AC112)*1000)</f>
        <v>145000</v>
      </c>
      <c r="AK113" s="154">
        <f>IF((RD[[#This Row],[220kV_TL_TVM_Ex]]-AE112)*1600&lt;=0,0,(RD[[#This Row],[220kV_TL_TVM_Ex]]-AE112)*1600)</f>
        <v>142080.00000000175</v>
      </c>
      <c r="AL113" s="154">
        <f>IF((RD[[#This Row],[220kV_C&amp;R_PQM_Ex]]-AF112)*1000&lt;=0,"",(RD[[#This Row],[220kV_C&amp;R_PQM_Ex]]-AF112)*1000)</f>
        <v>141755.37599999734</v>
      </c>
      <c r="AM113" s="154">
        <f>IF((RD[[#This Row],[33kV_Aux1_Im]]-AH112)*1000&lt;0,"",(RD[[#This Row],[33kV_Aux1_Im]]-AH112)*1000)</f>
        <v>269.99999999999955</v>
      </c>
      <c r="AN113" s="154">
        <f>IF((RD[[#This Row],[33kV_Aux1_Im]]-AH112)*1000&lt;0,"",(RD[[#This Row],[33kV_Aux1_Im]]-AH112)*1000)</f>
        <v>269.99999999999955</v>
      </c>
      <c r="AO113" s="61">
        <f>RD[[#This Row],[33kV_OG1_Energy (KWh)]]</f>
        <v>145000</v>
      </c>
      <c r="AP113" s="61">
        <f>IFERROR(RD[[#This Row],[220kV_TL_TVM Energy (KWh)]]-RD[[#This Row],[220kV_C&amp;R_PQM_Imp (KWh)2]],"")</f>
        <v>141810.00000000175</v>
      </c>
      <c r="AQ113" s="63">
        <f>IFERROR(RD[[#This Row],[33 kV Total Export (KWH)]]/RD[[#This Row],[220 KV Net Export (KWh)]]-1,"")</f>
        <v>2.2494887525549734E-2</v>
      </c>
      <c r="AR113" s="64">
        <f>IFERROR((RD[[#This Row],[Sunset Time (POA&lt;20 W/m2)]]-RD[[#This Row],[Sunrise Time (POA&gt;20 W/m2)]])*24,0)</f>
        <v>12.733333333333334</v>
      </c>
      <c r="AS113" s="65">
        <f>RD[[#This Row],[33kV_OG1_Energy (KWh)]]</f>
        <v>145000</v>
      </c>
      <c r="AT113" s="65">
        <f>IFERROR(RD[[#This Row],[ Export (33 kV)]]*(1-RD[[#This Row],[33 kV Line Loss (%)]]),RD[[#This Row],[ Export (33 kV)]])</f>
        <v>141738.24130879529</v>
      </c>
      <c r="AU113" s="277">
        <v>39.21</v>
      </c>
      <c r="AV113" s="122"/>
      <c r="AW113" s="122"/>
      <c r="AX113" t="str">
        <f>IFERROR(RD[[#This Row],[E_AC (WPR)]]/RD[[#This Row],[E_DC (WPR)]],"")</f>
        <v/>
      </c>
    </row>
    <row r="114" spans="1:50">
      <c r="A114" s="148">
        <f t="shared" si="49"/>
        <v>45854</v>
      </c>
      <c r="B114" s="151">
        <f>YEAR(RD[[#This Row],[Date]])+IF(MONTH(RD[[#This Row],[Date]])&gt;=4,1,0)</f>
        <v>2026</v>
      </c>
      <c r="C114" s="151">
        <f>YEAR(RD[[#This Row],[Date]])</f>
        <v>2025</v>
      </c>
      <c r="D114" s="152">
        <f t="shared" si="48"/>
        <v>45839</v>
      </c>
      <c r="E114" s="151">
        <f>DAY(EOMONTH(RD[[#This Row],[Date]],0))</f>
        <v>31</v>
      </c>
      <c r="F114" s="122">
        <v>0.25694444444444442</v>
      </c>
      <c r="G114" s="122">
        <v>0.70486111111111116</v>
      </c>
      <c r="H114" s="138">
        <v>15904</v>
      </c>
      <c r="I114" s="138">
        <v>16258</v>
      </c>
      <c r="J114" s="138">
        <v>21681.200000000001</v>
      </c>
      <c r="K114" s="138">
        <v>22279.3</v>
      </c>
      <c r="L114" s="138">
        <v>23011.4</v>
      </c>
      <c r="M114" s="138">
        <v>18536</v>
      </c>
      <c r="N114" s="138">
        <v>18521</v>
      </c>
      <c r="O114" s="167"/>
      <c r="P114" s="167"/>
      <c r="Q114" s="58">
        <v>3.9315000000000002</v>
      </c>
      <c r="R114" s="58">
        <v>4.1440000000000001</v>
      </c>
      <c r="S114" s="58">
        <v>29.5274</v>
      </c>
      <c r="T114" s="58">
        <v>37.133600000000001</v>
      </c>
      <c r="U114" s="58">
        <v>74.278499999999994</v>
      </c>
      <c r="V114" s="58">
        <v>3.9267000000000002E-4</v>
      </c>
      <c r="W114" s="58">
        <v>2.6076000000000001</v>
      </c>
      <c r="X114" s="58">
        <v>8.64</v>
      </c>
      <c r="Y114" s="60">
        <f>SUM(RD[[#This Row],[IS1Inv1]:[IS3Inv1]])</f>
        <v>99133.9</v>
      </c>
      <c r="Z114" s="60">
        <f>SUM(RD[[#This Row],[IS4Inv1]:[IS4Inv2]])</f>
        <v>37057</v>
      </c>
      <c r="AA114" s="60">
        <f>SUM(RD[[#This Row],[O2RE7]:[O2RE27]])</f>
        <v>136190.9</v>
      </c>
      <c r="AB114" s="153"/>
      <c r="AC114" s="153">
        <v>22226</v>
      </c>
      <c r="AD114" s="153"/>
      <c r="AE114" s="153">
        <v>14263.8</v>
      </c>
      <c r="AF114" s="153">
        <v>21856.134999999998</v>
      </c>
      <c r="AG114" s="153">
        <v>0.04</v>
      </c>
      <c r="AH114" s="153">
        <v>12.78</v>
      </c>
      <c r="AI114" s="154" t="str">
        <f>IF((RD[[#This Row],[33 kV_F1_Ex]]-AB113)*150000&lt;=0,"",(RD[[#This Row],[33 kV_F1_Ex]]-AB113)*150000)</f>
        <v/>
      </c>
      <c r="AJ114" s="154">
        <f>IF((RD[[#This Row],[33kV_OG1_Ex]]-AC113)*1000&lt;=0,0,(RD[[#This Row],[33kV_OG1_Ex]]-AC113)*1000)</f>
        <v>135000</v>
      </c>
      <c r="AK114" s="154">
        <f>IF((RD[[#This Row],[220kV_TL_TVM_Ex]]-AE113)*1600&lt;=0,0,(RD[[#This Row],[220kV_TL_TVM_Ex]]-AE113)*1600)</f>
        <v>133759.99999999767</v>
      </c>
      <c r="AL114" s="154">
        <f>IF((RD[[#This Row],[220kV_C&amp;R_PQM_Ex]]-AF113)*1000&lt;=0,"",(RD[[#This Row],[220kV_C&amp;R_PQM_Ex]]-AF113)*1000)</f>
        <v>133070.62399999995</v>
      </c>
      <c r="AM114" s="154">
        <f>IF((RD[[#This Row],[33kV_Aux1_Im]]-AH113)*1000&lt;0,"",(RD[[#This Row],[33kV_Aux1_Im]]-AH113)*1000)</f>
        <v>299.99999999999892</v>
      </c>
      <c r="AN114" s="154">
        <f>IF((RD[[#This Row],[33kV_Aux1_Im]]-AH113)*1000&lt;0,"",(RD[[#This Row],[33kV_Aux1_Im]]-AH113)*1000)</f>
        <v>299.99999999999892</v>
      </c>
      <c r="AO114" s="61">
        <f>RD[[#This Row],[33kV_OG1_Energy (KWh)]]</f>
        <v>135000</v>
      </c>
      <c r="AP114" s="61">
        <f>IFERROR(RD[[#This Row],[220kV_TL_TVM Energy (KWh)]]-RD[[#This Row],[220kV_C&amp;R_PQM_Imp (KWh)2]],"")</f>
        <v>133459.99999999767</v>
      </c>
      <c r="AQ114" s="63">
        <f>IFERROR(RD[[#This Row],[33 kV Total Export (KWH)]]/RD[[#This Row],[220 KV Net Export (KWh)]]-1,"")</f>
        <v>1.1539037913999461E-2</v>
      </c>
      <c r="AR114" s="64">
        <f>IFERROR((RD[[#This Row],[Sunset Time (POA&lt;20 W/m2)]]-RD[[#This Row],[Sunrise Time (POA&gt;20 W/m2)]])*24,0)</f>
        <v>10.750000000000002</v>
      </c>
      <c r="AS114" s="65">
        <f>RD[[#This Row],[33kV_OG1_Energy (KWh)]]</f>
        <v>135000</v>
      </c>
      <c r="AT114" s="65">
        <f>IFERROR(RD[[#This Row],[ Export (33 kV)]]*(1-RD[[#This Row],[33 kV Line Loss (%)]]),RD[[#This Row],[ Export (33 kV)]])</f>
        <v>133442.22988161008</v>
      </c>
      <c r="AU114" s="277">
        <v>39.21</v>
      </c>
      <c r="AV114" s="122"/>
      <c r="AW114" s="122"/>
      <c r="AX114" t="str">
        <f>IFERROR(RD[[#This Row],[E_AC (WPR)]]/RD[[#This Row],[E_DC (WPR)]],"")</f>
        <v/>
      </c>
    </row>
    <row r="115" spans="1:50">
      <c r="A115" s="148">
        <f t="shared" si="49"/>
        <v>45855</v>
      </c>
      <c r="B115" s="151">
        <f>YEAR(RD[[#This Row],[Date]])+IF(MONTH(RD[[#This Row],[Date]])&gt;=4,1,0)</f>
        <v>2026</v>
      </c>
      <c r="C115" s="151">
        <f>YEAR(RD[[#This Row],[Date]])</f>
        <v>2025</v>
      </c>
      <c r="D115" s="152">
        <f t="shared" si="48"/>
        <v>45839</v>
      </c>
      <c r="E115" s="151">
        <f>DAY(EOMONTH(RD[[#This Row],[Date]],0))</f>
        <v>31</v>
      </c>
      <c r="F115" s="122">
        <v>0.25694444444444442</v>
      </c>
      <c r="G115" s="122">
        <v>0.76944444444444449</v>
      </c>
      <c r="H115" s="138">
        <v>14223.7</v>
      </c>
      <c r="I115" s="138">
        <v>14370</v>
      </c>
      <c r="J115" s="138">
        <v>20018.5</v>
      </c>
      <c r="K115" s="138">
        <v>20353.8</v>
      </c>
      <c r="L115" s="138">
        <v>20544.400000000001</v>
      </c>
      <c r="M115" s="138">
        <v>15931.5</v>
      </c>
      <c r="N115" s="138">
        <v>15910.9</v>
      </c>
      <c r="O115" s="167"/>
      <c r="P115" s="167"/>
      <c r="Q115" s="58">
        <v>3.3351999999999999</v>
      </c>
      <c r="R115" s="58">
        <v>3.4003000000000001</v>
      </c>
      <c r="S115" s="58">
        <v>28.7698</v>
      </c>
      <c r="T115" s="58">
        <v>33.726300000000002</v>
      </c>
      <c r="U115" s="58">
        <v>76.453900000000004</v>
      </c>
      <c r="V115" s="58">
        <v>3.9267000000000002E-4</v>
      </c>
      <c r="W115" s="58">
        <v>2.9517000000000002</v>
      </c>
      <c r="X115" s="58">
        <v>6.99</v>
      </c>
      <c r="Y115" s="60">
        <f>SUM(RD[[#This Row],[IS1Inv1]:[IS3Inv1]])</f>
        <v>89510.399999999994</v>
      </c>
      <c r="Z115" s="60">
        <f>SUM(RD[[#This Row],[IS4Inv1]:[IS4Inv2]])</f>
        <v>31842.400000000001</v>
      </c>
      <c r="AA115" s="60">
        <f>SUM(RD[[#This Row],[O2RE7]:[O2RE27]])</f>
        <v>121352.79999999999</v>
      </c>
      <c r="AB115" s="153"/>
      <c r="AC115" s="153">
        <v>22346</v>
      </c>
      <c r="AD115" s="153"/>
      <c r="AE115" s="153">
        <v>14338.5</v>
      </c>
      <c r="AF115" s="153">
        <v>21975.161</v>
      </c>
      <c r="AG115" s="153">
        <v>0.04</v>
      </c>
      <c r="AH115" s="153">
        <v>13.09</v>
      </c>
      <c r="AI115" s="154" t="str">
        <f>IF((RD[[#This Row],[33 kV_F1_Ex]]-AB114)*150000&lt;=0,"",(RD[[#This Row],[33 kV_F1_Ex]]-AB114)*150000)</f>
        <v/>
      </c>
      <c r="AJ115" s="154">
        <f>IF((RD[[#This Row],[33kV_OG1_Ex]]-AC114)*1000&lt;=0,0,(RD[[#This Row],[33kV_OG1_Ex]]-AC114)*1000)</f>
        <v>120000</v>
      </c>
      <c r="AK115" s="154">
        <f>IF((RD[[#This Row],[220kV_TL_TVM_Ex]]-AE114)*1600&lt;=0,0,(RD[[#This Row],[220kV_TL_TVM_Ex]]-AE114)*1600)</f>
        <v>119520.00000000116</v>
      </c>
      <c r="AL115" s="154">
        <f>IF((RD[[#This Row],[220kV_C&amp;R_PQM_Ex]]-AF114)*1000&lt;=0,"",(RD[[#This Row],[220kV_C&amp;R_PQM_Ex]]-AF114)*1000)</f>
        <v>119026.00000000166</v>
      </c>
      <c r="AM115" s="154">
        <f>IF((RD[[#This Row],[33kV_Aux1_Im]]-AH114)*1000&lt;0,"",(RD[[#This Row],[33kV_Aux1_Im]]-AH114)*1000)</f>
        <v>310.00000000000051</v>
      </c>
      <c r="AN115" s="154">
        <f>IF((RD[[#This Row],[33kV_Aux1_Im]]-AH114)*1000&lt;0,"",(RD[[#This Row],[33kV_Aux1_Im]]-AH114)*1000)</f>
        <v>310.00000000000051</v>
      </c>
      <c r="AO115" s="61">
        <f>RD[[#This Row],[33kV_OG1_Energy (KWh)]]</f>
        <v>120000</v>
      </c>
      <c r="AP115" s="61">
        <f>IFERROR(RD[[#This Row],[220kV_TL_TVM Energy (KWh)]]-RD[[#This Row],[220kV_C&amp;R_PQM_Imp (KWh)2]],"")</f>
        <v>119210.00000000116</v>
      </c>
      <c r="AQ115" s="63">
        <f>IFERROR(RD[[#This Row],[33 kV Total Export (KWH)]]/RD[[#This Row],[220 KV Net Export (KWh)]]-1,"")</f>
        <v>6.6269608254243551E-3</v>
      </c>
      <c r="AR115" s="64">
        <f>IFERROR((RD[[#This Row],[Sunset Time (POA&lt;20 W/m2)]]-RD[[#This Row],[Sunrise Time (POA&gt;20 W/m2)]])*24,0)</f>
        <v>12.3</v>
      </c>
      <c r="AS115" s="65">
        <f>RD[[#This Row],[33kV_OG1_Energy (KWh)]]</f>
        <v>120000</v>
      </c>
      <c r="AT115" s="65">
        <f>IFERROR(RD[[#This Row],[ Export (33 kV)]]*(1-RD[[#This Row],[33 kV Line Loss (%)]]),RD[[#This Row],[ Export (33 kV)]])</f>
        <v>119204.76470094908</v>
      </c>
      <c r="AU115" s="277">
        <v>39.21</v>
      </c>
      <c r="AV115" s="122"/>
      <c r="AW115" s="122"/>
      <c r="AX115" t="str">
        <f>IFERROR(RD[[#This Row],[E_AC (WPR)]]/RD[[#This Row],[E_DC (WPR)]],"")</f>
        <v/>
      </c>
    </row>
    <row r="116" spans="1:50">
      <c r="A116" s="148">
        <f t="shared" si="49"/>
        <v>45856</v>
      </c>
      <c r="B116" s="151">
        <f>YEAR(RD[[#This Row],[Date]])+IF(MONTH(RD[[#This Row],[Date]])&gt;=4,1,0)</f>
        <v>2026</v>
      </c>
      <c r="C116" s="151">
        <f>YEAR(RD[[#This Row],[Date]])</f>
        <v>2025</v>
      </c>
      <c r="D116" s="152">
        <f t="shared" si="48"/>
        <v>45839</v>
      </c>
      <c r="E116" s="151">
        <f>DAY(EOMONTH(RD[[#This Row],[Date]],0))</f>
        <v>31</v>
      </c>
      <c r="F116" s="122">
        <v>0.26180555555555557</v>
      </c>
      <c r="G116" s="122">
        <v>0.77152777777777781</v>
      </c>
      <c r="H116" s="138">
        <v>17197.599999999999</v>
      </c>
      <c r="I116" s="138">
        <v>17448.7</v>
      </c>
      <c r="J116" s="138">
        <v>24042.799999999999</v>
      </c>
      <c r="K116" s="138">
        <v>24397.8</v>
      </c>
      <c r="L116" s="138">
        <v>24546.3</v>
      </c>
      <c r="M116" s="138">
        <v>19107.900000000001</v>
      </c>
      <c r="N116" s="138">
        <v>19023.3</v>
      </c>
      <c r="O116" s="167"/>
      <c r="P116" s="167"/>
      <c r="Q116" s="58">
        <v>4.1150000000000002</v>
      </c>
      <c r="R116" s="58">
        <v>4.2159000000000004</v>
      </c>
      <c r="S116" s="58">
        <v>29.761299999999999</v>
      </c>
      <c r="T116" s="58">
        <v>36.2562</v>
      </c>
      <c r="U116" s="58">
        <v>71.181899999999999</v>
      </c>
      <c r="V116" s="58">
        <v>3.9267000000000002E-4</v>
      </c>
      <c r="W116" s="58">
        <v>3.0301</v>
      </c>
      <c r="X116" s="58">
        <v>8.6300000000000008</v>
      </c>
      <c r="Y116" s="60">
        <f>SUM(RD[[#This Row],[IS1Inv1]:[IS3Inv1]])</f>
        <v>107633.20000000001</v>
      </c>
      <c r="Z116" s="60">
        <f>SUM(RD[[#This Row],[IS4Inv1]:[IS4Inv2]])</f>
        <v>38131.199999999997</v>
      </c>
      <c r="AA116" s="60">
        <f>SUM(RD[[#This Row],[O2RE7]:[O2RE27]])</f>
        <v>145764.40000000002</v>
      </c>
      <c r="AB116" s="153"/>
      <c r="AC116" s="153">
        <v>22490</v>
      </c>
      <c r="AD116" s="153"/>
      <c r="AE116" s="153">
        <v>14427.9</v>
      </c>
      <c r="AF116" s="153">
        <v>22118.216</v>
      </c>
      <c r="AG116" s="153">
        <v>0.04</v>
      </c>
      <c r="AH116" s="153">
        <v>13.38</v>
      </c>
      <c r="AI116" s="154" t="str">
        <f>IF((RD[[#This Row],[33 kV_F1_Ex]]-AB115)*150000&lt;=0,"",(RD[[#This Row],[33 kV_F1_Ex]]-AB115)*150000)</f>
        <v/>
      </c>
      <c r="AJ116" s="154">
        <f>IF((RD[[#This Row],[33kV_OG1_Ex]]-AC115)*1000&lt;=0,0,(RD[[#This Row],[33kV_OG1_Ex]]-AC115)*1000)</f>
        <v>144000</v>
      </c>
      <c r="AK116" s="154">
        <f>IF((RD[[#This Row],[220kV_TL_TVM_Ex]]-AE115)*1600&lt;=0,0,(RD[[#This Row],[220kV_TL_TVM_Ex]]-AE115)*1600)</f>
        <v>143039.99999999942</v>
      </c>
      <c r="AL116" s="154">
        <f>IF((RD[[#This Row],[220kV_C&amp;R_PQM_Ex]]-AF115)*1000&lt;=0,"",(RD[[#This Row],[220kV_C&amp;R_PQM_Ex]]-AF115)*1000)</f>
        <v>143055.00000000029</v>
      </c>
      <c r="AM116" s="154">
        <f>IF((RD[[#This Row],[33kV_Aux1_Im]]-AH115)*1000&lt;0,"",(RD[[#This Row],[33kV_Aux1_Im]]-AH115)*1000)</f>
        <v>290.00000000000091</v>
      </c>
      <c r="AN116" s="154">
        <f>IF((RD[[#This Row],[33kV_Aux1_Im]]-AH115)*1000&lt;0,"",(RD[[#This Row],[33kV_Aux1_Im]]-AH115)*1000)</f>
        <v>290.00000000000091</v>
      </c>
      <c r="AO116" s="61">
        <f>RD[[#This Row],[33kV_OG1_Energy (KWh)]]</f>
        <v>144000</v>
      </c>
      <c r="AP116" s="61">
        <f>IFERROR(RD[[#This Row],[220kV_TL_TVM Energy (KWh)]]-RD[[#This Row],[220kV_C&amp;R_PQM_Imp (KWh)2]],"")</f>
        <v>142749.99999999942</v>
      </c>
      <c r="AQ116" s="63">
        <f>IFERROR(RD[[#This Row],[33 kV Total Export (KWH)]]/RD[[#This Row],[220 KV Net Export (KWh)]]-1,"")</f>
        <v>8.7565674255731807E-3</v>
      </c>
      <c r="AR116" s="64">
        <f>IFERROR((RD[[#This Row],[Sunset Time (POA&lt;20 W/m2)]]-RD[[#This Row],[Sunrise Time (POA&gt;20 W/m2)]])*24,0)</f>
        <v>12.233333333333333</v>
      </c>
      <c r="AS116" s="65">
        <f>RD[[#This Row],[33kV_OG1_Energy (KWh)]]</f>
        <v>144000</v>
      </c>
      <c r="AT116" s="65">
        <f>IFERROR(RD[[#This Row],[ Export (33 kV)]]*(1-RD[[#This Row],[33 kV Line Loss (%)]]),RD[[#This Row],[ Export (33 kV)]])</f>
        <v>142739.05429071747</v>
      </c>
      <c r="AU116" s="277">
        <v>39.21</v>
      </c>
      <c r="AV116" s="122"/>
      <c r="AW116" s="122"/>
      <c r="AX116" t="str">
        <f>IFERROR(RD[[#This Row],[E_AC (WPR)]]/RD[[#This Row],[E_DC (WPR)]],"")</f>
        <v/>
      </c>
    </row>
    <row r="117" spans="1:50">
      <c r="A117" s="148">
        <f t="shared" si="49"/>
        <v>45857</v>
      </c>
      <c r="B117" s="151">
        <f>YEAR(RD[[#This Row],[Date]])+IF(MONTH(RD[[#This Row],[Date]])&gt;=4,1,0)</f>
        <v>2026</v>
      </c>
      <c r="C117" s="151">
        <f>YEAR(RD[[#This Row],[Date]])</f>
        <v>2025</v>
      </c>
      <c r="D117" s="152">
        <f t="shared" si="48"/>
        <v>45839</v>
      </c>
      <c r="E117" s="151">
        <f>DAY(EOMONTH(RD[[#This Row],[Date]],0))</f>
        <v>31</v>
      </c>
      <c r="F117" s="122">
        <v>0.26041666666666669</v>
      </c>
      <c r="G117" s="122">
        <v>0.77777777777777779</v>
      </c>
      <c r="H117" s="138">
        <v>24070.6</v>
      </c>
      <c r="I117" s="138">
        <v>24081.5</v>
      </c>
      <c r="J117" s="138">
        <v>32783.800000000003</v>
      </c>
      <c r="K117" s="138">
        <v>33191.599999999999</v>
      </c>
      <c r="L117" s="138">
        <v>33986.9</v>
      </c>
      <c r="M117" s="138">
        <v>27472.1</v>
      </c>
      <c r="N117" s="138">
        <v>27279</v>
      </c>
      <c r="O117" s="167"/>
      <c r="P117" s="167"/>
      <c r="Q117" s="58">
        <v>6.1589999999999998</v>
      </c>
      <c r="R117" s="58">
        <v>6.3949999999999996</v>
      </c>
      <c r="S117" s="58">
        <v>30.890999999999998</v>
      </c>
      <c r="T117" s="58">
        <v>41.683</v>
      </c>
      <c r="U117" s="58">
        <v>64.218999999999994</v>
      </c>
      <c r="V117" s="58">
        <v>3.9267000000000002E-4</v>
      </c>
      <c r="W117" s="58">
        <v>2.9390000000000001</v>
      </c>
      <c r="X117" s="58">
        <v>7.36</v>
      </c>
      <c r="Y117" s="60">
        <f>SUM(RD[[#This Row],[IS1Inv1]:[IS3Inv1]])</f>
        <v>148114.4</v>
      </c>
      <c r="Z117" s="60">
        <f>SUM(RD[[#This Row],[IS4Inv1]:[IS4Inv2]])</f>
        <v>54751.1</v>
      </c>
      <c r="AA117" s="60">
        <f>SUM(RD[[#This Row],[O2RE7]:[O2RE27]])</f>
        <v>202865.5</v>
      </c>
      <c r="AB117" s="153"/>
      <c r="AC117" s="153">
        <v>22691</v>
      </c>
      <c r="AD117" s="153"/>
      <c r="AE117" s="153">
        <v>14552.7</v>
      </c>
      <c r="AF117" s="153">
        <v>22317.528750000001</v>
      </c>
      <c r="AG117" s="153">
        <v>0.04</v>
      </c>
      <c r="AH117" s="153">
        <v>13.98</v>
      </c>
      <c r="AI117" s="154" t="str">
        <f>IF((RD[[#This Row],[33 kV_F1_Ex]]-AB116)*150000&lt;=0,"",(RD[[#This Row],[33 kV_F1_Ex]]-AB116)*150000)</f>
        <v/>
      </c>
      <c r="AJ117" s="154">
        <f>IF((RD[[#This Row],[33kV_OG1_Ex]]-AC116)*1000&lt;=0,0,(RD[[#This Row],[33kV_OG1_Ex]]-AC116)*1000)</f>
        <v>201000</v>
      </c>
      <c r="AK117" s="154">
        <f>IF((RD[[#This Row],[220kV_TL_TVM_Ex]]-AE116)*1600&lt;=0,0,(RD[[#This Row],[220kV_TL_TVM_Ex]]-AE116)*1600)</f>
        <v>199680.00000000175</v>
      </c>
      <c r="AL117" s="154">
        <f>IF((RD[[#This Row],[220kV_C&amp;R_PQM_Ex]]-AF116)*1000&lt;=0,"",(RD[[#This Row],[220kV_C&amp;R_PQM_Ex]]-AF116)*1000)</f>
        <v>199312.75000000096</v>
      </c>
      <c r="AM117" s="154">
        <f>IF((RD[[#This Row],[33kV_Aux1_Im]]-AH116)*1000&lt;0,"",(RD[[#This Row],[33kV_Aux1_Im]]-AH116)*1000)</f>
        <v>599.99999999999966</v>
      </c>
      <c r="AN117" s="154">
        <f>IF((RD[[#This Row],[33kV_Aux1_Im]]-AH116)*1000&lt;0,"",(RD[[#This Row],[33kV_Aux1_Im]]-AH116)*1000)</f>
        <v>599.99999999999966</v>
      </c>
      <c r="AO117" s="61">
        <f>RD[[#This Row],[33kV_OG1_Energy (KWh)]]</f>
        <v>201000</v>
      </c>
      <c r="AP117" s="61">
        <f>IFERROR(RD[[#This Row],[220kV_TL_TVM Energy (KWh)]]-RD[[#This Row],[220kV_C&amp;R_PQM_Imp (KWh)2]],"")</f>
        <v>199080.00000000175</v>
      </c>
      <c r="AQ117" s="63">
        <f>IFERROR(RD[[#This Row],[33 kV Total Export (KWH)]]/RD[[#This Row],[220 KV Net Export (KWh)]]-1,"")</f>
        <v>9.6443640747350123E-3</v>
      </c>
      <c r="AR117" s="64">
        <f>IFERROR((RD[[#This Row],[Sunset Time (POA&lt;20 W/m2)]]-RD[[#This Row],[Sunrise Time (POA&gt;20 W/m2)]])*24,0)</f>
        <v>12.416666666666668</v>
      </c>
      <c r="AS117" s="65">
        <f>RD[[#This Row],[33kV_OG1_Energy (KWh)]]</f>
        <v>201000</v>
      </c>
      <c r="AT117" s="65">
        <f>IFERROR(RD[[#This Row],[ Export (33 kV)]]*(1-RD[[#This Row],[33 kV Line Loss (%)]]),RD[[#This Row],[ Export (33 kV)]])</f>
        <v>199061.48282097827</v>
      </c>
      <c r="AU117" s="277">
        <v>39.21</v>
      </c>
      <c r="AV117" s="122"/>
      <c r="AW117" s="122"/>
      <c r="AX117" t="str">
        <f>IFERROR(RD[[#This Row],[E_AC (WPR)]]/RD[[#This Row],[E_DC (WPR)]],"")</f>
        <v/>
      </c>
    </row>
    <row r="118" spans="1:50">
      <c r="A118" s="148">
        <f t="shared" si="49"/>
        <v>45858</v>
      </c>
      <c r="B118" s="151">
        <f>YEAR(RD[[#This Row],[Date]])+IF(MONTH(RD[[#This Row],[Date]])&gt;=4,1,0)</f>
        <v>2026</v>
      </c>
      <c r="C118" s="151">
        <f>YEAR(RD[[#This Row],[Date]])</f>
        <v>2025</v>
      </c>
      <c r="D118" s="152">
        <f t="shared" si="48"/>
        <v>45839</v>
      </c>
      <c r="E118" s="151">
        <f>DAY(EOMONTH(RD[[#This Row],[Date]],0))</f>
        <v>31</v>
      </c>
      <c r="F118" s="122">
        <v>0.26250000000000001</v>
      </c>
      <c r="G118" s="122">
        <v>0.77708333333333335</v>
      </c>
      <c r="H118" s="138">
        <v>20425.599999999999</v>
      </c>
      <c r="I118" s="138">
        <v>20645</v>
      </c>
      <c r="J118" s="138">
        <v>28527.5</v>
      </c>
      <c r="K118" s="138">
        <v>28985.9</v>
      </c>
      <c r="L118" s="138">
        <v>29126.2</v>
      </c>
      <c r="M118" s="138">
        <v>22675</v>
      </c>
      <c r="N118" s="138">
        <v>22566.2</v>
      </c>
      <c r="O118" s="167"/>
      <c r="P118" s="167"/>
      <c r="Q118" s="58">
        <v>4.8470000000000004</v>
      </c>
      <c r="R118" s="58">
        <v>5.0220000000000002</v>
      </c>
      <c r="S118" s="58">
        <v>31.003</v>
      </c>
      <c r="T118" s="58">
        <v>39.19</v>
      </c>
      <c r="U118" s="58">
        <v>60.284999999999997</v>
      </c>
      <c r="V118" s="58">
        <v>3.9267000000000002E-4</v>
      </c>
      <c r="W118" s="58">
        <v>2.0470000000000002</v>
      </c>
      <c r="X118" s="58">
        <v>6</v>
      </c>
      <c r="Y118" s="60">
        <f>SUM(RD[[#This Row],[IS1Inv1]:[IS3Inv1]])</f>
        <v>127710.2</v>
      </c>
      <c r="Z118" s="60">
        <f>SUM(RD[[#This Row],[IS4Inv1]:[IS4Inv2]])</f>
        <v>45241.2</v>
      </c>
      <c r="AA118" s="60">
        <f>SUM(RD[[#This Row],[O2RE7]:[O2RE27]])</f>
        <v>172951.4</v>
      </c>
      <c r="AB118" s="153"/>
      <c r="AC118" s="153">
        <v>22862</v>
      </c>
      <c r="AD118" s="153"/>
      <c r="AE118" s="153">
        <v>14659.1</v>
      </c>
      <c r="AF118" s="153">
        <v>22487.478500000001</v>
      </c>
      <c r="AG118" s="153">
        <v>0.04</v>
      </c>
      <c r="AH118" s="153">
        <v>13.99</v>
      </c>
      <c r="AI118" s="154" t="str">
        <f>IF((RD[[#This Row],[33 kV_F1_Ex]]-AB117)*150000&lt;=0,"",(RD[[#This Row],[33 kV_F1_Ex]]-AB117)*150000)</f>
        <v/>
      </c>
      <c r="AJ118" s="154">
        <f>IF((RD[[#This Row],[33kV_OG1_Ex]]-AC117)*1000&lt;=0,0,(RD[[#This Row],[33kV_OG1_Ex]]-AC117)*1000)</f>
        <v>171000</v>
      </c>
      <c r="AK118" s="154">
        <f>IF((RD[[#This Row],[220kV_TL_TVM_Ex]]-AE117)*1600&lt;=0,0,(RD[[#This Row],[220kV_TL_TVM_Ex]]-AE117)*1600)</f>
        <v>170239.99999999942</v>
      </c>
      <c r="AL118" s="154">
        <f>IF((RD[[#This Row],[220kV_C&amp;R_PQM_Ex]]-AF117)*1000&lt;=0,"",(RD[[#This Row],[220kV_C&amp;R_PQM_Ex]]-AF117)*1000)</f>
        <v>169949.74999999977</v>
      </c>
      <c r="AM118" s="154">
        <f>IF((RD[[#This Row],[33kV_Aux1_Im]]-AH117)*1000&lt;0,"",(RD[[#This Row],[33kV_Aux1_Im]]-AH117)*1000)</f>
        <v>9.9999999999997868</v>
      </c>
      <c r="AN118" s="154">
        <f>IF((RD[[#This Row],[33kV_Aux1_Im]]-AH117)*1000&lt;0,"",(RD[[#This Row],[33kV_Aux1_Im]]-AH117)*1000)</f>
        <v>9.9999999999997868</v>
      </c>
      <c r="AO118" s="61">
        <f>RD[[#This Row],[33kV_OG1_Energy (KWh)]]</f>
        <v>171000</v>
      </c>
      <c r="AP118" s="61">
        <f>IFERROR(RD[[#This Row],[220kV_TL_TVM Energy (KWh)]]-RD[[#This Row],[220kV_C&amp;R_PQM_Imp (KWh)2]],"")</f>
        <v>170229.99999999942</v>
      </c>
      <c r="AQ118" s="63">
        <f>IFERROR(RD[[#This Row],[33 kV Total Export (KWH)]]/RD[[#This Row],[220 KV Net Export (KWh)]]-1,"")</f>
        <v>4.5232920166866641E-3</v>
      </c>
      <c r="AR118" s="64">
        <f>IFERROR((RD[[#This Row],[Sunset Time (POA&lt;20 W/m2)]]-RD[[#This Row],[Sunrise Time (POA&gt;20 W/m2)]])*24,0)</f>
        <v>12.350000000000001</v>
      </c>
      <c r="AS118" s="65">
        <f>RD[[#This Row],[33kV_OG1_Energy (KWh)]]</f>
        <v>171000</v>
      </c>
      <c r="AT118" s="65">
        <f>IFERROR(RD[[#This Row],[ Export (33 kV)]]*(1-RD[[#This Row],[33 kV Line Loss (%)]]),RD[[#This Row],[ Export (33 kV)]])</f>
        <v>170226.51706514659</v>
      </c>
      <c r="AU118" s="277">
        <v>39.21</v>
      </c>
      <c r="AV118" s="122"/>
      <c r="AW118" s="122"/>
      <c r="AX118" t="str">
        <f>IFERROR(RD[[#This Row],[E_AC (WPR)]]/RD[[#This Row],[E_DC (WPR)]],"")</f>
        <v/>
      </c>
    </row>
    <row r="119" spans="1:50">
      <c r="A119" s="148">
        <f t="shared" si="49"/>
        <v>45859</v>
      </c>
      <c r="B119" s="151">
        <f>YEAR(RD[[#This Row],[Date]])+IF(MONTH(RD[[#This Row],[Date]])&gt;=4,1,0)</f>
        <v>2026</v>
      </c>
      <c r="C119" s="151">
        <f>YEAR(RD[[#This Row],[Date]])</f>
        <v>2025</v>
      </c>
      <c r="D119" s="152">
        <f t="shared" si="48"/>
        <v>45839</v>
      </c>
      <c r="E119" s="151">
        <f>DAY(EOMONTH(RD[[#This Row],[Date]],0))</f>
        <v>31</v>
      </c>
      <c r="F119" s="122">
        <v>0.2638888888888889</v>
      </c>
      <c r="G119" s="122">
        <v>0.75347222222222221</v>
      </c>
      <c r="H119" s="138">
        <v>19453</v>
      </c>
      <c r="I119" s="138">
        <v>19514.7</v>
      </c>
      <c r="J119" s="138">
        <v>26983</v>
      </c>
      <c r="K119" s="138">
        <v>27211.5</v>
      </c>
      <c r="L119" s="138">
        <v>27241</v>
      </c>
      <c r="M119" s="138">
        <v>21738.9</v>
      </c>
      <c r="N119" s="138">
        <v>21514</v>
      </c>
      <c r="O119" s="167"/>
      <c r="P119" s="167"/>
      <c r="Q119" s="58">
        <v>4.8570000000000002</v>
      </c>
      <c r="R119" s="58">
        <v>4.9870000000000001</v>
      </c>
      <c r="S119" s="58">
        <v>31.5</v>
      </c>
      <c r="T119" s="58">
        <v>39.26</v>
      </c>
      <c r="U119" s="58">
        <v>65.599999999999994</v>
      </c>
      <c r="V119" s="58">
        <v>3.9267000000000002E-4</v>
      </c>
      <c r="W119" s="58">
        <v>2.68</v>
      </c>
      <c r="X119" s="58">
        <v>9.06</v>
      </c>
      <c r="Y119" s="60">
        <f>SUM(RD[[#This Row],[IS1Inv1]:[IS3Inv1]])</f>
        <v>120403.2</v>
      </c>
      <c r="Z119" s="60">
        <f>SUM(RD[[#This Row],[IS4Inv1]:[IS4Inv2]])</f>
        <v>43252.9</v>
      </c>
      <c r="AA119" s="60">
        <f>SUM(RD[[#This Row],[O2RE7]:[O2RE27]])</f>
        <v>163656.1</v>
      </c>
      <c r="AB119" s="153"/>
      <c r="AC119" s="153">
        <v>23024</v>
      </c>
      <c r="AD119" s="153"/>
      <c r="AE119" s="153">
        <v>14759.6</v>
      </c>
      <c r="AF119" s="153">
        <v>22647.829750000001</v>
      </c>
      <c r="AG119" s="153">
        <v>0.04</v>
      </c>
      <c r="AH119" s="153">
        <v>14.3</v>
      </c>
      <c r="AI119" s="154" t="str">
        <f>IF((RD[[#This Row],[33 kV_F1_Ex]]-AB118)*150000&lt;=0,"",(RD[[#This Row],[33 kV_F1_Ex]]-AB118)*150000)</f>
        <v/>
      </c>
      <c r="AJ119" s="154">
        <f>IF((RD[[#This Row],[33kV_OG1_Ex]]-AC118)*1000&lt;=0,0,(RD[[#This Row],[33kV_OG1_Ex]]-AC118)*1000)</f>
        <v>162000</v>
      </c>
      <c r="AK119" s="154">
        <f>IF((RD[[#This Row],[220kV_TL_TVM_Ex]]-AE118)*1600&lt;=0,0,(RD[[#This Row],[220kV_TL_TVM_Ex]]-AE118)*1600)</f>
        <v>160800</v>
      </c>
      <c r="AL119" s="154">
        <f>IF((RD[[#This Row],[220kV_C&amp;R_PQM_Ex]]-AF118)*1000&lt;=0,"",(RD[[#This Row],[220kV_C&amp;R_PQM_Ex]]-AF118)*1000)</f>
        <v>160351.24999999971</v>
      </c>
      <c r="AM119" s="154">
        <f>IF((RD[[#This Row],[33kV_Aux1_Im]]-AH118)*1000&lt;0,"",(RD[[#This Row],[33kV_Aux1_Im]]-AH118)*1000)</f>
        <v>310.00000000000051</v>
      </c>
      <c r="AN119" s="154">
        <f>IF((RD[[#This Row],[33kV_Aux1_Im]]-AH118)*1000&lt;0,"",(RD[[#This Row],[33kV_Aux1_Im]]-AH118)*1000)</f>
        <v>310.00000000000051</v>
      </c>
      <c r="AO119" s="61">
        <f>RD[[#This Row],[33kV_OG1_Energy (KWh)]]</f>
        <v>162000</v>
      </c>
      <c r="AP119" s="61">
        <f>IFERROR(RD[[#This Row],[220kV_TL_TVM Energy (KWh)]]-RD[[#This Row],[220kV_C&amp;R_PQM_Imp (KWh)2]],"")</f>
        <v>160490</v>
      </c>
      <c r="AQ119" s="63">
        <f>IFERROR(RD[[#This Row],[33 kV Total Export (KWH)]]/RD[[#This Row],[220 KV Net Export (KWh)]]-1,"")</f>
        <v>9.4086858994328892E-3</v>
      </c>
      <c r="AR119" s="64">
        <f>IFERROR((RD[[#This Row],[Sunset Time (POA&lt;20 W/m2)]]-RD[[#This Row],[Sunrise Time (POA&gt;20 W/m2)]])*24,0)</f>
        <v>11.75</v>
      </c>
      <c r="AS119" s="65">
        <f>RD[[#This Row],[33kV_OG1_Energy (KWh)]]</f>
        <v>162000</v>
      </c>
      <c r="AT119" s="65">
        <f>IFERROR(RD[[#This Row],[ Export (33 kV)]]*(1-RD[[#This Row],[33 kV Line Loss (%)]]),RD[[#This Row],[ Export (33 kV)]])</f>
        <v>160475.79288429188</v>
      </c>
      <c r="AU119" s="277">
        <v>39.21</v>
      </c>
      <c r="AV119" s="122"/>
      <c r="AW119" s="122"/>
      <c r="AX119" t="str">
        <f>IFERROR(RD[[#This Row],[E_AC (WPR)]]/RD[[#This Row],[E_DC (WPR)]],"")</f>
        <v/>
      </c>
    </row>
    <row r="120" spans="1:50">
      <c r="A120" s="148">
        <f t="shared" si="49"/>
        <v>45860</v>
      </c>
      <c r="B120" s="151">
        <f>YEAR(RD[[#This Row],[Date]])+IF(MONTH(RD[[#This Row],[Date]])&gt;=4,1,0)</f>
        <v>2026</v>
      </c>
      <c r="C120" s="151">
        <f>YEAR(RD[[#This Row],[Date]])</f>
        <v>2025</v>
      </c>
      <c r="D120" s="152">
        <f t="shared" si="48"/>
        <v>45839</v>
      </c>
      <c r="E120" s="151">
        <f>DAY(EOMONTH(RD[[#This Row],[Date]],0))</f>
        <v>31</v>
      </c>
      <c r="F120" s="122">
        <v>0.2722222222222222</v>
      </c>
      <c r="G120" s="122">
        <v>0.7680555555555556</v>
      </c>
      <c r="H120" s="138">
        <v>13249</v>
      </c>
      <c r="I120" s="138">
        <v>13182.2</v>
      </c>
      <c r="J120" s="138">
        <v>18505.099999999999</v>
      </c>
      <c r="K120" s="138">
        <v>18542.3</v>
      </c>
      <c r="L120" s="138">
        <v>18441.900000000001</v>
      </c>
      <c r="M120" s="138">
        <v>14557.1</v>
      </c>
      <c r="N120" s="138">
        <v>14554.1</v>
      </c>
      <c r="O120" s="167"/>
      <c r="P120" s="167"/>
      <c r="Q120" s="58">
        <v>3.08</v>
      </c>
      <c r="R120" s="58">
        <v>3.12</v>
      </c>
      <c r="S120" s="58">
        <v>27.93</v>
      </c>
      <c r="T120" s="58">
        <v>32.06</v>
      </c>
      <c r="U120" s="58">
        <v>84.58</v>
      </c>
      <c r="V120" s="58">
        <v>0</v>
      </c>
      <c r="W120" s="58">
        <v>3.61</v>
      </c>
      <c r="X120" s="58">
        <v>7.04</v>
      </c>
      <c r="Y120" s="60">
        <f>SUM(RD[[#This Row],[IS1Inv1]:[IS3Inv1]])</f>
        <v>81920.5</v>
      </c>
      <c r="Z120" s="60">
        <f>SUM(RD[[#This Row],[IS4Inv1]:[IS4Inv2]])</f>
        <v>29111.200000000001</v>
      </c>
      <c r="AA120" s="60">
        <f>SUM(RD[[#This Row],[O2RE7]:[O2RE27]])</f>
        <v>111031.7</v>
      </c>
      <c r="AB120" s="153"/>
      <c r="AC120" s="153">
        <v>23135</v>
      </c>
      <c r="AD120" s="153"/>
      <c r="AE120" s="153">
        <v>14828.1</v>
      </c>
      <c r="AF120" s="153">
        <v>22756.62</v>
      </c>
      <c r="AG120" s="153">
        <v>0.04</v>
      </c>
      <c r="AH120" s="153">
        <v>14.63</v>
      </c>
      <c r="AI120" s="154" t="str">
        <f>IF((RD[[#This Row],[33 kV_F1_Ex]]-AB119)*150000&lt;=0,"",(RD[[#This Row],[33 kV_F1_Ex]]-AB119)*150000)</f>
        <v/>
      </c>
      <c r="AJ120" s="154">
        <f>IF((RD[[#This Row],[33kV_OG1_Ex]]-AC119)*1000&lt;=0,0,(RD[[#This Row],[33kV_OG1_Ex]]-AC119)*1000)</f>
        <v>111000</v>
      </c>
      <c r="AK120" s="154">
        <f>IF((RD[[#This Row],[220kV_TL_TVM_Ex]]-AE119)*1600&lt;=0,0,(RD[[#This Row],[220kV_TL_TVM_Ex]]-AE119)*1600)</f>
        <v>109600</v>
      </c>
      <c r="AL120" s="154">
        <f>IF((RD[[#This Row],[220kV_C&amp;R_PQM_Ex]]-AF119)*1000&lt;=0,"",(RD[[#This Row],[220kV_C&amp;R_PQM_Ex]]-AF119)*1000)</f>
        <v>108790.2499999982</v>
      </c>
      <c r="AM120" s="154">
        <f>IF((RD[[#This Row],[33kV_Aux1_Im]]-AH119)*1000&lt;0,"",(RD[[#This Row],[33kV_Aux1_Im]]-AH119)*1000)</f>
        <v>330.00000000000006</v>
      </c>
      <c r="AN120" s="154">
        <f>IF((RD[[#This Row],[33kV_Aux1_Im]]-AH119)*1000&lt;0,"",(RD[[#This Row],[33kV_Aux1_Im]]-AH119)*1000)</f>
        <v>330.00000000000006</v>
      </c>
      <c r="AO120" s="61">
        <f>RD[[#This Row],[33kV_OG1_Energy (KWh)]]</f>
        <v>111000</v>
      </c>
      <c r="AP120" s="61">
        <f>IFERROR(RD[[#This Row],[220kV_TL_TVM Energy (KWh)]]-RD[[#This Row],[220kV_C&amp;R_PQM_Imp (KWh)2]],"")</f>
        <v>109270</v>
      </c>
      <c r="AQ120" s="63">
        <f>IFERROR(RD[[#This Row],[33 kV Total Export (KWH)]]/RD[[#This Row],[220 KV Net Export (KWh)]]-1,"")</f>
        <v>1.5832341905372083E-2</v>
      </c>
      <c r="AR120" s="64">
        <f>IFERROR((RD[[#This Row],[Sunset Time (POA&lt;20 W/m2)]]-RD[[#This Row],[Sunrise Time (POA&gt;20 W/m2)]])*24,0)</f>
        <v>11.900000000000002</v>
      </c>
      <c r="AS120" s="65">
        <f>RD[[#This Row],[33kV_OG1_Energy (KWh)]]</f>
        <v>111000</v>
      </c>
      <c r="AT120" s="65">
        <f>IFERROR(RD[[#This Row],[ Export (33 kV)]]*(1-RD[[#This Row],[33 kV Line Loss (%)]]),RD[[#This Row],[ Export (33 kV)]])</f>
        <v>109242.6100485037</v>
      </c>
      <c r="AU120" s="277">
        <v>39.21</v>
      </c>
      <c r="AV120" s="122"/>
      <c r="AW120" s="122"/>
      <c r="AX120" t="str">
        <f>IFERROR(RD[[#This Row],[E_AC (WPR)]]/RD[[#This Row],[E_DC (WPR)]],"")</f>
        <v/>
      </c>
    </row>
    <row r="121" spans="1:50">
      <c r="A121" s="148">
        <f t="shared" si="49"/>
        <v>45861</v>
      </c>
      <c r="B121" s="151">
        <f>YEAR(RD[[#This Row],[Date]])+IF(MONTH(RD[[#This Row],[Date]])&gt;=4,1,0)</f>
        <v>2026</v>
      </c>
      <c r="C121" s="151">
        <f>YEAR(RD[[#This Row],[Date]])</f>
        <v>2025</v>
      </c>
      <c r="D121" s="152">
        <f t="shared" si="48"/>
        <v>45839</v>
      </c>
      <c r="E121" s="151">
        <f>DAY(EOMONTH(RD[[#This Row],[Date]],0))</f>
        <v>31</v>
      </c>
      <c r="F121" s="122">
        <v>0.25972222222222224</v>
      </c>
      <c r="G121" s="122">
        <v>0.74722222222222223</v>
      </c>
      <c r="H121" s="138">
        <v>15847.2</v>
      </c>
      <c r="I121" s="138">
        <v>15968.8</v>
      </c>
      <c r="J121" s="138">
        <v>22031.5</v>
      </c>
      <c r="K121" s="138">
        <v>22292.5</v>
      </c>
      <c r="L121" s="138">
        <v>22432.7</v>
      </c>
      <c r="M121" s="138">
        <v>17850.900000000001</v>
      </c>
      <c r="N121" s="138">
        <v>17631.900000000001</v>
      </c>
      <c r="O121" s="167"/>
      <c r="P121" s="167"/>
      <c r="Q121" s="58">
        <v>4.024</v>
      </c>
      <c r="R121" s="58">
        <v>4.0659999999999998</v>
      </c>
      <c r="S121" s="58">
        <v>29.24</v>
      </c>
      <c r="T121" s="58">
        <v>35.19</v>
      </c>
      <c r="U121" s="58">
        <v>74.48</v>
      </c>
      <c r="V121" s="58">
        <v>0</v>
      </c>
      <c r="W121" s="58">
        <v>4.3860000000000001</v>
      </c>
      <c r="X121" s="58">
        <v>9.6999999999999993</v>
      </c>
      <c r="Y121" s="60">
        <f>SUM(RD[[#This Row],[IS1Inv1]:[IS3Inv1]])</f>
        <v>98572.7</v>
      </c>
      <c r="Z121" s="60">
        <f>SUM(RD[[#This Row],[IS4Inv1]:[IS4Inv2]])</f>
        <v>35482.800000000003</v>
      </c>
      <c r="AA121" s="60">
        <f>SUM(RD[[#This Row],[O2RE7]:[O2RE27]])</f>
        <v>134055.5</v>
      </c>
      <c r="AB121" s="153"/>
      <c r="AC121" s="153">
        <v>23267</v>
      </c>
      <c r="AD121" s="153"/>
      <c r="AE121" s="153">
        <v>14910.5</v>
      </c>
      <c r="AF121" s="153">
        <v>22888.283200000002</v>
      </c>
      <c r="AG121" s="153">
        <v>0.04</v>
      </c>
      <c r="AH121" s="153">
        <v>14.94</v>
      </c>
      <c r="AI121" s="154" t="str">
        <f>IF((RD[[#This Row],[33 kV_F1_Ex]]-AB120)*150000&lt;=0,"",(RD[[#This Row],[33 kV_F1_Ex]]-AB120)*150000)</f>
        <v/>
      </c>
      <c r="AJ121" s="154">
        <f>IF((RD[[#This Row],[33kV_OG1_Ex]]-AC120)*1000&lt;=0,0,(RD[[#This Row],[33kV_OG1_Ex]]-AC120)*1000)</f>
        <v>132000</v>
      </c>
      <c r="AK121" s="154">
        <f>IF((RD[[#This Row],[220kV_TL_TVM_Ex]]-AE120)*1600&lt;=0,0,(RD[[#This Row],[220kV_TL_TVM_Ex]]-AE120)*1600)</f>
        <v>131839.99999999942</v>
      </c>
      <c r="AL121" s="154">
        <f>IF((RD[[#This Row],[220kV_C&amp;R_PQM_Ex]]-AF120)*1000&lt;=0,"",(RD[[#This Row],[220kV_C&amp;R_PQM_Ex]]-AF120)*1000)</f>
        <v>131663.20000000269</v>
      </c>
      <c r="AM121" s="154">
        <f>IF((RD[[#This Row],[33kV_Aux1_Im]]-AH120)*1000&lt;0,"",(RD[[#This Row],[33kV_Aux1_Im]]-AH120)*1000)</f>
        <v>309.99999999999875</v>
      </c>
      <c r="AN121" s="154">
        <f>IF((RD[[#This Row],[33kV_Aux1_Im]]-AH120)*1000&lt;0,"",(RD[[#This Row],[33kV_Aux1_Im]]-AH120)*1000)</f>
        <v>309.99999999999875</v>
      </c>
      <c r="AO121" s="61">
        <f>RD[[#This Row],[33kV_OG1_Energy (KWh)]]</f>
        <v>132000</v>
      </c>
      <c r="AP121" s="61">
        <f>IFERROR(RD[[#This Row],[220kV_TL_TVM Energy (KWh)]]-RD[[#This Row],[220kV_C&amp;R_PQM_Imp (KWh)2]],"")</f>
        <v>131529.99999999942</v>
      </c>
      <c r="AQ121" s="63">
        <f>IFERROR(RD[[#This Row],[33 kV Total Export (KWH)]]/RD[[#This Row],[220 KV Net Export (KWh)]]-1,"")</f>
        <v>3.5733292784960735E-3</v>
      </c>
      <c r="AR121" s="64">
        <f>IFERROR((RD[[#This Row],[Sunset Time (POA&lt;20 W/m2)]]-RD[[#This Row],[Sunrise Time (POA&gt;20 W/m2)]])*24,0)</f>
        <v>11.7</v>
      </c>
      <c r="AS121" s="65">
        <f>RD[[#This Row],[33kV_OG1_Energy (KWh)]]</f>
        <v>132000</v>
      </c>
      <c r="AT121" s="65">
        <f>IFERROR(RD[[#This Row],[ Export (33 kV)]]*(1-RD[[#This Row],[33 kV Line Loss (%)]]),RD[[#This Row],[ Export (33 kV)]])</f>
        <v>131528.32053523851</v>
      </c>
      <c r="AU121" s="277">
        <v>39.21</v>
      </c>
      <c r="AV121" s="122"/>
      <c r="AW121" s="122"/>
      <c r="AX121" t="str">
        <f>IFERROR(RD[[#This Row],[E_AC (WPR)]]/RD[[#This Row],[E_DC (WPR)]],"")</f>
        <v/>
      </c>
    </row>
    <row r="122" spans="1:50">
      <c r="A122" s="148">
        <f t="shared" si="49"/>
        <v>45862</v>
      </c>
      <c r="B122" s="151">
        <f>YEAR(RD[[#This Row],[Date]])+IF(MONTH(RD[[#This Row],[Date]])&gt;=4,1,0)</f>
        <v>2026</v>
      </c>
      <c r="C122" s="151">
        <f>YEAR(RD[[#This Row],[Date]])</f>
        <v>2025</v>
      </c>
      <c r="D122" s="152">
        <f t="shared" si="48"/>
        <v>45839</v>
      </c>
      <c r="E122" s="151">
        <f>DAY(EOMONTH(RD[[#This Row],[Date]],0))</f>
        <v>31</v>
      </c>
      <c r="F122" s="122">
        <v>0.29236111111111113</v>
      </c>
      <c r="G122" s="122">
        <v>0.76180555555555551</v>
      </c>
      <c r="H122" s="138">
        <v>9702</v>
      </c>
      <c r="I122" s="138">
        <v>9773.5</v>
      </c>
      <c r="J122" s="138">
        <v>13651</v>
      </c>
      <c r="K122" s="138">
        <v>13865.9</v>
      </c>
      <c r="L122" s="138">
        <v>13891.2</v>
      </c>
      <c r="M122" s="138">
        <v>10728</v>
      </c>
      <c r="N122" s="138">
        <v>10661.7</v>
      </c>
      <c r="O122" s="167"/>
      <c r="P122" s="167"/>
      <c r="Q122" s="58">
        <v>2.198</v>
      </c>
      <c r="R122" s="58">
        <v>2.2189999999999999</v>
      </c>
      <c r="S122" s="58">
        <v>27.074999999999999</v>
      </c>
      <c r="T122" s="58">
        <v>30.138000000000002</v>
      </c>
      <c r="U122" s="58">
        <v>81.206000000000003</v>
      </c>
      <c r="V122" s="58">
        <v>1.4771000000000001E-4</v>
      </c>
      <c r="W122" s="58">
        <v>3.9169999999999998</v>
      </c>
      <c r="X122" s="58">
        <v>8.73</v>
      </c>
      <c r="Y122" s="60">
        <f>SUM(RD[[#This Row],[IS1Inv1]:[IS3Inv1]])</f>
        <v>60883.600000000006</v>
      </c>
      <c r="Z122" s="60">
        <f>SUM(RD[[#This Row],[IS4Inv1]:[IS4Inv2]])</f>
        <v>21389.7</v>
      </c>
      <c r="AA122" s="60">
        <f>SUM(RD[[#This Row],[O2RE7]:[O2RE27]])</f>
        <v>82273.3</v>
      </c>
      <c r="AB122" s="153"/>
      <c r="AC122" s="153">
        <v>23349</v>
      </c>
      <c r="AD122" s="153"/>
      <c r="AE122" s="153">
        <v>14960.9</v>
      </c>
      <c r="AF122" s="153">
        <v>22968.337500000001</v>
      </c>
      <c r="AG122" s="153">
        <v>0.04</v>
      </c>
      <c r="AH122" s="153">
        <v>15.26</v>
      </c>
      <c r="AI122" s="154" t="str">
        <f>IF((RD[[#This Row],[33 kV_F1_Ex]]-AB121)*150000&lt;=0,"",(RD[[#This Row],[33 kV_F1_Ex]]-AB121)*150000)</f>
        <v/>
      </c>
      <c r="AJ122" s="154">
        <f>IF((RD[[#This Row],[33kV_OG1_Ex]]-AC121)*1000&lt;=0,0,(RD[[#This Row],[33kV_OG1_Ex]]-AC121)*1000)</f>
        <v>82000</v>
      </c>
      <c r="AK122" s="154">
        <f>IF((RD[[#This Row],[220kV_TL_TVM_Ex]]-AE121)*1600&lt;=0,0,(RD[[#This Row],[220kV_TL_TVM_Ex]]-AE121)*1600)</f>
        <v>80639.999999999418</v>
      </c>
      <c r="AL122" s="154">
        <f>IF((RD[[#This Row],[220kV_C&amp;R_PQM_Ex]]-AF121)*1000&lt;=0,"",(RD[[#This Row],[220kV_C&amp;R_PQM_Ex]]-AF121)*1000)</f>
        <v>80054.299999999785</v>
      </c>
      <c r="AM122" s="154">
        <f>IF((RD[[#This Row],[33kV_Aux1_Im]]-AH121)*1000&lt;0,"",(RD[[#This Row],[33kV_Aux1_Im]]-AH121)*1000)</f>
        <v>320.00000000000028</v>
      </c>
      <c r="AN122" s="154">
        <f>IF((RD[[#This Row],[33kV_Aux1_Im]]-AH121)*1000&lt;0,"",(RD[[#This Row],[33kV_Aux1_Im]]-AH121)*1000)</f>
        <v>320.00000000000028</v>
      </c>
      <c r="AO122" s="61">
        <f>RD[[#This Row],[33kV_OG1_Energy (KWh)]]</f>
        <v>82000</v>
      </c>
      <c r="AP122" s="61">
        <f>IFERROR(RD[[#This Row],[220kV_TL_TVM Energy (KWh)]]-RD[[#This Row],[220kV_C&amp;R_PQM_Imp (KWh)2]],"")</f>
        <v>80319.999999999418</v>
      </c>
      <c r="AQ122" s="63">
        <f>IFERROR(RD[[#This Row],[33 kV Total Export (KWH)]]/RD[[#This Row],[220 KV Net Export (KWh)]]-1,"")</f>
        <v>2.0916334661361891E-2</v>
      </c>
      <c r="AR122" s="64">
        <f>IFERROR((RD[[#This Row],[Sunset Time (POA&lt;20 W/m2)]]-RD[[#This Row],[Sunrise Time (POA&gt;20 W/m2)]])*24,0)</f>
        <v>11.266666666666666</v>
      </c>
      <c r="AS122" s="65">
        <f>RD[[#This Row],[33kV_OG1_Energy (KWh)]]</f>
        <v>82000</v>
      </c>
      <c r="AT122" s="65">
        <f>IFERROR(RD[[#This Row],[ Export (33 kV)]]*(1-RD[[#This Row],[33 kV Line Loss (%)]]),RD[[#This Row],[ Export (33 kV)]])</f>
        <v>80284.860557768319</v>
      </c>
      <c r="AU122" s="277">
        <v>39.21</v>
      </c>
      <c r="AV122" s="122"/>
      <c r="AW122" s="122"/>
      <c r="AX122" t="str">
        <f>IFERROR(RD[[#This Row],[E_AC (WPR)]]/RD[[#This Row],[E_DC (WPR)]],"")</f>
        <v/>
      </c>
    </row>
    <row r="123" spans="1:50">
      <c r="A123" s="148">
        <f t="shared" si="49"/>
        <v>45863</v>
      </c>
      <c r="B123" s="151">
        <f>YEAR(RD[[#This Row],[Date]])+IF(MONTH(RD[[#This Row],[Date]])&gt;=4,1,0)</f>
        <v>2026</v>
      </c>
      <c r="C123" s="151">
        <f>YEAR(RD[[#This Row],[Date]])</f>
        <v>2025</v>
      </c>
      <c r="D123" s="152">
        <f t="shared" si="48"/>
        <v>45839</v>
      </c>
      <c r="E123" s="151">
        <f>DAY(EOMONTH(RD[[#This Row],[Date]],0))</f>
        <v>31</v>
      </c>
      <c r="F123" s="122">
        <v>0.30416666666666664</v>
      </c>
      <c r="G123" s="122">
        <v>0.75277777777777777</v>
      </c>
      <c r="H123" s="138">
        <v>7346.1</v>
      </c>
      <c r="I123" s="138">
        <v>7476</v>
      </c>
      <c r="J123" s="138">
        <v>10308.6</v>
      </c>
      <c r="K123" s="138">
        <v>10510.7</v>
      </c>
      <c r="L123" s="138">
        <v>10607.7</v>
      </c>
      <c r="M123" s="138">
        <v>8218.6</v>
      </c>
      <c r="N123" s="138">
        <v>8188</v>
      </c>
      <c r="O123" s="167"/>
      <c r="P123" s="167"/>
      <c r="Q123" s="58">
        <v>1.6439999999999999</v>
      </c>
      <c r="R123" s="58">
        <v>1.6559999999999999</v>
      </c>
      <c r="S123" s="58">
        <v>26.059000000000001</v>
      </c>
      <c r="T123" s="58">
        <v>28.321000000000002</v>
      </c>
      <c r="U123" s="58">
        <v>92.2</v>
      </c>
      <c r="V123" s="58">
        <v>3.0911900000000001E-4</v>
      </c>
      <c r="W123" s="58">
        <v>2.5449999999999999</v>
      </c>
      <c r="X123" s="58">
        <v>7.64</v>
      </c>
      <c r="Y123" s="60">
        <f>SUM(RD[[#This Row],[IS1Inv1]:[IS3Inv1]])</f>
        <v>46249.100000000006</v>
      </c>
      <c r="Z123" s="60">
        <f>SUM(RD[[#This Row],[IS4Inv1]:[IS4Inv2]])</f>
        <v>16406.599999999999</v>
      </c>
      <c r="AA123" s="60">
        <f>SUM(RD[[#This Row],[O2RE7]:[O2RE27]])</f>
        <v>62655.700000000004</v>
      </c>
      <c r="AB123" s="153"/>
      <c r="AC123" s="153">
        <v>23411</v>
      </c>
      <c r="AD123" s="153"/>
      <c r="AE123" s="153">
        <v>14999.4</v>
      </c>
      <c r="AF123" s="153">
        <v>23029.01</v>
      </c>
      <c r="AG123" s="153">
        <v>0.04</v>
      </c>
      <c r="AH123" s="153">
        <v>15.6</v>
      </c>
      <c r="AI123" s="154" t="str">
        <f>IF((RD[[#This Row],[33 kV_F1_Ex]]-AB122)*150000&lt;=0,"",(RD[[#This Row],[33 kV_F1_Ex]]-AB122)*150000)</f>
        <v/>
      </c>
      <c r="AJ123" s="154">
        <f>IF((RD[[#This Row],[33kV_OG1_Ex]]-AC122)*1000&lt;=0,0,(RD[[#This Row],[33kV_OG1_Ex]]-AC122)*1000)</f>
        <v>62000</v>
      </c>
      <c r="AK123" s="154">
        <f>IF((RD[[#This Row],[220kV_TL_TVM_Ex]]-AE122)*1600&lt;=0,0,(RD[[#This Row],[220kV_TL_TVM_Ex]]-AE122)*1600)</f>
        <v>61600</v>
      </c>
      <c r="AL123" s="154">
        <f>IF((RD[[#This Row],[220kV_C&amp;R_PQM_Ex]]-AF122)*1000&lt;=0,"",(RD[[#This Row],[220kV_C&amp;R_PQM_Ex]]-AF122)*1000)</f>
        <v>60672.499999996944</v>
      </c>
      <c r="AM123" s="154">
        <f>IF((RD[[#This Row],[33kV_Aux1_Im]]-AH122)*1000&lt;0,"",(RD[[#This Row],[33kV_Aux1_Im]]-AH122)*1000)</f>
        <v>339.99999999999989</v>
      </c>
      <c r="AN123" s="154">
        <f>IF((RD[[#This Row],[33kV_Aux1_Im]]-AH122)*1000&lt;0,"",(RD[[#This Row],[33kV_Aux1_Im]]-AH122)*1000)</f>
        <v>339.99999999999989</v>
      </c>
      <c r="AO123" s="61">
        <f>RD[[#This Row],[33kV_OG1_Energy (KWh)]]</f>
        <v>62000</v>
      </c>
      <c r="AP123" s="61">
        <f>IFERROR(RD[[#This Row],[220kV_TL_TVM Energy (KWh)]]-RD[[#This Row],[220kV_C&amp;R_PQM_Imp (KWh)2]],"")</f>
        <v>61260</v>
      </c>
      <c r="AQ123" s="63">
        <f>IFERROR(RD[[#This Row],[33 kV Total Export (KWH)]]/RD[[#This Row],[220 KV Net Export (KWh)]]-1,"")</f>
        <v>1.2079660463597763E-2</v>
      </c>
      <c r="AR123" s="64">
        <f>IFERROR((RD[[#This Row],[Sunset Time (POA&lt;20 W/m2)]]-RD[[#This Row],[Sunrise Time (POA&gt;20 W/m2)]])*24,0)</f>
        <v>10.766666666666667</v>
      </c>
      <c r="AS123" s="65">
        <f>RD[[#This Row],[33kV_OG1_Energy (KWh)]]</f>
        <v>62000</v>
      </c>
      <c r="AT123" s="65">
        <f>IFERROR(RD[[#This Row],[ Export (33 kV)]]*(1-RD[[#This Row],[33 kV Line Loss (%)]]),RD[[#This Row],[ Export (33 kV)]])</f>
        <v>61251.06105125694</v>
      </c>
      <c r="AU123" s="277">
        <v>39.21</v>
      </c>
      <c r="AV123" s="122"/>
      <c r="AW123" s="122"/>
      <c r="AX123" t="str">
        <f>IFERROR(RD[[#This Row],[E_AC (WPR)]]/RD[[#This Row],[E_DC (WPR)]],"")</f>
        <v/>
      </c>
    </row>
    <row r="124" spans="1:50">
      <c r="A124" s="148">
        <f t="shared" si="49"/>
        <v>45864</v>
      </c>
      <c r="B124" s="151">
        <f>YEAR(RD[[#This Row],[Date]])+IF(MONTH(RD[[#This Row],[Date]])&gt;=4,1,0)</f>
        <v>2026</v>
      </c>
      <c r="C124" s="151">
        <f>YEAR(RD[[#This Row],[Date]])</f>
        <v>2025</v>
      </c>
      <c r="D124" s="152">
        <f t="shared" si="48"/>
        <v>45839</v>
      </c>
      <c r="E124" s="151">
        <f>DAY(EOMONTH(RD[[#This Row],[Date]],0))</f>
        <v>31</v>
      </c>
      <c r="F124" s="122">
        <v>0.27916666666666667</v>
      </c>
      <c r="G124" s="122">
        <v>0.72291666666666665</v>
      </c>
      <c r="H124" s="138">
        <v>5106</v>
      </c>
      <c r="I124" s="138">
        <v>5219</v>
      </c>
      <c r="J124" s="138">
        <v>7151</v>
      </c>
      <c r="K124" s="138">
        <v>7310.6</v>
      </c>
      <c r="L124" s="138">
        <v>7403</v>
      </c>
      <c r="M124" s="138">
        <v>5735.9</v>
      </c>
      <c r="N124" s="138">
        <v>5731</v>
      </c>
      <c r="O124" s="167"/>
      <c r="P124" s="167"/>
      <c r="Q124" s="58">
        <v>1.0980000000000001</v>
      </c>
      <c r="R124" s="58">
        <v>1.095</v>
      </c>
      <c r="S124" s="58">
        <v>25.47</v>
      </c>
      <c r="T124" s="58">
        <v>25.501000000000001</v>
      </c>
      <c r="U124" s="58">
        <v>95.149000000000001</v>
      </c>
      <c r="V124" s="58">
        <v>3.0911900000000001E-4</v>
      </c>
      <c r="W124" s="58">
        <v>3.2480000000000002</v>
      </c>
      <c r="X124" s="58">
        <v>5.97</v>
      </c>
      <c r="Y124" s="60">
        <f>SUM(RD[[#This Row],[IS1Inv1]:[IS3Inv1]])</f>
        <v>32189.599999999999</v>
      </c>
      <c r="Z124" s="60">
        <f>SUM(RD[[#This Row],[IS4Inv1]:[IS4Inv2]])</f>
        <v>11466.9</v>
      </c>
      <c r="AA124" s="60">
        <f>SUM(RD[[#This Row],[O2RE7]:[O2RE27]])</f>
        <v>43656.5</v>
      </c>
      <c r="AB124" s="153"/>
      <c r="AC124" s="153">
        <v>23455</v>
      </c>
      <c r="AD124" s="153"/>
      <c r="AE124" s="153">
        <v>15026</v>
      </c>
      <c r="AF124" s="153">
        <v>23070.877</v>
      </c>
      <c r="AG124" s="153">
        <v>0.04</v>
      </c>
      <c r="AH124" s="153">
        <v>15.87</v>
      </c>
      <c r="AI124" s="154" t="str">
        <f>IF((RD[[#This Row],[33 kV_F1_Ex]]-AB123)*150000&lt;=0,"",(RD[[#This Row],[33 kV_F1_Ex]]-AB123)*150000)</f>
        <v/>
      </c>
      <c r="AJ124" s="154">
        <f>IF((RD[[#This Row],[33kV_OG1_Ex]]-AC123)*1000&lt;=0,0,(RD[[#This Row],[33kV_OG1_Ex]]-AC123)*1000)</f>
        <v>44000</v>
      </c>
      <c r="AK124" s="154">
        <f>IF((RD[[#This Row],[220kV_TL_TVM_Ex]]-AE123)*1600&lt;=0,0,(RD[[#This Row],[220kV_TL_TVM_Ex]]-AE123)*1600)</f>
        <v>42560.000000000582</v>
      </c>
      <c r="AL124" s="154">
        <f>IF((RD[[#This Row],[220kV_C&amp;R_PQM_Ex]]-AF123)*1000&lt;=0,"",(RD[[#This Row],[220kV_C&amp;R_PQM_Ex]]-AF123)*1000)</f>
        <v>41867.000000002008</v>
      </c>
      <c r="AM124" s="154">
        <f>IF((RD[[#This Row],[33kV_Aux1_Im]]-AH123)*1000&lt;0,"",(RD[[#This Row],[33kV_Aux1_Im]]-AH123)*1000)</f>
        <v>269.99999999999955</v>
      </c>
      <c r="AN124" s="154">
        <f>IF((RD[[#This Row],[33kV_Aux1_Im]]-AH123)*1000&lt;0,"",(RD[[#This Row],[33kV_Aux1_Im]]-AH123)*1000)</f>
        <v>269.99999999999955</v>
      </c>
      <c r="AO124" s="61">
        <f>RD[[#This Row],[33kV_OG1_Energy (KWh)]]</f>
        <v>44000</v>
      </c>
      <c r="AP124" s="61">
        <f>IFERROR(RD[[#This Row],[220kV_TL_TVM Energy (KWh)]]-RD[[#This Row],[220kV_C&amp;R_PQM_Imp (KWh)2]],"")</f>
        <v>42290.000000000582</v>
      </c>
      <c r="AQ124" s="63">
        <f>IFERROR(RD[[#This Row],[33 kV Total Export (KWH)]]/RD[[#This Row],[220 KV Net Export (KWh)]]-1,"")</f>
        <v>4.0435091038056203E-2</v>
      </c>
      <c r="AR124" s="64">
        <f>IFERROR((RD[[#This Row],[Sunset Time (POA&lt;20 W/m2)]]-RD[[#This Row],[Sunrise Time (POA&gt;20 W/m2)]])*24,0)</f>
        <v>10.649999999999999</v>
      </c>
      <c r="AS124" s="65">
        <f>RD[[#This Row],[33kV_OG1_Energy (KWh)]]</f>
        <v>44000</v>
      </c>
      <c r="AT124" s="65">
        <f>IFERROR(RD[[#This Row],[ Export (33 kV)]]*(1-RD[[#This Row],[33 kV Line Loss (%)]]),RD[[#This Row],[ Export (33 kV)]])</f>
        <v>42220.855994325524</v>
      </c>
      <c r="AU124" s="277">
        <v>39.21</v>
      </c>
      <c r="AV124" s="122"/>
      <c r="AW124" s="122"/>
      <c r="AX124" t="str">
        <f>IFERROR(RD[[#This Row],[E_AC (WPR)]]/RD[[#This Row],[E_DC (WPR)]],"")</f>
        <v/>
      </c>
    </row>
    <row r="125" spans="1:50">
      <c r="A125" s="148">
        <f t="shared" si="49"/>
        <v>45865</v>
      </c>
      <c r="B125" s="151">
        <f>YEAR(RD[[#This Row],[Date]])+IF(MONTH(RD[[#This Row],[Date]])&gt;=4,1,0)</f>
        <v>2026</v>
      </c>
      <c r="C125" s="151">
        <f>YEAR(RD[[#This Row],[Date]])</f>
        <v>2025</v>
      </c>
      <c r="D125" s="152">
        <f t="shared" si="48"/>
        <v>45839</v>
      </c>
      <c r="E125" s="151">
        <f>DAY(EOMONTH(RD[[#This Row],[Date]],0))</f>
        <v>31</v>
      </c>
      <c r="F125" s="122">
        <v>0.28194444444444444</v>
      </c>
      <c r="G125" s="122">
        <v>0.77638888888888891</v>
      </c>
      <c r="H125" s="138">
        <v>9595.9</v>
      </c>
      <c r="I125" s="138">
        <v>9794.7999999999993</v>
      </c>
      <c r="J125" s="138">
        <v>13490.7</v>
      </c>
      <c r="K125" s="138">
        <v>13741.7</v>
      </c>
      <c r="L125" s="138">
        <v>13900</v>
      </c>
      <c r="M125" s="138">
        <v>10770</v>
      </c>
      <c r="N125" s="138">
        <v>10760.6</v>
      </c>
      <c r="O125" s="167"/>
      <c r="P125" s="167"/>
      <c r="Q125" s="58">
        <v>2.1960000000000002</v>
      </c>
      <c r="R125" s="58">
        <v>2.19</v>
      </c>
      <c r="S125" s="58">
        <v>27.044</v>
      </c>
      <c r="T125" s="58">
        <v>30.143999999999998</v>
      </c>
      <c r="U125" s="58">
        <v>83.51</v>
      </c>
      <c r="V125" s="58">
        <v>0</v>
      </c>
      <c r="W125" s="58">
        <v>4.1180000000000003</v>
      </c>
      <c r="X125" s="58">
        <v>9.8000000000000007</v>
      </c>
      <c r="Y125" s="60">
        <f>SUM(RD[[#This Row],[IS1Inv1]:[IS3Inv1]])</f>
        <v>60523.099999999991</v>
      </c>
      <c r="Z125" s="60">
        <f>SUM(RD[[#This Row],[IS4Inv1]:[IS4Inv2]])</f>
        <v>21530.6</v>
      </c>
      <c r="AA125" s="60">
        <f>SUM(RD[[#This Row],[O2RE7]:[O2RE27]])</f>
        <v>82053.699999999983</v>
      </c>
      <c r="AB125" s="153"/>
      <c r="AC125" s="153">
        <v>23536</v>
      </c>
      <c r="AD125" s="153"/>
      <c r="AE125" s="153">
        <v>15076.2</v>
      </c>
      <c r="AF125" s="153">
        <v>23150.638999999999</v>
      </c>
      <c r="AG125" s="153">
        <v>0.04</v>
      </c>
      <c r="AH125" s="153">
        <v>16.18</v>
      </c>
      <c r="AI125" s="154" t="str">
        <f>IF((RD[[#This Row],[33 kV_F1_Ex]]-AB124)*150000&lt;=0,"",(RD[[#This Row],[33 kV_F1_Ex]]-AB124)*150000)</f>
        <v/>
      </c>
      <c r="AJ125" s="154">
        <f>IF((RD[[#This Row],[33kV_OG1_Ex]]-AC124)*1000&lt;=0,0,(RD[[#This Row],[33kV_OG1_Ex]]-AC124)*1000)</f>
        <v>81000</v>
      </c>
      <c r="AK125" s="154">
        <f>IF((RD[[#This Row],[220kV_TL_TVM_Ex]]-AE124)*1600&lt;=0,0,(RD[[#This Row],[220kV_TL_TVM_Ex]]-AE124)*1600)</f>
        <v>80320.000000001164</v>
      </c>
      <c r="AL125" s="154">
        <f>IF((RD[[#This Row],[220kV_C&amp;R_PQM_Ex]]-AF124)*1000&lt;=0,"",(RD[[#This Row],[220kV_C&amp;R_PQM_Ex]]-AF124)*1000)</f>
        <v>79761.999999998807</v>
      </c>
      <c r="AM125" s="154">
        <f>IF((RD[[#This Row],[33kV_Aux1_Im]]-AH124)*1000&lt;0,"",(RD[[#This Row],[33kV_Aux1_Im]]-AH124)*1000)</f>
        <v>310.00000000000051</v>
      </c>
      <c r="AN125" s="154">
        <f>IF((RD[[#This Row],[33kV_Aux1_Im]]-AH124)*1000&lt;0,"",(RD[[#This Row],[33kV_Aux1_Im]]-AH124)*1000)</f>
        <v>310.00000000000051</v>
      </c>
      <c r="AO125" s="61">
        <f>RD[[#This Row],[33kV_OG1_Energy (KWh)]]</f>
        <v>81000</v>
      </c>
      <c r="AP125" s="61">
        <f>IFERROR(RD[[#This Row],[220kV_TL_TVM Energy (KWh)]]-RD[[#This Row],[220kV_C&amp;R_PQM_Imp (KWh)2]],"")</f>
        <v>80010.000000001164</v>
      </c>
      <c r="AQ125" s="63">
        <f>IFERROR(RD[[#This Row],[33 kV Total Export (KWH)]]/RD[[#This Row],[220 KV Net Export (KWh)]]-1,"")</f>
        <v>1.2373453318320404E-2</v>
      </c>
      <c r="AR125" s="64">
        <f>IFERROR((RD[[#This Row],[Sunset Time (POA&lt;20 W/m2)]]-RD[[#This Row],[Sunrise Time (POA&gt;20 W/m2)]])*24,0)</f>
        <v>11.866666666666667</v>
      </c>
      <c r="AS125" s="65">
        <f>RD[[#This Row],[33kV_OG1_Energy (KWh)]]</f>
        <v>81000</v>
      </c>
      <c r="AT125" s="65">
        <f>IFERROR(RD[[#This Row],[ Export (33 kV)]]*(1-RD[[#This Row],[33 kV Line Loss (%)]]),RD[[#This Row],[ Export (33 kV)]])</f>
        <v>79997.750281216053</v>
      </c>
      <c r="AU125" s="277">
        <v>39.21</v>
      </c>
      <c r="AV125" s="122"/>
      <c r="AW125" s="122"/>
      <c r="AX125" t="str">
        <f>IFERROR(RD[[#This Row],[E_AC (WPR)]]/RD[[#This Row],[E_DC (WPR)]],"")</f>
        <v/>
      </c>
    </row>
    <row r="126" spans="1:50">
      <c r="A126" s="148">
        <f t="shared" si="49"/>
        <v>45866</v>
      </c>
      <c r="B126" s="151">
        <f>YEAR(RD[[#This Row],[Date]])+IF(MONTH(RD[[#This Row],[Date]])&gt;=4,1,0)</f>
        <v>2026</v>
      </c>
      <c r="C126" s="151">
        <f>YEAR(RD[[#This Row],[Date]])</f>
        <v>2025</v>
      </c>
      <c r="D126" s="152">
        <f t="shared" si="48"/>
        <v>45839</v>
      </c>
      <c r="E126" s="151">
        <f>DAY(EOMONTH(RD[[#This Row],[Date]],0))</f>
        <v>31</v>
      </c>
      <c r="F126" s="122"/>
      <c r="G126" s="122"/>
      <c r="H126" s="138"/>
      <c r="I126" s="138"/>
      <c r="J126" s="138"/>
      <c r="K126" s="138"/>
      <c r="L126" s="138"/>
      <c r="M126" s="138"/>
      <c r="N126" s="138"/>
      <c r="O126" s="167"/>
      <c r="P126" s="167"/>
      <c r="Q126" s="58"/>
      <c r="R126" s="58"/>
      <c r="S126" s="58"/>
      <c r="T126" s="58"/>
      <c r="U126" s="58"/>
      <c r="V126" s="58"/>
      <c r="W126" s="58"/>
      <c r="X126" s="58"/>
      <c r="Y126" s="60">
        <f>SUM(RD[[#This Row],[IS1Inv1]:[IS3Inv1]])</f>
        <v>0</v>
      </c>
      <c r="Z126" s="60">
        <f>SUM(RD[[#This Row],[IS4Inv1]:[IS4Inv2]])</f>
        <v>0</v>
      </c>
      <c r="AA126" s="60">
        <f>SUM(RD[[#This Row],[O2RE7]:[O2RE27]])</f>
        <v>0</v>
      </c>
      <c r="AB126" s="153"/>
      <c r="AC126" s="153"/>
      <c r="AD126" s="153"/>
      <c r="AE126" s="153"/>
      <c r="AF126" s="153"/>
      <c r="AG126" s="153"/>
      <c r="AH126" s="153"/>
      <c r="AI126" s="154" t="str">
        <f>IF((RD[[#This Row],[33 kV_F1_Ex]]-AB125)*150000&lt;=0,"",(RD[[#This Row],[33 kV_F1_Ex]]-AB125)*150000)</f>
        <v/>
      </c>
      <c r="AJ126" s="154">
        <f>IF((RD[[#This Row],[33kV_OG1_Ex]]-AC125)*1000&lt;=0,0,(RD[[#This Row],[33kV_OG1_Ex]]-AC125)*1000)</f>
        <v>0</v>
      </c>
      <c r="AK126" s="154">
        <f>IF((RD[[#This Row],[220kV_TL_TVM_Ex]]-AE125)*1600&lt;=0,0,(RD[[#This Row],[220kV_TL_TVM_Ex]]-AE125)*1600)</f>
        <v>0</v>
      </c>
      <c r="AL126" s="154" t="str">
        <f>IF((RD[[#This Row],[220kV_C&amp;R_PQM_Ex]]-AF125)*1000&lt;=0,"",(RD[[#This Row],[220kV_C&amp;R_PQM_Ex]]-AF125)*1000)</f>
        <v/>
      </c>
      <c r="AM126" s="154" t="str">
        <f>IF((RD[[#This Row],[33kV_Aux1_Im]]-AH125)*1000&lt;0,"",(RD[[#This Row],[33kV_Aux1_Im]]-AH125)*1000)</f>
        <v/>
      </c>
      <c r="AN126" s="154" t="str">
        <f>IF((RD[[#This Row],[33kV_Aux1_Im]]-AH125)*1000&lt;0,"",(RD[[#This Row],[33kV_Aux1_Im]]-AH125)*1000)</f>
        <v/>
      </c>
      <c r="AO126" s="61">
        <f>RD[[#This Row],[33kV_OG1_Energy (KWh)]]</f>
        <v>0</v>
      </c>
      <c r="AP126" s="61" t="str">
        <f>IFERROR(RD[[#This Row],[220kV_TL_TVM Energy (KWh)]]-RD[[#This Row],[220kV_C&amp;R_PQM_Imp (KWh)2]],"")</f>
        <v/>
      </c>
      <c r="AQ126" s="63" t="str">
        <f>IFERROR(RD[[#This Row],[33 kV Total Export (KWH)]]/RD[[#This Row],[220 KV Net Export (KWh)]]-1,"")</f>
        <v/>
      </c>
      <c r="AR126" s="64">
        <f>IFERROR((RD[[#This Row],[Sunset Time (POA&lt;20 W/m2)]]-RD[[#This Row],[Sunrise Time (POA&gt;20 W/m2)]])*24,0)</f>
        <v>0</v>
      </c>
      <c r="AS126" s="65">
        <f>RD[[#This Row],[33kV_OG1_Energy (KWh)]]</f>
        <v>0</v>
      </c>
      <c r="AT126" s="65">
        <f>IFERROR(RD[[#This Row],[ Export (33 kV)]]*(1-RD[[#This Row],[33 kV Line Loss (%)]]),RD[[#This Row],[ Export (33 kV)]])</f>
        <v>0</v>
      </c>
      <c r="AU126" s="277">
        <v>39.21</v>
      </c>
      <c r="AV126" s="122"/>
      <c r="AW126" s="122"/>
      <c r="AX126" t="str">
        <f>IFERROR(RD[[#This Row],[E_AC (WPR)]]/RD[[#This Row],[E_DC (WPR)]],"")</f>
        <v/>
      </c>
    </row>
    <row r="127" spans="1:50">
      <c r="A127" s="148">
        <f t="shared" si="49"/>
        <v>45867</v>
      </c>
      <c r="B127" s="151">
        <f>YEAR(RD[[#This Row],[Date]])+IF(MONTH(RD[[#This Row],[Date]])&gt;=4,1,0)</f>
        <v>2026</v>
      </c>
      <c r="C127" s="151">
        <f>YEAR(RD[[#This Row],[Date]])</f>
        <v>2025</v>
      </c>
      <c r="D127" s="152">
        <f t="shared" si="48"/>
        <v>45839</v>
      </c>
      <c r="E127" s="151">
        <f>DAY(EOMONTH(RD[[#This Row],[Date]],0))</f>
        <v>31</v>
      </c>
      <c r="F127" s="122"/>
      <c r="G127" s="122"/>
      <c r="H127" s="138"/>
      <c r="I127" s="138"/>
      <c r="J127" s="138"/>
      <c r="K127" s="138"/>
      <c r="L127" s="138"/>
      <c r="M127" s="138"/>
      <c r="N127" s="138"/>
      <c r="O127" s="167"/>
      <c r="P127" s="167"/>
      <c r="Q127" s="58"/>
      <c r="R127" s="58"/>
      <c r="S127" s="58"/>
      <c r="T127" s="58"/>
      <c r="U127" s="58"/>
      <c r="V127" s="58"/>
      <c r="W127" s="58"/>
      <c r="X127" s="58"/>
      <c r="Y127" s="60">
        <f>SUM(RD[[#This Row],[IS1Inv1]:[IS3Inv1]])</f>
        <v>0</v>
      </c>
      <c r="Z127" s="60">
        <f>SUM(RD[[#This Row],[IS4Inv1]:[IS4Inv2]])</f>
        <v>0</v>
      </c>
      <c r="AA127" s="60">
        <f>SUM(RD[[#This Row],[O2RE7]:[O2RE27]])</f>
        <v>0</v>
      </c>
      <c r="AB127" s="153"/>
      <c r="AC127" s="153"/>
      <c r="AD127" s="153"/>
      <c r="AE127" s="153"/>
      <c r="AF127" s="153"/>
      <c r="AG127" s="153"/>
      <c r="AH127" s="153"/>
      <c r="AI127" s="154" t="str">
        <f>IF((RD[[#This Row],[33 kV_F1_Ex]]-AB126)*150000&lt;=0,"",(RD[[#This Row],[33 kV_F1_Ex]]-AB126)*150000)</f>
        <v/>
      </c>
      <c r="AJ127" s="154">
        <f>IF((RD[[#This Row],[33kV_OG1_Ex]]-AC126)*1000&lt;=0,0,(RD[[#This Row],[33kV_OG1_Ex]]-AC126)*1000)</f>
        <v>0</v>
      </c>
      <c r="AK127" s="154">
        <f>IF((RD[[#This Row],[220kV_TL_TVM_Ex]]-AE126)*1600&lt;=0,0,(RD[[#This Row],[220kV_TL_TVM_Ex]]-AE126)*1600)</f>
        <v>0</v>
      </c>
      <c r="AL127" s="154" t="str">
        <f>IF((RD[[#This Row],[220kV_C&amp;R_PQM_Ex]]-AF126)*1000&lt;=0,"",(RD[[#This Row],[220kV_C&amp;R_PQM_Ex]]-AF126)*1000)</f>
        <v/>
      </c>
      <c r="AM127" s="154">
        <f>IF((RD[[#This Row],[33kV_Aux1_Im]]-AH126)*1000&lt;0,"",(RD[[#This Row],[33kV_Aux1_Im]]-AH126)*1000)</f>
        <v>0</v>
      </c>
      <c r="AN127" s="154">
        <f>IF((RD[[#This Row],[33kV_Aux1_Im]]-AH126)*1000&lt;0,"",(RD[[#This Row],[33kV_Aux1_Im]]-AH126)*1000)</f>
        <v>0</v>
      </c>
      <c r="AO127" s="61">
        <f>RD[[#This Row],[33kV_OG1_Energy (KWh)]]</f>
        <v>0</v>
      </c>
      <c r="AP127" s="61">
        <f>IFERROR(RD[[#This Row],[220kV_TL_TVM Energy (KWh)]]-RD[[#This Row],[220kV_C&amp;R_PQM_Imp (KWh)2]],"")</f>
        <v>0</v>
      </c>
      <c r="AQ127" s="63" t="str">
        <f>IFERROR(RD[[#This Row],[33 kV Total Export (KWH)]]/RD[[#This Row],[220 KV Net Export (KWh)]]-1,"")</f>
        <v/>
      </c>
      <c r="AR127" s="64">
        <f>IFERROR((RD[[#This Row],[Sunset Time (POA&lt;20 W/m2)]]-RD[[#This Row],[Sunrise Time (POA&gt;20 W/m2)]])*24,0)</f>
        <v>0</v>
      </c>
      <c r="AS127" s="65">
        <f>RD[[#This Row],[33kV_OG1_Energy (KWh)]]</f>
        <v>0</v>
      </c>
      <c r="AT127" s="65">
        <f>IFERROR(RD[[#This Row],[ Export (33 kV)]]*(1-RD[[#This Row],[33 kV Line Loss (%)]]),RD[[#This Row],[ Export (33 kV)]])</f>
        <v>0</v>
      </c>
      <c r="AU127" s="277">
        <v>39.21</v>
      </c>
      <c r="AV127" s="122"/>
      <c r="AW127" s="122"/>
      <c r="AX127" t="str">
        <f>IFERROR(RD[[#This Row],[E_AC (WPR)]]/RD[[#This Row],[E_DC (WPR)]],"")</f>
        <v/>
      </c>
    </row>
    <row r="128" spans="1:50">
      <c r="A128" s="148">
        <f t="shared" si="49"/>
        <v>45868</v>
      </c>
      <c r="B128" s="151">
        <f>YEAR(RD[[#This Row],[Date]])+IF(MONTH(RD[[#This Row],[Date]])&gt;=4,1,0)</f>
        <v>2026</v>
      </c>
      <c r="C128" s="151">
        <f>YEAR(RD[[#This Row],[Date]])</f>
        <v>2025</v>
      </c>
      <c r="D128" s="152">
        <f t="shared" si="48"/>
        <v>45839</v>
      </c>
      <c r="E128" s="151">
        <f>DAY(EOMONTH(RD[[#This Row],[Date]],0))</f>
        <v>31</v>
      </c>
      <c r="F128" s="122"/>
      <c r="G128" s="122"/>
      <c r="H128" s="138"/>
      <c r="I128" s="138"/>
      <c r="J128" s="138"/>
      <c r="K128" s="138"/>
      <c r="L128" s="138"/>
      <c r="M128" s="138"/>
      <c r="N128" s="138"/>
      <c r="O128" s="167"/>
      <c r="P128" s="167"/>
      <c r="Q128" s="58"/>
      <c r="R128" s="58"/>
      <c r="S128" s="58"/>
      <c r="T128" s="58"/>
      <c r="U128" s="58"/>
      <c r="V128" s="58"/>
      <c r="W128" s="58"/>
      <c r="X128" s="58"/>
      <c r="Y128" s="60">
        <f>SUM(RD[[#This Row],[IS1Inv1]:[IS3Inv1]])</f>
        <v>0</v>
      </c>
      <c r="Z128" s="60">
        <f>SUM(RD[[#This Row],[IS4Inv1]:[IS4Inv2]])</f>
        <v>0</v>
      </c>
      <c r="AA128" s="60">
        <f>SUM(RD[[#This Row],[O2RE7]:[O2RE27]])</f>
        <v>0</v>
      </c>
      <c r="AB128" s="153"/>
      <c r="AC128" s="153"/>
      <c r="AD128" s="153"/>
      <c r="AE128" s="153"/>
      <c r="AF128" s="153"/>
      <c r="AG128" s="153"/>
      <c r="AH128" s="153"/>
      <c r="AI128" s="154" t="str">
        <f>IF((RD[[#This Row],[33 kV_F1_Ex]]-AB127)*150000&lt;=0,"",(RD[[#This Row],[33 kV_F1_Ex]]-AB127)*150000)</f>
        <v/>
      </c>
      <c r="AJ128" s="154">
        <f>IF((RD[[#This Row],[33kV_OG1_Ex]]-AC127)*1000&lt;=0,0,(RD[[#This Row],[33kV_OG1_Ex]]-AC127)*1000)</f>
        <v>0</v>
      </c>
      <c r="AK128" s="154">
        <f>IF((RD[[#This Row],[220kV_TL_TVM_Ex]]-AE127)*1600&lt;=0,0,(RD[[#This Row],[220kV_TL_TVM_Ex]]-AE127)*1600)</f>
        <v>0</v>
      </c>
      <c r="AL128" s="154" t="str">
        <f>IF((RD[[#This Row],[220kV_C&amp;R_PQM_Ex]]-AF127)*1000&lt;=0,"",(RD[[#This Row],[220kV_C&amp;R_PQM_Ex]]-AF127)*1000)</f>
        <v/>
      </c>
      <c r="AM128" s="154">
        <f>IF((RD[[#This Row],[33kV_Aux1_Im]]-AH127)*1000&lt;0,"",(RD[[#This Row],[33kV_Aux1_Im]]-AH127)*1000)</f>
        <v>0</v>
      </c>
      <c r="AN128" s="154">
        <f>IF((RD[[#This Row],[33kV_Aux1_Im]]-AH127)*1000&lt;0,"",(RD[[#This Row],[33kV_Aux1_Im]]-AH127)*1000)</f>
        <v>0</v>
      </c>
      <c r="AO128" s="61">
        <f>RD[[#This Row],[33kV_OG1_Energy (KWh)]]</f>
        <v>0</v>
      </c>
      <c r="AP128" s="61">
        <f>IFERROR(RD[[#This Row],[220kV_TL_TVM Energy (KWh)]]-RD[[#This Row],[220kV_C&amp;R_PQM_Imp (KWh)2]],"")</f>
        <v>0</v>
      </c>
      <c r="AQ128" s="63" t="str">
        <f>IFERROR(RD[[#This Row],[33 kV Total Export (KWH)]]/RD[[#This Row],[220 KV Net Export (KWh)]]-1,"")</f>
        <v/>
      </c>
      <c r="AR128" s="64">
        <f>IFERROR((RD[[#This Row],[Sunset Time (POA&lt;20 W/m2)]]-RD[[#This Row],[Sunrise Time (POA&gt;20 W/m2)]])*24,0)</f>
        <v>0</v>
      </c>
      <c r="AS128" s="65">
        <f>RD[[#This Row],[33kV_OG1_Energy (KWh)]]</f>
        <v>0</v>
      </c>
      <c r="AT128" s="65">
        <f>IFERROR(RD[[#This Row],[ Export (33 kV)]]*(1-RD[[#This Row],[33 kV Line Loss (%)]]),RD[[#This Row],[ Export (33 kV)]])</f>
        <v>0</v>
      </c>
      <c r="AU128" s="277">
        <v>39.21</v>
      </c>
      <c r="AV128" s="122"/>
      <c r="AW128" s="122"/>
      <c r="AX128" t="str">
        <f>IFERROR(RD[[#This Row],[E_AC (WPR)]]/RD[[#This Row],[E_DC (WPR)]],"")</f>
        <v/>
      </c>
    </row>
    <row r="129" spans="1:50">
      <c r="A129" s="148">
        <f t="shared" si="49"/>
        <v>45869</v>
      </c>
      <c r="B129" s="151">
        <f>YEAR(RD[[#This Row],[Date]])+IF(MONTH(RD[[#This Row],[Date]])&gt;=4,1,0)</f>
        <v>2026</v>
      </c>
      <c r="C129" s="151">
        <f>YEAR(RD[[#This Row],[Date]])</f>
        <v>2025</v>
      </c>
      <c r="D129" s="152">
        <f t="shared" si="48"/>
        <v>45839</v>
      </c>
      <c r="E129" s="151">
        <f>DAY(EOMONTH(RD[[#This Row],[Date]],0))</f>
        <v>31</v>
      </c>
      <c r="F129" s="122"/>
      <c r="G129" s="122"/>
      <c r="H129" s="138"/>
      <c r="I129" s="138"/>
      <c r="J129" s="138"/>
      <c r="K129" s="138"/>
      <c r="L129" s="138"/>
      <c r="M129" s="138"/>
      <c r="N129" s="138"/>
      <c r="O129" s="167"/>
      <c r="P129" s="167"/>
      <c r="Q129" s="58"/>
      <c r="R129" s="58"/>
      <c r="S129" s="58"/>
      <c r="T129" s="58"/>
      <c r="U129" s="58"/>
      <c r="V129" s="58"/>
      <c r="W129" s="58"/>
      <c r="X129" s="58"/>
      <c r="Y129" s="60">
        <f>SUM(RD[[#This Row],[IS1Inv1]:[IS3Inv1]])</f>
        <v>0</v>
      </c>
      <c r="Z129" s="60">
        <f>SUM(RD[[#This Row],[IS4Inv1]:[IS4Inv2]])</f>
        <v>0</v>
      </c>
      <c r="AA129" s="60">
        <f>SUM(RD[[#This Row],[O2RE7]:[O2RE27]])</f>
        <v>0</v>
      </c>
      <c r="AB129" s="153"/>
      <c r="AC129" s="153"/>
      <c r="AD129" s="153"/>
      <c r="AE129" s="153"/>
      <c r="AF129" s="153"/>
      <c r="AG129" s="153"/>
      <c r="AH129" s="153"/>
      <c r="AI129" s="154" t="str">
        <f>IF((RD[[#This Row],[33 kV_F1_Ex]]-AB128)*150000&lt;=0,"",(RD[[#This Row],[33 kV_F1_Ex]]-AB128)*150000)</f>
        <v/>
      </c>
      <c r="AJ129" s="154">
        <f>IF((RD[[#This Row],[33kV_OG1_Ex]]-AC128)*1000&lt;=0,0,(RD[[#This Row],[33kV_OG1_Ex]]-AC128)*1000)</f>
        <v>0</v>
      </c>
      <c r="AK129" s="154">
        <f>IF((RD[[#This Row],[220kV_TL_TVM_Ex]]-AE128)*1600&lt;=0,0,(RD[[#This Row],[220kV_TL_TVM_Ex]]-AE128)*1600)</f>
        <v>0</v>
      </c>
      <c r="AL129" s="154" t="str">
        <f>IF((RD[[#This Row],[220kV_C&amp;R_PQM_Ex]]-AF128)*1000&lt;=0,"",(RD[[#This Row],[220kV_C&amp;R_PQM_Ex]]-AF128)*1000)</f>
        <v/>
      </c>
      <c r="AM129" s="154">
        <f>IF((RD[[#This Row],[33kV_Aux1_Im]]-AH128)*1000&lt;0,"",(RD[[#This Row],[33kV_Aux1_Im]]-AH128)*1000)</f>
        <v>0</v>
      </c>
      <c r="AN129" s="154">
        <f>IF((RD[[#This Row],[33kV_Aux1_Im]]-AH128)*1000&lt;0,"",(RD[[#This Row],[33kV_Aux1_Im]]-AH128)*1000)</f>
        <v>0</v>
      </c>
      <c r="AO129" s="61">
        <f>RD[[#This Row],[33kV_OG1_Energy (KWh)]]</f>
        <v>0</v>
      </c>
      <c r="AP129" s="61">
        <f>IFERROR(RD[[#This Row],[220kV_TL_TVM Energy (KWh)]]-RD[[#This Row],[220kV_C&amp;R_PQM_Imp (KWh)2]],"")</f>
        <v>0</v>
      </c>
      <c r="AQ129" s="63" t="str">
        <f>IFERROR(RD[[#This Row],[33 kV Total Export (KWH)]]/RD[[#This Row],[220 KV Net Export (KWh)]]-1,"")</f>
        <v/>
      </c>
      <c r="AR129" s="64">
        <f>IFERROR((RD[[#This Row],[Sunset Time (POA&lt;20 W/m2)]]-RD[[#This Row],[Sunrise Time (POA&gt;20 W/m2)]])*24,0)</f>
        <v>0</v>
      </c>
      <c r="AS129" s="65">
        <f>RD[[#This Row],[33kV_OG1_Energy (KWh)]]</f>
        <v>0</v>
      </c>
      <c r="AT129" s="65">
        <f>IFERROR(RD[[#This Row],[ Export (33 kV)]]*(1-RD[[#This Row],[33 kV Line Loss (%)]]),RD[[#This Row],[ Export (33 kV)]])</f>
        <v>0</v>
      </c>
      <c r="AU129" s="277">
        <v>39.21</v>
      </c>
      <c r="AV129" s="122"/>
      <c r="AW129" s="122"/>
      <c r="AX129" t="str">
        <f>IFERROR(RD[[#This Row],[E_AC (WPR)]]/RD[[#This Row],[E_DC (WPR)]],"")</f>
        <v/>
      </c>
    </row>
    <row r="130" spans="1:50">
      <c r="A130" s="148">
        <f t="shared" si="49"/>
        <v>45870</v>
      </c>
      <c r="B130" s="151">
        <f>YEAR(RD[[#This Row],[Date]])+IF(MONTH(RD[[#This Row],[Date]])&gt;=4,1,0)</f>
        <v>2026</v>
      </c>
      <c r="C130" s="151">
        <f>YEAR(RD[[#This Row],[Date]])</f>
        <v>2025</v>
      </c>
      <c r="D130" s="152">
        <f t="shared" si="48"/>
        <v>45870</v>
      </c>
      <c r="E130" s="151">
        <f>DAY(EOMONTH(RD[[#This Row],[Date]],0))</f>
        <v>31</v>
      </c>
      <c r="F130" s="122"/>
      <c r="G130" s="122"/>
      <c r="H130" s="138"/>
      <c r="I130" s="138"/>
      <c r="J130" s="138"/>
      <c r="K130" s="138"/>
      <c r="L130" s="138"/>
      <c r="M130" s="138"/>
      <c r="N130" s="138"/>
      <c r="O130" s="167"/>
      <c r="P130" s="167"/>
      <c r="Q130" s="58"/>
      <c r="R130" s="58"/>
      <c r="S130" s="58"/>
      <c r="T130" s="58"/>
      <c r="U130" s="58"/>
      <c r="V130" s="58"/>
      <c r="W130" s="58"/>
      <c r="X130" s="58"/>
      <c r="Y130" s="60">
        <f>SUM(RD[[#This Row],[IS1Inv1]:[IS3Inv1]])</f>
        <v>0</v>
      </c>
      <c r="Z130" s="60">
        <f>SUM(RD[[#This Row],[IS4Inv1]:[IS4Inv2]])</f>
        <v>0</v>
      </c>
      <c r="AA130" s="60">
        <f>SUM(RD[[#This Row],[O2RE7]:[O2RE27]])</f>
        <v>0</v>
      </c>
      <c r="AB130" s="153"/>
      <c r="AC130" s="153"/>
      <c r="AD130" s="153"/>
      <c r="AE130" s="153"/>
      <c r="AF130" s="153"/>
      <c r="AG130" s="153"/>
      <c r="AH130" s="153"/>
      <c r="AI130" s="154" t="str">
        <f>IF((RD[[#This Row],[33 kV_F1_Ex]]-AB129)*150000&lt;=0,"",(RD[[#This Row],[33 kV_F1_Ex]]-AB129)*150000)</f>
        <v/>
      </c>
      <c r="AJ130" s="154">
        <f>IF((RD[[#This Row],[33kV_OG1_Ex]]-AC129)*1000&lt;=0,0,(RD[[#This Row],[33kV_OG1_Ex]]-AC129)*1000)</f>
        <v>0</v>
      </c>
      <c r="AK130" s="154">
        <f>IF((RD[[#This Row],[220kV_TL_TVM_Ex]]-AE129)*1600&lt;=0,0,(RD[[#This Row],[220kV_TL_TVM_Ex]]-AE129)*1600)</f>
        <v>0</v>
      </c>
      <c r="AL130" s="154" t="str">
        <f>IF((RD[[#This Row],[220kV_C&amp;R_PQM_Ex]]-AF129)*1000&lt;=0,"",(RD[[#This Row],[220kV_C&amp;R_PQM_Ex]]-AF129)*1000)</f>
        <v/>
      </c>
      <c r="AM130" s="154">
        <f>IF((RD[[#This Row],[33kV_Aux1_Im]]-AH129)*1000&lt;0,"",(RD[[#This Row],[33kV_Aux1_Im]]-AH129)*1000)</f>
        <v>0</v>
      </c>
      <c r="AN130" s="154">
        <f>IF((RD[[#This Row],[33kV_Aux1_Im]]-AH129)*1000&lt;0,"",(RD[[#This Row],[33kV_Aux1_Im]]-AH129)*1000)</f>
        <v>0</v>
      </c>
      <c r="AO130" s="61">
        <f>RD[[#This Row],[33kV_OG1_Energy (KWh)]]</f>
        <v>0</v>
      </c>
      <c r="AP130" s="61">
        <f>IFERROR(RD[[#This Row],[220kV_TL_TVM Energy (KWh)]]-RD[[#This Row],[220kV_C&amp;R_PQM_Imp (KWh)2]],"")</f>
        <v>0</v>
      </c>
      <c r="AQ130" s="63" t="str">
        <f>IFERROR(RD[[#This Row],[33 kV Total Export (KWH)]]/RD[[#This Row],[220 KV Net Export (KWh)]]-1,"")</f>
        <v/>
      </c>
      <c r="AR130" s="64">
        <f>IFERROR((RD[[#This Row],[Sunset Time (POA&lt;20 W/m2)]]-RD[[#This Row],[Sunrise Time (POA&gt;20 W/m2)]])*24,0)</f>
        <v>0</v>
      </c>
      <c r="AS130" s="65">
        <f>RD[[#This Row],[33kV_OG1_Energy (KWh)]]</f>
        <v>0</v>
      </c>
      <c r="AT130" s="65">
        <f>IFERROR(RD[[#This Row],[ Export (33 kV)]]*(1-RD[[#This Row],[33 kV Line Loss (%)]]),RD[[#This Row],[ Export (33 kV)]])</f>
        <v>0</v>
      </c>
      <c r="AU130" s="122"/>
      <c r="AV130" s="122"/>
      <c r="AW130" s="122"/>
      <c r="AX130" t="str">
        <f>IFERROR(RD[[#This Row],[E_AC (WPR)]]/RD[[#This Row],[E_DC (WPR)]],"")</f>
        <v/>
      </c>
    </row>
    <row r="131" spans="1:50">
      <c r="A131" s="148">
        <f t="shared" si="49"/>
        <v>45871</v>
      </c>
      <c r="B131" s="151">
        <f>YEAR(RD[[#This Row],[Date]])+IF(MONTH(RD[[#This Row],[Date]])&gt;=4,1,0)</f>
        <v>2026</v>
      </c>
      <c r="C131" s="151">
        <f>YEAR(RD[[#This Row],[Date]])</f>
        <v>2025</v>
      </c>
      <c r="D131" s="152">
        <f t="shared" si="48"/>
        <v>45870</v>
      </c>
      <c r="E131" s="151">
        <f>DAY(EOMONTH(RD[[#This Row],[Date]],0))</f>
        <v>31</v>
      </c>
      <c r="F131" s="122"/>
      <c r="G131" s="122"/>
      <c r="H131" s="138"/>
      <c r="I131" s="138"/>
      <c r="J131" s="138"/>
      <c r="K131" s="138"/>
      <c r="L131" s="138"/>
      <c r="M131" s="138"/>
      <c r="N131" s="138"/>
      <c r="O131" s="167"/>
      <c r="P131" s="167"/>
      <c r="Q131" s="58"/>
      <c r="R131" s="58"/>
      <c r="S131" s="58"/>
      <c r="T131" s="58"/>
      <c r="U131" s="58"/>
      <c r="V131" s="58"/>
      <c r="W131" s="58"/>
      <c r="X131" s="58"/>
      <c r="Y131" s="60">
        <f>SUM(RD[[#This Row],[IS1Inv1]:[IS3Inv1]])</f>
        <v>0</v>
      </c>
      <c r="Z131" s="60">
        <f>SUM(RD[[#This Row],[IS4Inv1]:[IS4Inv2]])</f>
        <v>0</v>
      </c>
      <c r="AA131" s="60">
        <f>SUM(RD[[#This Row],[O2RE7]:[O2RE27]])</f>
        <v>0</v>
      </c>
      <c r="AB131" s="153"/>
      <c r="AC131" s="153"/>
      <c r="AD131" s="153"/>
      <c r="AE131" s="153"/>
      <c r="AF131" s="153"/>
      <c r="AG131" s="153"/>
      <c r="AH131" s="153"/>
      <c r="AI131" s="154" t="str">
        <f>IF((RD[[#This Row],[33 kV_F1_Ex]]-AB130)*150000&lt;=0,"",(RD[[#This Row],[33 kV_F1_Ex]]-AB130)*150000)</f>
        <v/>
      </c>
      <c r="AJ131" s="154">
        <f>IF((RD[[#This Row],[33kV_OG1_Ex]]-AC130)*1000&lt;=0,0,(RD[[#This Row],[33kV_OG1_Ex]]-AC130)*1000)</f>
        <v>0</v>
      </c>
      <c r="AK131" s="154">
        <f>IF((RD[[#This Row],[220kV_TL_TVM_Ex]]-AE130)*1600&lt;=0,0,(RD[[#This Row],[220kV_TL_TVM_Ex]]-AE130)*1600)</f>
        <v>0</v>
      </c>
      <c r="AL131" s="154" t="str">
        <f>IF((RD[[#This Row],[220kV_C&amp;R_PQM_Ex]]-AF130)*1000&lt;=0,"",(RD[[#This Row],[220kV_C&amp;R_PQM_Ex]]-AF130)*1000)</f>
        <v/>
      </c>
      <c r="AM131" s="154">
        <f>IF((RD[[#This Row],[33kV_Aux1_Im]]-AH130)*1000&lt;0,"",(RD[[#This Row],[33kV_Aux1_Im]]-AH130)*1000)</f>
        <v>0</v>
      </c>
      <c r="AN131" s="154">
        <f>IF((RD[[#This Row],[33kV_Aux1_Im]]-AH130)*1000&lt;0,"",(RD[[#This Row],[33kV_Aux1_Im]]-AH130)*1000)</f>
        <v>0</v>
      </c>
      <c r="AO131" s="61">
        <f>RD[[#This Row],[33kV_OG1_Energy (KWh)]]</f>
        <v>0</v>
      </c>
      <c r="AP131" s="61">
        <f>IFERROR(RD[[#This Row],[220kV_TL_TVM Energy (KWh)]]-RD[[#This Row],[220kV_C&amp;R_PQM_Imp (KWh)2]],"")</f>
        <v>0</v>
      </c>
      <c r="AQ131" s="63" t="str">
        <f>IFERROR(RD[[#This Row],[33 kV Total Export (KWH)]]/RD[[#This Row],[220 KV Net Export (KWh)]]-1,"")</f>
        <v/>
      </c>
      <c r="AR131" s="64">
        <f>IFERROR((RD[[#This Row],[Sunset Time (POA&lt;20 W/m2)]]-RD[[#This Row],[Sunrise Time (POA&gt;20 W/m2)]])*24,0)</f>
        <v>0</v>
      </c>
      <c r="AS131" s="65">
        <f>RD[[#This Row],[33kV_OG1_Energy (KWh)]]</f>
        <v>0</v>
      </c>
      <c r="AT131" s="65">
        <f>IFERROR(RD[[#This Row],[ Export (33 kV)]]*(1-RD[[#This Row],[33 kV Line Loss (%)]]),RD[[#This Row],[ Export (33 kV)]])</f>
        <v>0</v>
      </c>
      <c r="AU131" s="122"/>
      <c r="AV131" s="122"/>
      <c r="AW131" s="122"/>
      <c r="AX131" t="str">
        <f>IFERROR(RD[[#This Row],[E_AC (WPR)]]/RD[[#This Row],[E_DC (WPR)]],"")</f>
        <v/>
      </c>
    </row>
    <row r="132" spans="1:50">
      <c r="A132" s="148">
        <f t="shared" si="49"/>
        <v>45872</v>
      </c>
      <c r="B132" s="151">
        <f>YEAR(RD[[#This Row],[Date]])+IF(MONTH(RD[[#This Row],[Date]])&gt;=4,1,0)</f>
        <v>2026</v>
      </c>
      <c r="C132" s="151">
        <f>YEAR(RD[[#This Row],[Date]])</f>
        <v>2025</v>
      </c>
      <c r="D132" s="152">
        <f t="shared" si="48"/>
        <v>45870</v>
      </c>
      <c r="E132" s="151">
        <f>DAY(EOMONTH(RD[[#This Row],[Date]],0))</f>
        <v>31</v>
      </c>
      <c r="F132" s="122"/>
      <c r="G132" s="122"/>
      <c r="H132" s="138"/>
      <c r="I132" s="138"/>
      <c r="J132" s="138"/>
      <c r="K132" s="138"/>
      <c r="L132" s="138"/>
      <c r="M132" s="138"/>
      <c r="N132" s="138"/>
      <c r="O132" s="167"/>
      <c r="P132" s="167"/>
      <c r="Q132" s="58"/>
      <c r="R132" s="58"/>
      <c r="S132" s="58"/>
      <c r="T132" s="58"/>
      <c r="U132" s="58"/>
      <c r="V132" s="58"/>
      <c r="W132" s="58"/>
      <c r="X132" s="58"/>
      <c r="Y132" s="60">
        <f>SUM(RD[[#This Row],[IS1Inv1]:[IS3Inv1]])</f>
        <v>0</v>
      </c>
      <c r="Z132" s="60">
        <f>SUM(RD[[#This Row],[IS4Inv1]:[IS4Inv2]])</f>
        <v>0</v>
      </c>
      <c r="AA132" s="60">
        <f>SUM(RD[[#This Row],[O2RE7]:[O2RE27]])</f>
        <v>0</v>
      </c>
      <c r="AB132" s="153"/>
      <c r="AC132" s="153"/>
      <c r="AD132" s="153"/>
      <c r="AE132" s="153"/>
      <c r="AF132" s="153"/>
      <c r="AG132" s="153"/>
      <c r="AH132" s="153"/>
      <c r="AI132" s="154" t="str">
        <f>IF((RD[[#This Row],[33 kV_F1_Ex]]-AB131)*150000&lt;=0,"",(RD[[#This Row],[33 kV_F1_Ex]]-AB131)*150000)</f>
        <v/>
      </c>
      <c r="AJ132" s="154">
        <f>IF((RD[[#This Row],[33kV_OG1_Ex]]-AC131)*1000&lt;=0,0,(RD[[#This Row],[33kV_OG1_Ex]]-AC131)*1000)</f>
        <v>0</v>
      </c>
      <c r="AK132" s="154">
        <f>IF((RD[[#This Row],[220kV_TL_TVM_Ex]]-AE131)*1600&lt;=0,0,(RD[[#This Row],[220kV_TL_TVM_Ex]]-AE131)*1600)</f>
        <v>0</v>
      </c>
      <c r="AL132" s="154" t="str">
        <f>IF((RD[[#This Row],[220kV_C&amp;R_PQM_Ex]]-AF131)*1000&lt;=0,"",(RD[[#This Row],[220kV_C&amp;R_PQM_Ex]]-AF131)*1000)</f>
        <v/>
      </c>
      <c r="AM132" s="154">
        <f>IF((RD[[#This Row],[33kV_Aux1_Im]]-AH131)*1000&lt;0,"",(RD[[#This Row],[33kV_Aux1_Im]]-AH131)*1000)</f>
        <v>0</v>
      </c>
      <c r="AN132" s="154">
        <f>IF((RD[[#This Row],[33kV_Aux1_Im]]-AH131)*1000&lt;0,"",(RD[[#This Row],[33kV_Aux1_Im]]-AH131)*1000)</f>
        <v>0</v>
      </c>
      <c r="AO132" s="61">
        <f>RD[[#This Row],[33kV_OG1_Energy (KWh)]]</f>
        <v>0</v>
      </c>
      <c r="AP132" s="61">
        <f>IFERROR(RD[[#This Row],[220kV_TL_TVM Energy (KWh)]]-RD[[#This Row],[220kV_C&amp;R_PQM_Imp (KWh)2]],"")</f>
        <v>0</v>
      </c>
      <c r="AQ132" s="63" t="str">
        <f>IFERROR(RD[[#This Row],[33 kV Total Export (KWH)]]/RD[[#This Row],[220 KV Net Export (KWh)]]-1,"")</f>
        <v/>
      </c>
      <c r="AR132" s="64">
        <f>IFERROR((RD[[#This Row],[Sunset Time (POA&lt;20 W/m2)]]-RD[[#This Row],[Sunrise Time (POA&gt;20 W/m2)]])*24,0)</f>
        <v>0</v>
      </c>
      <c r="AS132" s="65">
        <f>RD[[#This Row],[33kV_OG1_Energy (KWh)]]</f>
        <v>0</v>
      </c>
      <c r="AT132" s="65">
        <f>IFERROR(RD[[#This Row],[ Export (33 kV)]]*(1-RD[[#This Row],[33 kV Line Loss (%)]]),RD[[#This Row],[ Export (33 kV)]])</f>
        <v>0</v>
      </c>
      <c r="AU132" s="122"/>
      <c r="AV132" s="122"/>
      <c r="AW132" s="122"/>
      <c r="AX132" t="str">
        <f>IFERROR(RD[[#This Row],[E_AC (WPR)]]/RD[[#This Row],[E_DC (WPR)]],"")</f>
        <v/>
      </c>
    </row>
    <row r="133" spans="1:50">
      <c r="A133" s="148">
        <f t="shared" si="49"/>
        <v>45873</v>
      </c>
      <c r="B133" s="151">
        <f>YEAR(RD[[#This Row],[Date]])+IF(MONTH(RD[[#This Row],[Date]])&gt;=4,1,0)</f>
        <v>2026</v>
      </c>
      <c r="C133" s="151">
        <f>YEAR(RD[[#This Row],[Date]])</f>
        <v>2025</v>
      </c>
      <c r="D133" s="152">
        <f t="shared" si="48"/>
        <v>45870</v>
      </c>
      <c r="E133" s="151">
        <f>DAY(EOMONTH(RD[[#This Row],[Date]],0))</f>
        <v>31</v>
      </c>
      <c r="F133" s="122"/>
      <c r="G133" s="122"/>
      <c r="H133" s="138"/>
      <c r="I133" s="138"/>
      <c r="J133" s="138"/>
      <c r="K133" s="138"/>
      <c r="L133" s="138"/>
      <c r="M133" s="138"/>
      <c r="N133" s="138"/>
      <c r="O133" s="167"/>
      <c r="P133" s="167"/>
      <c r="Q133" s="58"/>
      <c r="R133" s="58"/>
      <c r="S133" s="58"/>
      <c r="T133" s="58"/>
      <c r="U133" s="58"/>
      <c r="V133" s="58"/>
      <c r="W133" s="58"/>
      <c r="X133" s="58"/>
      <c r="Y133" s="60">
        <f>SUM(RD[[#This Row],[IS1Inv1]:[IS3Inv1]])</f>
        <v>0</v>
      </c>
      <c r="Z133" s="60">
        <f>SUM(RD[[#This Row],[IS4Inv1]:[IS4Inv2]])</f>
        <v>0</v>
      </c>
      <c r="AA133" s="60">
        <f>SUM(RD[[#This Row],[O2RE7]:[O2RE27]])</f>
        <v>0</v>
      </c>
      <c r="AB133" s="153"/>
      <c r="AC133" s="153"/>
      <c r="AD133" s="153"/>
      <c r="AE133" s="153"/>
      <c r="AF133" s="153"/>
      <c r="AG133" s="153"/>
      <c r="AH133" s="153"/>
      <c r="AI133" s="154" t="str">
        <f>IF((RD[[#This Row],[33 kV_F1_Ex]]-AB132)*150000&lt;=0,"",(RD[[#This Row],[33 kV_F1_Ex]]-AB132)*150000)</f>
        <v/>
      </c>
      <c r="AJ133" s="154">
        <f>IF((RD[[#This Row],[33kV_OG1_Ex]]-AC132)*1000&lt;=0,0,(RD[[#This Row],[33kV_OG1_Ex]]-AC132)*1000)</f>
        <v>0</v>
      </c>
      <c r="AK133" s="154">
        <f>IF((RD[[#This Row],[220kV_TL_TVM_Ex]]-AE132)*1600&lt;=0,0,(RD[[#This Row],[220kV_TL_TVM_Ex]]-AE132)*1600)</f>
        <v>0</v>
      </c>
      <c r="AL133" s="154" t="str">
        <f>IF((RD[[#This Row],[220kV_C&amp;R_PQM_Ex]]-AF132)*1000&lt;=0,"",(RD[[#This Row],[220kV_C&amp;R_PQM_Ex]]-AF132)*1000)</f>
        <v/>
      </c>
      <c r="AM133" s="154">
        <f>IF((RD[[#This Row],[33kV_Aux1_Im]]-AH132)*1000&lt;0,"",(RD[[#This Row],[33kV_Aux1_Im]]-AH132)*1000)</f>
        <v>0</v>
      </c>
      <c r="AN133" s="154">
        <f>IF((RD[[#This Row],[33kV_Aux1_Im]]-AH132)*1000&lt;0,"",(RD[[#This Row],[33kV_Aux1_Im]]-AH132)*1000)</f>
        <v>0</v>
      </c>
      <c r="AO133" s="61">
        <f>RD[[#This Row],[33kV_OG1_Energy (KWh)]]</f>
        <v>0</v>
      </c>
      <c r="AP133" s="61">
        <f>IFERROR(RD[[#This Row],[220kV_TL_TVM Energy (KWh)]]-RD[[#This Row],[220kV_C&amp;R_PQM_Imp (KWh)2]],"")</f>
        <v>0</v>
      </c>
      <c r="AQ133" s="63" t="str">
        <f>IFERROR(RD[[#This Row],[33 kV Total Export (KWH)]]/RD[[#This Row],[220 KV Net Export (KWh)]]-1,"")</f>
        <v/>
      </c>
      <c r="AR133" s="64">
        <f>IFERROR((RD[[#This Row],[Sunset Time (POA&lt;20 W/m2)]]-RD[[#This Row],[Sunrise Time (POA&gt;20 W/m2)]])*24,0)</f>
        <v>0</v>
      </c>
      <c r="AS133" s="65">
        <f>RD[[#This Row],[33kV_OG1_Energy (KWh)]]</f>
        <v>0</v>
      </c>
      <c r="AT133" s="65">
        <f>IFERROR(RD[[#This Row],[ Export (33 kV)]]*(1-RD[[#This Row],[33 kV Line Loss (%)]]),RD[[#This Row],[ Export (33 kV)]])</f>
        <v>0</v>
      </c>
      <c r="AU133" s="122"/>
      <c r="AV133" s="122"/>
      <c r="AW133" s="122"/>
      <c r="AX133" t="str">
        <f>IFERROR(RD[[#This Row],[E_AC (WPR)]]/RD[[#This Row],[E_DC (WPR)]],"")</f>
        <v/>
      </c>
    </row>
    <row r="134" spans="1:50">
      <c r="A134" s="148">
        <f t="shared" si="49"/>
        <v>45874</v>
      </c>
      <c r="B134" s="151">
        <f>YEAR(RD[[#This Row],[Date]])+IF(MONTH(RD[[#This Row],[Date]])&gt;=4,1,0)</f>
        <v>2026</v>
      </c>
      <c r="C134" s="151">
        <f>YEAR(RD[[#This Row],[Date]])</f>
        <v>2025</v>
      </c>
      <c r="D134" s="152">
        <f t="shared" si="48"/>
        <v>45870</v>
      </c>
      <c r="E134" s="151">
        <f>DAY(EOMONTH(RD[[#This Row],[Date]],0))</f>
        <v>31</v>
      </c>
      <c r="F134" s="122"/>
      <c r="G134" s="122"/>
      <c r="H134" s="138"/>
      <c r="I134" s="138"/>
      <c r="J134" s="138"/>
      <c r="K134" s="138"/>
      <c r="L134" s="138"/>
      <c r="M134" s="138"/>
      <c r="N134" s="138"/>
      <c r="O134" s="167"/>
      <c r="P134" s="167"/>
      <c r="Q134" s="58"/>
      <c r="R134" s="58"/>
      <c r="S134" s="58"/>
      <c r="T134" s="58"/>
      <c r="U134" s="58"/>
      <c r="V134" s="58"/>
      <c r="W134" s="58"/>
      <c r="X134" s="58"/>
      <c r="Y134" s="60">
        <f>SUM(RD[[#This Row],[IS1Inv1]:[IS3Inv1]])</f>
        <v>0</v>
      </c>
      <c r="Z134" s="60">
        <f>SUM(RD[[#This Row],[IS4Inv1]:[IS4Inv2]])</f>
        <v>0</v>
      </c>
      <c r="AA134" s="60">
        <f>SUM(RD[[#This Row],[O2RE7]:[O2RE27]])</f>
        <v>0</v>
      </c>
      <c r="AB134" s="153"/>
      <c r="AC134" s="153"/>
      <c r="AD134" s="153"/>
      <c r="AE134" s="153"/>
      <c r="AF134" s="153"/>
      <c r="AG134" s="153"/>
      <c r="AH134" s="153"/>
      <c r="AI134" s="154" t="str">
        <f>IF((RD[[#This Row],[33 kV_F1_Ex]]-AB133)*150000&lt;=0,"",(RD[[#This Row],[33 kV_F1_Ex]]-AB133)*150000)</f>
        <v/>
      </c>
      <c r="AJ134" s="154">
        <f>IF((RD[[#This Row],[33kV_OG1_Ex]]-AC133)*1000&lt;=0,0,(RD[[#This Row],[33kV_OG1_Ex]]-AC133)*1000)</f>
        <v>0</v>
      </c>
      <c r="AK134" s="154">
        <f>IF((RD[[#This Row],[220kV_TL_TVM_Ex]]-AE133)*1600&lt;=0,0,(RD[[#This Row],[220kV_TL_TVM_Ex]]-AE133)*1600)</f>
        <v>0</v>
      </c>
      <c r="AL134" s="154" t="str">
        <f>IF((RD[[#This Row],[220kV_C&amp;R_PQM_Ex]]-AF133)*1000&lt;=0,"",(RD[[#This Row],[220kV_C&amp;R_PQM_Ex]]-AF133)*1000)</f>
        <v/>
      </c>
      <c r="AM134" s="154">
        <f>IF((RD[[#This Row],[33kV_Aux1_Im]]-AH133)*1000&lt;0,"",(RD[[#This Row],[33kV_Aux1_Im]]-AH133)*1000)</f>
        <v>0</v>
      </c>
      <c r="AN134" s="154">
        <f>IF((RD[[#This Row],[33kV_Aux1_Im]]-AH133)*1000&lt;0,"",(RD[[#This Row],[33kV_Aux1_Im]]-AH133)*1000)</f>
        <v>0</v>
      </c>
      <c r="AO134" s="61">
        <f>RD[[#This Row],[33kV_OG1_Energy (KWh)]]</f>
        <v>0</v>
      </c>
      <c r="AP134" s="61">
        <f>IFERROR(RD[[#This Row],[220kV_TL_TVM Energy (KWh)]]-RD[[#This Row],[220kV_C&amp;R_PQM_Imp (KWh)2]],"")</f>
        <v>0</v>
      </c>
      <c r="AQ134" s="63" t="str">
        <f>IFERROR(RD[[#This Row],[33 kV Total Export (KWH)]]/RD[[#This Row],[220 KV Net Export (KWh)]]-1,"")</f>
        <v/>
      </c>
      <c r="AR134" s="64">
        <f>IFERROR((RD[[#This Row],[Sunset Time (POA&lt;20 W/m2)]]-RD[[#This Row],[Sunrise Time (POA&gt;20 W/m2)]])*24,0)</f>
        <v>0</v>
      </c>
      <c r="AS134" s="65">
        <f>RD[[#This Row],[33kV_OG1_Energy (KWh)]]</f>
        <v>0</v>
      </c>
      <c r="AT134" s="65">
        <f>IFERROR(RD[[#This Row],[ Export (33 kV)]]*(1-RD[[#This Row],[33 kV Line Loss (%)]]),RD[[#This Row],[ Export (33 kV)]])</f>
        <v>0</v>
      </c>
      <c r="AU134" s="122"/>
      <c r="AV134" s="122"/>
      <c r="AW134" s="122"/>
      <c r="AX134" t="str">
        <f>IFERROR(RD[[#This Row],[E_AC (WPR)]]/RD[[#This Row],[E_DC (WPR)]],"")</f>
        <v/>
      </c>
    </row>
    <row r="135" spans="1:50">
      <c r="A135" s="148">
        <f t="shared" si="49"/>
        <v>45875</v>
      </c>
      <c r="B135" s="151">
        <f>YEAR(RD[[#This Row],[Date]])+IF(MONTH(RD[[#This Row],[Date]])&gt;=4,1,0)</f>
        <v>2026</v>
      </c>
      <c r="C135" s="151">
        <f>YEAR(RD[[#This Row],[Date]])</f>
        <v>2025</v>
      </c>
      <c r="D135" s="152">
        <f t="shared" si="48"/>
        <v>45870</v>
      </c>
      <c r="E135" s="151">
        <f>DAY(EOMONTH(RD[[#This Row],[Date]],0))</f>
        <v>31</v>
      </c>
      <c r="F135" s="122"/>
      <c r="G135" s="122"/>
      <c r="H135" s="138"/>
      <c r="I135" s="138"/>
      <c r="J135" s="138"/>
      <c r="K135" s="138"/>
      <c r="L135" s="138"/>
      <c r="M135" s="138"/>
      <c r="N135" s="138"/>
      <c r="O135" s="167"/>
      <c r="P135" s="167"/>
      <c r="Q135" s="58"/>
      <c r="R135" s="58"/>
      <c r="S135" s="58"/>
      <c r="T135" s="58"/>
      <c r="U135" s="58"/>
      <c r="V135" s="58"/>
      <c r="W135" s="58"/>
      <c r="X135" s="58"/>
      <c r="Y135" s="60">
        <f>SUM(RD[[#This Row],[IS1Inv1]:[IS3Inv1]])</f>
        <v>0</v>
      </c>
      <c r="Z135" s="60">
        <f>SUM(RD[[#This Row],[IS4Inv1]:[IS4Inv2]])</f>
        <v>0</v>
      </c>
      <c r="AA135" s="60">
        <f>SUM(RD[[#This Row],[O2RE7]:[O2RE27]])</f>
        <v>0</v>
      </c>
      <c r="AB135" s="153"/>
      <c r="AC135" s="153"/>
      <c r="AD135" s="153"/>
      <c r="AE135" s="153"/>
      <c r="AF135" s="153"/>
      <c r="AG135" s="153"/>
      <c r="AH135" s="153"/>
      <c r="AI135" s="154" t="str">
        <f>IF((RD[[#This Row],[33 kV_F1_Ex]]-AB134)*150000&lt;=0,"",(RD[[#This Row],[33 kV_F1_Ex]]-AB134)*150000)</f>
        <v/>
      </c>
      <c r="AJ135" s="154">
        <f>IF((RD[[#This Row],[33kV_OG1_Ex]]-AC134)*1000&lt;=0,0,(RD[[#This Row],[33kV_OG1_Ex]]-AC134)*1000)</f>
        <v>0</v>
      </c>
      <c r="AK135" s="154">
        <f>IF((RD[[#This Row],[220kV_TL_TVM_Ex]]-AE134)*1600&lt;=0,0,(RD[[#This Row],[220kV_TL_TVM_Ex]]-AE134)*1600)</f>
        <v>0</v>
      </c>
      <c r="AL135" s="154" t="str">
        <f>IF((RD[[#This Row],[220kV_C&amp;R_PQM_Ex]]-AF134)*1000&lt;=0,"",(RD[[#This Row],[220kV_C&amp;R_PQM_Ex]]-AF134)*1000)</f>
        <v/>
      </c>
      <c r="AM135" s="154">
        <f>IF((RD[[#This Row],[33kV_Aux1_Im]]-AH134)*1000&lt;0,"",(RD[[#This Row],[33kV_Aux1_Im]]-AH134)*1000)</f>
        <v>0</v>
      </c>
      <c r="AN135" s="154">
        <f>IF((RD[[#This Row],[33kV_Aux1_Im]]-AH134)*1000&lt;0,"",(RD[[#This Row],[33kV_Aux1_Im]]-AH134)*1000)</f>
        <v>0</v>
      </c>
      <c r="AO135" s="61">
        <f>RD[[#This Row],[33kV_OG1_Energy (KWh)]]</f>
        <v>0</v>
      </c>
      <c r="AP135" s="61">
        <f>IFERROR(RD[[#This Row],[220kV_TL_TVM Energy (KWh)]]-RD[[#This Row],[220kV_C&amp;R_PQM_Imp (KWh)2]],"")</f>
        <v>0</v>
      </c>
      <c r="AQ135" s="63" t="str">
        <f>IFERROR(RD[[#This Row],[33 kV Total Export (KWH)]]/RD[[#This Row],[220 KV Net Export (KWh)]]-1,"")</f>
        <v/>
      </c>
      <c r="AR135" s="64">
        <f>IFERROR((RD[[#This Row],[Sunset Time (POA&lt;20 W/m2)]]-RD[[#This Row],[Sunrise Time (POA&gt;20 W/m2)]])*24,0)</f>
        <v>0</v>
      </c>
      <c r="AS135" s="65">
        <f>RD[[#This Row],[33kV_OG1_Energy (KWh)]]</f>
        <v>0</v>
      </c>
      <c r="AT135" s="65">
        <f>IFERROR(RD[[#This Row],[ Export (33 kV)]]*(1-RD[[#This Row],[33 kV Line Loss (%)]]),RD[[#This Row],[ Export (33 kV)]])</f>
        <v>0</v>
      </c>
      <c r="AU135" s="122"/>
      <c r="AV135" s="122"/>
      <c r="AW135" s="122"/>
      <c r="AX135" t="str">
        <f>IFERROR(RD[[#This Row],[E_AC (WPR)]]/RD[[#This Row],[E_DC (WPR)]],"")</f>
        <v/>
      </c>
    </row>
    <row r="136" spans="1:50">
      <c r="A136" s="148">
        <f t="shared" si="49"/>
        <v>45876</v>
      </c>
      <c r="B136" s="151">
        <f>YEAR(RD[[#This Row],[Date]])+IF(MONTH(RD[[#This Row],[Date]])&gt;=4,1,0)</f>
        <v>2026</v>
      </c>
      <c r="C136" s="151">
        <f>YEAR(RD[[#This Row],[Date]])</f>
        <v>2025</v>
      </c>
      <c r="D136" s="152">
        <f t="shared" si="48"/>
        <v>45870</v>
      </c>
      <c r="E136" s="151">
        <f>DAY(EOMONTH(RD[[#This Row],[Date]],0))</f>
        <v>31</v>
      </c>
      <c r="F136" s="122"/>
      <c r="G136" s="122"/>
      <c r="H136" s="138"/>
      <c r="I136" s="138"/>
      <c r="J136" s="138"/>
      <c r="K136" s="138"/>
      <c r="L136" s="138"/>
      <c r="M136" s="138"/>
      <c r="N136" s="138"/>
      <c r="O136" s="167"/>
      <c r="P136" s="167"/>
      <c r="Q136" s="58"/>
      <c r="R136" s="58"/>
      <c r="S136" s="58"/>
      <c r="T136" s="58"/>
      <c r="U136" s="58"/>
      <c r="V136" s="58"/>
      <c r="W136" s="58"/>
      <c r="X136" s="58"/>
      <c r="Y136" s="60">
        <f>SUM(RD[[#This Row],[IS1Inv1]:[IS3Inv1]])</f>
        <v>0</v>
      </c>
      <c r="Z136" s="60">
        <f>SUM(RD[[#This Row],[IS4Inv1]:[IS4Inv2]])</f>
        <v>0</v>
      </c>
      <c r="AA136" s="60">
        <f>SUM(RD[[#This Row],[O2RE7]:[O2RE27]])</f>
        <v>0</v>
      </c>
      <c r="AB136" s="153"/>
      <c r="AC136" s="153"/>
      <c r="AD136" s="153"/>
      <c r="AE136" s="153"/>
      <c r="AF136" s="153"/>
      <c r="AG136" s="153"/>
      <c r="AH136" s="153"/>
      <c r="AI136" s="154" t="str">
        <f>IF((RD[[#This Row],[33 kV_F1_Ex]]-AB135)*150000&lt;=0,"",(RD[[#This Row],[33 kV_F1_Ex]]-AB135)*150000)</f>
        <v/>
      </c>
      <c r="AJ136" s="154">
        <f>IF((RD[[#This Row],[33kV_OG1_Ex]]-AC135)*1000&lt;=0,0,(RD[[#This Row],[33kV_OG1_Ex]]-AC135)*1000)</f>
        <v>0</v>
      </c>
      <c r="AK136" s="154">
        <f>IF((RD[[#This Row],[220kV_TL_TVM_Ex]]-AE135)*1600&lt;=0,0,(RD[[#This Row],[220kV_TL_TVM_Ex]]-AE135)*1600)</f>
        <v>0</v>
      </c>
      <c r="AL136" s="154" t="str">
        <f>IF((RD[[#This Row],[220kV_C&amp;R_PQM_Ex]]-AF135)*1000&lt;=0,"",(RD[[#This Row],[220kV_C&amp;R_PQM_Ex]]-AF135)*1000)</f>
        <v/>
      </c>
      <c r="AM136" s="154">
        <f>IF((RD[[#This Row],[33kV_Aux1_Im]]-AH135)*1000&lt;0,"",(RD[[#This Row],[33kV_Aux1_Im]]-AH135)*1000)</f>
        <v>0</v>
      </c>
      <c r="AN136" s="154">
        <f>IF((RD[[#This Row],[33kV_Aux1_Im]]-AH135)*1000&lt;0,"",(RD[[#This Row],[33kV_Aux1_Im]]-AH135)*1000)</f>
        <v>0</v>
      </c>
      <c r="AO136" s="61">
        <f>RD[[#This Row],[33kV_OG1_Energy (KWh)]]</f>
        <v>0</v>
      </c>
      <c r="AP136" s="61">
        <f>IFERROR(RD[[#This Row],[220kV_TL_TVM Energy (KWh)]]-RD[[#This Row],[220kV_C&amp;R_PQM_Imp (KWh)2]],"")</f>
        <v>0</v>
      </c>
      <c r="AQ136" s="63" t="str">
        <f>IFERROR(RD[[#This Row],[33 kV Total Export (KWH)]]/RD[[#This Row],[220 KV Net Export (KWh)]]-1,"")</f>
        <v/>
      </c>
      <c r="AR136" s="64">
        <f>IFERROR((RD[[#This Row],[Sunset Time (POA&lt;20 W/m2)]]-RD[[#This Row],[Sunrise Time (POA&gt;20 W/m2)]])*24,0)</f>
        <v>0</v>
      </c>
      <c r="AS136" s="65">
        <f>RD[[#This Row],[33kV_OG1_Energy (KWh)]]</f>
        <v>0</v>
      </c>
      <c r="AT136" s="65">
        <f>IFERROR(RD[[#This Row],[ Export (33 kV)]]*(1-RD[[#This Row],[33 kV Line Loss (%)]]),RD[[#This Row],[ Export (33 kV)]])</f>
        <v>0</v>
      </c>
      <c r="AU136" s="122"/>
      <c r="AV136" s="122"/>
      <c r="AW136" s="122"/>
      <c r="AX136" t="str">
        <f>IFERROR(RD[[#This Row],[E_AC (WPR)]]/RD[[#This Row],[E_DC (WPR)]],"")</f>
        <v/>
      </c>
    </row>
    <row r="137" spans="1:50">
      <c r="A137" s="148">
        <f t="shared" si="49"/>
        <v>45877</v>
      </c>
      <c r="B137" s="151">
        <f>YEAR(RD[[#This Row],[Date]])+IF(MONTH(RD[[#This Row],[Date]])&gt;=4,1,0)</f>
        <v>2026</v>
      </c>
      <c r="C137" s="151">
        <f>YEAR(RD[[#This Row],[Date]])</f>
        <v>2025</v>
      </c>
      <c r="D137" s="152">
        <f t="shared" si="48"/>
        <v>45870</v>
      </c>
      <c r="E137" s="151">
        <f>DAY(EOMONTH(RD[[#This Row],[Date]],0))</f>
        <v>31</v>
      </c>
      <c r="F137" s="122"/>
      <c r="G137" s="122"/>
      <c r="H137" s="138"/>
      <c r="I137" s="138"/>
      <c r="J137" s="138"/>
      <c r="K137" s="138"/>
      <c r="L137" s="138"/>
      <c r="M137" s="138"/>
      <c r="N137" s="138"/>
      <c r="O137" s="167"/>
      <c r="P137" s="167"/>
      <c r="Q137" s="59"/>
      <c r="R137" s="59"/>
      <c r="S137" s="59"/>
      <c r="T137" s="59"/>
      <c r="U137" s="59"/>
      <c r="V137" s="59"/>
      <c r="W137" s="59"/>
      <c r="X137" s="59"/>
      <c r="Y137" s="60">
        <f>SUM(RD[[#This Row],[IS1Inv1]:[IS3Inv1]])</f>
        <v>0</v>
      </c>
      <c r="Z137" s="60">
        <f>SUM(RD[[#This Row],[IS4Inv1]:[IS4Inv2]])</f>
        <v>0</v>
      </c>
      <c r="AA137" s="60">
        <f>SUM(RD[[#This Row],[O2RE7]:[O2RE27]])</f>
        <v>0</v>
      </c>
      <c r="AB137" s="153"/>
      <c r="AC137" s="153"/>
      <c r="AD137" s="153"/>
      <c r="AE137" s="153"/>
      <c r="AF137" s="153"/>
      <c r="AG137" s="153"/>
      <c r="AH137" s="153"/>
      <c r="AI137" s="154" t="str">
        <f>IF((RD[[#This Row],[33 kV_F1_Ex]]-AB136)*150000&lt;=0,"",(RD[[#This Row],[33 kV_F1_Ex]]-AB136)*150000)</f>
        <v/>
      </c>
      <c r="AJ137" s="154">
        <f>IF((RD[[#This Row],[33kV_OG1_Ex]]-AC136)*1000&lt;=0,0,(RD[[#This Row],[33kV_OG1_Ex]]-AC136)*1000)</f>
        <v>0</v>
      </c>
      <c r="AK137" s="154">
        <f>IF((RD[[#This Row],[220kV_TL_TVM_Ex]]-AE136)*1600&lt;=0,0,(RD[[#This Row],[220kV_TL_TVM_Ex]]-AE136)*1600)</f>
        <v>0</v>
      </c>
      <c r="AL137" s="154" t="str">
        <f>IF((RD[[#This Row],[220kV_C&amp;R_PQM_Ex]]-AF136)*1000&lt;=0,"",(RD[[#This Row],[220kV_C&amp;R_PQM_Ex]]-AF136)*1000)</f>
        <v/>
      </c>
      <c r="AM137" s="154">
        <f>IF((RD[[#This Row],[33kV_Aux1_Im]]-AH136)*1000&lt;0,"",(RD[[#This Row],[33kV_Aux1_Im]]-AH136)*1000)</f>
        <v>0</v>
      </c>
      <c r="AN137" s="154">
        <f>IF((RD[[#This Row],[33kV_Aux1_Im]]-AH136)*1000&lt;0,"",(RD[[#This Row],[33kV_Aux1_Im]]-AH136)*1000)</f>
        <v>0</v>
      </c>
      <c r="AO137" s="61">
        <f>RD[[#This Row],[33kV_OG1_Energy (KWh)]]</f>
        <v>0</v>
      </c>
      <c r="AP137" s="61">
        <f>IFERROR(RD[[#This Row],[220kV_TL_TVM Energy (KWh)]]-RD[[#This Row],[220kV_C&amp;R_PQM_Imp (KWh)2]],"")</f>
        <v>0</v>
      </c>
      <c r="AQ137" s="63" t="str">
        <f>IFERROR(RD[[#This Row],[33 kV Total Export (KWH)]]/RD[[#This Row],[220 KV Net Export (KWh)]]-1,"")</f>
        <v/>
      </c>
      <c r="AR137" s="64">
        <f>IFERROR((RD[[#This Row],[Sunset Time (POA&lt;20 W/m2)]]-RD[[#This Row],[Sunrise Time (POA&gt;20 W/m2)]])*24,0)</f>
        <v>0</v>
      </c>
      <c r="AS137" s="65">
        <f>RD[[#This Row],[33kV_OG1_Energy (KWh)]]</f>
        <v>0</v>
      </c>
      <c r="AT137" s="65">
        <f>IFERROR(RD[[#This Row],[ Export (33 kV)]]*(1-RD[[#This Row],[33 kV Line Loss (%)]]),RD[[#This Row],[ Export (33 kV)]])</f>
        <v>0</v>
      </c>
      <c r="AU137" s="122"/>
      <c r="AV137" s="122"/>
      <c r="AW137" s="122"/>
      <c r="AX137" t="str">
        <f>IFERROR(RD[[#This Row],[E_AC (WPR)]]/RD[[#This Row],[E_DC (WPR)]],"")</f>
        <v/>
      </c>
    </row>
    <row r="138" spans="1:50">
      <c r="A138" s="148">
        <f t="shared" si="49"/>
        <v>45878</v>
      </c>
      <c r="B138" s="151">
        <f>YEAR(RD[[#This Row],[Date]])+IF(MONTH(RD[[#This Row],[Date]])&gt;=4,1,0)</f>
        <v>2026</v>
      </c>
      <c r="C138" s="151">
        <f>YEAR(RD[[#This Row],[Date]])</f>
        <v>2025</v>
      </c>
      <c r="D138" s="152">
        <f t="shared" si="48"/>
        <v>45870</v>
      </c>
      <c r="E138" s="151">
        <f>DAY(EOMONTH(RD[[#This Row],[Date]],0))</f>
        <v>31</v>
      </c>
      <c r="F138" s="122"/>
      <c r="G138" s="122"/>
      <c r="H138" s="138"/>
      <c r="I138" s="138"/>
      <c r="J138" s="138"/>
      <c r="K138" s="138"/>
      <c r="L138" s="138"/>
      <c r="M138" s="138"/>
      <c r="N138" s="138"/>
      <c r="O138" s="167"/>
      <c r="P138" s="167"/>
      <c r="Q138" s="59"/>
      <c r="R138" s="59"/>
      <c r="S138" s="59"/>
      <c r="T138" s="59"/>
      <c r="U138" s="59"/>
      <c r="V138" s="59"/>
      <c r="W138" s="59"/>
      <c r="X138" s="59"/>
      <c r="Y138" s="60">
        <f>SUM(RD[[#This Row],[IS1Inv1]:[IS3Inv1]])</f>
        <v>0</v>
      </c>
      <c r="Z138" s="60">
        <f>SUM(RD[[#This Row],[IS4Inv1]:[IS4Inv2]])</f>
        <v>0</v>
      </c>
      <c r="AA138" s="60">
        <f>SUM(RD[[#This Row],[O2RE7]:[O2RE27]])</f>
        <v>0</v>
      </c>
      <c r="AB138" s="153"/>
      <c r="AC138" s="153"/>
      <c r="AD138" s="153"/>
      <c r="AE138" s="153"/>
      <c r="AF138" s="153"/>
      <c r="AG138" s="153"/>
      <c r="AH138" s="153"/>
      <c r="AI138" s="154" t="str">
        <f>IF((RD[[#This Row],[33 kV_F1_Ex]]-AB137)*150000&lt;=0,"",(RD[[#This Row],[33 kV_F1_Ex]]-AB137)*150000)</f>
        <v/>
      </c>
      <c r="AJ138" s="154">
        <f>IF((RD[[#This Row],[33kV_OG1_Ex]]-AC137)*1000&lt;=0,0,(RD[[#This Row],[33kV_OG1_Ex]]-AC137)*1000)</f>
        <v>0</v>
      </c>
      <c r="AK138" s="154">
        <f>IF((RD[[#This Row],[220kV_TL_TVM_Ex]]-AE137)*1600&lt;=0,0,(RD[[#This Row],[220kV_TL_TVM_Ex]]-AE137)*1600)</f>
        <v>0</v>
      </c>
      <c r="AL138" s="154" t="str">
        <f>IF((RD[[#This Row],[220kV_C&amp;R_PQM_Ex]]-AF137)*1000&lt;=0,"",(RD[[#This Row],[220kV_C&amp;R_PQM_Ex]]-AF137)*1000)</f>
        <v/>
      </c>
      <c r="AM138" s="154">
        <f>IF((RD[[#This Row],[33kV_Aux1_Im]]-AH137)*1000&lt;0,"",(RD[[#This Row],[33kV_Aux1_Im]]-AH137)*1000)</f>
        <v>0</v>
      </c>
      <c r="AN138" s="154">
        <f>IF((RD[[#This Row],[33kV_Aux1_Im]]-AH137)*1000&lt;0,"",(RD[[#This Row],[33kV_Aux1_Im]]-AH137)*1000)</f>
        <v>0</v>
      </c>
      <c r="AO138" s="61">
        <f>RD[[#This Row],[33kV_OG1_Energy (KWh)]]</f>
        <v>0</v>
      </c>
      <c r="AP138" s="61">
        <f>IFERROR(RD[[#This Row],[220kV_TL_TVM Energy (KWh)]]-RD[[#This Row],[220kV_C&amp;R_PQM_Imp (KWh)2]],"")</f>
        <v>0</v>
      </c>
      <c r="AQ138" s="63" t="str">
        <f>IFERROR(RD[[#This Row],[33 kV Total Export (KWH)]]/RD[[#This Row],[220 KV Net Export (KWh)]]-1,"")</f>
        <v/>
      </c>
      <c r="AR138" s="64">
        <f>IFERROR((RD[[#This Row],[Sunset Time (POA&lt;20 W/m2)]]-RD[[#This Row],[Sunrise Time (POA&gt;20 W/m2)]])*24,0)</f>
        <v>0</v>
      </c>
      <c r="AS138" s="65">
        <f>RD[[#This Row],[33kV_OG1_Energy (KWh)]]</f>
        <v>0</v>
      </c>
      <c r="AT138" s="65">
        <f>IFERROR(RD[[#This Row],[ Export (33 kV)]]*(1-RD[[#This Row],[33 kV Line Loss (%)]]),RD[[#This Row],[ Export (33 kV)]])</f>
        <v>0</v>
      </c>
      <c r="AU138" s="122"/>
      <c r="AV138" s="122"/>
      <c r="AW138" s="122"/>
      <c r="AX138" t="str">
        <f>IFERROR(RD[[#This Row],[E_AC (WPR)]]/RD[[#This Row],[E_DC (WPR)]],"")</f>
        <v/>
      </c>
    </row>
    <row r="139" spans="1:50">
      <c r="A139" s="148">
        <f t="shared" si="49"/>
        <v>45879</v>
      </c>
      <c r="B139" s="151">
        <f>YEAR(RD[[#This Row],[Date]])+IF(MONTH(RD[[#This Row],[Date]])&gt;=4,1,0)</f>
        <v>2026</v>
      </c>
      <c r="C139" s="151">
        <f>YEAR(RD[[#This Row],[Date]])</f>
        <v>2025</v>
      </c>
      <c r="D139" s="152">
        <f t="shared" si="48"/>
        <v>45870</v>
      </c>
      <c r="E139" s="151">
        <f>DAY(EOMONTH(RD[[#This Row],[Date]],0))</f>
        <v>31</v>
      </c>
      <c r="F139" s="122"/>
      <c r="G139" s="122"/>
      <c r="H139" s="138"/>
      <c r="I139" s="138"/>
      <c r="J139" s="138"/>
      <c r="K139" s="138"/>
      <c r="L139" s="138"/>
      <c r="M139" s="138"/>
      <c r="N139" s="138"/>
      <c r="O139" s="167"/>
      <c r="P139" s="167"/>
      <c r="Q139" s="59"/>
      <c r="R139" s="59"/>
      <c r="S139" s="59"/>
      <c r="T139" s="59"/>
      <c r="U139" s="59"/>
      <c r="V139" s="59"/>
      <c r="W139" s="59"/>
      <c r="X139" s="59"/>
      <c r="Y139" s="60">
        <f>SUM(RD[[#This Row],[IS1Inv1]:[IS3Inv1]])</f>
        <v>0</v>
      </c>
      <c r="Z139" s="60">
        <f>SUM(RD[[#This Row],[IS4Inv1]:[IS4Inv2]])</f>
        <v>0</v>
      </c>
      <c r="AA139" s="60">
        <f>SUM(RD[[#This Row],[O2RE7]:[O2RE27]])</f>
        <v>0</v>
      </c>
      <c r="AB139" s="153"/>
      <c r="AC139" s="153"/>
      <c r="AD139" s="153"/>
      <c r="AE139" s="153"/>
      <c r="AF139" s="153"/>
      <c r="AG139" s="153"/>
      <c r="AH139" s="153"/>
      <c r="AI139" s="154" t="str">
        <f>IF((RD[[#This Row],[33 kV_F1_Ex]]-AB138)*150000&lt;=0,"",(RD[[#This Row],[33 kV_F1_Ex]]-AB138)*150000)</f>
        <v/>
      </c>
      <c r="AJ139" s="154">
        <f>IF((RD[[#This Row],[33kV_OG1_Ex]]-AC138)*1000&lt;=0,0,(RD[[#This Row],[33kV_OG1_Ex]]-AC138)*1000)</f>
        <v>0</v>
      </c>
      <c r="AK139" s="154">
        <f>IF((RD[[#This Row],[220kV_TL_TVM_Ex]]-AE138)*1600&lt;=0,0,(RD[[#This Row],[220kV_TL_TVM_Ex]]-AE138)*1600)</f>
        <v>0</v>
      </c>
      <c r="AL139" s="154" t="str">
        <f>IF((RD[[#This Row],[220kV_C&amp;R_PQM_Ex]]-AF138)*1000&lt;=0,"",(RD[[#This Row],[220kV_C&amp;R_PQM_Ex]]-AF138)*1000)</f>
        <v/>
      </c>
      <c r="AM139" s="154">
        <f>IF((RD[[#This Row],[33kV_Aux1_Im]]-AH138)*1000&lt;0,"",(RD[[#This Row],[33kV_Aux1_Im]]-AH138)*1000)</f>
        <v>0</v>
      </c>
      <c r="AN139" s="154">
        <f>IF((RD[[#This Row],[33kV_Aux1_Im]]-AH138)*1000&lt;0,"",(RD[[#This Row],[33kV_Aux1_Im]]-AH138)*1000)</f>
        <v>0</v>
      </c>
      <c r="AO139" s="61">
        <f>RD[[#This Row],[33kV_OG1_Energy (KWh)]]</f>
        <v>0</v>
      </c>
      <c r="AP139" s="61">
        <f>IFERROR(RD[[#This Row],[220kV_TL_TVM Energy (KWh)]]-RD[[#This Row],[220kV_C&amp;R_PQM_Imp (KWh)2]],"")</f>
        <v>0</v>
      </c>
      <c r="AQ139" s="63" t="str">
        <f>IFERROR(RD[[#This Row],[33 kV Total Export (KWH)]]/RD[[#This Row],[220 KV Net Export (KWh)]]-1,"")</f>
        <v/>
      </c>
      <c r="AR139" s="64">
        <f>IFERROR((RD[[#This Row],[Sunset Time (POA&lt;20 W/m2)]]-RD[[#This Row],[Sunrise Time (POA&gt;20 W/m2)]])*24,0)</f>
        <v>0</v>
      </c>
      <c r="AS139" s="65">
        <f>RD[[#This Row],[33kV_OG1_Energy (KWh)]]</f>
        <v>0</v>
      </c>
      <c r="AT139" s="65">
        <f>IFERROR(RD[[#This Row],[ Export (33 kV)]]*(1-RD[[#This Row],[33 kV Line Loss (%)]]),RD[[#This Row],[ Export (33 kV)]])</f>
        <v>0</v>
      </c>
      <c r="AU139" s="122"/>
      <c r="AV139" s="122"/>
      <c r="AW139" s="122"/>
      <c r="AX139" t="str">
        <f>IFERROR(RD[[#This Row],[E_AC (WPR)]]/RD[[#This Row],[E_DC (WPR)]],"")</f>
        <v/>
      </c>
    </row>
    <row r="140" spans="1:50">
      <c r="A140" s="148">
        <f t="shared" si="49"/>
        <v>45880</v>
      </c>
      <c r="B140" s="151">
        <f>YEAR(RD[[#This Row],[Date]])+IF(MONTH(RD[[#This Row],[Date]])&gt;=4,1,0)</f>
        <v>2026</v>
      </c>
      <c r="C140" s="151">
        <f>YEAR(RD[[#This Row],[Date]])</f>
        <v>2025</v>
      </c>
      <c r="D140" s="152">
        <f t="shared" si="48"/>
        <v>45870</v>
      </c>
      <c r="E140" s="151">
        <f>DAY(EOMONTH(RD[[#This Row],[Date]],0))</f>
        <v>31</v>
      </c>
      <c r="F140" s="122"/>
      <c r="G140" s="122"/>
      <c r="H140" s="138"/>
      <c r="I140" s="138"/>
      <c r="J140" s="138"/>
      <c r="K140" s="138"/>
      <c r="L140" s="138"/>
      <c r="M140" s="138"/>
      <c r="N140" s="138"/>
      <c r="O140" s="167"/>
      <c r="P140" s="167"/>
      <c r="Q140" s="59"/>
      <c r="R140" s="59"/>
      <c r="S140" s="59"/>
      <c r="T140" s="59"/>
      <c r="U140" s="59"/>
      <c r="V140" s="59"/>
      <c r="W140" s="59"/>
      <c r="X140" s="59"/>
      <c r="Y140" s="60">
        <f>SUM(RD[[#This Row],[IS1Inv1]:[IS3Inv1]])</f>
        <v>0</v>
      </c>
      <c r="Z140" s="60">
        <f>SUM(RD[[#This Row],[IS4Inv1]:[IS4Inv2]])</f>
        <v>0</v>
      </c>
      <c r="AA140" s="60">
        <f>SUM(RD[[#This Row],[O2RE7]:[O2RE27]])</f>
        <v>0</v>
      </c>
      <c r="AB140" s="153"/>
      <c r="AC140" s="153"/>
      <c r="AD140" s="153"/>
      <c r="AE140" s="153"/>
      <c r="AF140" s="153"/>
      <c r="AG140" s="153"/>
      <c r="AH140" s="153"/>
      <c r="AI140" s="154" t="str">
        <f>IF((RD[[#This Row],[33 kV_F1_Ex]]-AB139)*150000&lt;=0,"",(RD[[#This Row],[33 kV_F1_Ex]]-AB139)*150000)</f>
        <v/>
      </c>
      <c r="AJ140" s="154">
        <f>IF((RD[[#This Row],[33kV_OG1_Ex]]-AC139)*1000&lt;=0,0,(RD[[#This Row],[33kV_OG1_Ex]]-AC139)*1000)</f>
        <v>0</v>
      </c>
      <c r="AK140" s="154">
        <f>IF((RD[[#This Row],[220kV_TL_TVM_Ex]]-AE139)*1600&lt;=0,0,(RD[[#This Row],[220kV_TL_TVM_Ex]]-AE139)*1600)</f>
        <v>0</v>
      </c>
      <c r="AL140" s="154" t="str">
        <f>IF((RD[[#This Row],[220kV_C&amp;R_PQM_Ex]]-AF139)*1000&lt;=0,"",(RD[[#This Row],[220kV_C&amp;R_PQM_Ex]]-AF139)*1000)</f>
        <v/>
      </c>
      <c r="AM140" s="154">
        <f>IF((RD[[#This Row],[33kV_Aux1_Im]]-AH139)*1000&lt;0,"",(RD[[#This Row],[33kV_Aux1_Im]]-AH139)*1000)</f>
        <v>0</v>
      </c>
      <c r="AN140" s="154">
        <f>IF((RD[[#This Row],[33kV_Aux1_Im]]-AH139)*1000&lt;0,"",(RD[[#This Row],[33kV_Aux1_Im]]-AH139)*1000)</f>
        <v>0</v>
      </c>
      <c r="AO140" s="61">
        <f>RD[[#This Row],[33kV_OG1_Energy (KWh)]]</f>
        <v>0</v>
      </c>
      <c r="AP140" s="61">
        <f>IFERROR(RD[[#This Row],[220kV_TL_TVM Energy (KWh)]]-RD[[#This Row],[220kV_C&amp;R_PQM_Imp (KWh)2]],"")</f>
        <v>0</v>
      </c>
      <c r="AQ140" s="63" t="str">
        <f>IFERROR(RD[[#This Row],[33 kV Total Export (KWH)]]/RD[[#This Row],[220 KV Net Export (KWh)]]-1,"")</f>
        <v/>
      </c>
      <c r="AR140" s="64">
        <f>IFERROR((RD[[#This Row],[Sunset Time (POA&lt;20 W/m2)]]-RD[[#This Row],[Sunrise Time (POA&gt;20 W/m2)]])*24,0)</f>
        <v>0</v>
      </c>
      <c r="AS140" s="65">
        <f>RD[[#This Row],[33kV_OG1_Energy (KWh)]]</f>
        <v>0</v>
      </c>
      <c r="AT140" s="65">
        <f>IFERROR(RD[[#This Row],[ Export (33 kV)]]*(1-RD[[#This Row],[33 kV Line Loss (%)]]),RD[[#This Row],[ Export (33 kV)]])</f>
        <v>0</v>
      </c>
      <c r="AU140" s="122"/>
      <c r="AV140" s="122"/>
      <c r="AW140" s="122"/>
      <c r="AX140" t="str">
        <f>IFERROR(RD[[#This Row],[E_AC (WPR)]]/RD[[#This Row],[E_DC (WPR)]],"")</f>
        <v/>
      </c>
    </row>
    <row r="141" spans="1:50">
      <c r="A141" s="148">
        <f t="shared" si="49"/>
        <v>45881</v>
      </c>
      <c r="B141" s="151">
        <f>YEAR(RD[[#This Row],[Date]])+IF(MONTH(RD[[#This Row],[Date]])&gt;=4,1,0)</f>
        <v>2026</v>
      </c>
      <c r="C141" s="151">
        <f>YEAR(RD[[#This Row],[Date]])</f>
        <v>2025</v>
      </c>
      <c r="D141" s="152">
        <f t="shared" ref="D141:D204" si="50">A141-DAY(A141)+1</f>
        <v>45870</v>
      </c>
      <c r="E141" s="151">
        <f>DAY(EOMONTH(RD[[#This Row],[Date]],0))</f>
        <v>31</v>
      </c>
      <c r="F141" s="122"/>
      <c r="G141" s="122"/>
      <c r="H141" s="138"/>
      <c r="I141" s="138"/>
      <c r="J141" s="138"/>
      <c r="K141" s="138"/>
      <c r="L141" s="138"/>
      <c r="M141" s="138"/>
      <c r="N141" s="138"/>
      <c r="O141" s="167"/>
      <c r="P141" s="167"/>
      <c r="Q141" s="59"/>
      <c r="R141" s="59"/>
      <c r="S141" s="59"/>
      <c r="T141" s="59"/>
      <c r="U141" s="59"/>
      <c r="V141" s="59"/>
      <c r="W141" s="59"/>
      <c r="X141" s="59"/>
      <c r="Y141" s="60">
        <f>SUM(RD[[#This Row],[IS1Inv1]:[IS3Inv1]])</f>
        <v>0</v>
      </c>
      <c r="Z141" s="60">
        <f>SUM(RD[[#This Row],[IS4Inv1]:[IS4Inv2]])</f>
        <v>0</v>
      </c>
      <c r="AA141" s="60">
        <f>SUM(RD[[#This Row],[O2RE7]:[O2RE27]])</f>
        <v>0</v>
      </c>
      <c r="AB141" s="153"/>
      <c r="AC141" s="153"/>
      <c r="AD141" s="153"/>
      <c r="AE141" s="153"/>
      <c r="AF141" s="153"/>
      <c r="AG141" s="153"/>
      <c r="AH141" s="153"/>
      <c r="AI141" s="154" t="str">
        <f>IF((RD[[#This Row],[33 kV_F1_Ex]]-AB140)*150000&lt;=0,"",(RD[[#This Row],[33 kV_F1_Ex]]-AB140)*150000)</f>
        <v/>
      </c>
      <c r="AJ141" s="154">
        <f>IF((RD[[#This Row],[33kV_OG1_Ex]]-AC140)*1000&lt;=0,0,(RD[[#This Row],[33kV_OG1_Ex]]-AC140)*1000)</f>
        <v>0</v>
      </c>
      <c r="AK141" s="154">
        <f>IF((RD[[#This Row],[220kV_TL_TVM_Ex]]-AE140)*1600&lt;=0,0,(RD[[#This Row],[220kV_TL_TVM_Ex]]-AE140)*1600)</f>
        <v>0</v>
      </c>
      <c r="AL141" s="154" t="str">
        <f>IF((RD[[#This Row],[220kV_C&amp;R_PQM_Ex]]-AF140)*1000&lt;=0,"",(RD[[#This Row],[220kV_C&amp;R_PQM_Ex]]-AF140)*1000)</f>
        <v/>
      </c>
      <c r="AM141" s="154">
        <f>IF((RD[[#This Row],[33kV_Aux1_Im]]-AH140)*1000&lt;0,"",(RD[[#This Row],[33kV_Aux1_Im]]-AH140)*1000)</f>
        <v>0</v>
      </c>
      <c r="AN141" s="154">
        <f>IF((RD[[#This Row],[33kV_Aux1_Im]]-AH140)*1000&lt;0,"",(RD[[#This Row],[33kV_Aux1_Im]]-AH140)*1000)</f>
        <v>0</v>
      </c>
      <c r="AO141" s="61">
        <f>RD[[#This Row],[33kV_OG1_Energy (KWh)]]</f>
        <v>0</v>
      </c>
      <c r="AP141" s="61">
        <f>IFERROR(RD[[#This Row],[220kV_TL_TVM Energy (KWh)]]-RD[[#This Row],[220kV_C&amp;R_PQM_Imp (KWh)2]],"")</f>
        <v>0</v>
      </c>
      <c r="AQ141" s="63" t="str">
        <f>IFERROR(RD[[#This Row],[33 kV Total Export (KWH)]]/RD[[#This Row],[220 KV Net Export (KWh)]]-1,"")</f>
        <v/>
      </c>
      <c r="AR141" s="64">
        <f>IFERROR((RD[[#This Row],[Sunset Time (POA&lt;20 W/m2)]]-RD[[#This Row],[Sunrise Time (POA&gt;20 W/m2)]])*24,0)</f>
        <v>0</v>
      </c>
      <c r="AS141" s="65">
        <f>RD[[#This Row],[33kV_OG1_Energy (KWh)]]</f>
        <v>0</v>
      </c>
      <c r="AT141" s="65">
        <f>IFERROR(RD[[#This Row],[ Export (33 kV)]]*(1-RD[[#This Row],[33 kV Line Loss (%)]]),RD[[#This Row],[ Export (33 kV)]])</f>
        <v>0</v>
      </c>
      <c r="AU141" s="122"/>
      <c r="AV141" s="122"/>
      <c r="AW141" s="122"/>
      <c r="AX141" t="str">
        <f>IFERROR(RD[[#This Row],[E_AC (WPR)]]/RD[[#This Row],[E_DC (WPR)]],"")</f>
        <v/>
      </c>
    </row>
    <row r="142" spans="1:50">
      <c r="A142" s="148">
        <f t="shared" si="49"/>
        <v>45882</v>
      </c>
      <c r="B142" s="151">
        <f>YEAR(RD[[#This Row],[Date]])+IF(MONTH(RD[[#This Row],[Date]])&gt;=4,1,0)</f>
        <v>2026</v>
      </c>
      <c r="C142" s="151">
        <f>YEAR(RD[[#This Row],[Date]])</f>
        <v>2025</v>
      </c>
      <c r="D142" s="152">
        <f t="shared" si="50"/>
        <v>45870</v>
      </c>
      <c r="E142" s="151">
        <f>DAY(EOMONTH(RD[[#This Row],[Date]],0))</f>
        <v>31</v>
      </c>
      <c r="F142" s="122"/>
      <c r="G142" s="122"/>
      <c r="H142" s="138"/>
      <c r="I142" s="138"/>
      <c r="J142" s="138"/>
      <c r="K142" s="138"/>
      <c r="L142" s="138"/>
      <c r="M142" s="138"/>
      <c r="N142" s="138"/>
      <c r="O142" s="167"/>
      <c r="P142" s="167"/>
      <c r="Q142" s="59"/>
      <c r="R142" s="59"/>
      <c r="S142" s="59"/>
      <c r="T142" s="59"/>
      <c r="U142" s="59"/>
      <c r="V142" s="59"/>
      <c r="W142" s="59"/>
      <c r="X142" s="59"/>
      <c r="Y142" s="60">
        <f>SUM(RD[[#This Row],[IS1Inv1]:[IS3Inv1]])</f>
        <v>0</v>
      </c>
      <c r="Z142" s="60">
        <f>SUM(RD[[#This Row],[IS4Inv1]:[IS4Inv2]])</f>
        <v>0</v>
      </c>
      <c r="AA142" s="60">
        <f>SUM(RD[[#This Row],[O2RE7]:[O2RE27]])</f>
        <v>0</v>
      </c>
      <c r="AB142" s="153"/>
      <c r="AC142" s="153"/>
      <c r="AD142" s="153"/>
      <c r="AE142" s="153"/>
      <c r="AF142" s="153"/>
      <c r="AG142" s="153"/>
      <c r="AH142" s="153"/>
      <c r="AI142" s="154" t="str">
        <f>IF((RD[[#This Row],[33 kV_F1_Ex]]-AB141)*150000&lt;=0,"",(RD[[#This Row],[33 kV_F1_Ex]]-AB141)*150000)</f>
        <v/>
      </c>
      <c r="AJ142" s="154">
        <f>IF((RD[[#This Row],[33kV_OG1_Ex]]-AC141)*1000&lt;=0,0,(RD[[#This Row],[33kV_OG1_Ex]]-AC141)*1000)</f>
        <v>0</v>
      </c>
      <c r="AK142" s="154">
        <f>IF((RD[[#This Row],[220kV_TL_TVM_Ex]]-AE141)*1600&lt;=0,0,(RD[[#This Row],[220kV_TL_TVM_Ex]]-AE141)*1600)</f>
        <v>0</v>
      </c>
      <c r="AL142" s="154" t="str">
        <f>IF((RD[[#This Row],[220kV_C&amp;R_PQM_Ex]]-AF141)*1000&lt;=0,"",(RD[[#This Row],[220kV_C&amp;R_PQM_Ex]]-AF141)*1000)</f>
        <v/>
      </c>
      <c r="AM142" s="154">
        <f>IF((RD[[#This Row],[33kV_Aux1_Im]]-AH141)*1000&lt;0,"",(RD[[#This Row],[33kV_Aux1_Im]]-AH141)*1000)</f>
        <v>0</v>
      </c>
      <c r="AN142" s="154">
        <f>IF((RD[[#This Row],[33kV_Aux1_Im]]-AH141)*1000&lt;0,"",(RD[[#This Row],[33kV_Aux1_Im]]-AH141)*1000)</f>
        <v>0</v>
      </c>
      <c r="AO142" s="61">
        <f>RD[[#This Row],[33kV_OG1_Energy (KWh)]]</f>
        <v>0</v>
      </c>
      <c r="AP142" s="61">
        <f>IFERROR(RD[[#This Row],[220kV_TL_TVM Energy (KWh)]]-RD[[#This Row],[220kV_C&amp;R_PQM_Imp (KWh)2]],"")</f>
        <v>0</v>
      </c>
      <c r="AQ142" s="63" t="str">
        <f>IFERROR(RD[[#This Row],[33 kV Total Export (KWH)]]/RD[[#This Row],[220 KV Net Export (KWh)]]-1,"")</f>
        <v/>
      </c>
      <c r="AR142" s="64">
        <f>IFERROR((RD[[#This Row],[Sunset Time (POA&lt;20 W/m2)]]-RD[[#This Row],[Sunrise Time (POA&gt;20 W/m2)]])*24,0)</f>
        <v>0</v>
      </c>
      <c r="AS142" s="65">
        <f>RD[[#This Row],[33kV_OG1_Energy (KWh)]]</f>
        <v>0</v>
      </c>
      <c r="AT142" s="65">
        <f>IFERROR(RD[[#This Row],[ Export (33 kV)]]*(1-RD[[#This Row],[33 kV Line Loss (%)]]),RD[[#This Row],[ Export (33 kV)]])</f>
        <v>0</v>
      </c>
      <c r="AU142" s="122"/>
      <c r="AV142" s="122"/>
      <c r="AW142" s="122"/>
      <c r="AX142" t="str">
        <f>IFERROR(RD[[#This Row],[E_AC (WPR)]]/RD[[#This Row],[E_DC (WPR)]],"")</f>
        <v/>
      </c>
    </row>
    <row r="143" spans="1:50">
      <c r="A143" s="148">
        <f t="shared" ref="A143:A206" si="51">A142+1</f>
        <v>45883</v>
      </c>
      <c r="B143" s="151">
        <f>YEAR(RD[[#This Row],[Date]])+IF(MONTH(RD[[#This Row],[Date]])&gt;=4,1,0)</f>
        <v>2026</v>
      </c>
      <c r="C143" s="151">
        <f>YEAR(RD[[#This Row],[Date]])</f>
        <v>2025</v>
      </c>
      <c r="D143" s="152">
        <f t="shared" si="50"/>
        <v>45870</v>
      </c>
      <c r="E143" s="151">
        <f>DAY(EOMONTH(RD[[#This Row],[Date]],0))</f>
        <v>31</v>
      </c>
      <c r="F143" s="122"/>
      <c r="G143" s="122"/>
      <c r="H143" s="138"/>
      <c r="I143" s="138"/>
      <c r="J143" s="138"/>
      <c r="K143" s="138"/>
      <c r="L143" s="138"/>
      <c r="M143" s="138"/>
      <c r="N143" s="138"/>
      <c r="O143" s="167"/>
      <c r="P143" s="167"/>
      <c r="Q143" s="59"/>
      <c r="R143" s="59"/>
      <c r="S143" s="59"/>
      <c r="T143" s="59"/>
      <c r="U143" s="59"/>
      <c r="V143" s="59"/>
      <c r="W143" s="59"/>
      <c r="X143" s="59"/>
      <c r="Y143" s="60">
        <f>SUM(RD[[#This Row],[IS1Inv1]:[IS3Inv1]])</f>
        <v>0</v>
      </c>
      <c r="Z143" s="60">
        <f>SUM(RD[[#This Row],[IS4Inv1]:[IS4Inv2]])</f>
        <v>0</v>
      </c>
      <c r="AA143" s="60">
        <f>SUM(RD[[#This Row],[O2RE7]:[O2RE27]])</f>
        <v>0</v>
      </c>
      <c r="AB143" s="153"/>
      <c r="AC143" s="153"/>
      <c r="AD143" s="153"/>
      <c r="AE143" s="153"/>
      <c r="AF143" s="153"/>
      <c r="AG143" s="153"/>
      <c r="AH143" s="153"/>
      <c r="AI143" s="154" t="str">
        <f>IF((RD[[#This Row],[33 kV_F1_Ex]]-AB142)*150000&lt;=0,"",(RD[[#This Row],[33 kV_F1_Ex]]-AB142)*150000)</f>
        <v/>
      </c>
      <c r="AJ143" s="154">
        <f>IF((RD[[#This Row],[33kV_OG1_Ex]]-AC142)*1000&lt;=0,0,(RD[[#This Row],[33kV_OG1_Ex]]-AC142)*1000)</f>
        <v>0</v>
      </c>
      <c r="AK143" s="154">
        <f>IF((RD[[#This Row],[220kV_TL_TVM_Ex]]-AE142)*1600&lt;=0,0,(RD[[#This Row],[220kV_TL_TVM_Ex]]-AE142)*1600)</f>
        <v>0</v>
      </c>
      <c r="AL143" s="154" t="str">
        <f>IF((RD[[#This Row],[220kV_C&amp;R_PQM_Ex]]-AF142)*1000&lt;=0,"",(RD[[#This Row],[220kV_C&amp;R_PQM_Ex]]-AF142)*1000)</f>
        <v/>
      </c>
      <c r="AM143" s="154">
        <f>IF((RD[[#This Row],[33kV_Aux1_Im]]-AH142)*1000&lt;0,"",(RD[[#This Row],[33kV_Aux1_Im]]-AH142)*1000)</f>
        <v>0</v>
      </c>
      <c r="AN143" s="154">
        <f>IF((RD[[#This Row],[33kV_Aux1_Im]]-AH142)*1000&lt;0,"",(RD[[#This Row],[33kV_Aux1_Im]]-AH142)*1000)</f>
        <v>0</v>
      </c>
      <c r="AO143" s="61">
        <f>RD[[#This Row],[33kV_OG1_Energy (KWh)]]</f>
        <v>0</v>
      </c>
      <c r="AP143" s="61">
        <f>IFERROR(RD[[#This Row],[220kV_TL_TVM Energy (KWh)]]-RD[[#This Row],[220kV_C&amp;R_PQM_Imp (KWh)2]],"")</f>
        <v>0</v>
      </c>
      <c r="AQ143" s="63" t="str">
        <f>IFERROR(RD[[#This Row],[33 kV Total Export (KWH)]]/RD[[#This Row],[220 KV Net Export (KWh)]]-1,"")</f>
        <v/>
      </c>
      <c r="AR143" s="64">
        <f>IFERROR((RD[[#This Row],[Sunset Time (POA&lt;20 W/m2)]]-RD[[#This Row],[Sunrise Time (POA&gt;20 W/m2)]])*24,0)</f>
        <v>0</v>
      </c>
      <c r="AS143" s="65">
        <f>RD[[#This Row],[33kV_OG1_Energy (KWh)]]</f>
        <v>0</v>
      </c>
      <c r="AT143" s="65">
        <f>IFERROR(RD[[#This Row],[ Export (33 kV)]]*(1-RD[[#This Row],[33 kV Line Loss (%)]]),RD[[#This Row],[ Export (33 kV)]])</f>
        <v>0</v>
      </c>
      <c r="AU143" s="122"/>
      <c r="AV143" s="122"/>
      <c r="AW143" s="122"/>
      <c r="AX143" t="str">
        <f>IFERROR(RD[[#This Row],[E_AC (WPR)]]/RD[[#This Row],[E_DC (WPR)]],"")</f>
        <v/>
      </c>
    </row>
    <row r="144" spans="1:50">
      <c r="A144" s="148">
        <f t="shared" si="51"/>
        <v>45884</v>
      </c>
      <c r="B144" s="151">
        <f>YEAR(RD[[#This Row],[Date]])+IF(MONTH(RD[[#This Row],[Date]])&gt;=4,1,0)</f>
        <v>2026</v>
      </c>
      <c r="C144" s="151">
        <f>YEAR(RD[[#This Row],[Date]])</f>
        <v>2025</v>
      </c>
      <c r="D144" s="152">
        <f t="shared" si="50"/>
        <v>45870</v>
      </c>
      <c r="E144" s="151">
        <f>DAY(EOMONTH(RD[[#This Row],[Date]],0))</f>
        <v>31</v>
      </c>
      <c r="F144" s="122"/>
      <c r="G144" s="122"/>
      <c r="H144" s="138"/>
      <c r="I144" s="138"/>
      <c r="J144" s="138"/>
      <c r="K144" s="138"/>
      <c r="L144" s="138"/>
      <c r="M144" s="138"/>
      <c r="N144" s="138"/>
      <c r="O144" s="167"/>
      <c r="P144" s="167"/>
      <c r="Q144" s="59"/>
      <c r="R144" s="59"/>
      <c r="S144" s="59"/>
      <c r="T144" s="59"/>
      <c r="U144" s="59"/>
      <c r="V144" s="59"/>
      <c r="W144" s="59"/>
      <c r="X144" s="59"/>
      <c r="Y144" s="60">
        <f>SUM(RD[[#This Row],[IS1Inv1]:[IS3Inv1]])</f>
        <v>0</v>
      </c>
      <c r="Z144" s="60">
        <f>SUM(RD[[#This Row],[IS4Inv1]:[IS4Inv2]])</f>
        <v>0</v>
      </c>
      <c r="AA144" s="60">
        <f>SUM(RD[[#This Row],[O2RE7]:[O2RE27]])</f>
        <v>0</v>
      </c>
      <c r="AB144" s="153"/>
      <c r="AC144" s="153"/>
      <c r="AD144" s="153"/>
      <c r="AE144" s="153"/>
      <c r="AF144" s="153"/>
      <c r="AG144" s="153"/>
      <c r="AH144" s="153"/>
      <c r="AI144" s="154" t="str">
        <f>IF((RD[[#This Row],[33 kV_F1_Ex]]-AB143)*150000&lt;=0,"",(RD[[#This Row],[33 kV_F1_Ex]]-AB143)*150000)</f>
        <v/>
      </c>
      <c r="AJ144" s="154">
        <f>IF((RD[[#This Row],[33kV_OG1_Ex]]-AC143)*1000&lt;=0,0,(RD[[#This Row],[33kV_OG1_Ex]]-AC143)*1000)</f>
        <v>0</v>
      </c>
      <c r="AK144" s="154">
        <f>IF((RD[[#This Row],[220kV_TL_TVM_Ex]]-AE143)*1600&lt;=0,0,(RD[[#This Row],[220kV_TL_TVM_Ex]]-AE143)*1600)</f>
        <v>0</v>
      </c>
      <c r="AL144" s="154" t="str">
        <f>IF((RD[[#This Row],[220kV_C&amp;R_PQM_Ex]]-AF143)*1000&lt;=0,"",(RD[[#This Row],[220kV_C&amp;R_PQM_Ex]]-AF143)*1000)</f>
        <v/>
      </c>
      <c r="AM144" s="154">
        <f>IF((RD[[#This Row],[33kV_Aux1_Im]]-AH143)*1000&lt;0,"",(RD[[#This Row],[33kV_Aux1_Im]]-AH143)*1000)</f>
        <v>0</v>
      </c>
      <c r="AN144" s="154">
        <f>IF((RD[[#This Row],[33kV_Aux1_Im]]-AH143)*1000&lt;0,"",(RD[[#This Row],[33kV_Aux1_Im]]-AH143)*1000)</f>
        <v>0</v>
      </c>
      <c r="AO144" s="61">
        <f>RD[[#This Row],[33kV_OG1_Energy (KWh)]]</f>
        <v>0</v>
      </c>
      <c r="AP144" s="61">
        <f>IFERROR(RD[[#This Row],[220kV_TL_TVM Energy (KWh)]]-RD[[#This Row],[220kV_C&amp;R_PQM_Imp (KWh)2]],"")</f>
        <v>0</v>
      </c>
      <c r="AQ144" s="63" t="str">
        <f>IFERROR(RD[[#This Row],[33 kV Total Export (KWH)]]/RD[[#This Row],[220 KV Net Export (KWh)]]-1,"")</f>
        <v/>
      </c>
      <c r="AR144" s="64">
        <f>IFERROR((RD[[#This Row],[Sunset Time (POA&lt;20 W/m2)]]-RD[[#This Row],[Sunrise Time (POA&gt;20 W/m2)]])*24,0)</f>
        <v>0</v>
      </c>
      <c r="AS144" s="65">
        <f>RD[[#This Row],[33kV_OG1_Energy (KWh)]]</f>
        <v>0</v>
      </c>
      <c r="AT144" s="65">
        <f>IFERROR(RD[[#This Row],[ Export (33 kV)]]*(1-RD[[#This Row],[33 kV Line Loss (%)]]),RD[[#This Row],[ Export (33 kV)]])</f>
        <v>0</v>
      </c>
      <c r="AU144" s="122"/>
      <c r="AV144" s="122"/>
      <c r="AW144" s="122"/>
      <c r="AX144" t="str">
        <f>IFERROR(RD[[#This Row],[E_AC (WPR)]]/RD[[#This Row],[E_DC (WPR)]],"")</f>
        <v/>
      </c>
    </row>
    <row r="145" spans="1:50">
      <c r="A145" s="148">
        <f t="shared" si="51"/>
        <v>45885</v>
      </c>
      <c r="B145" s="151">
        <f>YEAR(RD[[#This Row],[Date]])+IF(MONTH(RD[[#This Row],[Date]])&gt;=4,1,0)</f>
        <v>2026</v>
      </c>
      <c r="C145" s="151">
        <f>YEAR(RD[[#This Row],[Date]])</f>
        <v>2025</v>
      </c>
      <c r="D145" s="152">
        <f t="shared" si="50"/>
        <v>45870</v>
      </c>
      <c r="E145" s="151">
        <f>DAY(EOMONTH(RD[[#This Row],[Date]],0))</f>
        <v>31</v>
      </c>
      <c r="F145" s="122"/>
      <c r="G145" s="122"/>
      <c r="H145" s="138"/>
      <c r="I145" s="138"/>
      <c r="J145" s="138"/>
      <c r="K145" s="138"/>
      <c r="L145" s="138"/>
      <c r="M145" s="138"/>
      <c r="N145" s="138"/>
      <c r="O145" s="167"/>
      <c r="P145" s="167"/>
      <c r="Q145" s="59"/>
      <c r="R145" s="59"/>
      <c r="S145" s="59"/>
      <c r="T145" s="59"/>
      <c r="U145" s="59"/>
      <c r="V145" s="59"/>
      <c r="W145" s="59"/>
      <c r="X145" s="59"/>
      <c r="Y145" s="60">
        <f>SUM(RD[[#This Row],[IS1Inv1]:[IS3Inv1]])</f>
        <v>0</v>
      </c>
      <c r="Z145" s="60">
        <f>SUM(RD[[#This Row],[IS4Inv1]:[IS4Inv2]])</f>
        <v>0</v>
      </c>
      <c r="AA145" s="60">
        <f>SUM(RD[[#This Row],[O2RE7]:[O2RE27]])</f>
        <v>0</v>
      </c>
      <c r="AB145" s="153"/>
      <c r="AC145" s="153"/>
      <c r="AD145" s="153"/>
      <c r="AE145" s="153"/>
      <c r="AF145" s="153"/>
      <c r="AG145" s="153"/>
      <c r="AH145" s="153"/>
      <c r="AI145" s="154" t="str">
        <f>IF((RD[[#This Row],[33 kV_F1_Ex]]-AB144)*150000&lt;=0,"",(RD[[#This Row],[33 kV_F1_Ex]]-AB144)*150000)</f>
        <v/>
      </c>
      <c r="AJ145" s="154">
        <f>IF((RD[[#This Row],[33kV_OG1_Ex]]-AC144)*1000&lt;=0,0,(RD[[#This Row],[33kV_OG1_Ex]]-AC144)*1000)</f>
        <v>0</v>
      </c>
      <c r="AK145" s="154">
        <f>IF((RD[[#This Row],[220kV_TL_TVM_Ex]]-AE144)*1600&lt;=0,0,(RD[[#This Row],[220kV_TL_TVM_Ex]]-AE144)*1600)</f>
        <v>0</v>
      </c>
      <c r="AL145" s="154" t="str">
        <f>IF((RD[[#This Row],[220kV_C&amp;R_PQM_Ex]]-AF144)*1000&lt;=0,"",(RD[[#This Row],[220kV_C&amp;R_PQM_Ex]]-AF144)*1000)</f>
        <v/>
      </c>
      <c r="AM145" s="154">
        <f>IF((RD[[#This Row],[33kV_Aux1_Im]]-AH144)*1000&lt;0,"",(RD[[#This Row],[33kV_Aux1_Im]]-AH144)*1000)</f>
        <v>0</v>
      </c>
      <c r="AN145" s="154">
        <f>IF((RD[[#This Row],[33kV_Aux1_Im]]-AH144)*1000&lt;0,"",(RD[[#This Row],[33kV_Aux1_Im]]-AH144)*1000)</f>
        <v>0</v>
      </c>
      <c r="AO145" s="61">
        <f>RD[[#This Row],[33kV_OG1_Energy (KWh)]]</f>
        <v>0</v>
      </c>
      <c r="AP145" s="61">
        <f>IFERROR(RD[[#This Row],[220kV_TL_TVM Energy (KWh)]]-RD[[#This Row],[220kV_C&amp;R_PQM_Imp (KWh)2]],"")</f>
        <v>0</v>
      </c>
      <c r="AQ145" s="63" t="str">
        <f>IFERROR(RD[[#This Row],[33 kV Total Export (KWH)]]/RD[[#This Row],[220 KV Net Export (KWh)]]-1,"")</f>
        <v/>
      </c>
      <c r="AR145" s="64">
        <f>IFERROR((RD[[#This Row],[Sunset Time (POA&lt;20 W/m2)]]-RD[[#This Row],[Sunrise Time (POA&gt;20 W/m2)]])*24,0)</f>
        <v>0</v>
      </c>
      <c r="AS145" s="65">
        <f>RD[[#This Row],[33kV_OG1_Energy (KWh)]]</f>
        <v>0</v>
      </c>
      <c r="AT145" s="65">
        <f>IFERROR(RD[[#This Row],[ Export (33 kV)]]*(1-RD[[#This Row],[33 kV Line Loss (%)]]),RD[[#This Row],[ Export (33 kV)]])</f>
        <v>0</v>
      </c>
      <c r="AU145" s="122"/>
      <c r="AV145" s="122"/>
      <c r="AW145" s="122"/>
      <c r="AX145" t="str">
        <f>IFERROR(RD[[#This Row],[E_AC (WPR)]]/RD[[#This Row],[E_DC (WPR)]],"")</f>
        <v/>
      </c>
    </row>
    <row r="146" spans="1:50">
      <c r="A146" s="148">
        <f t="shared" si="51"/>
        <v>45886</v>
      </c>
      <c r="B146" s="151">
        <f>YEAR(RD[[#This Row],[Date]])+IF(MONTH(RD[[#This Row],[Date]])&gt;=4,1,0)</f>
        <v>2026</v>
      </c>
      <c r="C146" s="151">
        <f>YEAR(RD[[#This Row],[Date]])</f>
        <v>2025</v>
      </c>
      <c r="D146" s="152">
        <f t="shared" si="50"/>
        <v>45870</v>
      </c>
      <c r="E146" s="151">
        <f>DAY(EOMONTH(RD[[#This Row],[Date]],0))</f>
        <v>31</v>
      </c>
      <c r="F146" s="122"/>
      <c r="G146" s="122"/>
      <c r="H146" s="138"/>
      <c r="I146" s="138"/>
      <c r="J146" s="138"/>
      <c r="K146" s="138"/>
      <c r="L146" s="138"/>
      <c r="M146" s="138"/>
      <c r="N146" s="138"/>
      <c r="O146" s="167"/>
      <c r="P146" s="167"/>
      <c r="Q146" s="59"/>
      <c r="R146" s="59"/>
      <c r="S146" s="59"/>
      <c r="T146" s="59"/>
      <c r="U146" s="59"/>
      <c r="V146" s="59"/>
      <c r="W146" s="59"/>
      <c r="X146" s="59"/>
      <c r="Y146" s="60">
        <f>SUM(RD[[#This Row],[IS1Inv1]:[IS3Inv1]])</f>
        <v>0</v>
      </c>
      <c r="Z146" s="60">
        <f>SUM(RD[[#This Row],[IS4Inv1]:[IS4Inv2]])</f>
        <v>0</v>
      </c>
      <c r="AA146" s="60">
        <f>SUM(RD[[#This Row],[O2RE7]:[O2RE27]])</f>
        <v>0</v>
      </c>
      <c r="AB146" s="153"/>
      <c r="AC146" s="153"/>
      <c r="AD146" s="153"/>
      <c r="AE146" s="153"/>
      <c r="AF146" s="153"/>
      <c r="AG146" s="153"/>
      <c r="AH146" s="153"/>
      <c r="AI146" s="154" t="str">
        <f>IF((RD[[#This Row],[33 kV_F1_Ex]]-AB145)*150000&lt;=0,"",(RD[[#This Row],[33 kV_F1_Ex]]-AB145)*150000)</f>
        <v/>
      </c>
      <c r="AJ146" s="154">
        <f>IF((RD[[#This Row],[33kV_OG1_Ex]]-AC145)*1000&lt;=0,0,(RD[[#This Row],[33kV_OG1_Ex]]-AC145)*1000)</f>
        <v>0</v>
      </c>
      <c r="AK146" s="154">
        <f>IF((RD[[#This Row],[220kV_TL_TVM_Ex]]-AE145)*1600&lt;=0,0,(RD[[#This Row],[220kV_TL_TVM_Ex]]-AE145)*1600)</f>
        <v>0</v>
      </c>
      <c r="AL146" s="154" t="str">
        <f>IF((RD[[#This Row],[220kV_C&amp;R_PQM_Ex]]-AF145)*1000&lt;=0,"",(RD[[#This Row],[220kV_C&amp;R_PQM_Ex]]-AF145)*1000)</f>
        <v/>
      </c>
      <c r="AM146" s="154">
        <f>IF((RD[[#This Row],[33kV_Aux1_Im]]-AH145)*1000&lt;0,"",(RD[[#This Row],[33kV_Aux1_Im]]-AH145)*1000)</f>
        <v>0</v>
      </c>
      <c r="AN146" s="154">
        <f>IF((RD[[#This Row],[33kV_Aux1_Im]]-AH145)*1000&lt;0,"",(RD[[#This Row],[33kV_Aux1_Im]]-AH145)*1000)</f>
        <v>0</v>
      </c>
      <c r="AO146" s="61">
        <f>RD[[#This Row],[33kV_OG1_Energy (KWh)]]</f>
        <v>0</v>
      </c>
      <c r="AP146" s="61">
        <f>IFERROR(RD[[#This Row],[220kV_TL_TVM Energy (KWh)]]-RD[[#This Row],[220kV_C&amp;R_PQM_Imp (KWh)2]],"")</f>
        <v>0</v>
      </c>
      <c r="AQ146" s="63" t="str">
        <f>IFERROR(RD[[#This Row],[33 kV Total Export (KWH)]]/RD[[#This Row],[220 KV Net Export (KWh)]]-1,"")</f>
        <v/>
      </c>
      <c r="AR146" s="64">
        <f>IFERROR((RD[[#This Row],[Sunset Time (POA&lt;20 W/m2)]]-RD[[#This Row],[Sunrise Time (POA&gt;20 W/m2)]])*24,0)</f>
        <v>0</v>
      </c>
      <c r="AS146" s="65">
        <f>RD[[#This Row],[33kV_OG1_Energy (KWh)]]</f>
        <v>0</v>
      </c>
      <c r="AT146" s="65">
        <f>IFERROR(RD[[#This Row],[ Export (33 kV)]]*(1-RD[[#This Row],[33 kV Line Loss (%)]]),RD[[#This Row],[ Export (33 kV)]])</f>
        <v>0</v>
      </c>
      <c r="AU146" s="122"/>
      <c r="AV146" s="122"/>
      <c r="AW146" s="122"/>
      <c r="AX146" t="str">
        <f>IFERROR(RD[[#This Row],[E_AC (WPR)]]/RD[[#This Row],[E_DC (WPR)]],"")</f>
        <v/>
      </c>
    </row>
    <row r="147" spans="1:50">
      <c r="A147" s="148">
        <f t="shared" si="51"/>
        <v>45887</v>
      </c>
      <c r="B147" s="151">
        <f>YEAR(RD[[#This Row],[Date]])+IF(MONTH(RD[[#This Row],[Date]])&gt;=4,1,0)</f>
        <v>2026</v>
      </c>
      <c r="C147" s="151">
        <f>YEAR(RD[[#This Row],[Date]])</f>
        <v>2025</v>
      </c>
      <c r="D147" s="152">
        <f t="shared" si="50"/>
        <v>45870</v>
      </c>
      <c r="E147" s="151">
        <f>DAY(EOMONTH(RD[[#This Row],[Date]],0))</f>
        <v>31</v>
      </c>
      <c r="F147" s="122"/>
      <c r="G147" s="122"/>
      <c r="H147" s="138"/>
      <c r="I147" s="138"/>
      <c r="J147" s="138"/>
      <c r="K147" s="138"/>
      <c r="L147" s="138"/>
      <c r="M147" s="138"/>
      <c r="N147" s="138"/>
      <c r="O147" s="167"/>
      <c r="P147" s="167"/>
      <c r="Q147" s="59"/>
      <c r="R147" s="59"/>
      <c r="S147" s="59"/>
      <c r="T147" s="59"/>
      <c r="U147" s="59"/>
      <c r="V147" s="59"/>
      <c r="W147" s="59"/>
      <c r="X147" s="59"/>
      <c r="Y147" s="60">
        <f>SUM(RD[[#This Row],[IS1Inv1]:[IS3Inv1]])</f>
        <v>0</v>
      </c>
      <c r="Z147" s="60">
        <f>SUM(RD[[#This Row],[IS4Inv1]:[IS4Inv2]])</f>
        <v>0</v>
      </c>
      <c r="AA147" s="60">
        <f>SUM(RD[[#This Row],[O2RE7]:[O2RE27]])</f>
        <v>0</v>
      </c>
      <c r="AB147" s="153"/>
      <c r="AC147" s="153"/>
      <c r="AD147" s="153"/>
      <c r="AE147" s="153"/>
      <c r="AF147" s="153"/>
      <c r="AG147" s="153"/>
      <c r="AH147" s="153"/>
      <c r="AI147" s="154" t="str">
        <f>IF((RD[[#This Row],[33 kV_F1_Ex]]-AB146)*150000&lt;=0,"",(RD[[#This Row],[33 kV_F1_Ex]]-AB146)*150000)</f>
        <v/>
      </c>
      <c r="AJ147" s="154">
        <f>IF((RD[[#This Row],[33kV_OG1_Ex]]-AC146)*1000&lt;=0,0,(RD[[#This Row],[33kV_OG1_Ex]]-AC146)*1000)</f>
        <v>0</v>
      </c>
      <c r="AK147" s="154">
        <f>IF((RD[[#This Row],[220kV_TL_TVM_Ex]]-AE146)*1600&lt;=0,0,(RD[[#This Row],[220kV_TL_TVM_Ex]]-AE146)*1600)</f>
        <v>0</v>
      </c>
      <c r="AL147" s="154" t="str">
        <f>IF((RD[[#This Row],[220kV_C&amp;R_PQM_Ex]]-AF146)*1000&lt;=0,"",(RD[[#This Row],[220kV_C&amp;R_PQM_Ex]]-AF146)*1000)</f>
        <v/>
      </c>
      <c r="AM147" s="154">
        <f>IF((RD[[#This Row],[33kV_Aux1_Im]]-AH146)*1000&lt;0,"",(RD[[#This Row],[33kV_Aux1_Im]]-AH146)*1000)</f>
        <v>0</v>
      </c>
      <c r="AN147" s="154">
        <f>IF((RD[[#This Row],[33kV_Aux1_Im]]-AH146)*1000&lt;0,"",(RD[[#This Row],[33kV_Aux1_Im]]-AH146)*1000)</f>
        <v>0</v>
      </c>
      <c r="AO147" s="61">
        <f>RD[[#This Row],[33kV_OG1_Energy (KWh)]]</f>
        <v>0</v>
      </c>
      <c r="AP147" s="61">
        <f>IFERROR(RD[[#This Row],[220kV_TL_TVM Energy (KWh)]]-RD[[#This Row],[220kV_C&amp;R_PQM_Imp (KWh)2]],"")</f>
        <v>0</v>
      </c>
      <c r="AQ147" s="63" t="str">
        <f>IFERROR(RD[[#This Row],[33 kV Total Export (KWH)]]/RD[[#This Row],[220 KV Net Export (KWh)]]-1,"")</f>
        <v/>
      </c>
      <c r="AR147" s="64">
        <f>IFERROR((RD[[#This Row],[Sunset Time (POA&lt;20 W/m2)]]-RD[[#This Row],[Sunrise Time (POA&gt;20 W/m2)]])*24,0)</f>
        <v>0</v>
      </c>
      <c r="AS147" s="65">
        <f>RD[[#This Row],[33kV_OG1_Energy (KWh)]]</f>
        <v>0</v>
      </c>
      <c r="AT147" s="65">
        <f>IFERROR(RD[[#This Row],[ Export (33 kV)]]*(1-RD[[#This Row],[33 kV Line Loss (%)]]),RD[[#This Row],[ Export (33 kV)]])</f>
        <v>0</v>
      </c>
      <c r="AU147" s="122"/>
      <c r="AV147" s="122"/>
      <c r="AW147" s="122"/>
      <c r="AX147" t="str">
        <f>IFERROR(RD[[#This Row],[E_AC (WPR)]]/RD[[#This Row],[E_DC (WPR)]],"")</f>
        <v/>
      </c>
    </row>
    <row r="148" spans="1:50">
      <c r="A148" s="148">
        <f t="shared" si="51"/>
        <v>45888</v>
      </c>
      <c r="B148" s="151">
        <f>YEAR(RD[[#This Row],[Date]])+IF(MONTH(RD[[#This Row],[Date]])&gt;=4,1,0)</f>
        <v>2026</v>
      </c>
      <c r="C148" s="151">
        <f>YEAR(RD[[#This Row],[Date]])</f>
        <v>2025</v>
      </c>
      <c r="D148" s="152">
        <f t="shared" si="50"/>
        <v>45870</v>
      </c>
      <c r="E148" s="151">
        <f>DAY(EOMONTH(RD[[#This Row],[Date]],0))</f>
        <v>31</v>
      </c>
      <c r="F148" s="122"/>
      <c r="G148" s="122"/>
      <c r="H148" s="138"/>
      <c r="I148" s="138"/>
      <c r="J148" s="138"/>
      <c r="K148" s="138"/>
      <c r="L148" s="138"/>
      <c r="M148" s="138"/>
      <c r="N148" s="138"/>
      <c r="O148" s="167"/>
      <c r="P148" s="167"/>
      <c r="Q148" s="59"/>
      <c r="R148" s="59"/>
      <c r="S148" s="59"/>
      <c r="T148" s="59"/>
      <c r="U148" s="59"/>
      <c r="V148" s="59"/>
      <c r="W148" s="59"/>
      <c r="X148" s="59"/>
      <c r="Y148" s="60">
        <f>SUM(RD[[#This Row],[IS1Inv1]:[IS3Inv1]])</f>
        <v>0</v>
      </c>
      <c r="Z148" s="60">
        <f>SUM(RD[[#This Row],[IS4Inv1]:[IS4Inv2]])</f>
        <v>0</v>
      </c>
      <c r="AA148" s="60">
        <f>SUM(RD[[#This Row],[O2RE7]:[O2RE27]])</f>
        <v>0</v>
      </c>
      <c r="AB148" s="153"/>
      <c r="AC148" s="153"/>
      <c r="AD148" s="153"/>
      <c r="AE148" s="153"/>
      <c r="AF148" s="153"/>
      <c r="AG148" s="153"/>
      <c r="AH148" s="153"/>
      <c r="AI148" s="154" t="str">
        <f>IF((RD[[#This Row],[33 kV_F1_Ex]]-AB147)*150000&lt;=0,"",(RD[[#This Row],[33 kV_F1_Ex]]-AB147)*150000)</f>
        <v/>
      </c>
      <c r="AJ148" s="154">
        <f>IF((RD[[#This Row],[33kV_OG1_Ex]]-AC147)*1000&lt;=0,0,(RD[[#This Row],[33kV_OG1_Ex]]-AC147)*1000)</f>
        <v>0</v>
      </c>
      <c r="AK148" s="154">
        <f>IF((RD[[#This Row],[220kV_TL_TVM_Ex]]-AE147)*1600&lt;=0,0,(RD[[#This Row],[220kV_TL_TVM_Ex]]-AE147)*1600)</f>
        <v>0</v>
      </c>
      <c r="AL148" s="154" t="str">
        <f>IF((RD[[#This Row],[220kV_C&amp;R_PQM_Ex]]-AF147)*1000&lt;=0,"",(RD[[#This Row],[220kV_C&amp;R_PQM_Ex]]-AF147)*1000)</f>
        <v/>
      </c>
      <c r="AM148" s="154">
        <f>IF((RD[[#This Row],[33kV_Aux1_Im]]-AH147)*1000&lt;0,"",(RD[[#This Row],[33kV_Aux1_Im]]-AH147)*1000)</f>
        <v>0</v>
      </c>
      <c r="AN148" s="154">
        <f>IF((RD[[#This Row],[33kV_Aux1_Im]]-AH147)*1000&lt;0,"",(RD[[#This Row],[33kV_Aux1_Im]]-AH147)*1000)</f>
        <v>0</v>
      </c>
      <c r="AO148" s="61">
        <f>RD[[#This Row],[33kV_OG1_Energy (KWh)]]</f>
        <v>0</v>
      </c>
      <c r="AP148" s="61">
        <f>IFERROR(RD[[#This Row],[220kV_TL_TVM Energy (KWh)]]-RD[[#This Row],[220kV_C&amp;R_PQM_Imp (KWh)2]],"")</f>
        <v>0</v>
      </c>
      <c r="AQ148" s="63" t="str">
        <f>IFERROR(RD[[#This Row],[33 kV Total Export (KWH)]]/RD[[#This Row],[220 KV Net Export (KWh)]]-1,"")</f>
        <v/>
      </c>
      <c r="AR148" s="64">
        <f>IFERROR((RD[[#This Row],[Sunset Time (POA&lt;20 W/m2)]]-RD[[#This Row],[Sunrise Time (POA&gt;20 W/m2)]])*24,0)</f>
        <v>0</v>
      </c>
      <c r="AS148" s="65">
        <f>RD[[#This Row],[33kV_OG1_Energy (KWh)]]</f>
        <v>0</v>
      </c>
      <c r="AT148" s="65">
        <f>IFERROR(RD[[#This Row],[ Export (33 kV)]]*(1-RD[[#This Row],[33 kV Line Loss (%)]]),RD[[#This Row],[ Export (33 kV)]])</f>
        <v>0</v>
      </c>
      <c r="AU148" s="122"/>
      <c r="AV148" s="122"/>
      <c r="AW148" s="122"/>
      <c r="AX148" t="str">
        <f>IFERROR(RD[[#This Row],[E_AC (WPR)]]/RD[[#This Row],[E_DC (WPR)]],"")</f>
        <v/>
      </c>
    </row>
    <row r="149" spans="1:50">
      <c r="A149" s="148">
        <f t="shared" si="51"/>
        <v>45889</v>
      </c>
      <c r="B149" s="151">
        <f>YEAR(RD[[#This Row],[Date]])+IF(MONTH(RD[[#This Row],[Date]])&gt;=4,1,0)</f>
        <v>2026</v>
      </c>
      <c r="C149" s="151">
        <f>YEAR(RD[[#This Row],[Date]])</f>
        <v>2025</v>
      </c>
      <c r="D149" s="152">
        <f t="shared" si="50"/>
        <v>45870</v>
      </c>
      <c r="E149" s="151">
        <f>DAY(EOMONTH(RD[[#This Row],[Date]],0))</f>
        <v>31</v>
      </c>
      <c r="F149" s="122"/>
      <c r="G149" s="122"/>
      <c r="H149" s="138"/>
      <c r="I149" s="138"/>
      <c r="J149" s="138"/>
      <c r="K149" s="138"/>
      <c r="L149" s="138"/>
      <c r="M149" s="138"/>
      <c r="N149" s="138"/>
      <c r="O149" s="167"/>
      <c r="P149" s="167"/>
      <c r="Q149" s="59"/>
      <c r="R149" s="59"/>
      <c r="S149" s="59"/>
      <c r="T149" s="59"/>
      <c r="U149" s="59"/>
      <c r="V149" s="59"/>
      <c r="W149" s="59"/>
      <c r="X149" s="59"/>
      <c r="Y149" s="60">
        <f>SUM(RD[[#This Row],[IS1Inv1]:[IS3Inv1]])</f>
        <v>0</v>
      </c>
      <c r="Z149" s="60">
        <f>SUM(RD[[#This Row],[IS4Inv1]:[IS4Inv2]])</f>
        <v>0</v>
      </c>
      <c r="AA149" s="60">
        <f>SUM(RD[[#This Row],[O2RE7]:[O2RE27]])</f>
        <v>0</v>
      </c>
      <c r="AB149" s="153"/>
      <c r="AC149" s="153"/>
      <c r="AD149" s="153"/>
      <c r="AE149" s="153"/>
      <c r="AF149" s="153"/>
      <c r="AG149" s="153"/>
      <c r="AH149" s="153"/>
      <c r="AI149" s="154" t="str">
        <f>IF((RD[[#This Row],[33 kV_F1_Ex]]-AB148)*150000&lt;=0,"",(RD[[#This Row],[33 kV_F1_Ex]]-AB148)*150000)</f>
        <v/>
      </c>
      <c r="AJ149" s="154">
        <f>IF((RD[[#This Row],[33kV_OG1_Ex]]-AC148)*1000&lt;=0,0,(RD[[#This Row],[33kV_OG1_Ex]]-AC148)*1000)</f>
        <v>0</v>
      </c>
      <c r="AK149" s="154">
        <f>IF((RD[[#This Row],[220kV_TL_TVM_Ex]]-AE148)*1600&lt;=0,0,(RD[[#This Row],[220kV_TL_TVM_Ex]]-AE148)*1600)</f>
        <v>0</v>
      </c>
      <c r="AL149" s="154" t="str">
        <f>IF((RD[[#This Row],[220kV_C&amp;R_PQM_Ex]]-AF148)*1000&lt;=0,"",(RD[[#This Row],[220kV_C&amp;R_PQM_Ex]]-AF148)*1000)</f>
        <v/>
      </c>
      <c r="AM149" s="154">
        <f>IF((RD[[#This Row],[33kV_Aux1_Im]]-AH148)*1000&lt;0,"",(RD[[#This Row],[33kV_Aux1_Im]]-AH148)*1000)</f>
        <v>0</v>
      </c>
      <c r="AN149" s="154">
        <f>IF((RD[[#This Row],[33kV_Aux1_Im]]-AH148)*1000&lt;0,"",(RD[[#This Row],[33kV_Aux1_Im]]-AH148)*1000)</f>
        <v>0</v>
      </c>
      <c r="AO149" s="61">
        <f>RD[[#This Row],[33kV_OG1_Energy (KWh)]]</f>
        <v>0</v>
      </c>
      <c r="AP149" s="61">
        <f>IFERROR(RD[[#This Row],[220kV_TL_TVM Energy (KWh)]]-RD[[#This Row],[220kV_C&amp;R_PQM_Imp (KWh)2]],"")</f>
        <v>0</v>
      </c>
      <c r="AQ149" s="63" t="str">
        <f>IFERROR(RD[[#This Row],[33 kV Total Export (KWH)]]/RD[[#This Row],[220 KV Net Export (KWh)]]-1,"")</f>
        <v/>
      </c>
      <c r="AR149" s="64">
        <f>IFERROR((RD[[#This Row],[Sunset Time (POA&lt;20 W/m2)]]-RD[[#This Row],[Sunrise Time (POA&gt;20 W/m2)]])*24,0)</f>
        <v>0</v>
      </c>
      <c r="AS149" s="65">
        <f>RD[[#This Row],[33kV_OG1_Energy (KWh)]]</f>
        <v>0</v>
      </c>
      <c r="AT149" s="65">
        <f>IFERROR(RD[[#This Row],[ Export (33 kV)]]*(1-RD[[#This Row],[33 kV Line Loss (%)]]),RD[[#This Row],[ Export (33 kV)]])</f>
        <v>0</v>
      </c>
      <c r="AU149" s="122"/>
      <c r="AV149" s="122"/>
      <c r="AW149" s="122"/>
      <c r="AX149" t="str">
        <f>IFERROR(RD[[#This Row],[E_AC (WPR)]]/RD[[#This Row],[E_DC (WPR)]],"")</f>
        <v/>
      </c>
    </row>
    <row r="150" spans="1:50">
      <c r="A150" s="148">
        <f t="shared" si="51"/>
        <v>45890</v>
      </c>
      <c r="B150" s="151">
        <f>YEAR(RD[[#This Row],[Date]])+IF(MONTH(RD[[#This Row],[Date]])&gt;=4,1,0)</f>
        <v>2026</v>
      </c>
      <c r="C150" s="151">
        <f>YEAR(RD[[#This Row],[Date]])</f>
        <v>2025</v>
      </c>
      <c r="D150" s="152">
        <f t="shared" si="50"/>
        <v>45870</v>
      </c>
      <c r="E150" s="151">
        <f>DAY(EOMONTH(RD[[#This Row],[Date]],0))</f>
        <v>31</v>
      </c>
      <c r="F150" s="122"/>
      <c r="G150" s="122"/>
      <c r="H150" s="138"/>
      <c r="I150" s="138"/>
      <c r="J150" s="138"/>
      <c r="K150" s="138"/>
      <c r="L150" s="138"/>
      <c r="M150" s="138"/>
      <c r="N150" s="138"/>
      <c r="O150" s="167"/>
      <c r="P150" s="167"/>
      <c r="Q150" s="59"/>
      <c r="R150" s="59"/>
      <c r="S150" s="59"/>
      <c r="T150" s="59"/>
      <c r="U150" s="59"/>
      <c r="V150" s="59"/>
      <c r="W150" s="59"/>
      <c r="X150" s="59"/>
      <c r="Y150" s="60">
        <f>SUM(RD[[#This Row],[IS1Inv1]:[IS3Inv1]])</f>
        <v>0</v>
      </c>
      <c r="Z150" s="60">
        <f>SUM(RD[[#This Row],[IS4Inv1]:[IS4Inv2]])</f>
        <v>0</v>
      </c>
      <c r="AA150" s="60">
        <f>SUM(RD[[#This Row],[O2RE7]:[O2RE27]])</f>
        <v>0</v>
      </c>
      <c r="AB150" s="153"/>
      <c r="AC150" s="153"/>
      <c r="AD150" s="153"/>
      <c r="AE150" s="153"/>
      <c r="AF150" s="153"/>
      <c r="AG150" s="153"/>
      <c r="AH150" s="153"/>
      <c r="AI150" s="154" t="str">
        <f>IF((RD[[#This Row],[33 kV_F1_Ex]]-AB149)*150000&lt;=0,"",(RD[[#This Row],[33 kV_F1_Ex]]-AB149)*150000)</f>
        <v/>
      </c>
      <c r="AJ150" s="154">
        <f>IF((RD[[#This Row],[33kV_OG1_Ex]]-AC149)*1000&lt;=0,0,(RD[[#This Row],[33kV_OG1_Ex]]-AC149)*1000)</f>
        <v>0</v>
      </c>
      <c r="AK150" s="154">
        <f>IF((RD[[#This Row],[220kV_TL_TVM_Ex]]-AE149)*1600&lt;=0,0,(RD[[#This Row],[220kV_TL_TVM_Ex]]-AE149)*1600)</f>
        <v>0</v>
      </c>
      <c r="AL150" s="154" t="str">
        <f>IF((RD[[#This Row],[220kV_C&amp;R_PQM_Ex]]-AF149)*1000&lt;=0,"",(RD[[#This Row],[220kV_C&amp;R_PQM_Ex]]-AF149)*1000)</f>
        <v/>
      </c>
      <c r="AM150" s="154">
        <f>IF((RD[[#This Row],[33kV_Aux1_Im]]-AH149)*1000&lt;0,"",(RD[[#This Row],[33kV_Aux1_Im]]-AH149)*1000)</f>
        <v>0</v>
      </c>
      <c r="AN150" s="154">
        <f>IF((RD[[#This Row],[33kV_Aux1_Im]]-AH149)*1000&lt;0,"",(RD[[#This Row],[33kV_Aux1_Im]]-AH149)*1000)</f>
        <v>0</v>
      </c>
      <c r="AO150" s="61">
        <f>RD[[#This Row],[33kV_OG1_Energy (KWh)]]</f>
        <v>0</v>
      </c>
      <c r="AP150" s="61">
        <f>IFERROR(RD[[#This Row],[220kV_TL_TVM Energy (KWh)]]-RD[[#This Row],[220kV_C&amp;R_PQM_Imp (KWh)2]],"")</f>
        <v>0</v>
      </c>
      <c r="AQ150" s="63" t="str">
        <f>IFERROR(RD[[#This Row],[33 kV Total Export (KWH)]]/RD[[#This Row],[220 KV Net Export (KWh)]]-1,"")</f>
        <v/>
      </c>
      <c r="AR150" s="64">
        <f>IFERROR((RD[[#This Row],[Sunset Time (POA&lt;20 W/m2)]]-RD[[#This Row],[Sunrise Time (POA&gt;20 W/m2)]])*24,0)</f>
        <v>0</v>
      </c>
      <c r="AS150" s="65">
        <f>RD[[#This Row],[33kV_OG1_Energy (KWh)]]</f>
        <v>0</v>
      </c>
      <c r="AT150" s="65">
        <f>IFERROR(RD[[#This Row],[ Export (33 kV)]]*(1-RD[[#This Row],[33 kV Line Loss (%)]]),RD[[#This Row],[ Export (33 kV)]])</f>
        <v>0</v>
      </c>
      <c r="AU150" s="122"/>
      <c r="AV150" s="122"/>
      <c r="AW150" s="122"/>
      <c r="AX150" t="str">
        <f>IFERROR(RD[[#This Row],[E_AC (WPR)]]/RD[[#This Row],[E_DC (WPR)]],"")</f>
        <v/>
      </c>
    </row>
    <row r="151" spans="1:50">
      <c r="A151" s="148">
        <f t="shared" si="51"/>
        <v>45891</v>
      </c>
      <c r="B151" s="151">
        <f>YEAR(RD[[#This Row],[Date]])+IF(MONTH(RD[[#This Row],[Date]])&gt;=4,1,0)</f>
        <v>2026</v>
      </c>
      <c r="C151" s="151">
        <f>YEAR(RD[[#This Row],[Date]])</f>
        <v>2025</v>
      </c>
      <c r="D151" s="152">
        <f t="shared" si="50"/>
        <v>45870</v>
      </c>
      <c r="E151" s="151">
        <f>DAY(EOMONTH(RD[[#This Row],[Date]],0))</f>
        <v>31</v>
      </c>
      <c r="F151" s="122"/>
      <c r="G151" s="122"/>
      <c r="H151" s="138"/>
      <c r="I151" s="138"/>
      <c r="J151" s="138"/>
      <c r="K151" s="138"/>
      <c r="L151" s="138"/>
      <c r="M151" s="138"/>
      <c r="N151" s="138"/>
      <c r="O151" s="167"/>
      <c r="P151" s="167"/>
      <c r="Q151" s="59"/>
      <c r="R151" s="59"/>
      <c r="S151" s="59"/>
      <c r="T151" s="59"/>
      <c r="U151" s="59"/>
      <c r="V151" s="59"/>
      <c r="W151" s="59"/>
      <c r="X151" s="59"/>
      <c r="Y151" s="60">
        <f>SUM(RD[[#This Row],[IS1Inv1]:[IS3Inv1]])</f>
        <v>0</v>
      </c>
      <c r="Z151" s="60">
        <f>SUM(RD[[#This Row],[IS4Inv1]:[IS4Inv2]])</f>
        <v>0</v>
      </c>
      <c r="AA151" s="60">
        <f>SUM(RD[[#This Row],[O2RE7]:[O2RE27]])</f>
        <v>0</v>
      </c>
      <c r="AB151" s="153"/>
      <c r="AC151" s="153"/>
      <c r="AD151" s="153"/>
      <c r="AE151" s="153"/>
      <c r="AF151" s="153"/>
      <c r="AG151" s="153"/>
      <c r="AH151" s="153"/>
      <c r="AI151" s="154" t="str">
        <f>IF((RD[[#This Row],[33 kV_F1_Ex]]-AB150)*150000&lt;=0,"",(RD[[#This Row],[33 kV_F1_Ex]]-AB150)*150000)</f>
        <v/>
      </c>
      <c r="AJ151" s="154">
        <f>IF((RD[[#This Row],[33kV_OG1_Ex]]-AC150)*1000&lt;=0,0,(RD[[#This Row],[33kV_OG1_Ex]]-AC150)*1000)</f>
        <v>0</v>
      </c>
      <c r="AK151" s="154">
        <f>IF((RD[[#This Row],[220kV_TL_TVM_Ex]]-AE150)*1600&lt;=0,0,(RD[[#This Row],[220kV_TL_TVM_Ex]]-AE150)*1600)</f>
        <v>0</v>
      </c>
      <c r="AL151" s="154" t="str">
        <f>IF((RD[[#This Row],[220kV_C&amp;R_PQM_Ex]]-AF150)*1000&lt;=0,"",(RD[[#This Row],[220kV_C&amp;R_PQM_Ex]]-AF150)*1000)</f>
        <v/>
      </c>
      <c r="AM151" s="154">
        <f>IF((RD[[#This Row],[33kV_Aux1_Im]]-AH150)*1000&lt;0,"",(RD[[#This Row],[33kV_Aux1_Im]]-AH150)*1000)</f>
        <v>0</v>
      </c>
      <c r="AN151" s="154">
        <f>IF((RD[[#This Row],[33kV_Aux1_Im]]-AH150)*1000&lt;0,"",(RD[[#This Row],[33kV_Aux1_Im]]-AH150)*1000)</f>
        <v>0</v>
      </c>
      <c r="AO151" s="61">
        <f>RD[[#This Row],[33kV_OG1_Energy (KWh)]]</f>
        <v>0</v>
      </c>
      <c r="AP151" s="61">
        <f>IFERROR(RD[[#This Row],[220kV_TL_TVM Energy (KWh)]]-RD[[#This Row],[220kV_C&amp;R_PQM_Imp (KWh)2]],"")</f>
        <v>0</v>
      </c>
      <c r="AQ151" s="63" t="str">
        <f>IFERROR(RD[[#This Row],[33 kV Total Export (KWH)]]/RD[[#This Row],[220 KV Net Export (KWh)]]-1,"")</f>
        <v/>
      </c>
      <c r="AR151" s="64">
        <f>IFERROR((RD[[#This Row],[Sunset Time (POA&lt;20 W/m2)]]-RD[[#This Row],[Sunrise Time (POA&gt;20 W/m2)]])*24,0)</f>
        <v>0</v>
      </c>
      <c r="AS151" s="65">
        <f>RD[[#This Row],[33kV_OG1_Energy (KWh)]]</f>
        <v>0</v>
      </c>
      <c r="AT151" s="65">
        <f>IFERROR(RD[[#This Row],[ Export (33 kV)]]*(1-RD[[#This Row],[33 kV Line Loss (%)]]),RD[[#This Row],[ Export (33 kV)]])</f>
        <v>0</v>
      </c>
      <c r="AU151" s="122"/>
      <c r="AV151" s="122"/>
      <c r="AW151" s="122"/>
      <c r="AX151" t="str">
        <f>IFERROR(RD[[#This Row],[E_AC (WPR)]]/RD[[#This Row],[E_DC (WPR)]],"")</f>
        <v/>
      </c>
    </row>
    <row r="152" spans="1:50">
      <c r="A152" s="148">
        <f t="shared" si="51"/>
        <v>45892</v>
      </c>
      <c r="B152" s="151">
        <f>YEAR(RD[[#This Row],[Date]])+IF(MONTH(RD[[#This Row],[Date]])&gt;=4,1,0)</f>
        <v>2026</v>
      </c>
      <c r="C152" s="151">
        <f>YEAR(RD[[#This Row],[Date]])</f>
        <v>2025</v>
      </c>
      <c r="D152" s="152">
        <f t="shared" si="50"/>
        <v>45870</v>
      </c>
      <c r="E152" s="151">
        <f>DAY(EOMONTH(RD[[#This Row],[Date]],0))</f>
        <v>31</v>
      </c>
      <c r="F152" s="122"/>
      <c r="G152" s="122"/>
      <c r="H152" s="138"/>
      <c r="I152" s="138"/>
      <c r="J152" s="138"/>
      <c r="K152" s="138"/>
      <c r="L152" s="138"/>
      <c r="M152" s="138"/>
      <c r="N152" s="138"/>
      <c r="O152" s="167"/>
      <c r="P152" s="167"/>
      <c r="Q152" s="59"/>
      <c r="R152" s="59"/>
      <c r="S152" s="59"/>
      <c r="T152" s="59"/>
      <c r="U152" s="59"/>
      <c r="V152" s="59"/>
      <c r="W152" s="59"/>
      <c r="X152" s="59"/>
      <c r="Y152" s="60">
        <f>SUM(RD[[#This Row],[IS1Inv1]:[IS3Inv1]])</f>
        <v>0</v>
      </c>
      <c r="Z152" s="60">
        <f>SUM(RD[[#This Row],[IS4Inv1]:[IS4Inv2]])</f>
        <v>0</v>
      </c>
      <c r="AA152" s="60">
        <f>SUM(RD[[#This Row],[O2RE7]:[O2RE27]])</f>
        <v>0</v>
      </c>
      <c r="AB152" s="153"/>
      <c r="AC152" s="153"/>
      <c r="AD152" s="153"/>
      <c r="AE152" s="153"/>
      <c r="AF152" s="153"/>
      <c r="AG152" s="153"/>
      <c r="AH152" s="153"/>
      <c r="AI152" s="154" t="str">
        <f>IF((RD[[#This Row],[33 kV_F1_Ex]]-AB151)*150000&lt;=0,"",(RD[[#This Row],[33 kV_F1_Ex]]-AB151)*150000)</f>
        <v/>
      </c>
      <c r="AJ152" s="154">
        <f>IF((RD[[#This Row],[33kV_OG1_Ex]]-AC151)*1000&lt;=0,0,(RD[[#This Row],[33kV_OG1_Ex]]-AC151)*1000)</f>
        <v>0</v>
      </c>
      <c r="AK152" s="154">
        <f>IF((RD[[#This Row],[220kV_TL_TVM_Ex]]-AE151)*1600&lt;=0,0,(RD[[#This Row],[220kV_TL_TVM_Ex]]-AE151)*1600)</f>
        <v>0</v>
      </c>
      <c r="AL152" s="154" t="str">
        <f>IF((RD[[#This Row],[220kV_C&amp;R_PQM_Ex]]-AF151)*1000&lt;=0,"",(RD[[#This Row],[220kV_C&amp;R_PQM_Ex]]-AF151)*1000)</f>
        <v/>
      </c>
      <c r="AM152" s="154">
        <f>IF((RD[[#This Row],[33kV_Aux1_Im]]-AH151)*1000&lt;0,"",(RD[[#This Row],[33kV_Aux1_Im]]-AH151)*1000)</f>
        <v>0</v>
      </c>
      <c r="AN152" s="154">
        <f>IF((RD[[#This Row],[33kV_Aux1_Im]]-AH151)*1000&lt;0,"",(RD[[#This Row],[33kV_Aux1_Im]]-AH151)*1000)</f>
        <v>0</v>
      </c>
      <c r="AO152" s="61">
        <f>RD[[#This Row],[33kV_OG1_Energy (KWh)]]</f>
        <v>0</v>
      </c>
      <c r="AP152" s="61">
        <f>IFERROR(RD[[#This Row],[220kV_TL_TVM Energy (KWh)]]-RD[[#This Row],[220kV_C&amp;R_PQM_Imp (KWh)2]],"")</f>
        <v>0</v>
      </c>
      <c r="AQ152" s="63" t="str">
        <f>IFERROR(RD[[#This Row],[33 kV Total Export (KWH)]]/RD[[#This Row],[220 KV Net Export (KWh)]]-1,"")</f>
        <v/>
      </c>
      <c r="AR152" s="64">
        <f>IFERROR((RD[[#This Row],[Sunset Time (POA&lt;20 W/m2)]]-RD[[#This Row],[Sunrise Time (POA&gt;20 W/m2)]])*24,0)</f>
        <v>0</v>
      </c>
      <c r="AS152" s="65">
        <f>RD[[#This Row],[33kV_OG1_Energy (KWh)]]</f>
        <v>0</v>
      </c>
      <c r="AT152" s="65">
        <f>IFERROR(RD[[#This Row],[ Export (33 kV)]]*(1-RD[[#This Row],[33 kV Line Loss (%)]]),RD[[#This Row],[ Export (33 kV)]])</f>
        <v>0</v>
      </c>
      <c r="AU152" s="122"/>
      <c r="AV152" s="122"/>
      <c r="AW152" s="122"/>
      <c r="AX152" t="str">
        <f>IFERROR(RD[[#This Row],[E_AC (WPR)]]/RD[[#This Row],[E_DC (WPR)]],"")</f>
        <v/>
      </c>
    </row>
    <row r="153" spans="1:50">
      <c r="A153" s="148">
        <f t="shared" si="51"/>
        <v>45893</v>
      </c>
      <c r="B153" s="151">
        <f>YEAR(RD[[#This Row],[Date]])+IF(MONTH(RD[[#This Row],[Date]])&gt;=4,1,0)</f>
        <v>2026</v>
      </c>
      <c r="C153" s="151">
        <f>YEAR(RD[[#This Row],[Date]])</f>
        <v>2025</v>
      </c>
      <c r="D153" s="152">
        <f t="shared" si="50"/>
        <v>45870</v>
      </c>
      <c r="E153" s="151">
        <f>DAY(EOMONTH(RD[[#This Row],[Date]],0))</f>
        <v>31</v>
      </c>
      <c r="F153" s="122"/>
      <c r="G153" s="122"/>
      <c r="H153" s="138"/>
      <c r="I153" s="138"/>
      <c r="J153" s="138"/>
      <c r="K153" s="138"/>
      <c r="L153" s="138"/>
      <c r="M153" s="138"/>
      <c r="N153" s="138"/>
      <c r="O153" s="167"/>
      <c r="P153" s="167"/>
      <c r="Q153" s="59"/>
      <c r="R153" s="59"/>
      <c r="S153" s="59"/>
      <c r="T153" s="59"/>
      <c r="U153" s="59"/>
      <c r="V153" s="59"/>
      <c r="W153" s="59"/>
      <c r="X153" s="59"/>
      <c r="Y153" s="60">
        <f>SUM(RD[[#This Row],[IS1Inv1]:[IS3Inv1]])</f>
        <v>0</v>
      </c>
      <c r="Z153" s="60">
        <f>SUM(RD[[#This Row],[IS4Inv1]:[IS4Inv2]])</f>
        <v>0</v>
      </c>
      <c r="AA153" s="60">
        <f>SUM(RD[[#This Row],[O2RE7]:[O2RE27]])</f>
        <v>0</v>
      </c>
      <c r="AB153" s="153"/>
      <c r="AC153" s="153"/>
      <c r="AD153" s="153"/>
      <c r="AE153" s="153"/>
      <c r="AF153" s="153"/>
      <c r="AG153" s="153"/>
      <c r="AH153" s="153"/>
      <c r="AI153" s="154" t="str">
        <f>IF((RD[[#This Row],[33 kV_F1_Ex]]-AB152)*150000&lt;=0,"",(RD[[#This Row],[33 kV_F1_Ex]]-AB152)*150000)</f>
        <v/>
      </c>
      <c r="AJ153" s="154">
        <f>IF((RD[[#This Row],[33kV_OG1_Ex]]-AC152)*1000&lt;=0,0,(RD[[#This Row],[33kV_OG1_Ex]]-AC152)*1000)</f>
        <v>0</v>
      </c>
      <c r="AK153" s="154">
        <f>IF((RD[[#This Row],[220kV_TL_TVM_Ex]]-AE152)*1600&lt;=0,0,(RD[[#This Row],[220kV_TL_TVM_Ex]]-AE152)*1600)</f>
        <v>0</v>
      </c>
      <c r="AL153" s="154" t="str">
        <f>IF((RD[[#This Row],[220kV_C&amp;R_PQM_Ex]]-AF152)*1000&lt;=0,"",(RD[[#This Row],[220kV_C&amp;R_PQM_Ex]]-AF152)*1000)</f>
        <v/>
      </c>
      <c r="AM153" s="154">
        <f>IF((RD[[#This Row],[33kV_Aux1_Im]]-AH152)*1000&lt;0,"",(RD[[#This Row],[33kV_Aux1_Im]]-AH152)*1000)</f>
        <v>0</v>
      </c>
      <c r="AN153" s="154">
        <f>IF((RD[[#This Row],[33kV_Aux1_Im]]-AH152)*1000&lt;0,"",(RD[[#This Row],[33kV_Aux1_Im]]-AH152)*1000)</f>
        <v>0</v>
      </c>
      <c r="AO153" s="61">
        <f>RD[[#This Row],[33kV_OG1_Energy (KWh)]]</f>
        <v>0</v>
      </c>
      <c r="AP153" s="61">
        <f>IFERROR(RD[[#This Row],[220kV_TL_TVM Energy (KWh)]]-RD[[#This Row],[220kV_C&amp;R_PQM_Imp (KWh)2]],"")</f>
        <v>0</v>
      </c>
      <c r="AQ153" s="63" t="str">
        <f>IFERROR(RD[[#This Row],[33 kV Total Export (KWH)]]/RD[[#This Row],[220 KV Net Export (KWh)]]-1,"")</f>
        <v/>
      </c>
      <c r="AR153" s="64">
        <f>IFERROR((RD[[#This Row],[Sunset Time (POA&lt;20 W/m2)]]-RD[[#This Row],[Sunrise Time (POA&gt;20 W/m2)]])*24,0)</f>
        <v>0</v>
      </c>
      <c r="AS153" s="65">
        <f>RD[[#This Row],[33kV_OG1_Energy (KWh)]]</f>
        <v>0</v>
      </c>
      <c r="AT153" s="65">
        <f>IFERROR(RD[[#This Row],[ Export (33 kV)]]*(1-RD[[#This Row],[33 kV Line Loss (%)]]),RD[[#This Row],[ Export (33 kV)]])</f>
        <v>0</v>
      </c>
      <c r="AU153" s="122"/>
      <c r="AV153" s="122"/>
      <c r="AW153" s="122"/>
      <c r="AX153" t="str">
        <f>IFERROR(RD[[#This Row],[E_AC (WPR)]]/RD[[#This Row],[E_DC (WPR)]],"")</f>
        <v/>
      </c>
    </row>
    <row r="154" spans="1:50">
      <c r="A154" s="148">
        <f t="shared" si="51"/>
        <v>45894</v>
      </c>
      <c r="B154" s="151">
        <f>YEAR(RD[[#This Row],[Date]])+IF(MONTH(RD[[#This Row],[Date]])&gt;=4,1,0)</f>
        <v>2026</v>
      </c>
      <c r="C154" s="151">
        <f>YEAR(RD[[#This Row],[Date]])</f>
        <v>2025</v>
      </c>
      <c r="D154" s="152">
        <f t="shared" si="50"/>
        <v>45870</v>
      </c>
      <c r="E154" s="151">
        <f>DAY(EOMONTH(RD[[#This Row],[Date]],0))</f>
        <v>31</v>
      </c>
      <c r="F154" s="122"/>
      <c r="G154" s="122"/>
      <c r="H154" s="138"/>
      <c r="I154" s="138"/>
      <c r="J154" s="138"/>
      <c r="K154" s="138"/>
      <c r="L154" s="138"/>
      <c r="M154" s="138"/>
      <c r="N154" s="138"/>
      <c r="O154" s="167"/>
      <c r="P154" s="167"/>
      <c r="Q154" s="59"/>
      <c r="R154" s="59"/>
      <c r="S154" s="59"/>
      <c r="T154" s="59"/>
      <c r="U154" s="59"/>
      <c r="V154" s="59"/>
      <c r="W154" s="59"/>
      <c r="X154" s="59"/>
      <c r="Y154" s="60">
        <f>SUM(RD[[#This Row],[IS1Inv1]:[IS3Inv1]])</f>
        <v>0</v>
      </c>
      <c r="Z154" s="60">
        <f>SUM(RD[[#This Row],[IS4Inv1]:[IS4Inv2]])</f>
        <v>0</v>
      </c>
      <c r="AA154" s="60">
        <f>SUM(RD[[#This Row],[O2RE7]:[O2RE27]])</f>
        <v>0</v>
      </c>
      <c r="AB154" s="153"/>
      <c r="AC154" s="153"/>
      <c r="AD154" s="153"/>
      <c r="AE154" s="153"/>
      <c r="AF154" s="153"/>
      <c r="AG154" s="153"/>
      <c r="AH154" s="153"/>
      <c r="AI154" s="154" t="str">
        <f>IF((RD[[#This Row],[33 kV_F1_Ex]]-AB153)*150000&lt;=0,"",(RD[[#This Row],[33 kV_F1_Ex]]-AB153)*150000)</f>
        <v/>
      </c>
      <c r="AJ154" s="154">
        <f>IF((RD[[#This Row],[33kV_OG1_Ex]]-AC153)*1000&lt;=0,0,(RD[[#This Row],[33kV_OG1_Ex]]-AC153)*1000)</f>
        <v>0</v>
      </c>
      <c r="AK154" s="154">
        <f>IF((RD[[#This Row],[220kV_TL_TVM_Ex]]-AE153)*1600&lt;=0,0,(RD[[#This Row],[220kV_TL_TVM_Ex]]-AE153)*1600)</f>
        <v>0</v>
      </c>
      <c r="AL154" s="154" t="str">
        <f>IF((RD[[#This Row],[220kV_C&amp;R_PQM_Ex]]-AF153)*1000&lt;=0,"",(RD[[#This Row],[220kV_C&amp;R_PQM_Ex]]-AF153)*1000)</f>
        <v/>
      </c>
      <c r="AM154" s="154">
        <f>IF((RD[[#This Row],[33kV_Aux1_Im]]-AH153)*1000&lt;0,"",(RD[[#This Row],[33kV_Aux1_Im]]-AH153)*1000)</f>
        <v>0</v>
      </c>
      <c r="AN154" s="154">
        <f>IF((RD[[#This Row],[33kV_Aux1_Im]]-AH153)*1000&lt;0,"",(RD[[#This Row],[33kV_Aux1_Im]]-AH153)*1000)</f>
        <v>0</v>
      </c>
      <c r="AO154" s="61">
        <f>RD[[#This Row],[33kV_OG1_Energy (KWh)]]</f>
        <v>0</v>
      </c>
      <c r="AP154" s="61">
        <f>IFERROR(RD[[#This Row],[220kV_TL_TVM Energy (KWh)]]-RD[[#This Row],[220kV_C&amp;R_PQM_Imp (KWh)2]],"")</f>
        <v>0</v>
      </c>
      <c r="AQ154" s="63" t="str">
        <f>IFERROR(RD[[#This Row],[33 kV Total Export (KWH)]]/RD[[#This Row],[220 KV Net Export (KWh)]]-1,"")</f>
        <v/>
      </c>
      <c r="AR154" s="64">
        <f>IFERROR((RD[[#This Row],[Sunset Time (POA&lt;20 W/m2)]]-RD[[#This Row],[Sunrise Time (POA&gt;20 W/m2)]])*24,0)</f>
        <v>0</v>
      </c>
      <c r="AS154" s="65">
        <f>RD[[#This Row],[33kV_OG1_Energy (KWh)]]</f>
        <v>0</v>
      </c>
      <c r="AT154" s="65">
        <f>IFERROR(RD[[#This Row],[ Export (33 kV)]]*(1-RD[[#This Row],[33 kV Line Loss (%)]]),RD[[#This Row],[ Export (33 kV)]])</f>
        <v>0</v>
      </c>
      <c r="AU154" s="122"/>
      <c r="AV154" s="122"/>
      <c r="AW154" s="122"/>
      <c r="AX154" t="str">
        <f>IFERROR(RD[[#This Row],[E_AC (WPR)]]/RD[[#This Row],[E_DC (WPR)]],"")</f>
        <v/>
      </c>
    </row>
    <row r="155" spans="1:50">
      <c r="A155" s="148">
        <f t="shared" si="51"/>
        <v>45895</v>
      </c>
      <c r="B155" s="151">
        <f>YEAR(RD[[#This Row],[Date]])+IF(MONTH(RD[[#This Row],[Date]])&gt;=4,1,0)</f>
        <v>2026</v>
      </c>
      <c r="C155" s="151">
        <f>YEAR(RD[[#This Row],[Date]])</f>
        <v>2025</v>
      </c>
      <c r="D155" s="152">
        <f t="shared" si="50"/>
        <v>45870</v>
      </c>
      <c r="E155" s="151">
        <f>DAY(EOMONTH(RD[[#This Row],[Date]],0))</f>
        <v>31</v>
      </c>
      <c r="F155" s="122"/>
      <c r="G155" s="122"/>
      <c r="H155" s="138"/>
      <c r="I155" s="138"/>
      <c r="J155" s="138"/>
      <c r="K155" s="138"/>
      <c r="L155" s="138"/>
      <c r="M155" s="138"/>
      <c r="N155" s="138"/>
      <c r="O155" s="167"/>
      <c r="P155" s="167"/>
      <c r="Q155" s="59"/>
      <c r="R155" s="59"/>
      <c r="S155" s="59"/>
      <c r="T155" s="59"/>
      <c r="U155" s="59"/>
      <c r="V155" s="59"/>
      <c r="W155" s="59"/>
      <c r="X155" s="59"/>
      <c r="Y155" s="60">
        <f>SUM(RD[[#This Row],[IS1Inv1]:[IS3Inv1]])</f>
        <v>0</v>
      </c>
      <c r="Z155" s="60">
        <f>SUM(RD[[#This Row],[IS4Inv1]:[IS4Inv2]])</f>
        <v>0</v>
      </c>
      <c r="AA155" s="60">
        <f>SUM(RD[[#This Row],[O2RE7]:[O2RE27]])</f>
        <v>0</v>
      </c>
      <c r="AB155" s="153"/>
      <c r="AC155" s="153"/>
      <c r="AD155" s="153"/>
      <c r="AE155" s="153"/>
      <c r="AF155" s="153"/>
      <c r="AG155" s="153"/>
      <c r="AH155" s="153"/>
      <c r="AI155" s="154" t="str">
        <f>IF((RD[[#This Row],[33 kV_F1_Ex]]-AB154)*150000&lt;=0,"",(RD[[#This Row],[33 kV_F1_Ex]]-AB154)*150000)</f>
        <v/>
      </c>
      <c r="AJ155" s="154">
        <f>IF((RD[[#This Row],[33kV_OG1_Ex]]-AC154)*1000&lt;=0,0,(RD[[#This Row],[33kV_OG1_Ex]]-AC154)*1000)</f>
        <v>0</v>
      </c>
      <c r="AK155" s="154">
        <f>IF((RD[[#This Row],[220kV_TL_TVM_Ex]]-AE154)*1600&lt;=0,0,(RD[[#This Row],[220kV_TL_TVM_Ex]]-AE154)*1600)</f>
        <v>0</v>
      </c>
      <c r="AL155" s="154" t="str">
        <f>IF((RD[[#This Row],[220kV_C&amp;R_PQM_Ex]]-AF154)*1000&lt;=0,"",(RD[[#This Row],[220kV_C&amp;R_PQM_Ex]]-AF154)*1000)</f>
        <v/>
      </c>
      <c r="AM155" s="154">
        <f>IF((RD[[#This Row],[33kV_Aux1_Im]]-AH154)*1000&lt;0,"",(RD[[#This Row],[33kV_Aux1_Im]]-AH154)*1000)</f>
        <v>0</v>
      </c>
      <c r="AN155" s="154">
        <f>IF((RD[[#This Row],[33kV_Aux1_Im]]-AH154)*1000&lt;0,"",(RD[[#This Row],[33kV_Aux1_Im]]-AH154)*1000)</f>
        <v>0</v>
      </c>
      <c r="AO155" s="61">
        <f>RD[[#This Row],[33kV_OG1_Energy (KWh)]]</f>
        <v>0</v>
      </c>
      <c r="AP155" s="61">
        <f>IFERROR(RD[[#This Row],[220kV_TL_TVM Energy (KWh)]]-RD[[#This Row],[220kV_C&amp;R_PQM_Imp (KWh)2]],"")</f>
        <v>0</v>
      </c>
      <c r="AQ155" s="63" t="str">
        <f>IFERROR(RD[[#This Row],[33 kV Total Export (KWH)]]/RD[[#This Row],[220 KV Net Export (KWh)]]-1,"")</f>
        <v/>
      </c>
      <c r="AR155" s="64">
        <f>IFERROR((RD[[#This Row],[Sunset Time (POA&lt;20 W/m2)]]-RD[[#This Row],[Sunrise Time (POA&gt;20 W/m2)]])*24,0)</f>
        <v>0</v>
      </c>
      <c r="AS155" s="65">
        <f>RD[[#This Row],[33kV_OG1_Energy (KWh)]]</f>
        <v>0</v>
      </c>
      <c r="AT155" s="65">
        <f>IFERROR(RD[[#This Row],[ Export (33 kV)]]*(1-RD[[#This Row],[33 kV Line Loss (%)]]),RD[[#This Row],[ Export (33 kV)]])</f>
        <v>0</v>
      </c>
      <c r="AU155" s="122"/>
      <c r="AV155" s="122"/>
      <c r="AW155" s="122"/>
      <c r="AX155" t="str">
        <f>IFERROR(RD[[#This Row],[E_AC (WPR)]]/RD[[#This Row],[E_DC (WPR)]],"")</f>
        <v/>
      </c>
    </row>
    <row r="156" spans="1:50">
      <c r="A156" s="148">
        <f t="shared" si="51"/>
        <v>45896</v>
      </c>
      <c r="B156" s="151">
        <f>YEAR(RD[[#This Row],[Date]])+IF(MONTH(RD[[#This Row],[Date]])&gt;=4,1,0)</f>
        <v>2026</v>
      </c>
      <c r="C156" s="151">
        <f>YEAR(RD[[#This Row],[Date]])</f>
        <v>2025</v>
      </c>
      <c r="D156" s="152">
        <f t="shared" si="50"/>
        <v>45870</v>
      </c>
      <c r="E156" s="151">
        <f>DAY(EOMONTH(RD[[#This Row],[Date]],0))</f>
        <v>31</v>
      </c>
      <c r="F156" s="122"/>
      <c r="G156" s="122"/>
      <c r="H156" s="138"/>
      <c r="I156" s="138"/>
      <c r="J156" s="138"/>
      <c r="K156" s="138"/>
      <c r="L156" s="138"/>
      <c r="M156" s="138"/>
      <c r="N156" s="138"/>
      <c r="O156" s="167"/>
      <c r="P156" s="167"/>
      <c r="Q156" s="59"/>
      <c r="R156" s="59"/>
      <c r="S156" s="59"/>
      <c r="T156" s="59"/>
      <c r="U156" s="59"/>
      <c r="V156" s="59"/>
      <c r="W156" s="59"/>
      <c r="X156" s="59"/>
      <c r="Y156" s="60">
        <f>SUM(RD[[#This Row],[IS1Inv1]:[IS3Inv1]])</f>
        <v>0</v>
      </c>
      <c r="Z156" s="60">
        <f>SUM(RD[[#This Row],[IS4Inv1]:[IS4Inv2]])</f>
        <v>0</v>
      </c>
      <c r="AA156" s="60">
        <f>SUM(RD[[#This Row],[O2RE7]:[O2RE27]])</f>
        <v>0</v>
      </c>
      <c r="AB156" s="153"/>
      <c r="AC156" s="153"/>
      <c r="AD156" s="153"/>
      <c r="AE156" s="153"/>
      <c r="AF156" s="153"/>
      <c r="AG156" s="153"/>
      <c r="AH156" s="153"/>
      <c r="AI156" s="154" t="str">
        <f>IF((RD[[#This Row],[33 kV_F1_Ex]]-AB155)*150000&lt;=0,"",(RD[[#This Row],[33 kV_F1_Ex]]-AB155)*150000)</f>
        <v/>
      </c>
      <c r="AJ156" s="154">
        <f>IF((RD[[#This Row],[33kV_OG1_Ex]]-AC155)*1000&lt;=0,0,(RD[[#This Row],[33kV_OG1_Ex]]-AC155)*1000)</f>
        <v>0</v>
      </c>
      <c r="AK156" s="154">
        <f>IF((RD[[#This Row],[220kV_TL_TVM_Ex]]-AE155)*1600&lt;=0,0,(RD[[#This Row],[220kV_TL_TVM_Ex]]-AE155)*1600)</f>
        <v>0</v>
      </c>
      <c r="AL156" s="154" t="str">
        <f>IF((RD[[#This Row],[220kV_C&amp;R_PQM_Ex]]-AF155)*1000&lt;=0,"",(RD[[#This Row],[220kV_C&amp;R_PQM_Ex]]-AF155)*1000)</f>
        <v/>
      </c>
      <c r="AM156" s="154">
        <f>IF((RD[[#This Row],[33kV_Aux1_Im]]-AH155)*1000&lt;0,"",(RD[[#This Row],[33kV_Aux1_Im]]-AH155)*1000)</f>
        <v>0</v>
      </c>
      <c r="AN156" s="154">
        <f>IF((RD[[#This Row],[33kV_Aux1_Im]]-AH155)*1000&lt;0,"",(RD[[#This Row],[33kV_Aux1_Im]]-AH155)*1000)</f>
        <v>0</v>
      </c>
      <c r="AO156" s="61">
        <f>RD[[#This Row],[33kV_OG1_Energy (KWh)]]</f>
        <v>0</v>
      </c>
      <c r="AP156" s="61">
        <f>IFERROR(RD[[#This Row],[220kV_TL_TVM Energy (KWh)]]-RD[[#This Row],[220kV_C&amp;R_PQM_Imp (KWh)2]],"")</f>
        <v>0</v>
      </c>
      <c r="AQ156" s="63" t="str">
        <f>IFERROR(RD[[#This Row],[33 kV Total Export (KWH)]]/RD[[#This Row],[220 KV Net Export (KWh)]]-1,"")</f>
        <v/>
      </c>
      <c r="AR156" s="64">
        <f>IFERROR((RD[[#This Row],[Sunset Time (POA&lt;20 W/m2)]]-RD[[#This Row],[Sunrise Time (POA&gt;20 W/m2)]])*24,0)</f>
        <v>0</v>
      </c>
      <c r="AS156" s="65">
        <f>RD[[#This Row],[33kV_OG1_Energy (KWh)]]</f>
        <v>0</v>
      </c>
      <c r="AT156" s="65">
        <f>IFERROR(RD[[#This Row],[ Export (33 kV)]]*(1-RD[[#This Row],[33 kV Line Loss (%)]]),RD[[#This Row],[ Export (33 kV)]])</f>
        <v>0</v>
      </c>
      <c r="AU156" s="122"/>
      <c r="AV156" s="122"/>
      <c r="AW156" s="122"/>
      <c r="AX156" t="str">
        <f>IFERROR(RD[[#This Row],[E_AC (WPR)]]/RD[[#This Row],[E_DC (WPR)]],"")</f>
        <v/>
      </c>
    </row>
    <row r="157" spans="1:50">
      <c r="A157" s="148">
        <f t="shared" si="51"/>
        <v>45897</v>
      </c>
      <c r="B157" s="151">
        <f>YEAR(RD[[#This Row],[Date]])+IF(MONTH(RD[[#This Row],[Date]])&gt;=4,1,0)</f>
        <v>2026</v>
      </c>
      <c r="C157" s="151">
        <f>YEAR(RD[[#This Row],[Date]])</f>
        <v>2025</v>
      </c>
      <c r="D157" s="152">
        <f t="shared" si="50"/>
        <v>45870</v>
      </c>
      <c r="E157" s="151">
        <f>DAY(EOMONTH(RD[[#This Row],[Date]],0))</f>
        <v>31</v>
      </c>
      <c r="F157" s="122"/>
      <c r="G157" s="122"/>
      <c r="H157" s="138"/>
      <c r="I157" s="138"/>
      <c r="J157" s="138"/>
      <c r="K157" s="138"/>
      <c r="L157" s="138"/>
      <c r="M157" s="138"/>
      <c r="N157" s="138"/>
      <c r="O157" s="167"/>
      <c r="P157" s="167"/>
      <c r="Q157" s="59"/>
      <c r="R157" s="59"/>
      <c r="S157" s="59"/>
      <c r="T157" s="59"/>
      <c r="U157" s="59"/>
      <c r="V157" s="59"/>
      <c r="W157" s="59"/>
      <c r="X157" s="59"/>
      <c r="Y157" s="60">
        <f>SUM(RD[[#This Row],[IS1Inv1]:[IS3Inv1]])</f>
        <v>0</v>
      </c>
      <c r="Z157" s="60">
        <f>SUM(RD[[#This Row],[IS4Inv1]:[IS4Inv2]])</f>
        <v>0</v>
      </c>
      <c r="AA157" s="60">
        <f>SUM(RD[[#This Row],[O2RE7]:[O2RE27]])</f>
        <v>0</v>
      </c>
      <c r="AB157" s="153"/>
      <c r="AC157" s="153"/>
      <c r="AD157" s="153"/>
      <c r="AE157" s="153"/>
      <c r="AF157" s="153"/>
      <c r="AG157" s="153"/>
      <c r="AH157" s="153"/>
      <c r="AI157" s="154" t="str">
        <f>IF((RD[[#This Row],[33 kV_F1_Ex]]-AB156)*150000&lt;=0,"",(RD[[#This Row],[33 kV_F1_Ex]]-AB156)*150000)</f>
        <v/>
      </c>
      <c r="AJ157" s="154">
        <f>IF((RD[[#This Row],[33kV_OG1_Ex]]-AC156)*1000&lt;=0,0,(RD[[#This Row],[33kV_OG1_Ex]]-AC156)*1000)</f>
        <v>0</v>
      </c>
      <c r="AK157" s="154">
        <f>IF((RD[[#This Row],[220kV_TL_TVM_Ex]]-AE156)*1600&lt;=0,0,(RD[[#This Row],[220kV_TL_TVM_Ex]]-AE156)*1600)</f>
        <v>0</v>
      </c>
      <c r="AL157" s="154" t="str">
        <f>IF((RD[[#This Row],[220kV_C&amp;R_PQM_Ex]]-AF156)*1000&lt;=0,"",(RD[[#This Row],[220kV_C&amp;R_PQM_Ex]]-AF156)*1000)</f>
        <v/>
      </c>
      <c r="AM157" s="154">
        <f>IF((RD[[#This Row],[33kV_Aux1_Im]]-AH156)*1000&lt;0,"",(RD[[#This Row],[33kV_Aux1_Im]]-AH156)*1000)</f>
        <v>0</v>
      </c>
      <c r="AN157" s="154">
        <f>IF((RD[[#This Row],[33kV_Aux1_Im]]-AH156)*1000&lt;0,"",(RD[[#This Row],[33kV_Aux1_Im]]-AH156)*1000)</f>
        <v>0</v>
      </c>
      <c r="AO157" s="61">
        <f>RD[[#This Row],[33kV_OG1_Energy (KWh)]]</f>
        <v>0</v>
      </c>
      <c r="AP157" s="61">
        <f>IFERROR(RD[[#This Row],[220kV_TL_TVM Energy (KWh)]]-RD[[#This Row],[220kV_C&amp;R_PQM_Imp (KWh)2]],"")</f>
        <v>0</v>
      </c>
      <c r="AQ157" s="63" t="str">
        <f>IFERROR(RD[[#This Row],[33 kV Total Export (KWH)]]/RD[[#This Row],[220 KV Net Export (KWh)]]-1,"")</f>
        <v/>
      </c>
      <c r="AR157" s="64">
        <f>IFERROR((RD[[#This Row],[Sunset Time (POA&lt;20 W/m2)]]-RD[[#This Row],[Sunrise Time (POA&gt;20 W/m2)]])*24,0)</f>
        <v>0</v>
      </c>
      <c r="AS157" s="65">
        <f>RD[[#This Row],[33kV_OG1_Energy (KWh)]]</f>
        <v>0</v>
      </c>
      <c r="AT157" s="65">
        <f>IFERROR(RD[[#This Row],[ Export (33 kV)]]*(1-RD[[#This Row],[33 kV Line Loss (%)]]),RD[[#This Row],[ Export (33 kV)]])</f>
        <v>0</v>
      </c>
      <c r="AU157" s="122"/>
      <c r="AV157" s="122"/>
      <c r="AW157" s="122"/>
      <c r="AX157" t="str">
        <f>IFERROR(RD[[#This Row],[E_AC (WPR)]]/RD[[#This Row],[E_DC (WPR)]],"")</f>
        <v/>
      </c>
    </row>
    <row r="158" spans="1:50">
      <c r="A158" s="148">
        <f t="shared" si="51"/>
        <v>45898</v>
      </c>
      <c r="B158" s="151">
        <f>YEAR(RD[[#This Row],[Date]])+IF(MONTH(RD[[#This Row],[Date]])&gt;=4,1,0)</f>
        <v>2026</v>
      </c>
      <c r="C158" s="151">
        <f>YEAR(RD[[#This Row],[Date]])</f>
        <v>2025</v>
      </c>
      <c r="D158" s="66">
        <f t="shared" si="50"/>
        <v>45870</v>
      </c>
      <c r="E158" s="151">
        <f>DAY(EOMONTH(RD[[#This Row],[Date]],0))</f>
        <v>31</v>
      </c>
      <c r="F158" s="155"/>
      <c r="G158" s="155"/>
      <c r="H158" s="67"/>
      <c r="I158" s="67"/>
      <c r="J158" s="67"/>
      <c r="K158" s="67"/>
      <c r="L158" s="67"/>
      <c r="M158" s="67"/>
      <c r="N158" s="67"/>
      <c r="O158" s="168"/>
      <c r="P158" s="168"/>
      <c r="Q158" s="68"/>
      <c r="R158" s="68"/>
      <c r="S158" s="68"/>
      <c r="T158" s="68"/>
      <c r="U158" s="68"/>
      <c r="V158" s="68"/>
      <c r="W158" s="68"/>
      <c r="X158" s="68"/>
      <c r="Y158" s="60">
        <f>SUM(RD[[#This Row],[IS1Inv1]:[IS3Inv1]])</f>
        <v>0</v>
      </c>
      <c r="Z158" s="60">
        <f>SUM(RD[[#This Row],[IS4Inv1]:[IS4Inv2]])</f>
        <v>0</v>
      </c>
      <c r="AA158" s="60">
        <f>SUM(RD[[#This Row],[O2RE7]:[O2RE27]])</f>
        <v>0</v>
      </c>
      <c r="AB158" s="153"/>
      <c r="AC158" s="153"/>
      <c r="AD158" s="153"/>
      <c r="AE158" s="153"/>
      <c r="AF158" s="153"/>
      <c r="AG158" s="153"/>
      <c r="AH158" s="153"/>
      <c r="AI158" s="154" t="str">
        <f>IF((RD[[#This Row],[33 kV_F1_Ex]]-AB157)*150000&lt;=0,"",(RD[[#This Row],[33 kV_F1_Ex]]-AB157)*150000)</f>
        <v/>
      </c>
      <c r="AJ158" s="154">
        <f>IF((RD[[#This Row],[33kV_OG1_Ex]]-AC157)*1000&lt;=0,0,(RD[[#This Row],[33kV_OG1_Ex]]-AC157)*1000)</f>
        <v>0</v>
      </c>
      <c r="AK158" s="154">
        <f>IF((RD[[#This Row],[220kV_TL_TVM_Ex]]-AE157)*1600&lt;=0,0,(RD[[#This Row],[220kV_TL_TVM_Ex]]-AE157)*1600)</f>
        <v>0</v>
      </c>
      <c r="AL158" s="154" t="str">
        <f>IF((RD[[#This Row],[220kV_C&amp;R_PQM_Ex]]-AF157)*1000&lt;=0,"",(RD[[#This Row],[220kV_C&amp;R_PQM_Ex]]-AF157)*1000)</f>
        <v/>
      </c>
      <c r="AM158" s="154">
        <f>IF((RD[[#This Row],[33kV_Aux1_Im]]-AH157)*1000&lt;0,"",(RD[[#This Row],[33kV_Aux1_Im]]-AH157)*1000)</f>
        <v>0</v>
      </c>
      <c r="AN158" s="154">
        <f>IF((RD[[#This Row],[33kV_Aux1_Im]]-AH157)*1000&lt;0,"",(RD[[#This Row],[33kV_Aux1_Im]]-AH157)*1000)</f>
        <v>0</v>
      </c>
      <c r="AO158" s="61">
        <f>RD[[#This Row],[33kV_OG1_Energy (KWh)]]</f>
        <v>0</v>
      </c>
      <c r="AP158" s="61">
        <f>IFERROR(RD[[#This Row],[220kV_TL_TVM Energy (KWh)]]-RD[[#This Row],[220kV_C&amp;R_PQM_Imp (KWh)2]],"")</f>
        <v>0</v>
      </c>
      <c r="AQ158" s="63" t="str">
        <f>IFERROR(RD[[#This Row],[33 kV Total Export (KWH)]]/RD[[#This Row],[220 KV Net Export (KWh)]]-1,"")</f>
        <v/>
      </c>
      <c r="AR158" s="64">
        <f>IFERROR((RD[[#This Row],[Sunset Time (POA&lt;20 W/m2)]]-RD[[#This Row],[Sunrise Time (POA&gt;20 W/m2)]])*24,0)</f>
        <v>0</v>
      </c>
      <c r="AS158" s="65">
        <f>RD[[#This Row],[33kV_OG1_Energy (KWh)]]</f>
        <v>0</v>
      </c>
      <c r="AT158" s="65">
        <f>IFERROR(RD[[#This Row],[ Export (33 kV)]]*(1-RD[[#This Row],[33 kV Line Loss (%)]]),RD[[#This Row],[ Export (33 kV)]])</f>
        <v>0</v>
      </c>
      <c r="AU158" s="155"/>
      <c r="AV158" s="155"/>
      <c r="AW158" s="155"/>
      <c r="AX158" t="str">
        <f>IFERROR(RD[[#This Row],[E_AC (WPR)]]/RD[[#This Row],[E_DC (WPR)]],"")</f>
        <v/>
      </c>
    </row>
    <row r="159" spans="1:50">
      <c r="A159" s="148">
        <f t="shared" si="51"/>
        <v>45899</v>
      </c>
      <c r="B159" s="151">
        <f>YEAR(RD[[#This Row],[Date]])+IF(MONTH(RD[[#This Row],[Date]])&gt;=4,1,0)</f>
        <v>2026</v>
      </c>
      <c r="C159" s="151">
        <f>YEAR(RD[[#This Row],[Date]])</f>
        <v>2025</v>
      </c>
      <c r="D159" s="66">
        <f t="shared" si="50"/>
        <v>45870</v>
      </c>
      <c r="E159" s="151">
        <f>DAY(EOMONTH(RD[[#This Row],[Date]],0))</f>
        <v>31</v>
      </c>
      <c r="F159" s="122"/>
      <c r="G159" s="122"/>
      <c r="H159" s="138"/>
      <c r="I159" s="138"/>
      <c r="J159" s="138"/>
      <c r="K159" s="138"/>
      <c r="L159" s="138"/>
      <c r="M159" s="138"/>
      <c r="N159" s="138"/>
      <c r="O159" s="169"/>
      <c r="P159" s="169"/>
      <c r="Q159" s="69"/>
      <c r="R159" s="69"/>
      <c r="S159" s="69"/>
      <c r="T159" s="69"/>
      <c r="U159" s="69"/>
      <c r="V159" s="69"/>
      <c r="W159" s="69"/>
      <c r="X159" s="69"/>
      <c r="Y159" s="70">
        <f>SUM(RD[[#This Row],[IS1Inv1]:[IS3Inv1]])</f>
        <v>0</v>
      </c>
      <c r="Z159" s="70">
        <f>SUM(RD[[#This Row],[IS4Inv1]:[IS4Inv2]])</f>
        <v>0</v>
      </c>
      <c r="AA159" s="70">
        <f>SUM(RD[[#This Row],[O2RE7]:[O2RE27]])</f>
        <v>0</v>
      </c>
      <c r="AB159" s="153"/>
      <c r="AC159" s="153"/>
      <c r="AD159" s="153"/>
      <c r="AE159" s="153"/>
      <c r="AF159" s="153"/>
      <c r="AG159" s="153"/>
      <c r="AH159" s="153"/>
      <c r="AI159" s="154" t="str">
        <f>IF((RD[[#This Row],[33 kV_F1_Ex]]-AB158)*150000&lt;=0,"",(RD[[#This Row],[33 kV_F1_Ex]]-AB158)*150000)</f>
        <v/>
      </c>
      <c r="AJ159" s="154">
        <f>IF((RD[[#This Row],[33kV_OG1_Ex]]-AC158)*1000&lt;=0,0,(RD[[#This Row],[33kV_OG1_Ex]]-AC158)*1000)</f>
        <v>0</v>
      </c>
      <c r="AK159" s="154">
        <f>IF((RD[[#This Row],[220kV_TL_TVM_Ex]]-AE158)*1600&lt;=0,0,(RD[[#This Row],[220kV_TL_TVM_Ex]]-AE158)*1600)</f>
        <v>0</v>
      </c>
      <c r="AL159" s="154" t="str">
        <f>IF((RD[[#This Row],[220kV_C&amp;R_PQM_Ex]]-AF158)*1000&lt;=0,"",(RD[[#This Row],[220kV_C&amp;R_PQM_Ex]]-AF158)*1000)</f>
        <v/>
      </c>
      <c r="AM159" s="154">
        <f>IF((RD[[#This Row],[33kV_Aux1_Im]]-AH158)*1000&lt;0,"",(RD[[#This Row],[33kV_Aux1_Im]]-AH158)*1000)</f>
        <v>0</v>
      </c>
      <c r="AN159" s="154">
        <f>IF((RD[[#This Row],[33kV_Aux1_Im]]-AH158)*1000&lt;0,"",(RD[[#This Row],[33kV_Aux1_Im]]-AH158)*1000)</f>
        <v>0</v>
      </c>
      <c r="AO159" s="61">
        <f>RD[[#This Row],[33kV_OG1_Energy (KWh)]]</f>
        <v>0</v>
      </c>
      <c r="AP159" s="61">
        <f>IFERROR(RD[[#This Row],[220kV_TL_TVM Energy (KWh)]]-RD[[#This Row],[220kV_C&amp;R_PQM_Imp (KWh)2]],"")</f>
        <v>0</v>
      </c>
      <c r="AQ159" s="63" t="str">
        <f>IFERROR(RD[[#This Row],[33 kV Total Export (KWH)]]/RD[[#This Row],[220 KV Net Export (KWh)]]-1,"")</f>
        <v/>
      </c>
      <c r="AR159" s="64">
        <f>IFERROR((RD[[#This Row],[Sunset Time (POA&lt;20 W/m2)]]-RD[[#This Row],[Sunrise Time (POA&gt;20 W/m2)]])*24,0)</f>
        <v>0</v>
      </c>
      <c r="AS159" s="65">
        <f>RD[[#This Row],[33kV_OG1_Energy (KWh)]]</f>
        <v>0</v>
      </c>
      <c r="AT159" s="65">
        <f>IFERROR(RD[[#This Row],[ Export (33 kV)]]*(1-RD[[#This Row],[33 kV Line Loss (%)]]),RD[[#This Row],[ Export (33 kV)]])</f>
        <v>0</v>
      </c>
      <c r="AU159" s="122"/>
      <c r="AV159" s="122"/>
      <c r="AW159" s="122"/>
      <c r="AX159" t="str">
        <f>IFERROR(RD[[#This Row],[E_AC (WPR)]]/RD[[#This Row],[E_DC (WPR)]],"")</f>
        <v/>
      </c>
    </row>
    <row r="160" spans="1:50">
      <c r="A160" s="148">
        <f t="shared" si="51"/>
        <v>45900</v>
      </c>
      <c r="B160" s="151">
        <f>YEAR(RD[[#This Row],[Date]])+IF(MONTH(RD[[#This Row],[Date]])&gt;=4,1,0)</f>
        <v>2026</v>
      </c>
      <c r="C160" s="151">
        <f>YEAR(RD[[#This Row],[Date]])</f>
        <v>2025</v>
      </c>
      <c r="D160" s="66">
        <f t="shared" si="50"/>
        <v>45870</v>
      </c>
      <c r="E160" s="151">
        <f>DAY(EOMONTH(RD[[#This Row],[Date]],0))</f>
        <v>31</v>
      </c>
      <c r="F160" s="122"/>
      <c r="G160" s="122"/>
      <c r="H160" s="138"/>
      <c r="I160" s="138"/>
      <c r="J160" s="138"/>
      <c r="K160" s="138"/>
      <c r="L160" s="138"/>
      <c r="M160" s="138"/>
      <c r="N160" s="138"/>
      <c r="O160" s="169"/>
      <c r="P160" s="169"/>
      <c r="Q160" s="69"/>
      <c r="R160" s="69"/>
      <c r="S160" s="69"/>
      <c r="T160" s="69"/>
      <c r="U160" s="69"/>
      <c r="V160" s="69"/>
      <c r="W160" s="69"/>
      <c r="X160" s="69"/>
      <c r="Y160" s="70">
        <f>SUM(RD[[#This Row],[IS1Inv1]:[IS3Inv1]])</f>
        <v>0</v>
      </c>
      <c r="Z160" s="70">
        <f>SUM(RD[[#This Row],[IS4Inv1]:[IS4Inv2]])</f>
        <v>0</v>
      </c>
      <c r="AA160" s="70">
        <f>SUM(RD[[#This Row],[O2RE7]:[O2RE27]])</f>
        <v>0</v>
      </c>
      <c r="AB160" s="153"/>
      <c r="AC160" s="153"/>
      <c r="AD160" s="153"/>
      <c r="AE160" s="153"/>
      <c r="AF160" s="153"/>
      <c r="AG160" s="153"/>
      <c r="AH160" s="153"/>
      <c r="AI160" s="154" t="str">
        <f>IF((RD[[#This Row],[33 kV_F1_Ex]]-AB159)*150000&lt;=0,"",(RD[[#This Row],[33 kV_F1_Ex]]-AB159)*150000)</f>
        <v/>
      </c>
      <c r="AJ160" s="154">
        <f>IF((RD[[#This Row],[33kV_OG1_Ex]]-AC159)*1000&lt;=0,0,(RD[[#This Row],[33kV_OG1_Ex]]-AC159)*1000)</f>
        <v>0</v>
      </c>
      <c r="AK160" s="154">
        <f>IF((RD[[#This Row],[220kV_TL_TVM_Ex]]-AE159)*1600&lt;=0,0,(RD[[#This Row],[220kV_TL_TVM_Ex]]-AE159)*1600)</f>
        <v>0</v>
      </c>
      <c r="AL160" s="154" t="str">
        <f>IF((RD[[#This Row],[220kV_C&amp;R_PQM_Ex]]-AF159)*1000&lt;=0,"",(RD[[#This Row],[220kV_C&amp;R_PQM_Ex]]-AF159)*1000)</f>
        <v/>
      </c>
      <c r="AM160" s="154">
        <f>IF((RD[[#This Row],[33kV_Aux1_Im]]-AH159)*1000&lt;0,"",(RD[[#This Row],[33kV_Aux1_Im]]-AH159)*1000)</f>
        <v>0</v>
      </c>
      <c r="AN160" s="154">
        <f>IF((RD[[#This Row],[33kV_Aux1_Im]]-AH159)*1000&lt;0,"",(RD[[#This Row],[33kV_Aux1_Im]]-AH159)*1000)</f>
        <v>0</v>
      </c>
      <c r="AO160" s="61">
        <f>RD[[#This Row],[33kV_OG1_Energy (KWh)]]</f>
        <v>0</v>
      </c>
      <c r="AP160" s="61">
        <f>IFERROR(RD[[#This Row],[220kV_TL_TVM Energy (KWh)]]-RD[[#This Row],[220kV_C&amp;R_PQM_Imp (KWh)2]],"")</f>
        <v>0</v>
      </c>
      <c r="AQ160" s="63" t="str">
        <f>IFERROR(RD[[#This Row],[33 kV Total Export (KWH)]]/RD[[#This Row],[220 KV Net Export (KWh)]]-1,"")</f>
        <v/>
      </c>
      <c r="AR160" s="64">
        <f>IFERROR((RD[[#This Row],[Sunset Time (POA&lt;20 W/m2)]]-RD[[#This Row],[Sunrise Time (POA&gt;20 W/m2)]])*24,0)</f>
        <v>0</v>
      </c>
      <c r="AS160" s="65">
        <f>RD[[#This Row],[33kV_OG1_Energy (KWh)]]</f>
        <v>0</v>
      </c>
      <c r="AT160" s="65">
        <f>IFERROR(RD[[#This Row],[ Export (33 kV)]]*(1-RD[[#This Row],[33 kV Line Loss (%)]]),RD[[#This Row],[ Export (33 kV)]])</f>
        <v>0</v>
      </c>
      <c r="AU160" s="122"/>
      <c r="AV160" s="122"/>
      <c r="AW160" s="122"/>
      <c r="AX160" t="str">
        <f>IFERROR(RD[[#This Row],[E_AC (WPR)]]/RD[[#This Row],[E_DC (WPR)]],"")</f>
        <v/>
      </c>
    </row>
    <row r="161" spans="1:50">
      <c r="A161" s="148">
        <f t="shared" si="51"/>
        <v>45901</v>
      </c>
      <c r="B161" s="151">
        <f>YEAR(RD[[#This Row],[Date]])+IF(MONTH(RD[[#This Row],[Date]])&gt;=4,1,0)</f>
        <v>2026</v>
      </c>
      <c r="C161" s="151">
        <f>YEAR(RD[[#This Row],[Date]])</f>
        <v>2025</v>
      </c>
      <c r="D161" s="66">
        <f t="shared" si="50"/>
        <v>45901</v>
      </c>
      <c r="E161" s="151">
        <f>DAY(EOMONTH(RD[[#This Row],[Date]],0))</f>
        <v>30</v>
      </c>
      <c r="F161" s="122"/>
      <c r="G161" s="122"/>
      <c r="H161" s="138"/>
      <c r="I161" s="138"/>
      <c r="J161" s="138"/>
      <c r="K161" s="138"/>
      <c r="L161" s="138"/>
      <c r="M161" s="138"/>
      <c r="N161" s="138"/>
      <c r="O161" s="169"/>
      <c r="P161" s="169"/>
      <c r="Q161" s="69"/>
      <c r="R161" s="69"/>
      <c r="S161" s="69"/>
      <c r="T161" s="69"/>
      <c r="U161" s="69"/>
      <c r="V161" s="69"/>
      <c r="W161" s="69"/>
      <c r="X161" s="69"/>
      <c r="Y161" s="70">
        <f>SUM(RD[[#This Row],[IS1Inv1]:[IS3Inv1]])</f>
        <v>0</v>
      </c>
      <c r="Z161" s="70">
        <f>SUM(RD[[#This Row],[IS4Inv1]:[IS4Inv2]])</f>
        <v>0</v>
      </c>
      <c r="AA161" s="70">
        <f>SUM(RD[[#This Row],[O2RE7]:[O2RE27]])</f>
        <v>0</v>
      </c>
      <c r="AB161" s="153"/>
      <c r="AC161" s="153"/>
      <c r="AD161" s="153"/>
      <c r="AE161" s="153"/>
      <c r="AF161" s="153"/>
      <c r="AG161" s="153"/>
      <c r="AH161" s="153"/>
      <c r="AI161" s="154" t="str">
        <f>IF((RD[[#This Row],[33 kV_F1_Ex]]-AB160)*150000&lt;=0,"",(RD[[#This Row],[33 kV_F1_Ex]]-AB160)*150000)</f>
        <v/>
      </c>
      <c r="AJ161" s="154">
        <f>IF((RD[[#This Row],[33kV_OG1_Ex]]-AC160)*1000&lt;=0,0,(RD[[#This Row],[33kV_OG1_Ex]]-AC160)*1000)</f>
        <v>0</v>
      </c>
      <c r="AK161" s="154">
        <f>IF((RD[[#This Row],[220kV_TL_TVM_Ex]]-AE160)*1600&lt;=0,0,(RD[[#This Row],[220kV_TL_TVM_Ex]]-AE160)*1600)</f>
        <v>0</v>
      </c>
      <c r="AL161" s="154" t="str">
        <f>IF((RD[[#This Row],[220kV_C&amp;R_PQM_Ex]]-AF160)*1000&lt;=0,"",(RD[[#This Row],[220kV_C&amp;R_PQM_Ex]]-AF160)*1000)</f>
        <v/>
      </c>
      <c r="AM161" s="154">
        <f>IF((RD[[#This Row],[33kV_Aux1_Im]]-AH160)*1000&lt;0,"",(RD[[#This Row],[33kV_Aux1_Im]]-AH160)*1000)</f>
        <v>0</v>
      </c>
      <c r="AN161" s="154">
        <f>IF((RD[[#This Row],[33kV_Aux1_Im]]-AH160)*1000&lt;0,"",(RD[[#This Row],[33kV_Aux1_Im]]-AH160)*1000)</f>
        <v>0</v>
      </c>
      <c r="AO161" s="61">
        <f>RD[[#This Row],[33kV_OG1_Energy (KWh)]]</f>
        <v>0</v>
      </c>
      <c r="AP161" s="61">
        <f>IFERROR(RD[[#This Row],[220kV_TL_TVM Energy (KWh)]]-RD[[#This Row],[220kV_C&amp;R_PQM_Imp (KWh)2]],"")</f>
        <v>0</v>
      </c>
      <c r="AQ161" s="63" t="str">
        <f>IFERROR(RD[[#This Row],[33 kV Total Export (KWH)]]/RD[[#This Row],[220 KV Net Export (KWh)]]-1,"")</f>
        <v/>
      </c>
      <c r="AR161" s="64">
        <f>IFERROR((RD[[#This Row],[Sunset Time (POA&lt;20 W/m2)]]-RD[[#This Row],[Sunrise Time (POA&gt;20 W/m2)]])*24,0)</f>
        <v>0</v>
      </c>
      <c r="AS161" s="65">
        <f>RD[[#This Row],[33kV_OG1_Energy (KWh)]]</f>
        <v>0</v>
      </c>
      <c r="AT161" s="65">
        <f>IFERROR(RD[[#This Row],[ Export (33 kV)]]*(1-RD[[#This Row],[33 kV Line Loss (%)]]),RD[[#This Row],[ Export (33 kV)]])</f>
        <v>0</v>
      </c>
      <c r="AU161" s="122"/>
      <c r="AV161" s="122"/>
      <c r="AW161" s="122"/>
      <c r="AX161" t="str">
        <f>IFERROR(RD[[#This Row],[E_AC (WPR)]]/RD[[#This Row],[E_DC (WPR)]],"")</f>
        <v/>
      </c>
    </row>
    <row r="162" spans="1:50">
      <c r="A162" s="148">
        <f t="shared" si="51"/>
        <v>45902</v>
      </c>
      <c r="B162" s="151">
        <f>YEAR(RD[[#This Row],[Date]])+IF(MONTH(RD[[#This Row],[Date]])&gt;=4,1,0)</f>
        <v>2026</v>
      </c>
      <c r="C162" s="151">
        <f>YEAR(RD[[#This Row],[Date]])</f>
        <v>2025</v>
      </c>
      <c r="D162" s="66">
        <f t="shared" si="50"/>
        <v>45901</v>
      </c>
      <c r="E162" s="151">
        <f>DAY(EOMONTH(RD[[#This Row],[Date]],0))</f>
        <v>30</v>
      </c>
      <c r="F162" s="122"/>
      <c r="G162" s="122"/>
      <c r="H162" s="138"/>
      <c r="I162" s="138"/>
      <c r="J162" s="138"/>
      <c r="K162" s="138"/>
      <c r="L162" s="138"/>
      <c r="M162" s="138"/>
      <c r="N162" s="138"/>
      <c r="O162" s="169"/>
      <c r="P162" s="169"/>
      <c r="Q162" s="69"/>
      <c r="R162" s="69"/>
      <c r="S162" s="69"/>
      <c r="T162" s="69"/>
      <c r="U162" s="69"/>
      <c r="V162" s="69"/>
      <c r="W162" s="69"/>
      <c r="X162" s="69"/>
      <c r="Y162" s="70">
        <f>SUM(RD[[#This Row],[IS1Inv1]:[IS3Inv1]])</f>
        <v>0</v>
      </c>
      <c r="Z162" s="70">
        <f>SUM(RD[[#This Row],[IS4Inv1]:[IS4Inv2]])</f>
        <v>0</v>
      </c>
      <c r="AA162" s="70">
        <f>SUM(RD[[#This Row],[O2RE7]:[O2RE27]])</f>
        <v>0</v>
      </c>
      <c r="AB162" s="153"/>
      <c r="AC162" s="153"/>
      <c r="AD162" s="153"/>
      <c r="AE162" s="153"/>
      <c r="AF162" s="153"/>
      <c r="AG162" s="153"/>
      <c r="AH162" s="153"/>
      <c r="AI162" s="154" t="str">
        <f>IF((RD[[#This Row],[33 kV_F1_Ex]]-AB161)*150000&lt;=0,"",(RD[[#This Row],[33 kV_F1_Ex]]-AB161)*150000)</f>
        <v/>
      </c>
      <c r="AJ162" s="154">
        <f>IF((RD[[#This Row],[33kV_OG1_Ex]]-AC161)*1000&lt;=0,0,(RD[[#This Row],[33kV_OG1_Ex]]-AC161)*1000)</f>
        <v>0</v>
      </c>
      <c r="AK162" s="154">
        <f>IF((RD[[#This Row],[220kV_TL_TVM_Ex]]-AE161)*1600&lt;=0,0,(RD[[#This Row],[220kV_TL_TVM_Ex]]-AE161)*1600)</f>
        <v>0</v>
      </c>
      <c r="AL162" s="154" t="str">
        <f>IF((RD[[#This Row],[220kV_C&amp;R_PQM_Ex]]-AF161)*1000&lt;=0,"",(RD[[#This Row],[220kV_C&amp;R_PQM_Ex]]-AF161)*1000)</f>
        <v/>
      </c>
      <c r="AM162" s="154">
        <f>IF((RD[[#This Row],[33kV_Aux1_Im]]-AH161)*1000&lt;0,"",(RD[[#This Row],[33kV_Aux1_Im]]-AH161)*1000)</f>
        <v>0</v>
      </c>
      <c r="AN162" s="154">
        <f>IF((RD[[#This Row],[33kV_Aux1_Im]]-AH161)*1000&lt;0,"",(RD[[#This Row],[33kV_Aux1_Im]]-AH161)*1000)</f>
        <v>0</v>
      </c>
      <c r="AO162" s="61">
        <f>RD[[#This Row],[33kV_OG1_Energy (KWh)]]</f>
        <v>0</v>
      </c>
      <c r="AP162" s="61">
        <f>IFERROR(RD[[#This Row],[220kV_TL_TVM Energy (KWh)]]-RD[[#This Row],[220kV_C&amp;R_PQM_Imp (KWh)2]],"")</f>
        <v>0</v>
      </c>
      <c r="AQ162" s="63" t="str">
        <f>IFERROR(RD[[#This Row],[33 kV Total Export (KWH)]]/RD[[#This Row],[220 KV Net Export (KWh)]]-1,"")</f>
        <v/>
      </c>
      <c r="AR162" s="64">
        <f>IFERROR((RD[[#This Row],[Sunset Time (POA&lt;20 W/m2)]]-RD[[#This Row],[Sunrise Time (POA&gt;20 W/m2)]])*24,0)</f>
        <v>0</v>
      </c>
      <c r="AS162" s="65">
        <f>RD[[#This Row],[33kV_OG1_Energy (KWh)]]</f>
        <v>0</v>
      </c>
      <c r="AT162" s="65">
        <f>IFERROR(RD[[#This Row],[ Export (33 kV)]]*(1-RD[[#This Row],[33 kV Line Loss (%)]]),RD[[#This Row],[ Export (33 kV)]])</f>
        <v>0</v>
      </c>
      <c r="AU162" s="122"/>
      <c r="AV162" s="122"/>
      <c r="AW162" s="122"/>
      <c r="AX162" t="str">
        <f>IFERROR(RD[[#This Row],[E_AC (WPR)]]/RD[[#This Row],[E_DC (WPR)]],"")</f>
        <v/>
      </c>
    </row>
    <row r="163" spans="1:50">
      <c r="A163" s="148">
        <f t="shared" si="51"/>
        <v>45903</v>
      </c>
      <c r="B163" s="151">
        <f>YEAR(RD[[#This Row],[Date]])+IF(MONTH(RD[[#This Row],[Date]])&gt;=4,1,0)</f>
        <v>2026</v>
      </c>
      <c r="C163" s="151">
        <f>YEAR(RD[[#This Row],[Date]])</f>
        <v>2025</v>
      </c>
      <c r="D163" s="66">
        <f t="shared" si="50"/>
        <v>45901</v>
      </c>
      <c r="E163" s="151">
        <f>DAY(EOMONTH(RD[[#This Row],[Date]],0))</f>
        <v>30</v>
      </c>
      <c r="F163" s="122"/>
      <c r="G163" s="122"/>
      <c r="H163" s="138"/>
      <c r="I163" s="138"/>
      <c r="J163" s="138"/>
      <c r="K163" s="138"/>
      <c r="L163" s="138"/>
      <c r="M163" s="138"/>
      <c r="N163" s="138"/>
      <c r="O163" s="169"/>
      <c r="P163" s="169"/>
      <c r="Q163" s="69"/>
      <c r="R163" s="69"/>
      <c r="S163" s="69"/>
      <c r="T163" s="69"/>
      <c r="U163" s="69"/>
      <c r="V163" s="69"/>
      <c r="W163" s="69"/>
      <c r="X163" s="69"/>
      <c r="Y163" s="70">
        <f>SUM(RD[[#This Row],[IS1Inv1]:[IS3Inv1]])</f>
        <v>0</v>
      </c>
      <c r="Z163" s="70">
        <f>SUM(RD[[#This Row],[IS4Inv1]:[IS4Inv2]])</f>
        <v>0</v>
      </c>
      <c r="AA163" s="70">
        <f>SUM(RD[[#This Row],[O2RE7]:[O2RE27]])</f>
        <v>0</v>
      </c>
      <c r="AB163" s="153"/>
      <c r="AC163" s="153"/>
      <c r="AD163" s="153"/>
      <c r="AE163" s="153"/>
      <c r="AF163" s="153"/>
      <c r="AG163" s="153"/>
      <c r="AH163" s="153"/>
      <c r="AI163" s="154" t="str">
        <f>IF((RD[[#This Row],[33 kV_F1_Ex]]-AB162)*150000&lt;=0,"",(RD[[#This Row],[33 kV_F1_Ex]]-AB162)*150000)</f>
        <v/>
      </c>
      <c r="AJ163" s="154">
        <f>IF((RD[[#This Row],[33kV_OG1_Ex]]-AC162)*1000&lt;=0,0,(RD[[#This Row],[33kV_OG1_Ex]]-AC162)*1000)</f>
        <v>0</v>
      </c>
      <c r="AK163" s="154">
        <f>IF((RD[[#This Row],[220kV_TL_TVM_Ex]]-AE162)*1600&lt;=0,0,(RD[[#This Row],[220kV_TL_TVM_Ex]]-AE162)*1600)</f>
        <v>0</v>
      </c>
      <c r="AL163" s="154" t="str">
        <f>IF((RD[[#This Row],[220kV_C&amp;R_PQM_Ex]]-AF162)*1000&lt;=0,"",(RD[[#This Row],[220kV_C&amp;R_PQM_Ex]]-AF162)*1000)</f>
        <v/>
      </c>
      <c r="AM163" s="154">
        <f>IF((RD[[#This Row],[33kV_Aux1_Im]]-AH162)*1000&lt;0,"",(RD[[#This Row],[33kV_Aux1_Im]]-AH162)*1000)</f>
        <v>0</v>
      </c>
      <c r="AN163" s="154">
        <f>IF((RD[[#This Row],[33kV_Aux1_Im]]-AH162)*1000&lt;0,"",(RD[[#This Row],[33kV_Aux1_Im]]-AH162)*1000)</f>
        <v>0</v>
      </c>
      <c r="AO163" s="61">
        <f>RD[[#This Row],[33kV_OG1_Energy (KWh)]]</f>
        <v>0</v>
      </c>
      <c r="AP163" s="61">
        <f>IFERROR(RD[[#This Row],[220kV_TL_TVM Energy (KWh)]]-RD[[#This Row],[220kV_C&amp;R_PQM_Imp (KWh)2]],"")</f>
        <v>0</v>
      </c>
      <c r="AQ163" s="63" t="str">
        <f>IFERROR(RD[[#This Row],[33 kV Total Export (KWH)]]/RD[[#This Row],[220 KV Net Export (KWh)]]-1,"")</f>
        <v/>
      </c>
      <c r="AR163" s="64">
        <f>IFERROR((RD[[#This Row],[Sunset Time (POA&lt;20 W/m2)]]-RD[[#This Row],[Sunrise Time (POA&gt;20 W/m2)]])*24,0)</f>
        <v>0</v>
      </c>
      <c r="AS163" s="65">
        <f>RD[[#This Row],[33kV_OG1_Energy (KWh)]]</f>
        <v>0</v>
      </c>
      <c r="AT163" s="65">
        <f>IFERROR(RD[[#This Row],[ Export (33 kV)]]*(1-RD[[#This Row],[33 kV Line Loss (%)]]),RD[[#This Row],[ Export (33 kV)]])</f>
        <v>0</v>
      </c>
      <c r="AU163" s="122"/>
      <c r="AV163" s="122"/>
      <c r="AW163" s="122"/>
      <c r="AX163" t="str">
        <f>IFERROR(RD[[#This Row],[E_AC (WPR)]]/RD[[#This Row],[E_DC (WPR)]],"")</f>
        <v/>
      </c>
    </row>
    <row r="164" spans="1:50">
      <c r="A164" s="148">
        <f t="shared" si="51"/>
        <v>45904</v>
      </c>
      <c r="B164" s="151">
        <f>YEAR(RD[[#This Row],[Date]])+IF(MONTH(RD[[#This Row],[Date]])&gt;=4,1,0)</f>
        <v>2026</v>
      </c>
      <c r="C164" s="151">
        <f>YEAR(RD[[#This Row],[Date]])</f>
        <v>2025</v>
      </c>
      <c r="D164" s="66">
        <f t="shared" si="50"/>
        <v>45901</v>
      </c>
      <c r="E164" s="151">
        <f>DAY(EOMONTH(RD[[#This Row],[Date]],0))</f>
        <v>30</v>
      </c>
      <c r="F164" s="122"/>
      <c r="G164" s="122"/>
      <c r="H164" s="138"/>
      <c r="I164" s="138"/>
      <c r="J164" s="138"/>
      <c r="K164" s="138"/>
      <c r="L164" s="138"/>
      <c r="M164" s="138"/>
      <c r="N164" s="138"/>
      <c r="O164" s="169"/>
      <c r="P164" s="169"/>
      <c r="Q164" s="69"/>
      <c r="R164" s="69"/>
      <c r="S164" s="69"/>
      <c r="T164" s="69"/>
      <c r="U164" s="69"/>
      <c r="V164" s="69"/>
      <c r="W164" s="69"/>
      <c r="X164" s="69"/>
      <c r="Y164" s="70">
        <f>SUM(RD[[#This Row],[IS1Inv1]:[IS3Inv1]])</f>
        <v>0</v>
      </c>
      <c r="Z164" s="70">
        <f>SUM(RD[[#This Row],[IS4Inv1]:[IS4Inv2]])</f>
        <v>0</v>
      </c>
      <c r="AA164" s="70">
        <f>SUM(RD[[#This Row],[O2RE7]:[O2RE27]])</f>
        <v>0</v>
      </c>
      <c r="AB164" s="153"/>
      <c r="AC164" s="153"/>
      <c r="AD164" s="153"/>
      <c r="AE164" s="153"/>
      <c r="AF164" s="153"/>
      <c r="AG164" s="153"/>
      <c r="AH164" s="153"/>
      <c r="AI164" s="154" t="str">
        <f>IF((RD[[#This Row],[33 kV_F1_Ex]]-AB163)*150000&lt;=0,"",(RD[[#This Row],[33 kV_F1_Ex]]-AB163)*150000)</f>
        <v/>
      </c>
      <c r="AJ164" s="154">
        <f>IF((RD[[#This Row],[33kV_OG1_Ex]]-AC163)*1000&lt;=0,0,(RD[[#This Row],[33kV_OG1_Ex]]-AC163)*1000)</f>
        <v>0</v>
      </c>
      <c r="AK164" s="154">
        <f>IF((RD[[#This Row],[220kV_TL_TVM_Ex]]-AE163)*1600&lt;=0,0,(RD[[#This Row],[220kV_TL_TVM_Ex]]-AE163)*1600)</f>
        <v>0</v>
      </c>
      <c r="AL164" s="154" t="str">
        <f>IF((RD[[#This Row],[220kV_C&amp;R_PQM_Ex]]-AF163)*1000&lt;=0,"",(RD[[#This Row],[220kV_C&amp;R_PQM_Ex]]-AF163)*1000)</f>
        <v/>
      </c>
      <c r="AM164" s="154">
        <f>IF((RD[[#This Row],[33kV_Aux1_Im]]-AH163)*1000&lt;0,"",(RD[[#This Row],[33kV_Aux1_Im]]-AH163)*1000)</f>
        <v>0</v>
      </c>
      <c r="AN164" s="154">
        <f>IF((RD[[#This Row],[33kV_Aux1_Im]]-AH163)*1000&lt;0,"",(RD[[#This Row],[33kV_Aux1_Im]]-AH163)*1000)</f>
        <v>0</v>
      </c>
      <c r="AO164" s="61">
        <f>RD[[#This Row],[33kV_OG1_Energy (KWh)]]</f>
        <v>0</v>
      </c>
      <c r="AP164" s="61">
        <f>IFERROR(RD[[#This Row],[220kV_TL_TVM Energy (KWh)]]-RD[[#This Row],[220kV_C&amp;R_PQM_Imp (KWh)2]],"")</f>
        <v>0</v>
      </c>
      <c r="AQ164" s="63" t="str">
        <f>IFERROR(RD[[#This Row],[33 kV Total Export (KWH)]]/RD[[#This Row],[220 KV Net Export (KWh)]]-1,"")</f>
        <v/>
      </c>
      <c r="AR164" s="64">
        <f>IFERROR((RD[[#This Row],[Sunset Time (POA&lt;20 W/m2)]]-RD[[#This Row],[Sunrise Time (POA&gt;20 W/m2)]])*24,0)</f>
        <v>0</v>
      </c>
      <c r="AS164" s="65">
        <f>RD[[#This Row],[33kV_OG1_Energy (KWh)]]</f>
        <v>0</v>
      </c>
      <c r="AT164" s="65">
        <f>IFERROR(RD[[#This Row],[ Export (33 kV)]]*(1-RD[[#This Row],[33 kV Line Loss (%)]]),RD[[#This Row],[ Export (33 kV)]])</f>
        <v>0</v>
      </c>
      <c r="AU164" s="122"/>
      <c r="AV164" s="122"/>
      <c r="AW164" s="122"/>
      <c r="AX164" t="str">
        <f>IFERROR(RD[[#This Row],[E_AC (WPR)]]/RD[[#This Row],[E_DC (WPR)]],"")</f>
        <v/>
      </c>
    </row>
    <row r="165" spans="1:50">
      <c r="A165" s="148">
        <f t="shared" si="51"/>
        <v>45905</v>
      </c>
      <c r="B165" s="151">
        <f>YEAR(RD[[#This Row],[Date]])+IF(MONTH(RD[[#This Row],[Date]])&gt;=4,1,0)</f>
        <v>2026</v>
      </c>
      <c r="C165" s="151">
        <f>YEAR(RD[[#This Row],[Date]])</f>
        <v>2025</v>
      </c>
      <c r="D165" s="66">
        <f t="shared" si="50"/>
        <v>45901</v>
      </c>
      <c r="E165" s="151">
        <f>DAY(EOMONTH(RD[[#This Row],[Date]],0))</f>
        <v>30</v>
      </c>
      <c r="F165" s="122"/>
      <c r="G165" s="122"/>
      <c r="H165" s="138"/>
      <c r="I165" s="138"/>
      <c r="J165" s="138"/>
      <c r="K165" s="138"/>
      <c r="L165" s="138"/>
      <c r="M165" s="138"/>
      <c r="N165" s="138"/>
      <c r="O165" s="169"/>
      <c r="P165" s="169"/>
      <c r="Q165" s="69"/>
      <c r="R165" s="69"/>
      <c r="S165" s="69"/>
      <c r="T165" s="69"/>
      <c r="U165" s="69"/>
      <c r="V165" s="69"/>
      <c r="W165" s="69"/>
      <c r="X165" s="69"/>
      <c r="Y165" s="70">
        <f>SUM(RD[[#This Row],[IS1Inv1]:[IS3Inv1]])</f>
        <v>0</v>
      </c>
      <c r="Z165" s="70">
        <f>SUM(RD[[#This Row],[IS4Inv1]:[IS4Inv2]])</f>
        <v>0</v>
      </c>
      <c r="AA165" s="70">
        <f>SUM(RD[[#This Row],[O2RE7]:[O2RE27]])</f>
        <v>0</v>
      </c>
      <c r="AB165" s="153"/>
      <c r="AC165" s="153"/>
      <c r="AD165" s="153"/>
      <c r="AE165" s="153"/>
      <c r="AF165" s="153"/>
      <c r="AG165" s="153"/>
      <c r="AH165" s="153"/>
      <c r="AI165" s="154" t="str">
        <f>IF((RD[[#This Row],[33 kV_F1_Ex]]-AB164)*150000&lt;=0,"",(RD[[#This Row],[33 kV_F1_Ex]]-AB164)*150000)</f>
        <v/>
      </c>
      <c r="AJ165" s="154">
        <f>IF((RD[[#This Row],[33kV_OG1_Ex]]-AC164)*1000&lt;=0,0,(RD[[#This Row],[33kV_OG1_Ex]]-AC164)*1000)</f>
        <v>0</v>
      </c>
      <c r="AK165" s="154">
        <f>IF((RD[[#This Row],[220kV_TL_TVM_Ex]]-AE164)*1600&lt;=0,0,(RD[[#This Row],[220kV_TL_TVM_Ex]]-AE164)*1600)</f>
        <v>0</v>
      </c>
      <c r="AL165" s="154" t="str">
        <f>IF((RD[[#This Row],[220kV_C&amp;R_PQM_Ex]]-AF164)*1000&lt;=0,"",(RD[[#This Row],[220kV_C&amp;R_PQM_Ex]]-AF164)*1000)</f>
        <v/>
      </c>
      <c r="AM165" s="154">
        <f>IF((RD[[#This Row],[33kV_Aux1_Im]]-AH164)*1000&lt;0,"",(RD[[#This Row],[33kV_Aux1_Im]]-AH164)*1000)</f>
        <v>0</v>
      </c>
      <c r="AN165" s="154">
        <f>IF((RD[[#This Row],[33kV_Aux1_Im]]-AH164)*1000&lt;0,"",(RD[[#This Row],[33kV_Aux1_Im]]-AH164)*1000)</f>
        <v>0</v>
      </c>
      <c r="AO165" s="61">
        <f>RD[[#This Row],[33kV_OG1_Energy (KWh)]]</f>
        <v>0</v>
      </c>
      <c r="AP165" s="61">
        <f>IFERROR(RD[[#This Row],[220kV_TL_TVM Energy (KWh)]]-RD[[#This Row],[220kV_C&amp;R_PQM_Imp (KWh)2]],"")</f>
        <v>0</v>
      </c>
      <c r="AQ165" s="63" t="str">
        <f>IFERROR(RD[[#This Row],[33 kV Total Export (KWH)]]/RD[[#This Row],[220 KV Net Export (KWh)]]-1,"")</f>
        <v/>
      </c>
      <c r="AR165" s="64">
        <f>IFERROR((RD[[#This Row],[Sunset Time (POA&lt;20 W/m2)]]-RD[[#This Row],[Sunrise Time (POA&gt;20 W/m2)]])*24,0)</f>
        <v>0</v>
      </c>
      <c r="AS165" s="65">
        <f>RD[[#This Row],[33kV_OG1_Energy (KWh)]]</f>
        <v>0</v>
      </c>
      <c r="AT165" s="65">
        <f>IFERROR(RD[[#This Row],[ Export (33 kV)]]*(1-RD[[#This Row],[33 kV Line Loss (%)]]),RD[[#This Row],[ Export (33 kV)]])</f>
        <v>0</v>
      </c>
      <c r="AU165" s="122"/>
      <c r="AV165" s="122"/>
      <c r="AW165" s="122"/>
      <c r="AX165" t="str">
        <f>IFERROR(RD[[#This Row],[E_AC (WPR)]]/RD[[#This Row],[E_DC (WPR)]],"")</f>
        <v/>
      </c>
    </row>
    <row r="166" spans="1:50">
      <c r="A166" s="148">
        <f t="shared" si="51"/>
        <v>45906</v>
      </c>
      <c r="B166" s="151">
        <f>YEAR(RD[[#This Row],[Date]])+IF(MONTH(RD[[#This Row],[Date]])&gt;=4,1,0)</f>
        <v>2026</v>
      </c>
      <c r="C166" s="151">
        <f>YEAR(RD[[#This Row],[Date]])</f>
        <v>2025</v>
      </c>
      <c r="D166" s="66">
        <f t="shared" si="50"/>
        <v>45901</v>
      </c>
      <c r="E166" s="151">
        <f>DAY(EOMONTH(RD[[#This Row],[Date]],0))</f>
        <v>30</v>
      </c>
      <c r="F166" s="122"/>
      <c r="G166" s="122"/>
      <c r="H166" s="138"/>
      <c r="I166" s="138"/>
      <c r="J166" s="138"/>
      <c r="K166" s="138"/>
      <c r="L166" s="138"/>
      <c r="M166" s="138"/>
      <c r="N166" s="138"/>
      <c r="O166" s="169"/>
      <c r="P166" s="169"/>
      <c r="Q166" s="69"/>
      <c r="R166" s="69"/>
      <c r="S166" s="69"/>
      <c r="T166" s="69"/>
      <c r="U166" s="69"/>
      <c r="V166" s="69"/>
      <c r="W166" s="69"/>
      <c r="X166" s="69"/>
      <c r="Y166" s="70">
        <f>SUM(RD[[#This Row],[IS1Inv1]:[IS3Inv1]])</f>
        <v>0</v>
      </c>
      <c r="Z166" s="70">
        <f>SUM(RD[[#This Row],[IS4Inv1]:[IS4Inv2]])</f>
        <v>0</v>
      </c>
      <c r="AA166" s="70">
        <f>SUM(RD[[#This Row],[O2RE7]:[O2RE27]])</f>
        <v>0</v>
      </c>
      <c r="AB166" s="153"/>
      <c r="AC166" s="153"/>
      <c r="AD166" s="153"/>
      <c r="AE166" s="153"/>
      <c r="AF166" s="153"/>
      <c r="AG166" s="153"/>
      <c r="AH166" s="153"/>
      <c r="AI166" s="154" t="str">
        <f>IF((RD[[#This Row],[33 kV_F1_Ex]]-AB165)*150000&lt;=0,"",(RD[[#This Row],[33 kV_F1_Ex]]-AB165)*150000)</f>
        <v/>
      </c>
      <c r="AJ166" s="154">
        <f>IF((RD[[#This Row],[33kV_OG1_Ex]]-AC165)*1000&lt;=0,0,(RD[[#This Row],[33kV_OG1_Ex]]-AC165)*1000)</f>
        <v>0</v>
      </c>
      <c r="AK166" s="154">
        <f>IF((RD[[#This Row],[220kV_TL_TVM_Ex]]-AE165)*1600&lt;=0,0,(RD[[#This Row],[220kV_TL_TVM_Ex]]-AE165)*1600)</f>
        <v>0</v>
      </c>
      <c r="AL166" s="154" t="str">
        <f>IF((RD[[#This Row],[220kV_C&amp;R_PQM_Ex]]-AF165)*1000&lt;=0,"",(RD[[#This Row],[220kV_C&amp;R_PQM_Ex]]-AF165)*1000)</f>
        <v/>
      </c>
      <c r="AM166" s="154">
        <f>IF((RD[[#This Row],[33kV_Aux1_Im]]-AH165)*1000&lt;0,"",(RD[[#This Row],[33kV_Aux1_Im]]-AH165)*1000)</f>
        <v>0</v>
      </c>
      <c r="AN166" s="154">
        <f>IF((RD[[#This Row],[33kV_Aux1_Im]]-AH165)*1000&lt;0,"",(RD[[#This Row],[33kV_Aux1_Im]]-AH165)*1000)</f>
        <v>0</v>
      </c>
      <c r="AO166" s="61">
        <f>RD[[#This Row],[33kV_OG1_Energy (KWh)]]</f>
        <v>0</v>
      </c>
      <c r="AP166" s="61">
        <f>IFERROR(RD[[#This Row],[220kV_TL_TVM Energy (KWh)]]-RD[[#This Row],[220kV_C&amp;R_PQM_Imp (KWh)2]],"")</f>
        <v>0</v>
      </c>
      <c r="AQ166" s="63" t="str">
        <f>IFERROR(RD[[#This Row],[33 kV Total Export (KWH)]]/RD[[#This Row],[220 KV Net Export (KWh)]]-1,"")</f>
        <v/>
      </c>
      <c r="AR166" s="64">
        <f>IFERROR((RD[[#This Row],[Sunset Time (POA&lt;20 W/m2)]]-RD[[#This Row],[Sunrise Time (POA&gt;20 W/m2)]])*24,0)</f>
        <v>0</v>
      </c>
      <c r="AS166" s="65">
        <f>RD[[#This Row],[33kV_OG1_Energy (KWh)]]</f>
        <v>0</v>
      </c>
      <c r="AT166" s="65">
        <f>IFERROR(RD[[#This Row],[ Export (33 kV)]]*(1-RD[[#This Row],[33 kV Line Loss (%)]]),RD[[#This Row],[ Export (33 kV)]])</f>
        <v>0</v>
      </c>
      <c r="AU166" s="122"/>
      <c r="AV166" s="122"/>
      <c r="AW166" s="122"/>
      <c r="AX166" t="str">
        <f>IFERROR(RD[[#This Row],[E_AC (WPR)]]/RD[[#This Row],[E_DC (WPR)]],"")</f>
        <v/>
      </c>
    </row>
    <row r="167" spans="1:50">
      <c r="A167" s="148">
        <f t="shared" si="51"/>
        <v>45907</v>
      </c>
      <c r="B167" s="151">
        <f>YEAR(RD[[#This Row],[Date]])+IF(MONTH(RD[[#This Row],[Date]])&gt;=4,1,0)</f>
        <v>2026</v>
      </c>
      <c r="C167" s="151">
        <f>YEAR(RD[[#This Row],[Date]])</f>
        <v>2025</v>
      </c>
      <c r="D167" s="66">
        <f t="shared" si="50"/>
        <v>45901</v>
      </c>
      <c r="E167" s="151">
        <f>DAY(EOMONTH(RD[[#This Row],[Date]],0))</f>
        <v>30</v>
      </c>
      <c r="F167" s="122"/>
      <c r="G167" s="122"/>
      <c r="H167" s="138"/>
      <c r="I167" s="138"/>
      <c r="J167" s="138"/>
      <c r="K167" s="138"/>
      <c r="L167" s="138"/>
      <c r="M167" s="138"/>
      <c r="N167" s="138"/>
      <c r="O167" s="169"/>
      <c r="P167" s="169"/>
      <c r="Q167" s="69"/>
      <c r="R167" s="69"/>
      <c r="S167" s="69"/>
      <c r="T167" s="69"/>
      <c r="U167" s="69"/>
      <c r="V167" s="69"/>
      <c r="W167" s="69"/>
      <c r="X167" s="69"/>
      <c r="Y167" s="70">
        <f>SUM(RD[[#This Row],[IS1Inv1]:[IS3Inv1]])</f>
        <v>0</v>
      </c>
      <c r="Z167" s="70">
        <f>SUM(RD[[#This Row],[IS4Inv1]:[IS4Inv2]])</f>
        <v>0</v>
      </c>
      <c r="AA167" s="70">
        <f>SUM(RD[[#This Row],[O2RE7]:[O2RE27]])</f>
        <v>0</v>
      </c>
      <c r="AB167" s="153"/>
      <c r="AC167" s="153"/>
      <c r="AD167" s="153"/>
      <c r="AE167" s="153"/>
      <c r="AF167" s="153"/>
      <c r="AG167" s="153"/>
      <c r="AH167" s="153"/>
      <c r="AI167" s="154" t="str">
        <f>IF((RD[[#This Row],[33 kV_F1_Ex]]-AB166)*150000&lt;=0,"",(RD[[#This Row],[33 kV_F1_Ex]]-AB166)*150000)</f>
        <v/>
      </c>
      <c r="AJ167" s="154">
        <f>IF((RD[[#This Row],[33kV_OG1_Ex]]-AC166)*1000&lt;=0,0,(RD[[#This Row],[33kV_OG1_Ex]]-AC166)*1000)</f>
        <v>0</v>
      </c>
      <c r="AK167" s="154">
        <f>IF((RD[[#This Row],[220kV_TL_TVM_Ex]]-AE166)*1600&lt;=0,0,(RD[[#This Row],[220kV_TL_TVM_Ex]]-AE166)*1600)</f>
        <v>0</v>
      </c>
      <c r="AL167" s="154" t="str">
        <f>IF((RD[[#This Row],[220kV_C&amp;R_PQM_Ex]]-AF166)*1000&lt;=0,"",(RD[[#This Row],[220kV_C&amp;R_PQM_Ex]]-AF166)*1000)</f>
        <v/>
      </c>
      <c r="AM167" s="154">
        <f>IF((RD[[#This Row],[33kV_Aux1_Im]]-AH166)*1000&lt;0,"",(RD[[#This Row],[33kV_Aux1_Im]]-AH166)*1000)</f>
        <v>0</v>
      </c>
      <c r="AN167" s="154">
        <f>IF((RD[[#This Row],[33kV_Aux1_Im]]-AH166)*1000&lt;0,"",(RD[[#This Row],[33kV_Aux1_Im]]-AH166)*1000)</f>
        <v>0</v>
      </c>
      <c r="AO167" s="61">
        <f>RD[[#This Row],[33kV_OG1_Energy (KWh)]]</f>
        <v>0</v>
      </c>
      <c r="AP167" s="61">
        <f>IFERROR(RD[[#This Row],[220kV_TL_TVM Energy (KWh)]]-RD[[#This Row],[220kV_C&amp;R_PQM_Imp (KWh)2]],"")</f>
        <v>0</v>
      </c>
      <c r="AQ167" s="63" t="str">
        <f>IFERROR(RD[[#This Row],[33 kV Total Export (KWH)]]/RD[[#This Row],[220 KV Net Export (KWh)]]-1,"")</f>
        <v/>
      </c>
      <c r="AR167" s="64">
        <f>IFERROR((RD[[#This Row],[Sunset Time (POA&lt;20 W/m2)]]-RD[[#This Row],[Sunrise Time (POA&gt;20 W/m2)]])*24,0)</f>
        <v>0</v>
      </c>
      <c r="AS167" s="65">
        <f>RD[[#This Row],[33kV_OG1_Energy (KWh)]]</f>
        <v>0</v>
      </c>
      <c r="AT167" s="65">
        <f>IFERROR(RD[[#This Row],[ Export (33 kV)]]*(1-RD[[#This Row],[33 kV Line Loss (%)]]),RD[[#This Row],[ Export (33 kV)]])</f>
        <v>0</v>
      </c>
      <c r="AU167" s="122"/>
      <c r="AV167" s="122"/>
      <c r="AW167" s="122"/>
      <c r="AX167" t="str">
        <f>IFERROR(RD[[#This Row],[E_AC (WPR)]]/RD[[#This Row],[E_DC (WPR)]],"")</f>
        <v/>
      </c>
    </row>
    <row r="168" spans="1:50">
      <c r="A168" s="148">
        <f t="shared" si="51"/>
        <v>45908</v>
      </c>
      <c r="B168" s="151">
        <f>YEAR(RD[[#This Row],[Date]])+IF(MONTH(RD[[#This Row],[Date]])&gt;=4,1,0)</f>
        <v>2026</v>
      </c>
      <c r="C168" s="151">
        <f>YEAR(RD[[#This Row],[Date]])</f>
        <v>2025</v>
      </c>
      <c r="D168" s="66">
        <f t="shared" si="50"/>
        <v>45901</v>
      </c>
      <c r="E168" s="151">
        <f>DAY(EOMONTH(RD[[#This Row],[Date]],0))</f>
        <v>30</v>
      </c>
      <c r="F168" s="122"/>
      <c r="G168" s="122"/>
      <c r="H168" s="138"/>
      <c r="I168" s="138"/>
      <c r="J168" s="138"/>
      <c r="K168" s="138"/>
      <c r="L168" s="138"/>
      <c r="M168" s="138"/>
      <c r="N168" s="138"/>
      <c r="O168" s="169"/>
      <c r="P168" s="169"/>
      <c r="Q168" s="69"/>
      <c r="R168" s="69"/>
      <c r="S168" s="69"/>
      <c r="T168" s="69"/>
      <c r="U168" s="69"/>
      <c r="V168" s="69"/>
      <c r="W168" s="69"/>
      <c r="X168" s="69"/>
      <c r="Y168" s="70">
        <f>SUM(RD[[#This Row],[IS1Inv1]:[IS3Inv1]])</f>
        <v>0</v>
      </c>
      <c r="Z168" s="70">
        <f>SUM(RD[[#This Row],[IS4Inv1]:[IS4Inv2]])</f>
        <v>0</v>
      </c>
      <c r="AA168" s="70">
        <f>SUM(RD[[#This Row],[O2RE7]:[O2RE27]])</f>
        <v>0</v>
      </c>
      <c r="AB168" s="153"/>
      <c r="AC168" s="153"/>
      <c r="AD168" s="153"/>
      <c r="AE168" s="153"/>
      <c r="AF168" s="153"/>
      <c r="AG168" s="153"/>
      <c r="AH168" s="153"/>
      <c r="AI168" s="154" t="str">
        <f>IF((RD[[#This Row],[33 kV_F1_Ex]]-AB167)*150000&lt;=0,"",(RD[[#This Row],[33 kV_F1_Ex]]-AB167)*150000)</f>
        <v/>
      </c>
      <c r="AJ168" s="154">
        <f>IF((RD[[#This Row],[33kV_OG1_Ex]]-AC167)*1000&lt;=0,0,(RD[[#This Row],[33kV_OG1_Ex]]-AC167)*1000)</f>
        <v>0</v>
      </c>
      <c r="AK168" s="154">
        <f>IF((RD[[#This Row],[220kV_TL_TVM_Ex]]-AE167)*1600&lt;=0,0,(RD[[#This Row],[220kV_TL_TVM_Ex]]-AE167)*1600)</f>
        <v>0</v>
      </c>
      <c r="AL168" s="154" t="str">
        <f>IF((RD[[#This Row],[220kV_C&amp;R_PQM_Ex]]-AF167)*1000&lt;=0,"",(RD[[#This Row],[220kV_C&amp;R_PQM_Ex]]-AF167)*1000)</f>
        <v/>
      </c>
      <c r="AM168" s="154">
        <f>IF((RD[[#This Row],[33kV_Aux1_Im]]-AH167)*1000&lt;0,"",(RD[[#This Row],[33kV_Aux1_Im]]-AH167)*1000)</f>
        <v>0</v>
      </c>
      <c r="AN168" s="154">
        <f>IF((RD[[#This Row],[33kV_Aux1_Im]]-AH167)*1000&lt;0,"",(RD[[#This Row],[33kV_Aux1_Im]]-AH167)*1000)</f>
        <v>0</v>
      </c>
      <c r="AO168" s="61">
        <f>RD[[#This Row],[33kV_OG1_Energy (KWh)]]</f>
        <v>0</v>
      </c>
      <c r="AP168" s="61">
        <f>IFERROR(RD[[#This Row],[220kV_TL_TVM Energy (KWh)]]-RD[[#This Row],[220kV_C&amp;R_PQM_Imp (KWh)2]],"")</f>
        <v>0</v>
      </c>
      <c r="AQ168" s="63" t="str">
        <f>IFERROR(RD[[#This Row],[33 kV Total Export (KWH)]]/RD[[#This Row],[220 KV Net Export (KWh)]]-1,"")</f>
        <v/>
      </c>
      <c r="AR168" s="64">
        <f>IFERROR((RD[[#This Row],[Sunset Time (POA&lt;20 W/m2)]]-RD[[#This Row],[Sunrise Time (POA&gt;20 W/m2)]])*24,0)</f>
        <v>0</v>
      </c>
      <c r="AS168" s="65">
        <f>RD[[#This Row],[33kV_OG1_Energy (KWh)]]</f>
        <v>0</v>
      </c>
      <c r="AT168" s="65">
        <f>IFERROR(RD[[#This Row],[ Export (33 kV)]]*(1-RD[[#This Row],[33 kV Line Loss (%)]]),RD[[#This Row],[ Export (33 kV)]])</f>
        <v>0</v>
      </c>
      <c r="AU168" s="122"/>
      <c r="AV168" s="122"/>
      <c r="AW168" s="122"/>
      <c r="AX168" t="str">
        <f>IFERROR(RD[[#This Row],[E_AC (WPR)]]/RD[[#This Row],[E_DC (WPR)]],"")</f>
        <v/>
      </c>
    </row>
    <row r="169" spans="1:50">
      <c r="A169" s="148">
        <f t="shared" si="51"/>
        <v>45909</v>
      </c>
      <c r="B169" s="151">
        <f>YEAR(RD[[#This Row],[Date]])+IF(MONTH(RD[[#This Row],[Date]])&gt;=4,1,0)</f>
        <v>2026</v>
      </c>
      <c r="C169" s="151">
        <f>YEAR(RD[[#This Row],[Date]])</f>
        <v>2025</v>
      </c>
      <c r="D169" s="66">
        <f t="shared" si="50"/>
        <v>45901</v>
      </c>
      <c r="E169" s="151">
        <f>DAY(EOMONTH(RD[[#This Row],[Date]],0))</f>
        <v>30</v>
      </c>
      <c r="F169" s="122"/>
      <c r="G169" s="122"/>
      <c r="H169" s="138"/>
      <c r="I169" s="138"/>
      <c r="J169" s="138"/>
      <c r="K169" s="138"/>
      <c r="L169" s="138"/>
      <c r="M169" s="138"/>
      <c r="N169" s="138"/>
      <c r="O169" s="169"/>
      <c r="P169" s="169"/>
      <c r="Q169" s="69"/>
      <c r="R169" s="69"/>
      <c r="S169" s="69"/>
      <c r="T169" s="69"/>
      <c r="U169" s="69"/>
      <c r="V169" s="69"/>
      <c r="W169" s="69"/>
      <c r="X169" s="69"/>
      <c r="Y169" s="70">
        <f>SUM(RD[[#This Row],[IS1Inv1]:[IS3Inv1]])</f>
        <v>0</v>
      </c>
      <c r="Z169" s="70">
        <f>SUM(RD[[#This Row],[IS4Inv1]:[IS4Inv2]])</f>
        <v>0</v>
      </c>
      <c r="AA169" s="70">
        <f>SUM(RD[[#This Row],[O2RE7]:[O2RE27]])</f>
        <v>0</v>
      </c>
      <c r="AB169" s="153"/>
      <c r="AC169" s="153"/>
      <c r="AD169" s="153"/>
      <c r="AE169" s="153"/>
      <c r="AF169" s="153"/>
      <c r="AG169" s="153"/>
      <c r="AH169" s="153"/>
      <c r="AI169" s="154" t="str">
        <f>IF((RD[[#This Row],[33 kV_F1_Ex]]-AB168)*150000&lt;=0,"",(RD[[#This Row],[33 kV_F1_Ex]]-AB168)*150000)</f>
        <v/>
      </c>
      <c r="AJ169" s="154">
        <f>IF((RD[[#This Row],[33kV_OG1_Ex]]-AC168)*1000&lt;=0,0,(RD[[#This Row],[33kV_OG1_Ex]]-AC168)*1000)</f>
        <v>0</v>
      </c>
      <c r="AK169" s="154">
        <f>IF((RD[[#This Row],[220kV_TL_TVM_Ex]]-AE168)*1600&lt;=0,0,(RD[[#This Row],[220kV_TL_TVM_Ex]]-AE168)*1600)</f>
        <v>0</v>
      </c>
      <c r="AL169" s="154" t="str">
        <f>IF((RD[[#This Row],[220kV_C&amp;R_PQM_Ex]]-AF168)*1000&lt;=0,"",(RD[[#This Row],[220kV_C&amp;R_PQM_Ex]]-AF168)*1000)</f>
        <v/>
      </c>
      <c r="AM169" s="154">
        <f>IF((RD[[#This Row],[33kV_Aux1_Im]]-AH168)*1000&lt;0,"",(RD[[#This Row],[33kV_Aux1_Im]]-AH168)*1000)</f>
        <v>0</v>
      </c>
      <c r="AN169" s="154">
        <f>IF((RD[[#This Row],[33kV_Aux1_Im]]-AH168)*1000&lt;0,"",(RD[[#This Row],[33kV_Aux1_Im]]-AH168)*1000)</f>
        <v>0</v>
      </c>
      <c r="AO169" s="61">
        <f>RD[[#This Row],[33kV_OG1_Energy (KWh)]]</f>
        <v>0</v>
      </c>
      <c r="AP169" s="61">
        <f>IFERROR(RD[[#This Row],[220kV_TL_TVM Energy (KWh)]]-RD[[#This Row],[220kV_C&amp;R_PQM_Imp (KWh)2]],"")</f>
        <v>0</v>
      </c>
      <c r="AQ169" s="63" t="str">
        <f>IFERROR(RD[[#This Row],[33 kV Total Export (KWH)]]/RD[[#This Row],[220 KV Net Export (KWh)]]-1,"")</f>
        <v/>
      </c>
      <c r="AR169" s="64">
        <f>IFERROR((RD[[#This Row],[Sunset Time (POA&lt;20 W/m2)]]-RD[[#This Row],[Sunrise Time (POA&gt;20 W/m2)]])*24,0)</f>
        <v>0</v>
      </c>
      <c r="AS169" s="65">
        <f>RD[[#This Row],[33kV_OG1_Energy (KWh)]]</f>
        <v>0</v>
      </c>
      <c r="AT169" s="65">
        <f>IFERROR(RD[[#This Row],[ Export (33 kV)]]*(1-RD[[#This Row],[33 kV Line Loss (%)]]),RD[[#This Row],[ Export (33 kV)]])</f>
        <v>0</v>
      </c>
      <c r="AU169" s="122"/>
      <c r="AV169" s="122"/>
      <c r="AW169" s="122"/>
      <c r="AX169" t="str">
        <f>IFERROR(RD[[#This Row],[E_AC (WPR)]]/RD[[#This Row],[E_DC (WPR)]],"")</f>
        <v/>
      </c>
    </row>
    <row r="170" spans="1:50">
      <c r="A170" s="148">
        <f t="shared" si="51"/>
        <v>45910</v>
      </c>
      <c r="B170" s="151">
        <f>YEAR(RD[[#This Row],[Date]])+IF(MONTH(RD[[#This Row],[Date]])&gt;=4,1,0)</f>
        <v>2026</v>
      </c>
      <c r="C170" s="151">
        <f>YEAR(RD[[#This Row],[Date]])</f>
        <v>2025</v>
      </c>
      <c r="D170" s="66">
        <f t="shared" si="50"/>
        <v>45901</v>
      </c>
      <c r="E170" s="151">
        <f>DAY(EOMONTH(RD[[#This Row],[Date]],0))</f>
        <v>30</v>
      </c>
      <c r="F170" s="122"/>
      <c r="G170" s="122"/>
      <c r="H170" s="138"/>
      <c r="I170" s="138"/>
      <c r="J170" s="138"/>
      <c r="K170" s="138"/>
      <c r="L170" s="138"/>
      <c r="M170" s="138"/>
      <c r="N170" s="138"/>
      <c r="O170" s="169"/>
      <c r="P170" s="169"/>
      <c r="Q170" s="69"/>
      <c r="R170" s="69"/>
      <c r="S170" s="69"/>
      <c r="T170" s="69"/>
      <c r="U170" s="69"/>
      <c r="V170" s="69"/>
      <c r="W170" s="69"/>
      <c r="X170" s="69"/>
      <c r="Y170" s="70">
        <f>SUM(RD[[#This Row],[IS1Inv1]:[IS3Inv1]])</f>
        <v>0</v>
      </c>
      <c r="Z170" s="70">
        <f>SUM(RD[[#This Row],[IS4Inv1]:[IS4Inv2]])</f>
        <v>0</v>
      </c>
      <c r="AA170" s="70">
        <f>SUM(RD[[#This Row],[O2RE7]:[O2RE27]])</f>
        <v>0</v>
      </c>
      <c r="AB170" s="153"/>
      <c r="AC170" s="153"/>
      <c r="AD170" s="153"/>
      <c r="AE170" s="153"/>
      <c r="AF170" s="153"/>
      <c r="AG170" s="153"/>
      <c r="AH170" s="153"/>
      <c r="AI170" s="154" t="str">
        <f>IF((RD[[#This Row],[33 kV_F1_Ex]]-AB169)*150000&lt;=0,"",(RD[[#This Row],[33 kV_F1_Ex]]-AB169)*150000)</f>
        <v/>
      </c>
      <c r="AJ170" s="154">
        <f>IF((RD[[#This Row],[33kV_OG1_Ex]]-AC169)*1000&lt;=0,0,(RD[[#This Row],[33kV_OG1_Ex]]-AC169)*1000)</f>
        <v>0</v>
      </c>
      <c r="AK170" s="154">
        <f>IF((RD[[#This Row],[220kV_TL_TVM_Ex]]-AE169)*1600&lt;=0,0,(RD[[#This Row],[220kV_TL_TVM_Ex]]-AE169)*1600)</f>
        <v>0</v>
      </c>
      <c r="AL170" s="154" t="str">
        <f>IF((RD[[#This Row],[220kV_C&amp;R_PQM_Ex]]-AF169)*1000&lt;=0,"",(RD[[#This Row],[220kV_C&amp;R_PQM_Ex]]-AF169)*1000)</f>
        <v/>
      </c>
      <c r="AM170" s="154">
        <f>IF((RD[[#This Row],[33kV_Aux1_Im]]-AH169)*1000&lt;0,"",(RD[[#This Row],[33kV_Aux1_Im]]-AH169)*1000)</f>
        <v>0</v>
      </c>
      <c r="AN170" s="154">
        <f>IF((RD[[#This Row],[33kV_Aux1_Im]]-AH169)*1000&lt;0,"",(RD[[#This Row],[33kV_Aux1_Im]]-AH169)*1000)</f>
        <v>0</v>
      </c>
      <c r="AO170" s="61">
        <f>RD[[#This Row],[33kV_OG1_Energy (KWh)]]</f>
        <v>0</v>
      </c>
      <c r="AP170" s="61">
        <f>IFERROR(RD[[#This Row],[220kV_TL_TVM Energy (KWh)]]-RD[[#This Row],[220kV_C&amp;R_PQM_Imp (KWh)2]],"")</f>
        <v>0</v>
      </c>
      <c r="AQ170" s="63" t="str">
        <f>IFERROR(RD[[#This Row],[33 kV Total Export (KWH)]]/RD[[#This Row],[220 KV Net Export (KWh)]]-1,"")</f>
        <v/>
      </c>
      <c r="AR170" s="64">
        <f>IFERROR((RD[[#This Row],[Sunset Time (POA&lt;20 W/m2)]]-RD[[#This Row],[Sunrise Time (POA&gt;20 W/m2)]])*24,0)</f>
        <v>0</v>
      </c>
      <c r="AS170" s="65">
        <f>RD[[#This Row],[33kV_OG1_Energy (KWh)]]</f>
        <v>0</v>
      </c>
      <c r="AT170" s="65">
        <f>IFERROR(RD[[#This Row],[ Export (33 kV)]]*(1-RD[[#This Row],[33 kV Line Loss (%)]]),RD[[#This Row],[ Export (33 kV)]])</f>
        <v>0</v>
      </c>
      <c r="AU170" s="122"/>
      <c r="AV170" s="122"/>
      <c r="AW170" s="122"/>
      <c r="AX170" t="str">
        <f>IFERROR(RD[[#This Row],[E_AC (WPR)]]/RD[[#This Row],[E_DC (WPR)]],"")</f>
        <v/>
      </c>
    </row>
    <row r="171" spans="1:50">
      <c r="A171" s="148">
        <f t="shared" si="51"/>
        <v>45911</v>
      </c>
      <c r="B171" s="151">
        <f>YEAR(RD[[#This Row],[Date]])+IF(MONTH(RD[[#This Row],[Date]])&gt;=4,1,0)</f>
        <v>2026</v>
      </c>
      <c r="C171" s="151">
        <f>YEAR(RD[[#This Row],[Date]])</f>
        <v>2025</v>
      </c>
      <c r="D171" s="66">
        <f t="shared" si="50"/>
        <v>45901</v>
      </c>
      <c r="E171" s="151">
        <f>DAY(EOMONTH(RD[[#This Row],[Date]],0))</f>
        <v>30</v>
      </c>
      <c r="F171" s="122"/>
      <c r="G171" s="122"/>
      <c r="H171" s="138"/>
      <c r="I171" s="138"/>
      <c r="J171" s="138"/>
      <c r="K171" s="138"/>
      <c r="L171" s="138"/>
      <c r="M171" s="138"/>
      <c r="N171" s="138"/>
      <c r="O171" s="169"/>
      <c r="P171" s="169"/>
      <c r="Q171" s="69"/>
      <c r="R171" s="69"/>
      <c r="S171" s="69"/>
      <c r="T171" s="69"/>
      <c r="U171" s="69"/>
      <c r="V171" s="69"/>
      <c r="W171" s="69"/>
      <c r="X171" s="69"/>
      <c r="Y171" s="70">
        <f>SUM(RD[[#This Row],[IS1Inv1]:[IS3Inv1]])</f>
        <v>0</v>
      </c>
      <c r="Z171" s="70">
        <f>SUM(RD[[#This Row],[IS4Inv1]:[IS4Inv2]])</f>
        <v>0</v>
      </c>
      <c r="AA171" s="70">
        <f>SUM(RD[[#This Row],[O2RE7]:[O2RE27]])</f>
        <v>0</v>
      </c>
      <c r="AB171" s="153"/>
      <c r="AC171" s="153"/>
      <c r="AD171" s="153"/>
      <c r="AE171" s="153"/>
      <c r="AF171" s="153"/>
      <c r="AG171" s="153"/>
      <c r="AH171" s="153"/>
      <c r="AI171" s="154" t="str">
        <f>IF((RD[[#This Row],[33 kV_F1_Ex]]-AB170)*150000&lt;=0,"",(RD[[#This Row],[33 kV_F1_Ex]]-AB170)*150000)</f>
        <v/>
      </c>
      <c r="AJ171" s="154">
        <f>IF((RD[[#This Row],[33kV_OG1_Ex]]-AC170)*1000&lt;=0,0,(RD[[#This Row],[33kV_OG1_Ex]]-AC170)*1000)</f>
        <v>0</v>
      </c>
      <c r="AK171" s="154">
        <f>IF((RD[[#This Row],[220kV_TL_TVM_Ex]]-AE170)*1600&lt;=0,0,(RD[[#This Row],[220kV_TL_TVM_Ex]]-AE170)*1600)</f>
        <v>0</v>
      </c>
      <c r="AL171" s="154" t="str">
        <f>IF((RD[[#This Row],[220kV_C&amp;R_PQM_Ex]]-AF170)*1000&lt;=0,"",(RD[[#This Row],[220kV_C&amp;R_PQM_Ex]]-AF170)*1000)</f>
        <v/>
      </c>
      <c r="AM171" s="154">
        <f>IF((RD[[#This Row],[33kV_Aux1_Im]]-AH170)*1000&lt;0,"",(RD[[#This Row],[33kV_Aux1_Im]]-AH170)*1000)</f>
        <v>0</v>
      </c>
      <c r="AN171" s="154">
        <f>IF((RD[[#This Row],[33kV_Aux1_Im]]-AH170)*1000&lt;0,"",(RD[[#This Row],[33kV_Aux1_Im]]-AH170)*1000)</f>
        <v>0</v>
      </c>
      <c r="AO171" s="61">
        <f>RD[[#This Row],[33kV_OG1_Energy (KWh)]]</f>
        <v>0</v>
      </c>
      <c r="AP171" s="61">
        <f>IFERROR(RD[[#This Row],[220kV_TL_TVM Energy (KWh)]]-RD[[#This Row],[220kV_C&amp;R_PQM_Imp (KWh)2]],"")</f>
        <v>0</v>
      </c>
      <c r="AQ171" s="63" t="str">
        <f>IFERROR(RD[[#This Row],[33 kV Total Export (KWH)]]/RD[[#This Row],[220 KV Net Export (KWh)]]-1,"")</f>
        <v/>
      </c>
      <c r="AR171" s="64">
        <f>IFERROR((RD[[#This Row],[Sunset Time (POA&lt;20 W/m2)]]-RD[[#This Row],[Sunrise Time (POA&gt;20 W/m2)]])*24,0)</f>
        <v>0</v>
      </c>
      <c r="AS171" s="65">
        <f>RD[[#This Row],[33kV_OG1_Energy (KWh)]]</f>
        <v>0</v>
      </c>
      <c r="AT171" s="65">
        <f>IFERROR(RD[[#This Row],[ Export (33 kV)]]*(1-RD[[#This Row],[33 kV Line Loss (%)]]),RD[[#This Row],[ Export (33 kV)]])</f>
        <v>0</v>
      </c>
      <c r="AU171" s="122"/>
      <c r="AV171" s="122"/>
      <c r="AW171" s="122"/>
      <c r="AX171" t="str">
        <f>IFERROR(RD[[#This Row],[E_AC (WPR)]]/RD[[#This Row],[E_DC (WPR)]],"")</f>
        <v/>
      </c>
    </row>
    <row r="172" spans="1:50">
      <c r="A172" s="148">
        <f t="shared" si="51"/>
        <v>45912</v>
      </c>
      <c r="B172" s="151">
        <f>YEAR(RD[[#This Row],[Date]])+IF(MONTH(RD[[#This Row],[Date]])&gt;=4,1,0)</f>
        <v>2026</v>
      </c>
      <c r="C172" s="151">
        <f>YEAR(RD[[#This Row],[Date]])</f>
        <v>2025</v>
      </c>
      <c r="D172" s="66">
        <f t="shared" si="50"/>
        <v>45901</v>
      </c>
      <c r="E172" s="151">
        <f>DAY(EOMONTH(RD[[#This Row],[Date]],0))</f>
        <v>30</v>
      </c>
      <c r="F172" s="122"/>
      <c r="G172" s="122"/>
      <c r="H172" s="138"/>
      <c r="I172" s="138"/>
      <c r="J172" s="138"/>
      <c r="K172" s="138"/>
      <c r="L172" s="138"/>
      <c r="M172" s="138"/>
      <c r="N172" s="138"/>
      <c r="O172" s="169"/>
      <c r="P172" s="169"/>
      <c r="Q172" s="69"/>
      <c r="R172" s="69"/>
      <c r="S172" s="69"/>
      <c r="T172" s="69"/>
      <c r="U172" s="69"/>
      <c r="V172" s="69"/>
      <c r="W172" s="69"/>
      <c r="X172" s="69"/>
      <c r="Y172" s="70">
        <f>SUM(RD[[#This Row],[IS1Inv1]:[IS3Inv1]])</f>
        <v>0</v>
      </c>
      <c r="Z172" s="70">
        <f>SUM(RD[[#This Row],[IS4Inv1]:[IS4Inv2]])</f>
        <v>0</v>
      </c>
      <c r="AA172" s="70">
        <f>SUM(RD[[#This Row],[O2RE7]:[O2RE27]])</f>
        <v>0</v>
      </c>
      <c r="AB172" s="153"/>
      <c r="AC172" s="153"/>
      <c r="AD172" s="153"/>
      <c r="AE172" s="153"/>
      <c r="AF172" s="153"/>
      <c r="AG172" s="153"/>
      <c r="AH172" s="153"/>
      <c r="AI172" s="154" t="str">
        <f>IF((RD[[#This Row],[33 kV_F1_Ex]]-AB171)*150000&lt;=0,"",(RD[[#This Row],[33 kV_F1_Ex]]-AB171)*150000)</f>
        <v/>
      </c>
      <c r="AJ172" s="154">
        <f>IF((RD[[#This Row],[33kV_OG1_Ex]]-AC171)*1000&lt;=0,0,(RD[[#This Row],[33kV_OG1_Ex]]-AC171)*1000)</f>
        <v>0</v>
      </c>
      <c r="AK172" s="154">
        <f>IF((RD[[#This Row],[220kV_TL_TVM_Ex]]-AE171)*1600&lt;=0,0,(RD[[#This Row],[220kV_TL_TVM_Ex]]-AE171)*1600)</f>
        <v>0</v>
      </c>
      <c r="AL172" s="154" t="str">
        <f>IF((RD[[#This Row],[220kV_C&amp;R_PQM_Ex]]-AF171)*1000&lt;=0,"",(RD[[#This Row],[220kV_C&amp;R_PQM_Ex]]-AF171)*1000)</f>
        <v/>
      </c>
      <c r="AM172" s="154">
        <f>IF((RD[[#This Row],[33kV_Aux1_Im]]-AH171)*1000&lt;0,"",(RD[[#This Row],[33kV_Aux1_Im]]-AH171)*1000)</f>
        <v>0</v>
      </c>
      <c r="AN172" s="154">
        <f>IF((RD[[#This Row],[33kV_Aux1_Im]]-AH171)*1000&lt;0,"",(RD[[#This Row],[33kV_Aux1_Im]]-AH171)*1000)</f>
        <v>0</v>
      </c>
      <c r="AO172" s="61">
        <f>RD[[#This Row],[33kV_OG1_Energy (KWh)]]</f>
        <v>0</v>
      </c>
      <c r="AP172" s="61">
        <f>IFERROR(RD[[#This Row],[220kV_TL_TVM Energy (KWh)]]-RD[[#This Row],[220kV_C&amp;R_PQM_Imp (KWh)2]],"")</f>
        <v>0</v>
      </c>
      <c r="AQ172" s="63" t="str">
        <f>IFERROR(RD[[#This Row],[33 kV Total Export (KWH)]]/RD[[#This Row],[220 KV Net Export (KWh)]]-1,"")</f>
        <v/>
      </c>
      <c r="AR172" s="64">
        <f>IFERROR((RD[[#This Row],[Sunset Time (POA&lt;20 W/m2)]]-RD[[#This Row],[Sunrise Time (POA&gt;20 W/m2)]])*24,0)</f>
        <v>0</v>
      </c>
      <c r="AS172" s="65">
        <f>RD[[#This Row],[33kV_OG1_Energy (KWh)]]</f>
        <v>0</v>
      </c>
      <c r="AT172" s="65">
        <f>IFERROR(RD[[#This Row],[ Export (33 kV)]]*(1-RD[[#This Row],[33 kV Line Loss (%)]]),RD[[#This Row],[ Export (33 kV)]])</f>
        <v>0</v>
      </c>
      <c r="AU172" s="122"/>
      <c r="AV172" s="122"/>
      <c r="AW172" s="122"/>
      <c r="AX172" t="str">
        <f>IFERROR(RD[[#This Row],[E_AC (WPR)]]/RD[[#This Row],[E_DC (WPR)]],"")</f>
        <v/>
      </c>
    </row>
    <row r="173" spans="1:50">
      <c r="A173" s="148">
        <f t="shared" si="51"/>
        <v>45913</v>
      </c>
      <c r="B173" s="151">
        <f>YEAR(RD[[#This Row],[Date]])+IF(MONTH(RD[[#This Row],[Date]])&gt;=4,1,0)</f>
        <v>2026</v>
      </c>
      <c r="C173" s="151">
        <f>YEAR(RD[[#This Row],[Date]])</f>
        <v>2025</v>
      </c>
      <c r="D173" s="66">
        <f t="shared" si="50"/>
        <v>45901</v>
      </c>
      <c r="E173" s="151">
        <f>DAY(EOMONTH(RD[[#This Row],[Date]],0))</f>
        <v>30</v>
      </c>
      <c r="F173" s="122"/>
      <c r="G173" s="122"/>
      <c r="H173" s="138"/>
      <c r="I173" s="138"/>
      <c r="J173" s="138"/>
      <c r="K173" s="138"/>
      <c r="L173" s="138"/>
      <c r="M173" s="138"/>
      <c r="N173" s="138"/>
      <c r="O173" s="169"/>
      <c r="P173" s="169"/>
      <c r="Q173" s="69"/>
      <c r="R173" s="69"/>
      <c r="S173" s="69"/>
      <c r="T173" s="69"/>
      <c r="U173" s="69"/>
      <c r="V173" s="69"/>
      <c r="W173" s="69"/>
      <c r="X173" s="69"/>
      <c r="Y173" s="70">
        <f>SUM(RD[[#This Row],[IS1Inv1]:[IS3Inv1]])</f>
        <v>0</v>
      </c>
      <c r="Z173" s="70">
        <f>SUM(RD[[#This Row],[IS4Inv1]:[IS4Inv2]])</f>
        <v>0</v>
      </c>
      <c r="AA173" s="70">
        <f>SUM(RD[[#This Row],[O2RE7]:[O2RE27]])</f>
        <v>0</v>
      </c>
      <c r="AB173" s="153"/>
      <c r="AC173" s="153"/>
      <c r="AD173" s="153"/>
      <c r="AE173" s="153"/>
      <c r="AF173" s="153"/>
      <c r="AG173" s="153"/>
      <c r="AH173" s="153"/>
      <c r="AI173" s="154" t="str">
        <f>IF((RD[[#This Row],[33 kV_F1_Ex]]-AB172)*150000&lt;=0,"",(RD[[#This Row],[33 kV_F1_Ex]]-AB172)*150000)</f>
        <v/>
      </c>
      <c r="AJ173" s="154">
        <f>IF((RD[[#This Row],[33kV_OG1_Ex]]-AC172)*1000&lt;=0,0,(RD[[#This Row],[33kV_OG1_Ex]]-AC172)*1000)</f>
        <v>0</v>
      </c>
      <c r="AK173" s="154">
        <f>IF((RD[[#This Row],[220kV_TL_TVM_Ex]]-AE172)*1600&lt;=0,0,(RD[[#This Row],[220kV_TL_TVM_Ex]]-AE172)*1600)</f>
        <v>0</v>
      </c>
      <c r="AL173" s="154" t="str">
        <f>IF((RD[[#This Row],[220kV_C&amp;R_PQM_Ex]]-AF172)*1000&lt;=0,"",(RD[[#This Row],[220kV_C&amp;R_PQM_Ex]]-AF172)*1000)</f>
        <v/>
      </c>
      <c r="AM173" s="154">
        <f>IF((RD[[#This Row],[33kV_Aux1_Im]]-AH172)*1000&lt;0,"",(RD[[#This Row],[33kV_Aux1_Im]]-AH172)*1000)</f>
        <v>0</v>
      </c>
      <c r="AN173" s="154">
        <f>IF((RD[[#This Row],[33kV_Aux1_Im]]-AH172)*1000&lt;0,"",(RD[[#This Row],[33kV_Aux1_Im]]-AH172)*1000)</f>
        <v>0</v>
      </c>
      <c r="AO173" s="61">
        <f>RD[[#This Row],[33kV_OG1_Energy (KWh)]]</f>
        <v>0</v>
      </c>
      <c r="AP173" s="61">
        <f>IFERROR(RD[[#This Row],[220kV_TL_TVM Energy (KWh)]]-RD[[#This Row],[220kV_C&amp;R_PQM_Imp (KWh)2]],"")</f>
        <v>0</v>
      </c>
      <c r="AQ173" s="63" t="str">
        <f>IFERROR(RD[[#This Row],[33 kV Total Export (KWH)]]/RD[[#This Row],[220 KV Net Export (KWh)]]-1,"")</f>
        <v/>
      </c>
      <c r="AR173" s="64">
        <f>IFERROR((RD[[#This Row],[Sunset Time (POA&lt;20 W/m2)]]-RD[[#This Row],[Sunrise Time (POA&gt;20 W/m2)]])*24,0)</f>
        <v>0</v>
      </c>
      <c r="AS173" s="65">
        <f>RD[[#This Row],[33kV_OG1_Energy (KWh)]]</f>
        <v>0</v>
      </c>
      <c r="AT173" s="65">
        <f>IFERROR(RD[[#This Row],[ Export (33 kV)]]*(1-RD[[#This Row],[33 kV Line Loss (%)]]),RD[[#This Row],[ Export (33 kV)]])</f>
        <v>0</v>
      </c>
      <c r="AU173" s="122"/>
      <c r="AV173" s="122"/>
      <c r="AW173" s="122"/>
      <c r="AX173" t="str">
        <f>IFERROR(RD[[#This Row],[E_AC (WPR)]]/RD[[#This Row],[E_DC (WPR)]],"")</f>
        <v/>
      </c>
    </row>
    <row r="174" spans="1:50">
      <c r="A174" s="148">
        <f t="shared" si="51"/>
        <v>45914</v>
      </c>
      <c r="B174" s="151">
        <f>YEAR(RD[[#This Row],[Date]])+IF(MONTH(RD[[#This Row],[Date]])&gt;=4,1,0)</f>
        <v>2026</v>
      </c>
      <c r="C174" s="151">
        <f>YEAR(RD[[#This Row],[Date]])</f>
        <v>2025</v>
      </c>
      <c r="D174" s="66">
        <f t="shared" si="50"/>
        <v>45901</v>
      </c>
      <c r="E174" s="151">
        <f>DAY(EOMONTH(RD[[#This Row],[Date]],0))</f>
        <v>30</v>
      </c>
      <c r="F174" s="122"/>
      <c r="G174" s="122"/>
      <c r="H174" s="138"/>
      <c r="I174" s="138"/>
      <c r="J174" s="138"/>
      <c r="K174" s="138"/>
      <c r="L174" s="138"/>
      <c r="M174" s="138"/>
      <c r="N174" s="138"/>
      <c r="O174" s="169"/>
      <c r="P174" s="169"/>
      <c r="Q174" s="69"/>
      <c r="R174" s="69"/>
      <c r="S174" s="69"/>
      <c r="T174" s="69"/>
      <c r="U174" s="69"/>
      <c r="V174" s="69"/>
      <c r="W174" s="69"/>
      <c r="X174" s="69"/>
      <c r="Y174" s="70">
        <f>SUM(RD[[#This Row],[IS1Inv1]:[IS3Inv1]])</f>
        <v>0</v>
      </c>
      <c r="Z174" s="70">
        <f>SUM(RD[[#This Row],[IS4Inv1]:[IS4Inv2]])</f>
        <v>0</v>
      </c>
      <c r="AA174" s="70">
        <f>SUM(RD[[#This Row],[O2RE7]:[O2RE27]])</f>
        <v>0</v>
      </c>
      <c r="AB174" s="153"/>
      <c r="AC174" s="153"/>
      <c r="AD174" s="153"/>
      <c r="AE174" s="153"/>
      <c r="AF174" s="153"/>
      <c r="AG174" s="153"/>
      <c r="AH174" s="153"/>
      <c r="AI174" s="154" t="str">
        <f>IF((RD[[#This Row],[33 kV_F1_Ex]]-AB173)*150000&lt;=0,"",(RD[[#This Row],[33 kV_F1_Ex]]-AB173)*150000)</f>
        <v/>
      </c>
      <c r="AJ174" s="154">
        <f>IF((RD[[#This Row],[33kV_OG1_Ex]]-AC173)*1000&lt;=0,0,(RD[[#This Row],[33kV_OG1_Ex]]-AC173)*1000)</f>
        <v>0</v>
      </c>
      <c r="AK174" s="154">
        <f>IF((RD[[#This Row],[220kV_TL_TVM_Ex]]-AE173)*1600&lt;=0,0,(RD[[#This Row],[220kV_TL_TVM_Ex]]-AE173)*1600)</f>
        <v>0</v>
      </c>
      <c r="AL174" s="154" t="str">
        <f>IF((RD[[#This Row],[220kV_C&amp;R_PQM_Ex]]-AF173)*1000&lt;=0,"",(RD[[#This Row],[220kV_C&amp;R_PQM_Ex]]-AF173)*1000)</f>
        <v/>
      </c>
      <c r="AM174" s="154">
        <f>IF((RD[[#This Row],[33kV_Aux1_Im]]-AH173)*1000&lt;0,"",(RD[[#This Row],[33kV_Aux1_Im]]-AH173)*1000)</f>
        <v>0</v>
      </c>
      <c r="AN174" s="154">
        <f>IF((RD[[#This Row],[33kV_Aux1_Im]]-AH173)*1000&lt;0,"",(RD[[#This Row],[33kV_Aux1_Im]]-AH173)*1000)</f>
        <v>0</v>
      </c>
      <c r="AO174" s="61">
        <f>RD[[#This Row],[33kV_OG1_Energy (KWh)]]</f>
        <v>0</v>
      </c>
      <c r="AP174" s="61">
        <f>IFERROR(RD[[#This Row],[220kV_TL_TVM Energy (KWh)]]-RD[[#This Row],[220kV_C&amp;R_PQM_Imp (KWh)2]],"")</f>
        <v>0</v>
      </c>
      <c r="AQ174" s="63" t="str">
        <f>IFERROR(RD[[#This Row],[33 kV Total Export (KWH)]]/RD[[#This Row],[220 KV Net Export (KWh)]]-1,"")</f>
        <v/>
      </c>
      <c r="AR174" s="64">
        <f>IFERROR((RD[[#This Row],[Sunset Time (POA&lt;20 W/m2)]]-RD[[#This Row],[Sunrise Time (POA&gt;20 W/m2)]])*24,0)</f>
        <v>0</v>
      </c>
      <c r="AS174" s="65">
        <f>RD[[#This Row],[33kV_OG1_Energy (KWh)]]</f>
        <v>0</v>
      </c>
      <c r="AT174" s="65">
        <f>IFERROR(RD[[#This Row],[ Export (33 kV)]]*(1-RD[[#This Row],[33 kV Line Loss (%)]]),RD[[#This Row],[ Export (33 kV)]])</f>
        <v>0</v>
      </c>
      <c r="AU174" s="122"/>
      <c r="AV174" s="122"/>
      <c r="AW174" s="122"/>
      <c r="AX174" t="str">
        <f>IFERROR(RD[[#This Row],[E_AC (WPR)]]/RD[[#This Row],[E_DC (WPR)]],"")</f>
        <v/>
      </c>
    </row>
    <row r="175" spans="1:50">
      <c r="A175" s="148">
        <f t="shared" si="51"/>
        <v>45915</v>
      </c>
      <c r="B175" s="151">
        <f>YEAR(RD[[#This Row],[Date]])+IF(MONTH(RD[[#This Row],[Date]])&gt;=4,1,0)</f>
        <v>2026</v>
      </c>
      <c r="C175" s="151">
        <f>YEAR(RD[[#This Row],[Date]])</f>
        <v>2025</v>
      </c>
      <c r="D175" s="66">
        <f t="shared" si="50"/>
        <v>45901</v>
      </c>
      <c r="E175" s="151">
        <f>DAY(EOMONTH(RD[[#This Row],[Date]],0))</f>
        <v>30</v>
      </c>
      <c r="F175" s="122"/>
      <c r="G175" s="122"/>
      <c r="H175" s="138"/>
      <c r="I175" s="138"/>
      <c r="J175" s="138"/>
      <c r="K175" s="138"/>
      <c r="L175" s="138"/>
      <c r="M175" s="138"/>
      <c r="N175" s="138"/>
      <c r="O175" s="169"/>
      <c r="P175" s="169"/>
      <c r="Q175" s="69"/>
      <c r="R175" s="69"/>
      <c r="S175" s="69"/>
      <c r="T175" s="69"/>
      <c r="U175" s="69"/>
      <c r="V175" s="69"/>
      <c r="W175" s="69"/>
      <c r="X175" s="69"/>
      <c r="Y175" s="70">
        <f>SUM(RD[[#This Row],[IS1Inv1]:[IS3Inv1]])</f>
        <v>0</v>
      </c>
      <c r="Z175" s="70">
        <f>SUM(RD[[#This Row],[IS4Inv1]:[IS4Inv2]])</f>
        <v>0</v>
      </c>
      <c r="AA175" s="70">
        <f>SUM(RD[[#This Row],[O2RE7]:[O2RE27]])</f>
        <v>0</v>
      </c>
      <c r="AB175" s="153"/>
      <c r="AC175" s="153"/>
      <c r="AD175" s="153"/>
      <c r="AE175" s="153"/>
      <c r="AF175" s="153"/>
      <c r="AG175" s="153"/>
      <c r="AH175" s="153"/>
      <c r="AI175" s="154" t="str">
        <f>IF((RD[[#This Row],[33 kV_F1_Ex]]-AB174)*150000&lt;=0,"",(RD[[#This Row],[33 kV_F1_Ex]]-AB174)*150000)</f>
        <v/>
      </c>
      <c r="AJ175" s="154">
        <f>IF((RD[[#This Row],[33kV_OG1_Ex]]-AC174)*1000&lt;=0,0,(RD[[#This Row],[33kV_OG1_Ex]]-AC174)*1000)</f>
        <v>0</v>
      </c>
      <c r="AK175" s="154">
        <f>IF((RD[[#This Row],[220kV_TL_TVM_Ex]]-AE174)*1600&lt;=0,0,(RD[[#This Row],[220kV_TL_TVM_Ex]]-AE174)*1600)</f>
        <v>0</v>
      </c>
      <c r="AL175" s="154" t="str">
        <f>IF((RD[[#This Row],[220kV_C&amp;R_PQM_Ex]]-AF174)*1000&lt;=0,"",(RD[[#This Row],[220kV_C&amp;R_PQM_Ex]]-AF174)*1000)</f>
        <v/>
      </c>
      <c r="AM175" s="154">
        <f>IF((RD[[#This Row],[33kV_Aux1_Im]]-AH174)*1000&lt;0,"",(RD[[#This Row],[33kV_Aux1_Im]]-AH174)*1000)</f>
        <v>0</v>
      </c>
      <c r="AN175" s="154">
        <f>IF((RD[[#This Row],[33kV_Aux1_Im]]-AH174)*1000&lt;0,"",(RD[[#This Row],[33kV_Aux1_Im]]-AH174)*1000)</f>
        <v>0</v>
      </c>
      <c r="AO175" s="61">
        <f>RD[[#This Row],[33kV_OG1_Energy (KWh)]]</f>
        <v>0</v>
      </c>
      <c r="AP175" s="61">
        <f>IFERROR(RD[[#This Row],[220kV_TL_TVM Energy (KWh)]]-RD[[#This Row],[220kV_C&amp;R_PQM_Imp (KWh)2]],"")</f>
        <v>0</v>
      </c>
      <c r="AQ175" s="63" t="str">
        <f>IFERROR(RD[[#This Row],[33 kV Total Export (KWH)]]/RD[[#This Row],[220 KV Net Export (KWh)]]-1,"")</f>
        <v/>
      </c>
      <c r="AR175" s="64">
        <f>IFERROR((RD[[#This Row],[Sunset Time (POA&lt;20 W/m2)]]-RD[[#This Row],[Sunrise Time (POA&gt;20 W/m2)]])*24,0)</f>
        <v>0</v>
      </c>
      <c r="AS175" s="65">
        <f>RD[[#This Row],[33kV_OG1_Energy (KWh)]]</f>
        <v>0</v>
      </c>
      <c r="AT175" s="65">
        <f>IFERROR(RD[[#This Row],[ Export (33 kV)]]*(1-RD[[#This Row],[33 kV Line Loss (%)]]),RD[[#This Row],[ Export (33 kV)]])</f>
        <v>0</v>
      </c>
      <c r="AU175" s="122"/>
      <c r="AV175" s="122"/>
      <c r="AW175" s="122"/>
      <c r="AX175" t="str">
        <f>IFERROR(RD[[#This Row],[E_AC (WPR)]]/RD[[#This Row],[E_DC (WPR)]],"")</f>
        <v/>
      </c>
    </row>
    <row r="176" spans="1:50">
      <c r="A176" s="148">
        <f t="shared" si="51"/>
        <v>45916</v>
      </c>
      <c r="B176" s="151">
        <f>YEAR(RD[[#This Row],[Date]])+IF(MONTH(RD[[#This Row],[Date]])&gt;=4,1,0)</f>
        <v>2026</v>
      </c>
      <c r="C176" s="151">
        <f>YEAR(RD[[#This Row],[Date]])</f>
        <v>2025</v>
      </c>
      <c r="D176" s="66">
        <f t="shared" si="50"/>
        <v>45901</v>
      </c>
      <c r="E176" s="151">
        <f>DAY(EOMONTH(RD[[#This Row],[Date]],0))</f>
        <v>30</v>
      </c>
      <c r="F176" s="122"/>
      <c r="G176" s="122"/>
      <c r="H176" s="138"/>
      <c r="I176" s="138"/>
      <c r="J176" s="138"/>
      <c r="K176" s="138"/>
      <c r="L176" s="138"/>
      <c r="M176" s="138"/>
      <c r="N176" s="138"/>
      <c r="O176" s="169"/>
      <c r="P176" s="169"/>
      <c r="Q176" s="69"/>
      <c r="R176" s="69"/>
      <c r="S176" s="69"/>
      <c r="T176" s="69"/>
      <c r="U176" s="69"/>
      <c r="V176" s="69"/>
      <c r="W176" s="69"/>
      <c r="X176" s="69"/>
      <c r="Y176" s="70">
        <f>SUM(RD[[#This Row],[IS1Inv1]:[IS3Inv1]])</f>
        <v>0</v>
      </c>
      <c r="Z176" s="70">
        <f>SUM(RD[[#This Row],[IS4Inv1]:[IS4Inv2]])</f>
        <v>0</v>
      </c>
      <c r="AA176" s="70">
        <f>SUM(RD[[#This Row],[O2RE7]:[O2RE27]])</f>
        <v>0</v>
      </c>
      <c r="AB176" s="153"/>
      <c r="AC176" s="153"/>
      <c r="AD176" s="153"/>
      <c r="AE176" s="153"/>
      <c r="AF176" s="153"/>
      <c r="AG176" s="153"/>
      <c r="AH176" s="153"/>
      <c r="AI176" s="154" t="str">
        <f>IF((RD[[#This Row],[33 kV_F1_Ex]]-AB175)*150000&lt;=0,"",(RD[[#This Row],[33 kV_F1_Ex]]-AB175)*150000)</f>
        <v/>
      </c>
      <c r="AJ176" s="154">
        <f>IF((RD[[#This Row],[33kV_OG1_Ex]]-AC175)*1000&lt;=0,0,(RD[[#This Row],[33kV_OG1_Ex]]-AC175)*1000)</f>
        <v>0</v>
      </c>
      <c r="AK176" s="154">
        <f>IF((RD[[#This Row],[220kV_TL_TVM_Ex]]-AE175)*1600&lt;=0,0,(RD[[#This Row],[220kV_TL_TVM_Ex]]-AE175)*1600)</f>
        <v>0</v>
      </c>
      <c r="AL176" s="154" t="str">
        <f>IF((RD[[#This Row],[220kV_C&amp;R_PQM_Ex]]-AF175)*1000&lt;=0,"",(RD[[#This Row],[220kV_C&amp;R_PQM_Ex]]-AF175)*1000)</f>
        <v/>
      </c>
      <c r="AM176" s="154">
        <f>IF((RD[[#This Row],[33kV_Aux1_Im]]-AH175)*1000&lt;0,"",(RD[[#This Row],[33kV_Aux1_Im]]-AH175)*1000)</f>
        <v>0</v>
      </c>
      <c r="AN176" s="154">
        <f>IF((RD[[#This Row],[33kV_Aux1_Im]]-AH175)*1000&lt;0,"",(RD[[#This Row],[33kV_Aux1_Im]]-AH175)*1000)</f>
        <v>0</v>
      </c>
      <c r="AO176" s="61">
        <f>RD[[#This Row],[33kV_OG1_Energy (KWh)]]</f>
        <v>0</v>
      </c>
      <c r="AP176" s="61">
        <f>IFERROR(RD[[#This Row],[220kV_TL_TVM Energy (KWh)]]-RD[[#This Row],[220kV_C&amp;R_PQM_Imp (KWh)2]],"")</f>
        <v>0</v>
      </c>
      <c r="AQ176" s="63" t="str">
        <f>IFERROR(RD[[#This Row],[33 kV Total Export (KWH)]]/RD[[#This Row],[220 KV Net Export (KWh)]]-1,"")</f>
        <v/>
      </c>
      <c r="AR176" s="64">
        <f>IFERROR((RD[[#This Row],[Sunset Time (POA&lt;20 W/m2)]]-RD[[#This Row],[Sunrise Time (POA&gt;20 W/m2)]])*24,0)</f>
        <v>0</v>
      </c>
      <c r="AS176" s="65">
        <f>RD[[#This Row],[33kV_OG1_Energy (KWh)]]</f>
        <v>0</v>
      </c>
      <c r="AT176" s="65">
        <f>IFERROR(RD[[#This Row],[ Export (33 kV)]]*(1-RD[[#This Row],[33 kV Line Loss (%)]]),RD[[#This Row],[ Export (33 kV)]])</f>
        <v>0</v>
      </c>
      <c r="AU176" s="122"/>
      <c r="AV176" s="122"/>
      <c r="AW176" s="122"/>
      <c r="AX176" t="str">
        <f>IFERROR(RD[[#This Row],[E_AC (WPR)]]/RD[[#This Row],[E_DC (WPR)]],"")</f>
        <v/>
      </c>
    </row>
    <row r="177" spans="1:50">
      <c r="A177" s="148">
        <f t="shared" si="51"/>
        <v>45917</v>
      </c>
      <c r="B177" s="151">
        <f>YEAR(RD[[#This Row],[Date]])+IF(MONTH(RD[[#This Row],[Date]])&gt;=4,1,0)</f>
        <v>2026</v>
      </c>
      <c r="C177" s="151">
        <f>YEAR(RD[[#This Row],[Date]])</f>
        <v>2025</v>
      </c>
      <c r="D177" s="66">
        <f t="shared" si="50"/>
        <v>45901</v>
      </c>
      <c r="E177" s="151">
        <f>DAY(EOMONTH(RD[[#This Row],[Date]],0))</f>
        <v>30</v>
      </c>
      <c r="F177" s="122"/>
      <c r="G177" s="122"/>
      <c r="H177" s="138"/>
      <c r="I177" s="138"/>
      <c r="J177" s="138"/>
      <c r="K177" s="138"/>
      <c r="L177" s="138"/>
      <c r="M177" s="138"/>
      <c r="N177" s="138"/>
      <c r="O177" s="169"/>
      <c r="P177" s="169"/>
      <c r="Q177" s="69"/>
      <c r="R177" s="69"/>
      <c r="S177" s="69"/>
      <c r="T177" s="69"/>
      <c r="U177" s="69"/>
      <c r="V177" s="69"/>
      <c r="W177" s="69"/>
      <c r="X177" s="69"/>
      <c r="Y177" s="70">
        <f>SUM(RD[[#This Row],[IS1Inv1]:[IS3Inv1]])</f>
        <v>0</v>
      </c>
      <c r="Z177" s="70">
        <f>SUM(RD[[#This Row],[IS4Inv1]:[IS4Inv2]])</f>
        <v>0</v>
      </c>
      <c r="AA177" s="70">
        <f>SUM(RD[[#This Row],[O2RE7]:[O2RE27]])</f>
        <v>0</v>
      </c>
      <c r="AB177" s="153"/>
      <c r="AC177" s="153"/>
      <c r="AD177" s="153"/>
      <c r="AE177" s="153"/>
      <c r="AF177" s="153"/>
      <c r="AG177" s="153"/>
      <c r="AH177" s="153"/>
      <c r="AI177" s="154" t="str">
        <f>IF((RD[[#This Row],[33 kV_F1_Ex]]-AB176)*150000&lt;=0,"",(RD[[#This Row],[33 kV_F1_Ex]]-AB176)*150000)</f>
        <v/>
      </c>
      <c r="AJ177" s="154">
        <f>IF((RD[[#This Row],[33kV_OG1_Ex]]-AC176)*1000&lt;=0,0,(RD[[#This Row],[33kV_OG1_Ex]]-AC176)*1000)</f>
        <v>0</v>
      </c>
      <c r="AK177" s="154">
        <f>IF((RD[[#This Row],[220kV_TL_TVM_Ex]]-AE176)*1600&lt;=0,0,(RD[[#This Row],[220kV_TL_TVM_Ex]]-AE176)*1600)</f>
        <v>0</v>
      </c>
      <c r="AL177" s="154" t="str">
        <f>IF((RD[[#This Row],[220kV_C&amp;R_PQM_Ex]]-AF176)*1000&lt;=0,"",(RD[[#This Row],[220kV_C&amp;R_PQM_Ex]]-AF176)*1000)</f>
        <v/>
      </c>
      <c r="AM177" s="154">
        <f>IF((RD[[#This Row],[33kV_Aux1_Im]]-AH176)*1000&lt;0,"",(RD[[#This Row],[33kV_Aux1_Im]]-AH176)*1000)</f>
        <v>0</v>
      </c>
      <c r="AN177" s="154">
        <f>IF((RD[[#This Row],[33kV_Aux1_Im]]-AH176)*1000&lt;0,"",(RD[[#This Row],[33kV_Aux1_Im]]-AH176)*1000)</f>
        <v>0</v>
      </c>
      <c r="AO177" s="61">
        <f>RD[[#This Row],[33kV_OG1_Energy (KWh)]]</f>
        <v>0</v>
      </c>
      <c r="AP177" s="61">
        <f>IFERROR(RD[[#This Row],[220kV_TL_TVM Energy (KWh)]]-RD[[#This Row],[220kV_C&amp;R_PQM_Imp (KWh)2]],"")</f>
        <v>0</v>
      </c>
      <c r="AQ177" s="63" t="str">
        <f>IFERROR(RD[[#This Row],[33 kV Total Export (KWH)]]/RD[[#This Row],[220 KV Net Export (KWh)]]-1,"")</f>
        <v/>
      </c>
      <c r="AR177" s="64">
        <f>IFERROR((RD[[#This Row],[Sunset Time (POA&lt;20 W/m2)]]-RD[[#This Row],[Sunrise Time (POA&gt;20 W/m2)]])*24,0)</f>
        <v>0</v>
      </c>
      <c r="AS177" s="65">
        <f>RD[[#This Row],[33kV_OG1_Energy (KWh)]]</f>
        <v>0</v>
      </c>
      <c r="AT177" s="65">
        <f>IFERROR(RD[[#This Row],[ Export (33 kV)]]*(1-RD[[#This Row],[33 kV Line Loss (%)]]),RD[[#This Row],[ Export (33 kV)]])</f>
        <v>0</v>
      </c>
      <c r="AU177" s="122"/>
      <c r="AV177" s="122"/>
      <c r="AW177" s="122"/>
      <c r="AX177" t="str">
        <f>IFERROR(RD[[#This Row],[E_AC (WPR)]]/RD[[#This Row],[E_DC (WPR)]],"")</f>
        <v/>
      </c>
    </row>
    <row r="178" spans="1:50">
      <c r="A178" s="148">
        <f t="shared" si="51"/>
        <v>45918</v>
      </c>
      <c r="B178" s="151">
        <f>YEAR(RD[[#This Row],[Date]])+IF(MONTH(RD[[#This Row],[Date]])&gt;=4,1,0)</f>
        <v>2026</v>
      </c>
      <c r="C178" s="151">
        <f>YEAR(RD[[#This Row],[Date]])</f>
        <v>2025</v>
      </c>
      <c r="D178" s="66">
        <f t="shared" si="50"/>
        <v>45901</v>
      </c>
      <c r="E178" s="151">
        <f>DAY(EOMONTH(RD[[#This Row],[Date]],0))</f>
        <v>30</v>
      </c>
      <c r="F178" s="122"/>
      <c r="G178" s="122"/>
      <c r="H178" s="138"/>
      <c r="I178" s="138"/>
      <c r="J178" s="138"/>
      <c r="K178" s="138"/>
      <c r="L178" s="138"/>
      <c r="M178" s="138"/>
      <c r="N178" s="138"/>
      <c r="O178" s="169"/>
      <c r="P178" s="169"/>
      <c r="Q178" s="69"/>
      <c r="R178" s="69"/>
      <c r="S178" s="69"/>
      <c r="T178" s="69"/>
      <c r="U178" s="69"/>
      <c r="V178" s="69"/>
      <c r="W178" s="69"/>
      <c r="X178" s="69"/>
      <c r="Y178" s="70">
        <f>SUM(RD[[#This Row],[IS1Inv1]:[IS3Inv1]])</f>
        <v>0</v>
      </c>
      <c r="Z178" s="70">
        <f>SUM(RD[[#This Row],[IS4Inv1]:[IS4Inv2]])</f>
        <v>0</v>
      </c>
      <c r="AA178" s="70">
        <f>SUM(RD[[#This Row],[O2RE7]:[O2RE27]])</f>
        <v>0</v>
      </c>
      <c r="AB178" s="153"/>
      <c r="AC178" s="153"/>
      <c r="AD178" s="153"/>
      <c r="AE178" s="153"/>
      <c r="AF178" s="153"/>
      <c r="AG178" s="153"/>
      <c r="AH178" s="153"/>
      <c r="AI178" s="154" t="str">
        <f>IF((RD[[#This Row],[33 kV_F1_Ex]]-AB177)*150000&lt;=0,"",(RD[[#This Row],[33 kV_F1_Ex]]-AB177)*150000)</f>
        <v/>
      </c>
      <c r="AJ178" s="154">
        <f>IF((RD[[#This Row],[33kV_OG1_Ex]]-AC177)*1000&lt;=0,0,(RD[[#This Row],[33kV_OG1_Ex]]-AC177)*1000)</f>
        <v>0</v>
      </c>
      <c r="AK178" s="154">
        <f>IF((RD[[#This Row],[220kV_TL_TVM_Ex]]-AE177)*1600&lt;=0,0,(RD[[#This Row],[220kV_TL_TVM_Ex]]-AE177)*1600)</f>
        <v>0</v>
      </c>
      <c r="AL178" s="154" t="str">
        <f>IF((RD[[#This Row],[220kV_C&amp;R_PQM_Ex]]-AF177)*1000&lt;=0,"",(RD[[#This Row],[220kV_C&amp;R_PQM_Ex]]-AF177)*1000)</f>
        <v/>
      </c>
      <c r="AM178" s="154">
        <f>IF((RD[[#This Row],[33kV_Aux1_Im]]-AH177)*1000&lt;0,"",(RD[[#This Row],[33kV_Aux1_Im]]-AH177)*1000)</f>
        <v>0</v>
      </c>
      <c r="AN178" s="154">
        <f>IF((RD[[#This Row],[33kV_Aux1_Im]]-AH177)*1000&lt;0,"",(RD[[#This Row],[33kV_Aux1_Im]]-AH177)*1000)</f>
        <v>0</v>
      </c>
      <c r="AO178" s="61">
        <f>RD[[#This Row],[33kV_OG1_Energy (KWh)]]</f>
        <v>0</v>
      </c>
      <c r="AP178" s="61">
        <f>IFERROR(RD[[#This Row],[220kV_TL_TVM Energy (KWh)]]-RD[[#This Row],[220kV_C&amp;R_PQM_Imp (KWh)2]],"")</f>
        <v>0</v>
      </c>
      <c r="AQ178" s="63" t="str">
        <f>IFERROR(RD[[#This Row],[33 kV Total Export (KWH)]]/RD[[#This Row],[220 KV Net Export (KWh)]]-1,"")</f>
        <v/>
      </c>
      <c r="AR178" s="64">
        <f>IFERROR((RD[[#This Row],[Sunset Time (POA&lt;20 W/m2)]]-RD[[#This Row],[Sunrise Time (POA&gt;20 W/m2)]])*24,0)</f>
        <v>0</v>
      </c>
      <c r="AS178" s="65">
        <f>RD[[#This Row],[33kV_OG1_Energy (KWh)]]</f>
        <v>0</v>
      </c>
      <c r="AT178" s="65">
        <f>IFERROR(RD[[#This Row],[ Export (33 kV)]]*(1-RD[[#This Row],[33 kV Line Loss (%)]]),RD[[#This Row],[ Export (33 kV)]])</f>
        <v>0</v>
      </c>
      <c r="AU178" s="122"/>
      <c r="AV178" s="122"/>
      <c r="AW178" s="122"/>
      <c r="AX178" t="str">
        <f>IFERROR(RD[[#This Row],[E_AC (WPR)]]/RD[[#This Row],[E_DC (WPR)]],"")</f>
        <v/>
      </c>
    </row>
    <row r="179" spans="1:50">
      <c r="A179" s="148">
        <f t="shared" si="51"/>
        <v>45919</v>
      </c>
      <c r="B179" s="151">
        <f>YEAR(RD[[#This Row],[Date]])+IF(MONTH(RD[[#This Row],[Date]])&gt;=4,1,0)</f>
        <v>2026</v>
      </c>
      <c r="C179" s="151">
        <f>YEAR(RD[[#This Row],[Date]])</f>
        <v>2025</v>
      </c>
      <c r="D179" s="66">
        <f t="shared" si="50"/>
        <v>45901</v>
      </c>
      <c r="E179" s="151">
        <f>DAY(EOMONTH(RD[[#This Row],[Date]],0))</f>
        <v>30</v>
      </c>
      <c r="F179" s="122"/>
      <c r="G179" s="122"/>
      <c r="H179" s="138"/>
      <c r="I179" s="138"/>
      <c r="J179" s="138"/>
      <c r="K179" s="138"/>
      <c r="L179" s="138"/>
      <c r="M179" s="138"/>
      <c r="N179" s="138"/>
      <c r="O179" s="169"/>
      <c r="P179" s="169"/>
      <c r="Q179" s="69"/>
      <c r="R179" s="69"/>
      <c r="S179" s="69"/>
      <c r="T179" s="69"/>
      <c r="U179" s="69"/>
      <c r="V179" s="69"/>
      <c r="W179" s="69"/>
      <c r="X179" s="69"/>
      <c r="Y179" s="70">
        <f>SUM(RD[[#This Row],[IS1Inv1]:[IS3Inv1]])</f>
        <v>0</v>
      </c>
      <c r="Z179" s="70">
        <f>SUM(RD[[#This Row],[IS4Inv1]:[IS4Inv2]])</f>
        <v>0</v>
      </c>
      <c r="AA179" s="70">
        <f>SUM(RD[[#This Row],[O2RE7]:[O2RE27]])</f>
        <v>0</v>
      </c>
      <c r="AB179" s="153"/>
      <c r="AC179" s="153"/>
      <c r="AD179" s="153"/>
      <c r="AE179" s="153"/>
      <c r="AF179" s="153"/>
      <c r="AG179" s="153"/>
      <c r="AH179" s="153"/>
      <c r="AI179" s="154" t="str">
        <f>IF((RD[[#This Row],[33 kV_F1_Ex]]-AB178)*150000&lt;=0,"",(RD[[#This Row],[33 kV_F1_Ex]]-AB178)*150000)</f>
        <v/>
      </c>
      <c r="AJ179" s="154">
        <f>IF((RD[[#This Row],[33kV_OG1_Ex]]-AC178)*1000&lt;=0,0,(RD[[#This Row],[33kV_OG1_Ex]]-AC178)*1000)</f>
        <v>0</v>
      </c>
      <c r="AK179" s="154">
        <f>IF((RD[[#This Row],[220kV_TL_TVM_Ex]]-AE178)*1600&lt;=0,0,(RD[[#This Row],[220kV_TL_TVM_Ex]]-AE178)*1600)</f>
        <v>0</v>
      </c>
      <c r="AL179" s="154" t="str">
        <f>IF((RD[[#This Row],[220kV_C&amp;R_PQM_Ex]]-AF178)*1000&lt;=0,"",(RD[[#This Row],[220kV_C&amp;R_PQM_Ex]]-AF178)*1000)</f>
        <v/>
      </c>
      <c r="AM179" s="154">
        <f>IF((RD[[#This Row],[33kV_Aux1_Im]]-AH178)*1000&lt;0,"",(RD[[#This Row],[33kV_Aux1_Im]]-AH178)*1000)</f>
        <v>0</v>
      </c>
      <c r="AN179" s="154">
        <f>IF((RD[[#This Row],[33kV_Aux1_Im]]-AH178)*1000&lt;0,"",(RD[[#This Row],[33kV_Aux1_Im]]-AH178)*1000)</f>
        <v>0</v>
      </c>
      <c r="AO179" s="61">
        <f>RD[[#This Row],[33kV_OG1_Energy (KWh)]]</f>
        <v>0</v>
      </c>
      <c r="AP179" s="61">
        <f>IFERROR(RD[[#This Row],[220kV_TL_TVM Energy (KWh)]]-RD[[#This Row],[220kV_C&amp;R_PQM_Imp (KWh)2]],"")</f>
        <v>0</v>
      </c>
      <c r="AQ179" s="63" t="str">
        <f>IFERROR(RD[[#This Row],[33 kV Total Export (KWH)]]/RD[[#This Row],[220 KV Net Export (KWh)]]-1,"")</f>
        <v/>
      </c>
      <c r="AR179" s="64">
        <f>IFERROR((RD[[#This Row],[Sunset Time (POA&lt;20 W/m2)]]-RD[[#This Row],[Sunrise Time (POA&gt;20 W/m2)]])*24,0)</f>
        <v>0</v>
      </c>
      <c r="AS179" s="65">
        <f>RD[[#This Row],[33kV_OG1_Energy (KWh)]]</f>
        <v>0</v>
      </c>
      <c r="AT179" s="65">
        <f>IFERROR(RD[[#This Row],[ Export (33 kV)]]*(1-RD[[#This Row],[33 kV Line Loss (%)]]),RD[[#This Row],[ Export (33 kV)]])</f>
        <v>0</v>
      </c>
      <c r="AU179" s="122"/>
      <c r="AV179" s="122"/>
      <c r="AW179" s="122"/>
      <c r="AX179" t="str">
        <f>IFERROR(RD[[#This Row],[E_AC (WPR)]]/RD[[#This Row],[E_DC (WPR)]],"")</f>
        <v/>
      </c>
    </row>
    <row r="180" spans="1:50">
      <c r="A180" s="148">
        <f t="shared" si="51"/>
        <v>45920</v>
      </c>
      <c r="B180" s="151">
        <f>YEAR(RD[[#This Row],[Date]])+IF(MONTH(RD[[#This Row],[Date]])&gt;=4,1,0)</f>
        <v>2026</v>
      </c>
      <c r="C180" s="151">
        <f>YEAR(RD[[#This Row],[Date]])</f>
        <v>2025</v>
      </c>
      <c r="D180" s="66">
        <f t="shared" si="50"/>
        <v>45901</v>
      </c>
      <c r="E180" s="151">
        <f>DAY(EOMONTH(RD[[#This Row],[Date]],0))</f>
        <v>30</v>
      </c>
      <c r="F180" s="122"/>
      <c r="G180" s="122"/>
      <c r="H180" s="138"/>
      <c r="I180" s="138"/>
      <c r="J180" s="138"/>
      <c r="K180" s="138"/>
      <c r="L180" s="138"/>
      <c r="M180" s="138"/>
      <c r="N180" s="138"/>
      <c r="O180" s="169"/>
      <c r="P180" s="169"/>
      <c r="Q180" s="69"/>
      <c r="R180" s="69"/>
      <c r="S180" s="69"/>
      <c r="T180" s="69"/>
      <c r="U180" s="69"/>
      <c r="V180" s="69"/>
      <c r="W180" s="69"/>
      <c r="X180" s="69"/>
      <c r="Y180" s="70">
        <f>SUM(RD[[#This Row],[IS1Inv1]:[IS3Inv1]])</f>
        <v>0</v>
      </c>
      <c r="Z180" s="70">
        <f>SUM(RD[[#This Row],[IS4Inv1]:[IS4Inv2]])</f>
        <v>0</v>
      </c>
      <c r="AA180" s="70">
        <f>SUM(RD[[#This Row],[O2RE7]:[O2RE27]])</f>
        <v>0</v>
      </c>
      <c r="AB180" s="153"/>
      <c r="AC180" s="153"/>
      <c r="AD180" s="153"/>
      <c r="AE180" s="153"/>
      <c r="AF180" s="153"/>
      <c r="AG180" s="153"/>
      <c r="AH180" s="153"/>
      <c r="AI180" s="154" t="str">
        <f>IF((RD[[#This Row],[33 kV_F1_Ex]]-AB179)*150000&lt;=0,"",(RD[[#This Row],[33 kV_F1_Ex]]-AB179)*150000)</f>
        <v/>
      </c>
      <c r="AJ180" s="154">
        <f>IF((RD[[#This Row],[33kV_OG1_Ex]]-AC179)*1000&lt;=0,0,(RD[[#This Row],[33kV_OG1_Ex]]-AC179)*1000)</f>
        <v>0</v>
      </c>
      <c r="AK180" s="154">
        <f>IF((RD[[#This Row],[220kV_TL_TVM_Ex]]-AE179)*1600&lt;=0,0,(RD[[#This Row],[220kV_TL_TVM_Ex]]-AE179)*1600)</f>
        <v>0</v>
      </c>
      <c r="AL180" s="154" t="str">
        <f>IF((RD[[#This Row],[220kV_C&amp;R_PQM_Ex]]-AF179)*1000&lt;=0,"",(RD[[#This Row],[220kV_C&amp;R_PQM_Ex]]-AF179)*1000)</f>
        <v/>
      </c>
      <c r="AM180" s="154">
        <f>IF((RD[[#This Row],[33kV_Aux1_Im]]-AH179)*1000&lt;0,"",(RD[[#This Row],[33kV_Aux1_Im]]-AH179)*1000)</f>
        <v>0</v>
      </c>
      <c r="AN180" s="154">
        <f>IF((RD[[#This Row],[33kV_Aux1_Im]]-AH179)*1000&lt;0,"",(RD[[#This Row],[33kV_Aux1_Im]]-AH179)*1000)</f>
        <v>0</v>
      </c>
      <c r="AO180" s="61">
        <f>RD[[#This Row],[33kV_OG1_Energy (KWh)]]</f>
        <v>0</v>
      </c>
      <c r="AP180" s="61">
        <f>IFERROR(RD[[#This Row],[220kV_TL_TVM Energy (KWh)]]-RD[[#This Row],[220kV_C&amp;R_PQM_Imp (KWh)2]],"")</f>
        <v>0</v>
      </c>
      <c r="AQ180" s="63" t="str">
        <f>IFERROR(RD[[#This Row],[33 kV Total Export (KWH)]]/RD[[#This Row],[220 KV Net Export (KWh)]]-1,"")</f>
        <v/>
      </c>
      <c r="AR180" s="64">
        <f>IFERROR((RD[[#This Row],[Sunset Time (POA&lt;20 W/m2)]]-RD[[#This Row],[Sunrise Time (POA&gt;20 W/m2)]])*24,0)</f>
        <v>0</v>
      </c>
      <c r="AS180" s="65">
        <f>RD[[#This Row],[33kV_OG1_Energy (KWh)]]</f>
        <v>0</v>
      </c>
      <c r="AT180" s="65">
        <f>IFERROR(RD[[#This Row],[ Export (33 kV)]]*(1-RD[[#This Row],[33 kV Line Loss (%)]]),RD[[#This Row],[ Export (33 kV)]])</f>
        <v>0</v>
      </c>
      <c r="AU180" s="122"/>
      <c r="AV180" s="122"/>
      <c r="AW180" s="122"/>
      <c r="AX180" t="str">
        <f>IFERROR(RD[[#This Row],[E_AC (WPR)]]/RD[[#This Row],[E_DC (WPR)]],"")</f>
        <v/>
      </c>
    </row>
    <row r="181" spans="1:50">
      <c r="A181" s="148">
        <f t="shared" si="51"/>
        <v>45921</v>
      </c>
      <c r="B181" s="151">
        <f>YEAR(RD[[#This Row],[Date]])+IF(MONTH(RD[[#This Row],[Date]])&gt;=4,1,0)</f>
        <v>2026</v>
      </c>
      <c r="C181" s="151">
        <f>YEAR(RD[[#This Row],[Date]])</f>
        <v>2025</v>
      </c>
      <c r="D181" s="66">
        <f t="shared" si="50"/>
        <v>45901</v>
      </c>
      <c r="E181" s="151">
        <f>DAY(EOMONTH(RD[[#This Row],[Date]],0))</f>
        <v>30</v>
      </c>
      <c r="F181" s="122"/>
      <c r="G181" s="122"/>
      <c r="H181" s="138"/>
      <c r="I181" s="138"/>
      <c r="J181" s="138"/>
      <c r="K181" s="138"/>
      <c r="L181" s="138"/>
      <c r="M181" s="138"/>
      <c r="N181" s="138"/>
      <c r="O181" s="169"/>
      <c r="P181" s="169"/>
      <c r="Q181" s="69"/>
      <c r="R181" s="69"/>
      <c r="S181" s="69"/>
      <c r="T181" s="69"/>
      <c r="U181" s="69"/>
      <c r="V181" s="69"/>
      <c r="W181" s="69"/>
      <c r="X181" s="69"/>
      <c r="Y181" s="70">
        <f>SUM(RD[[#This Row],[IS1Inv1]:[IS3Inv1]])</f>
        <v>0</v>
      </c>
      <c r="Z181" s="70">
        <f>SUM(RD[[#This Row],[IS4Inv1]:[IS4Inv2]])</f>
        <v>0</v>
      </c>
      <c r="AA181" s="70">
        <f>SUM(RD[[#This Row],[O2RE7]:[O2RE27]])</f>
        <v>0</v>
      </c>
      <c r="AB181" s="153"/>
      <c r="AC181" s="153"/>
      <c r="AD181" s="153"/>
      <c r="AE181" s="153"/>
      <c r="AF181" s="153"/>
      <c r="AG181" s="153"/>
      <c r="AH181" s="153"/>
      <c r="AI181" s="154" t="str">
        <f>IF((RD[[#This Row],[33 kV_F1_Ex]]-AB180)*150000&lt;=0,"",(RD[[#This Row],[33 kV_F1_Ex]]-AB180)*150000)</f>
        <v/>
      </c>
      <c r="AJ181" s="154">
        <f>IF((RD[[#This Row],[33kV_OG1_Ex]]-AC180)*1000&lt;=0,0,(RD[[#This Row],[33kV_OG1_Ex]]-AC180)*1000)</f>
        <v>0</v>
      </c>
      <c r="AK181" s="154">
        <f>IF((RD[[#This Row],[220kV_TL_TVM_Ex]]-AE180)*1600&lt;=0,0,(RD[[#This Row],[220kV_TL_TVM_Ex]]-AE180)*1600)</f>
        <v>0</v>
      </c>
      <c r="AL181" s="154" t="str">
        <f>IF((RD[[#This Row],[220kV_C&amp;R_PQM_Ex]]-AF180)*1000&lt;=0,"",(RD[[#This Row],[220kV_C&amp;R_PQM_Ex]]-AF180)*1000)</f>
        <v/>
      </c>
      <c r="AM181" s="154">
        <f>IF((RD[[#This Row],[33kV_Aux1_Im]]-AH180)*1000&lt;0,"",(RD[[#This Row],[33kV_Aux1_Im]]-AH180)*1000)</f>
        <v>0</v>
      </c>
      <c r="AN181" s="154">
        <f>IF((RD[[#This Row],[33kV_Aux1_Im]]-AH180)*1000&lt;0,"",(RD[[#This Row],[33kV_Aux1_Im]]-AH180)*1000)</f>
        <v>0</v>
      </c>
      <c r="AO181" s="61">
        <f>RD[[#This Row],[33kV_OG1_Energy (KWh)]]</f>
        <v>0</v>
      </c>
      <c r="AP181" s="61">
        <f>IFERROR(RD[[#This Row],[220kV_TL_TVM Energy (KWh)]]-RD[[#This Row],[220kV_C&amp;R_PQM_Imp (KWh)2]],"")</f>
        <v>0</v>
      </c>
      <c r="AQ181" s="63" t="str">
        <f>IFERROR(RD[[#This Row],[33 kV Total Export (KWH)]]/RD[[#This Row],[220 KV Net Export (KWh)]]-1,"")</f>
        <v/>
      </c>
      <c r="AR181" s="64">
        <f>IFERROR((RD[[#This Row],[Sunset Time (POA&lt;20 W/m2)]]-RD[[#This Row],[Sunrise Time (POA&gt;20 W/m2)]])*24,0)</f>
        <v>0</v>
      </c>
      <c r="AS181" s="65">
        <f>RD[[#This Row],[33kV_OG1_Energy (KWh)]]</f>
        <v>0</v>
      </c>
      <c r="AT181" s="65">
        <f>IFERROR(RD[[#This Row],[ Export (33 kV)]]*(1-RD[[#This Row],[33 kV Line Loss (%)]]),RD[[#This Row],[ Export (33 kV)]])</f>
        <v>0</v>
      </c>
      <c r="AU181" s="122"/>
      <c r="AV181" s="122"/>
      <c r="AW181" s="122"/>
      <c r="AX181" t="str">
        <f>IFERROR(RD[[#This Row],[E_AC (WPR)]]/RD[[#This Row],[E_DC (WPR)]],"")</f>
        <v/>
      </c>
    </row>
    <row r="182" spans="1:50">
      <c r="A182" s="148">
        <f t="shared" si="51"/>
        <v>45922</v>
      </c>
      <c r="B182" s="151">
        <f>YEAR(RD[[#This Row],[Date]])+IF(MONTH(RD[[#This Row],[Date]])&gt;=4,1,0)</f>
        <v>2026</v>
      </c>
      <c r="C182" s="151">
        <f>YEAR(RD[[#This Row],[Date]])</f>
        <v>2025</v>
      </c>
      <c r="D182" s="66">
        <f t="shared" si="50"/>
        <v>45901</v>
      </c>
      <c r="E182" s="151">
        <f>DAY(EOMONTH(RD[[#This Row],[Date]],0))</f>
        <v>30</v>
      </c>
      <c r="F182" s="122"/>
      <c r="G182" s="122"/>
      <c r="H182" s="138"/>
      <c r="I182" s="138"/>
      <c r="J182" s="138"/>
      <c r="K182" s="138"/>
      <c r="L182" s="138"/>
      <c r="M182" s="138"/>
      <c r="N182" s="138"/>
      <c r="O182" s="169"/>
      <c r="P182" s="169"/>
      <c r="Q182" s="69"/>
      <c r="R182" s="69"/>
      <c r="S182" s="69"/>
      <c r="T182" s="69"/>
      <c r="U182" s="69"/>
      <c r="V182" s="69"/>
      <c r="W182" s="69"/>
      <c r="X182" s="69"/>
      <c r="Y182" s="70">
        <f>SUM(RD[[#This Row],[IS1Inv1]:[IS3Inv1]])</f>
        <v>0</v>
      </c>
      <c r="Z182" s="70">
        <f>SUM(RD[[#This Row],[IS4Inv1]:[IS4Inv2]])</f>
        <v>0</v>
      </c>
      <c r="AA182" s="70">
        <f>SUM(RD[[#This Row],[O2RE7]:[O2RE27]])</f>
        <v>0</v>
      </c>
      <c r="AB182" s="153"/>
      <c r="AC182" s="153"/>
      <c r="AD182" s="153"/>
      <c r="AE182" s="153"/>
      <c r="AF182" s="153"/>
      <c r="AG182" s="153"/>
      <c r="AH182" s="153"/>
      <c r="AI182" s="154" t="str">
        <f>IF((RD[[#This Row],[33 kV_F1_Ex]]-AB181)*150000&lt;=0,"",(RD[[#This Row],[33 kV_F1_Ex]]-AB181)*150000)</f>
        <v/>
      </c>
      <c r="AJ182" s="154">
        <f>IF((RD[[#This Row],[33kV_OG1_Ex]]-AC181)*1000&lt;=0,0,(RD[[#This Row],[33kV_OG1_Ex]]-AC181)*1000)</f>
        <v>0</v>
      </c>
      <c r="AK182" s="154">
        <f>IF((RD[[#This Row],[220kV_TL_TVM_Ex]]-AE181)*1600&lt;=0,0,(RD[[#This Row],[220kV_TL_TVM_Ex]]-AE181)*1600)</f>
        <v>0</v>
      </c>
      <c r="AL182" s="154" t="str">
        <f>IF((RD[[#This Row],[220kV_C&amp;R_PQM_Ex]]-AF181)*1000&lt;=0,"",(RD[[#This Row],[220kV_C&amp;R_PQM_Ex]]-AF181)*1000)</f>
        <v/>
      </c>
      <c r="AM182" s="154">
        <f>IF((RD[[#This Row],[33kV_Aux1_Im]]-AH181)*1000&lt;0,"",(RD[[#This Row],[33kV_Aux1_Im]]-AH181)*1000)</f>
        <v>0</v>
      </c>
      <c r="AN182" s="154">
        <f>IF((RD[[#This Row],[33kV_Aux1_Im]]-AH181)*1000&lt;0,"",(RD[[#This Row],[33kV_Aux1_Im]]-AH181)*1000)</f>
        <v>0</v>
      </c>
      <c r="AO182" s="61">
        <f>RD[[#This Row],[33kV_OG1_Energy (KWh)]]</f>
        <v>0</v>
      </c>
      <c r="AP182" s="61">
        <f>IFERROR(RD[[#This Row],[220kV_TL_TVM Energy (KWh)]]-RD[[#This Row],[220kV_C&amp;R_PQM_Imp (KWh)2]],"")</f>
        <v>0</v>
      </c>
      <c r="AQ182" s="63" t="str">
        <f>IFERROR(RD[[#This Row],[33 kV Total Export (KWH)]]/RD[[#This Row],[220 KV Net Export (KWh)]]-1,"")</f>
        <v/>
      </c>
      <c r="AR182" s="64">
        <f>IFERROR((RD[[#This Row],[Sunset Time (POA&lt;20 W/m2)]]-RD[[#This Row],[Sunrise Time (POA&gt;20 W/m2)]])*24,0)</f>
        <v>0</v>
      </c>
      <c r="AS182" s="65">
        <f>RD[[#This Row],[33kV_OG1_Energy (KWh)]]</f>
        <v>0</v>
      </c>
      <c r="AT182" s="65">
        <f>IFERROR(RD[[#This Row],[ Export (33 kV)]]*(1-RD[[#This Row],[33 kV Line Loss (%)]]),RD[[#This Row],[ Export (33 kV)]])</f>
        <v>0</v>
      </c>
      <c r="AU182" s="122"/>
      <c r="AV182" s="122"/>
      <c r="AW182" s="122"/>
      <c r="AX182" t="str">
        <f>IFERROR(RD[[#This Row],[E_AC (WPR)]]/RD[[#This Row],[E_DC (WPR)]],"")</f>
        <v/>
      </c>
    </row>
    <row r="183" spans="1:50">
      <c r="A183" s="148">
        <f t="shared" si="51"/>
        <v>45923</v>
      </c>
      <c r="B183" s="151">
        <f>YEAR(RD[[#This Row],[Date]])+IF(MONTH(RD[[#This Row],[Date]])&gt;=4,1,0)</f>
        <v>2026</v>
      </c>
      <c r="C183" s="151">
        <f>YEAR(RD[[#This Row],[Date]])</f>
        <v>2025</v>
      </c>
      <c r="D183" s="66">
        <f t="shared" si="50"/>
        <v>45901</v>
      </c>
      <c r="E183" s="151">
        <f>DAY(EOMONTH(RD[[#This Row],[Date]],0))</f>
        <v>30</v>
      </c>
      <c r="F183" s="122"/>
      <c r="G183" s="122"/>
      <c r="H183" s="138"/>
      <c r="I183" s="138"/>
      <c r="J183" s="138"/>
      <c r="K183" s="138"/>
      <c r="L183" s="138"/>
      <c r="M183" s="138"/>
      <c r="N183" s="138"/>
      <c r="O183" s="169"/>
      <c r="P183" s="169"/>
      <c r="Q183" s="69"/>
      <c r="R183" s="69"/>
      <c r="S183" s="69"/>
      <c r="T183" s="69"/>
      <c r="U183" s="69"/>
      <c r="V183" s="69"/>
      <c r="W183" s="69"/>
      <c r="X183" s="69"/>
      <c r="Y183" s="70">
        <f>SUM(RD[[#This Row],[IS1Inv1]:[IS3Inv1]])</f>
        <v>0</v>
      </c>
      <c r="Z183" s="70">
        <f>SUM(RD[[#This Row],[IS4Inv1]:[IS4Inv2]])</f>
        <v>0</v>
      </c>
      <c r="AA183" s="70">
        <f>SUM(RD[[#This Row],[O2RE7]:[O2RE27]])</f>
        <v>0</v>
      </c>
      <c r="AB183" s="153"/>
      <c r="AC183" s="153"/>
      <c r="AD183" s="153"/>
      <c r="AE183" s="153"/>
      <c r="AF183" s="153"/>
      <c r="AG183" s="153"/>
      <c r="AH183" s="153"/>
      <c r="AI183" s="154" t="str">
        <f>IF((RD[[#This Row],[33 kV_F1_Ex]]-AB182)*150000&lt;=0,"",(RD[[#This Row],[33 kV_F1_Ex]]-AB182)*150000)</f>
        <v/>
      </c>
      <c r="AJ183" s="154">
        <f>IF((RD[[#This Row],[33kV_OG1_Ex]]-AC182)*1000&lt;=0,0,(RD[[#This Row],[33kV_OG1_Ex]]-AC182)*1000)</f>
        <v>0</v>
      </c>
      <c r="AK183" s="154">
        <f>IF((RD[[#This Row],[220kV_TL_TVM_Ex]]-AE182)*1600&lt;=0,0,(RD[[#This Row],[220kV_TL_TVM_Ex]]-AE182)*1600)</f>
        <v>0</v>
      </c>
      <c r="AL183" s="154" t="str">
        <f>IF((RD[[#This Row],[220kV_C&amp;R_PQM_Ex]]-AF182)*1000&lt;=0,"",(RD[[#This Row],[220kV_C&amp;R_PQM_Ex]]-AF182)*1000)</f>
        <v/>
      </c>
      <c r="AM183" s="154">
        <f>IF((RD[[#This Row],[33kV_Aux1_Im]]-AH182)*1000&lt;0,"",(RD[[#This Row],[33kV_Aux1_Im]]-AH182)*1000)</f>
        <v>0</v>
      </c>
      <c r="AN183" s="154">
        <f>IF((RD[[#This Row],[33kV_Aux1_Im]]-AH182)*1000&lt;0,"",(RD[[#This Row],[33kV_Aux1_Im]]-AH182)*1000)</f>
        <v>0</v>
      </c>
      <c r="AO183" s="61">
        <f>RD[[#This Row],[33kV_OG1_Energy (KWh)]]</f>
        <v>0</v>
      </c>
      <c r="AP183" s="61">
        <f>IFERROR(RD[[#This Row],[220kV_TL_TVM Energy (KWh)]]-RD[[#This Row],[220kV_C&amp;R_PQM_Imp (KWh)2]],"")</f>
        <v>0</v>
      </c>
      <c r="AQ183" s="63" t="str">
        <f>IFERROR(RD[[#This Row],[33 kV Total Export (KWH)]]/RD[[#This Row],[220 KV Net Export (KWh)]]-1,"")</f>
        <v/>
      </c>
      <c r="AR183" s="64">
        <f>IFERROR((RD[[#This Row],[Sunset Time (POA&lt;20 W/m2)]]-RD[[#This Row],[Sunrise Time (POA&gt;20 W/m2)]])*24,0)</f>
        <v>0</v>
      </c>
      <c r="AS183" s="65">
        <f>RD[[#This Row],[33kV_OG1_Energy (KWh)]]</f>
        <v>0</v>
      </c>
      <c r="AT183" s="65">
        <f>IFERROR(RD[[#This Row],[ Export (33 kV)]]*(1-RD[[#This Row],[33 kV Line Loss (%)]]),RD[[#This Row],[ Export (33 kV)]])</f>
        <v>0</v>
      </c>
      <c r="AU183" s="122"/>
      <c r="AV183" s="122"/>
      <c r="AW183" s="122"/>
      <c r="AX183" t="str">
        <f>IFERROR(RD[[#This Row],[E_AC (WPR)]]/RD[[#This Row],[E_DC (WPR)]],"")</f>
        <v/>
      </c>
    </row>
    <row r="184" spans="1:50">
      <c r="A184" s="148">
        <f t="shared" si="51"/>
        <v>45924</v>
      </c>
      <c r="B184" s="151">
        <f>YEAR(RD[[#This Row],[Date]])+IF(MONTH(RD[[#This Row],[Date]])&gt;=4,1,0)</f>
        <v>2026</v>
      </c>
      <c r="C184" s="151">
        <f>YEAR(RD[[#This Row],[Date]])</f>
        <v>2025</v>
      </c>
      <c r="D184" s="66">
        <f t="shared" si="50"/>
        <v>45901</v>
      </c>
      <c r="E184" s="151">
        <f>DAY(EOMONTH(RD[[#This Row],[Date]],0))</f>
        <v>30</v>
      </c>
      <c r="F184" s="122"/>
      <c r="G184" s="122"/>
      <c r="H184" s="138"/>
      <c r="I184" s="138"/>
      <c r="J184" s="138"/>
      <c r="K184" s="138"/>
      <c r="L184" s="138"/>
      <c r="M184" s="138"/>
      <c r="N184" s="138"/>
      <c r="O184" s="169"/>
      <c r="P184" s="169"/>
      <c r="Q184" s="69"/>
      <c r="R184" s="69"/>
      <c r="S184" s="69"/>
      <c r="T184" s="69"/>
      <c r="U184" s="69"/>
      <c r="V184" s="69"/>
      <c r="W184" s="69"/>
      <c r="X184" s="69"/>
      <c r="Y184" s="70">
        <f>SUM(RD[[#This Row],[IS1Inv1]:[IS3Inv1]])</f>
        <v>0</v>
      </c>
      <c r="Z184" s="70">
        <f>SUM(RD[[#This Row],[IS4Inv1]:[IS4Inv2]])</f>
        <v>0</v>
      </c>
      <c r="AA184" s="70">
        <f>SUM(RD[[#This Row],[O2RE7]:[O2RE27]])</f>
        <v>0</v>
      </c>
      <c r="AB184" s="153"/>
      <c r="AC184" s="153"/>
      <c r="AD184" s="153"/>
      <c r="AE184" s="153"/>
      <c r="AF184" s="153"/>
      <c r="AG184" s="153"/>
      <c r="AH184" s="153"/>
      <c r="AI184" s="154" t="str">
        <f>IF((RD[[#This Row],[33 kV_F1_Ex]]-AB183)*150000&lt;=0,"",(RD[[#This Row],[33 kV_F1_Ex]]-AB183)*150000)</f>
        <v/>
      </c>
      <c r="AJ184" s="154">
        <f>IF((RD[[#This Row],[33kV_OG1_Ex]]-AC183)*1000&lt;=0,0,(RD[[#This Row],[33kV_OG1_Ex]]-AC183)*1000)</f>
        <v>0</v>
      </c>
      <c r="AK184" s="154">
        <f>IF((RD[[#This Row],[220kV_TL_TVM_Ex]]-AE183)*1600&lt;=0,0,(RD[[#This Row],[220kV_TL_TVM_Ex]]-AE183)*1600)</f>
        <v>0</v>
      </c>
      <c r="AL184" s="154" t="str">
        <f>IF((RD[[#This Row],[220kV_C&amp;R_PQM_Ex]]-AF183)*1000&lt;=0,"",(RD[[#This Row],[220kV_C&amp;R_PQM_Ex]]-AF183)*1000)</f>
        <v/>
      </c>
      <c r="AM184" s="154">
        <f>IF((RD[[#This Row],[33kV_Aux1_Im]]-AH183)*1000&lt;0,"",(RD[[#This Row],[33kV_Aux1_Im]]-AH183)*1000)</f>
        <v>0</v>
      </c>
      <c r="AN184" s="154">
        <f>IF((RD[[#This Row],[33kV_Aux1_Im]]-AH183)*1000&lt;0,"",(RD[[#This Row],[33kV_Aux1_Im]]-AH183)*1000)</f>
        <v>0</v>
      </c>
      <c r="AO184" s="61">
        <f>RD[[#This Row],[33kV_OG1_Energy (KWh)]]</f>
        <v>0</v>
      </c>
      <c r="AP184" s="61">
        <f>IFERROR(RD[[#This Row],[220kV_TL_TVM Energy (KWh)]]-RD[[#This Row],[220kV_C&amp;R_PQM_Imp (KWh)2]],"")</f>
        <v>0</v>
      </c>
      <c r="AQ184" s="63" t="str">
        <f>IFERROR(RD[[#This Row],[33 kV Total Export (KWH)]]/RD[[#This Row],[220 KV Net Export (KWh)]]-1,"")</f>
        <v/>
      </c>
      <c r="AR184" s="64">
        <f>IFERROR((RD[[#This Row],[Sunset Time (POA&lt;20 W/m2)]]-RD[[#This Row],[Sunrise Time (POA&gt;20 W/m2)]])*24,0)</f>
        <v>0</v>
      </c>
      <c r="AS184" s="65">
        <f>RD[[#This Row],[33kV_OG1_Energy (KWh)]]</f>
        <v>0</v>
      </c>
      <c r="AT184" s="65">
        <f>IFERROR(RD[[#This Row],[ Export (33 kV)]]*(1-RD[[#This Row],[33 kV Line Loss (%)]]),RD[[#This Row],[ Export (33 kV)]])</f>
        <v>0</v>
      </c>
      <c r="AU184" s="122"/>
      <c r="AV184" s="122"/>
      <c r="AW184" s="122"/>
      <c r="AX184" t="str">
        <f>IFERROR(RD[[#This Row],[E_AC (WPR)]]/RD[[#This Row],[E_DC (WPR)]],"")</f>
        <v/>
      </c>
    </row>
    <row r="185" spans="1:50">
      <c r="A185" s="148">
        <f t="shared" si="51"/>
        <v>45925</v>
      </c>
      <c r="B185" s="151">
        <f>YEAR(RD[[#This Row],[Date]])+IF(MONTH(RD[[#This Row],[Date]])&gt;=4,1,0)</f>
        <v>2026</v>
      </c>
      <c r="C185" s="151">
        <f>YEAR(RD[[#This Row],[Date]])</f>
        <v>2025</v>
      </c>
      <c r="D185" s="66">
        <f t="shared" si="50"/>
        <v>45901</v>
      </c>
      <c r="E185" s="151">
        <f>DAY(EOMONTH(RD[[#This Row],[Date]],0))</f>
        <v>30</v>
      </c>
      <c r="F185" s="122"/>
      <c r="G185" s="122"/>
      <c r="H185" s="138"/>
      <c r="I185" s="138"/>
      <c r="J185" s="138"/>
      <c r="K185" s="138"/>
      <c r="L185" s="138"/>
      <c r="M185" s="138"/>
      <c r="N185" s="138"/>
      <c r="O185" s="169"/>
      <c r="P185" s="169"/>
      <c r="Q185" s="69"/>
      <c r="R185" s="69"/>
      <c r="S185" s="69"/>
      <c r="T185" s="69"/>
      <c r="U185" s="69"/>
      <c r="V185" s="69"/>
      <c r="W185" s="69"/>
      <c r="X185" s="69"/>
      <c r="Y185" s="70">
        <f>SUM(RD[[#This Row],[IS1Inv1]:[IS3Inv1]])</f>
        <v>0</v>
      </c>
      <c r="Z185" s="70">
        <f>SUM(RD[[#This Row],[IS4Inv1]:[IS4Inv2]])</f>
        <v>0</v>
      </c>
      <c r="AA185" s="70">
        <f>SUM(RD[[#This Row],[O2RE7]:[O2RE27]])</f>
        <v>0</v>
      </c>
      <c r="AB185" s="153"/>
      <c r="AC185" s="153"/>
      <c r="AD185" s="153"/>
      <c r="AE185" s="153"/>
      <c r="AF185" s="153"/>
      <c r="AG185" s="153"/>
      <c r="AH185" s="153"/>
      <c r="AI185" s="154" t="str">
        <f>IF((RD[[#This Row],[33 kV_F1_Ex]]-AB184)*150000&lt;=0,"",(RD[[#This Row],[33 kV_F1_Ex]]-AB184)*150000)</f>
        <v/>
      </c>
      <c r="AJ185" s="154">
        <f>IF((RD[[#This Row],[33kV_OG1_Ex]]-AC184)*1000&lt;=0,0,(RD[[#This Row],[33kV_OG1_Ex]]-AC184)*1000)</f>
        <v>0</v>
      </c>
      <c r="AK185" s="154">
        <f>IF((RD[[#This Row],[220kV_TL_TVM_Ex]]-AE184)*1600&lt;=0,0,(RD[[#This Row],[220kV_TL_TVM_Ex]]-AE184)*1600)</f>
        <v>0</v>
      </c>
      <c r="AL185" s="154" t="str">
        <f>IF((RD[[#This Row],[220kV_C&amp;R_PQM_Ex]]-AF184)*1000&lt;=0,"",(RD[[#This Row],[220kV_C&amp;R_PQM_Ex]]-AF184)*1000)</f>
        <v/>
      </c>
      <c r="AM185" s="154">
        <f>IF((RD[[#This Row],[33kV_Aux1_Im]]-AH184)*1000&lt;0,"",(RD[[#This Row],[33kV_Aux1_Im]]-AH184)*1000)</f>
        <v>0</v>
      </c>
      <c r="AN185" s="154">
        <f>IF((RD[[#This Row],[33kV_Aux1_Im]]-AH184)*1000&lt;0,"",(RD[[#This Row],[33kV_Aux1_Im]]-AH184)*1000)</f>
        <v>0</v>
      </c>
      <c r="AO185" s="61">
        <f>RD[[#This Row],[33kV_OG1_Energy (KWh)]]</f>
        <v>0</v>
      </c>
      <c r="AP185" s="61">
        <f>IFERROR(RD[[#This Row],[220kV_TL_TVM Energy (KWh)]]-RD[[#This Row],[220kV_C&amp;R_PQM_Imp (KWh)2]],"")</f>
        <v>0</v>
      </c>
      <c r="AQ185" s="63" t="str">
        <f>IFERROR(RD[[#This Row],[33 kV Total Export (KWH)]]/RD[[#This Row],[220 KV Net Export (KWh)]]-1,"")</f>
        <v/>
      </c>
      <c r="AR185" s="64">
        <f>IFERROR((RD[[#This Row],[Sunset Time (POA&lt;20 W/m2)]]-RD[[#This Row],[Sunrise Time (POA&gt;20 W/m2)]])*24,0)</f>
        <v>0</v>
      </c>
      <c r="AS185" s="65">
        <f>RD[[#This Row],[33kV_OG1_Energy (KWh)]]</f>
        <v>0</v>
      </c>
      <c r="AT185" s="65">
        <f>IFERROR(RD[[#This Row],[ Export (33 kV)]]*(1-RD[[#This Row],[33 kV Line Loss (%)]]),RD[[#This Row],[ Export (33 kV)]])</f>
        <v>0</v>
      </c>
      <c r="AU185" s="122"/>
      <c r="AV185" s="122"/>
      <c r="AW185" s="122"/>
      <c r="AX185" t="str">
        <f>IFERROR(RD[[#This Row],[E_AC (WPR)]]/RD[[#This Row],[E_DC (WPR)]],"")</f>
        <v/>
      </c>
    </row>
    <row r="186" spans="1:50">
      <c r="A186" s="148">
        <f t="shared" si="51"/>
        <v>45926</v>
      </c>
      <c r="B186" s="151">
        <f>YEAR(RD[[#This Row],[Date]])+IF(MONTH(RD[[#This Row],[Date]])&gt;=4,1,0)</f>
        <v>2026</v>
      </c>
      <c r="C186" s="151">
        <f>YEAR(RD[[#This Row],[Date]])</f>
        <v>2025</v>
      </c>
      <c r="D186" s="66">
        <f t="shared" si="50"/>
        <v>45901</v>
      </c>
      <c r="E186" s="151">
        <f>DAY(EOMONTH(RD[[#This Row],[Date]],0))</f>
        <v>30</v>
      </c>
      <c r="F186" s="122"/>
      <c r="G186" s="122"/>
      <c r="H186" s="138"/>
      <c r="I186" s="138"/>
      <c r="J186" s="138"/>
      <c r="K186" s="138"/>
      <c r="L186" s="138"/>
      <c r="M186" s="138"/>
      <c r="N186" s="138"/>
      <c r="O186" s="169"/>
      <c r="P186" s="169"/>
      <c r="Q186" s="69"/>
      <c r="R186" s="69"/>
      <c r="S186" s="69"/>
      <c r="T186" s="69"/>
      <c r="U186" s="69"/>
      <c r="V186" s="69"/>
      <c r="W186" s="69"/>
      <c r="X186" s="69"/>
      <c r="Y186" s="70">
        <f>SUM(RD[[#This Row],[IS1Inv1]:[IS3Inv1]])</f>
        <v>0</v>
      </c>
      <c r="Z186" s="70">
        <f>SUM(RD[[#This Row],[IS4Inv1]:[IS4Inv2]])</f>
        <v>0</v>
      </c>
      <c r="AA186" s="70">
        <f>SUM(RD[[#This Row],[O2RE7]:[O2RE27]])</f>
        <v>0</v>
      </c>
      <c r="AB186" s="153"/>
      <c r="AC186" s="153"/>
      <c r="AD186" s="153"/>
      <c r="AE186" s="153"/>
      <c r="AF186" s="153"/>
      <c r="AG186" s="153"/>
      <c r="AH186" s="153"/>
      <c r="AI186" s="154" t="str">
        <f>IF((RD[[#This Row],[33 kV_F1_Ex]]-AB185)*150000&lt;=0,"",(RD[[#This Row],[33 kV_F1_Ex]]-AB185)*150000)</f>
        <v/>
      </c>
      <c r="AJ186" s="154">
        <f>IF((RD[[#This Row],[33kV_OG1_Ex]]-AC185)*1000&lt;=0,0,(RD[[#This Row],[33kV_OG1_Ex]]-AC185)*1000)</f>
        <v>0</v>
      </c>
      <c r="AK186" s="154">
        <f>IF((RD[[#This Row],[220kV_TL_TVM_Ex]]-AE185)*1600&lt;=0,0,(RD[[#This Row],[220kV_TL_TVM_Ex]]-AE185)*1600)</f>
        <v>0</v>
      </c>
      <c r="AL186" s="154" t="str">
        <f>IF((RD[[#This Row],[220kV_C&amp;R_PQM_Ex]]-AF185)*1000&lt;=0,"",(RD[[#This Row],[220kV_C&amp;R_PQM_Ex]]-AF185)*1000)</f>
        <v/>
      </c>
      <c r="AM186" s="154">
        <f>IF((RD[[#This Row],[33kV_Aux1_Im]]-AH185)*1000&lt;0,"",(RD[[#This Row],[33kV_Aux1_Im]]-AH185)*1000)</f>
        <v>0</v>
      </c>
      <c r="AN186" s="154">
        <f>IF((RD[[#This Row],[33kV_Aux1_Im]]-AH185)*1000&lt;0,"",(RD[[#This Row],[33kV_Aux1_Im]]-AH185)*1000)</f>
        <v>0</v>
      </c>
      <c r="AO186" s="61">
        <f>RD[[#This Row],[33kV_OG1_Energy (KWh)]]</f>
        <v>0</v>
      </c>
      <c r="AP186" s="61">
        <f>IFERROR(RD[[#This Row],[220kV_TL_TVM Energy (KWh)]]-RD[[#This Row],[220kV_C&amp;R_PQM_Imp (KWh)2]],"")</f>
        <v>0</v>
      </c>
      <c r="AQ186" s="63" t="str">
        <f>IFERROR(RD[[#This Row],[33 kV Total Export (KWH)]]/RD[[#This Row],[220 KV Net Export (KWh)]]-1,"")</f>
        <v/>
      </c>
      <c r="AR186" s="64">
        <f>IFERROR((RD[[#This Row],[Sunset Time (POA&lt;20 W/m2)]]-RD[[#This Row],[Sunrise Time (POA&gt;20 W/m2)]])*24,0)</f>
        <v>0</v>
      </c>
      <c r="AS186" s="65">
        <f>RD[[#This Row],[33kV_OG1_Energy (KWh)]]</f>
        <v>0</v>
      </c>
      <c r="AT186" s="65">
        <f>IFERROR(RD[[#This Row],[ Export (33 kV)]]*(1-RD[[#This Row],[33 kV Line Loss (%)]]),RD[[#This Row],[ Export (33 kV)]])</f>
        <v>0</v>
      </c>
      <c r="AU186" s="122"/>
      <c r="AV186" s="122"/>
      <c r="AW186" s="122"/>
      <c r="AX186" t="str">
        <f>IFERROR(RD[[#This Row],[E_AC (WPR)]]/RD[[#This Row],[E_DC (WPR)]],"")</f>
        <v/>
      </c>
    </row>
    <row r="187" spans="1:50">
      <c r="A187" s="148">
        <f t="shared" si="51"/>
        <v>45927</v>
      </c>
      <c r="B187" s="151">
        <f>YEAR(RD[[#This Row],[Date]])+IF(MONTH(RD[[#This Row],[Date]])&gt;=4,1,0)</f>
        <v>2026</v>
      </c>
      <c r="C187" s="151">
        <f>YEAR(RD[[#This Row],[Date]])</f>
        <v>2025</v>
      </c>
      <c r="D187" s="66">
        <f t="shared" si="50"/>
        <v>45901</v>
      </c>
      <c r="E187" s="151">
        <f>DAY(EOMONTH(RD[[#This Row],[Date]],0))</f>
        <v>30</v>
      </c>
      <c r="F187" s="122"/>
      <c r="G187" s="122"/>
      <c r="H187" s="138"/>
      <c r="I187" s="138"/>
      <c r="J187" s="138"/>
      <c r="K187" s="138"/>
      <c r="L187" s="138"/>
      <c r="M187" s="138"/>
      <c r="N187" s="138"/>
      <c r="O187" s="169"/>
      <c r="P187" s="169"/>
      <c r="Q187" s="69"/>
      <c r="R187" s="69"/>
      <c r="S187" s="69"/>
      <c r="T187" s="69"/>
      <c r="U187" s="69"/>
      <c r="V187" s="69"/>
      <c r="W187" s="69"/>
      <c r="X187" s="69"/>
      <c r="Y187" s="70">
        <f>SUM(RD[[#This Row],[IS1Inv1]:[IS3Inv1]])</f>
        <v>0</v>
      </c>
      <c r="Z187" s="70">
        <f>SUM(RD[[#This Row],[IS4Inv1]:[IS4Inv2]])</f>
        <v>0</v>
      </c>
      <c r="AA187" s="70">
        <f>SUM(RD[[#This Row],[O2RE7]:[O2RE27]])</f>
        <v>0</v>
      </c>
      <c r="AB187" s="153"/>
      <c r="AC187" s="153"/>
      <c r="AD187" s="153"/>
      <c r="AE187" s="153"/>
      <c r="AF187" s="153"/>
      <c r="AG187" s="153"/>
      <c r="AH187" s="153"/>
      <c r="AI187" s="154" t="str">
        <f>IF((RD[[#This Row],[33 kV_F1_Ex]]-AB186)*150000&lt;=0,"",(RD[[#This Row],[33 kV_F1_Ex]]-AB186)*150000)</f>
        <v/>
      </c>
      <c r="AJ187" s="154">
        <f>IF((RD[[#This Row],[33kV_OG1_Ex]]-AC186)*1000&lt;=0,0,(RD[[#This Row],[33kV_OG1_Ex]]-AC186)*1000)</f>
        <v>0</v>
      </c>
      <c r="AK187" s="154">
        <f>IF((RD[[#This Row],[220kV_TL_TVM_Ex]]-AE186)*1600&lt;=0,0,(RD[[#This Row],[220kV_TL_TVM_Ex]]-AE186)*1600)</f>
        <v>0</v>
      </c>
      <c r="AL187" s="154" t="str">
        <f>IF((RD[[#This Row],[220kV_C&amp;R_PQM_Ex]]-AF186)*1000&lt;=0,"",(RD[[#This Row],[220kV_C&amp;R_PQM_Ex]]-AF186)*1000)</f>
        <v/>
      </c>
      <c r="AM187" s="154">
        <f>IF((RD[[#This Row],[33kV_Aux1_Im]]-AH186)*1000&lt;0,"",(RD[[#This Row],[33kV_Aux1_Im]]-AH186)*1000)</f>
        <v>0</v>
      </c>
      <c r="AN187" s="154">
        <f>IF((RD[[#This Row],[33kV_Aux1_Im]]-AH186)*1000&lt;0,"",(RD[[#This Row],[33kV_Aux1_Im]]-AH186)*1000)</f>
        <v>0</v>
      </c>
      <c r="AO187" s="61">
        <f>RD[[#This Row],[33kV_OG1_Energy (KWh)]]</f>
        <v>0</v>
      </c>
      <c r="AP187" s="61">
        <f>IFERROR(RD[[#This Row],[220kV_TL_TVM Energy (KWh)]]-RD[[#This Row],[220kV_C&amp;R_PQM_Imp (KWh)2]],"")</f>
        <v>0</v>
      </c>
      <c r="AQ187" s="63" t="str">
        <f>IFERROR(RD[[#This Row],[33 kV Total Export (KWH)]]/RD[[#This Row],[220 KV Net Export (KWh)]]-1,"")</f>
        <v/>
      </c>
      <c r="AR187" s="64">
        <f>IFERROR((RD[[#This Row],[Sunset Time (POA&lt;20 W/m2)]]-RD[[#This Row],[Sunrise Time (POA&gt;20 W/m2)]])*24,0)</f>
        <v>0</v>
      </c>
      <c r="AS187" s="65">
        <f>RD[[#This Row],[33kV_OG1_Energy (KWh)]]</f>
        <v>0</v>
      </c>
      <c r="AT187" s="65">
        <f>IFERROR(RD[[#This Row],[ Export (33 kV)]]*(1-RD[[#This Row],[33 kV Line Loss (%)]]),RD[[#This Row],[ Export (33 kV)]])</f>
        <v>0</v>
      </c>
      <c r="AU187" s="122"/>
      <c r="AV187" s="122"/>
      <c r="AW187" s="122"/>
      <c r="AX187" t="str">
        <f>IFERROR(RD[[#This Row],[E_AC (WPR)]]/RD[[#This Row],[E_DC (WPR)]],"")</f>
        <v/>
      </c>
    </row>
    <row r="188" spans="1:50">
      <c r="A188" s="148">
        <f t="shared" si="51"/>
        <v>45928</v>
      </c>
      <c r="B188" s="151">
        <f>YEAR(RD[[#This Row],[Date]])+IF(MONTH(RD[[#This Row],[Date]])&gt;=4,1,0)</f>
        <v>2026</v>
      </c>
      <c r="C188" s="151">
        <f>YEAR(RD[[#This Row],[Date]])</f>
        <v>2025</v>
      </c>
      <c r="D188" s="66">
        <f t="shared" si="50"/>
        <v>45901</v>
      </c>
      <c r="E188" s="151">
        <f>DAY(EOMONTH(RD[[#This Row],[Date]],0))</f>
        <v>30</v>
      </c>
      <c r="F188" s="122"/>
      <c r="G188" s="122"/>
      <c r="H188" s="138"/>
      <c r="I188" s="138"/>
      <c r="J188" s="138"/>
      <c r="K188" s="138"/>
      <c r="L188" s="138"/>
      <c r="M188" s="138"/>
      <c r="N188" s="138"/>
      <c r="O188" s="169"/>
      <c r="P188" s="169"/>
      <c r="Q188" s="69"/>
      <c r="R188" s="69"/>
      <c r="S188" s="69"/>
      <c r="T188" s="69"/>
      <c r="U188" s="69"/>
      <c r="V188" s="69"/>
      <c r="W188" s="69"/>
      <c r="X188" s="69"/>
      <c r="Y188" s="70">
        <f>SUM(RD[[#This Row],[IS1Inv1]:[IS3Inv1]])</f>
        <v>0</v>
      </c>
      <c r="Z188" s="70">
        <f>SUM(RD[[#This Row],[IS4Inv1]:[IS4Inv2]])</f>
        <v>0</v>
      </c>
      <c r="AA188" s="70">
        <f>SUM(RD[[#This Row],[O2RE7]:[O2RE27]])</f>
        <v>0</v>
      </c>
      <c r="AB188" s="153"/>
      <c r="AC188" s="153"/>
      <c r="AD188" s="153"/>
      <c r="AE188" s="153"/>
      <c r="AF188" s="153"/>
      <c r="AG188" s="153"/>
      <c r="AH188" s="153"/>
      <c r="AI188" s="154" t="str">
        <f>IF((RD[[#This Row],[33 kV_F1_Ex]]-AB187)*150000&lt;=0,"",(RD[[#This Row],[33 kV_F1_Ex]]-AB187)*150000)</f>
        <v/>
      </c>
      <c r="AJ188" s="154">
        <f>IF((RD[[#This Row],[33kV_OG1_Ex]]-AC187)*1000&lt;=0,0,(RD[[#This Row],[33kV_OG1_Ex]]-AC187)*1000)</f>
        <v>0</v>
      </c>
      <c r="AK188" s="154">
        <f>IF((RD[[#This Row],[220kV_TL_TVM_Ex]]-AE187)*1600&lt;=0,0,(RD[[#This Row],[220kV_TL_TVM_Ex]]-AE187)*1600)</f>
        <v>0</v>
      </c>
      <c r="AL188" s="154" t="str">
        <f>IF((RD[[#This Row],[220kV_C&amp;R_PQM_Ex]]-AF187)*1000&lt;=0,"",(RD[[#This Row],[220kV_C&amp;R_PQM_Ex]]-AF187)*1000)</f>
        <v/>
      </c>
      <c r="AM188" s="154">
        <f>IF((RD[[#This Row],[33kV_Aux1_Im]]-AH187)*1000&lt;0,"",(RD[[#This Row],[33kV_Aux1_Im]]-AH187)*1000)</f>
        <v>0</v>
      </c>
      <c r="AN188" s="154">
        <f>IF((RD[[#This Row],[33kV_Aux1_Im]]-AH187)*1000&lt;0,"",(RD[[#This Row],[33kV_Aux1_Im]]-AH187)*1000)</f>
        <v>0</v>
      </c>
      <c r="AO188" s="61">
        <f>RD[[#This Row],[33kV_OG1_Energy (KWh)]]</f>
        <v>0</v>
      </c>
      <c r="AP188" s="61">
        <f>IFERROR(RD[[#This Row],[220kV_TL_TVM Energy (KWh)]]-RD[[#This Row],[220kV_C&amp;R_PQM_Imp (KWh)2]],"")</f>
        <v>0</v>
      </c>
      <c r="AQ188" s="63" t="str">
        <f>IFERROR(RD[[#This Row],[33 kV Total Export (KWH)]]/RD[[#This Row],[220 KV Net Export (KWh)]]-1,"")</f>
        <v/>
      </c>
      <c r="AR188" s="64">
        <f>IFERROR((RD[[#This Row],[Sunset Time (POA&lt;20 W/m2)]]-RD[[#This Row],[Sunrise Time (POA&gt;20 W/m2)]])*24,0)</f>
        <v>0</v>
      </c>
      <c r="AS188" s="65">
        <f>RD[[#This Row],[33kV_OG1_Energy (KWh)]]</f>
        <v>0</v>
      </c>
      <c r="AT188" s="65">
        <f>IFERROR(RD[[#This Row],[ Export (33 kV)]]*(1-RD[[#This Row],[33 kV Line Loss (%)]]),RD[[#This Row],[ Export (33 kV)]])</f>
        <v>0</v>
      </c>
      <c r="AU188" s="122"/>
      <c r="AV188" s="122"/>
      <c r="AW188" s="122"/>
      <c r="AX188" t="str">
        <f>IFERROR(RD[[#This Row],[E_AC (WPR)]]/RD[[#This Row],[E_DC (WPR)]],"")</f>
        <v/>
      </c>
    </row>
    <row r="189" spans="1:50">
      <c r="A189" s="148">
        <f t="shared" si="51"/>
        <v>45929</v>
      </c>
      <c r="B189" s="151">
        <f>YEAR(RD[[#This Row],[Date]])+IF(MONTH(RD[[#This Row],[Date]])&gt;=4,1,0)</f>
        <v>2026</v>
      </c>
      <c r="C189" s="151">
        <f>YEAR(RD[[#This Row],[Date]])</f>
        <v>2025</v>
      </c>
      <c r="D189" s="66">
        <f t="shared" si="50"/>
        <v>45901</v>
      </c>
      <c r="E189" s="151">
        <f>DAY(EOMONTH(RD[[#This Row],[Date]],0))</f>
        <v>30</v>
      </c>
      <c r="F189" s="122"/>
      <c r="G189" s="122"/>
      <c r="H189" s="138"/>
      <c r="I189" s="138"/>
      <c r="J189" s="138"/>
      <c r="K189" s="138"/>
      <c r="L189" s="138"/>
      <c r="M189" s="138"/>
      <c r="N189" s="138"/>
      <c r="O189" s="169"/>
      <c r="P189" s="169"/>
      <c r="Q189" s="69"/>
      <c r="R189" s="69"/>
      <c r="S189" s="69"/>
      <c r="T189" s="69"/>
      <c r="U189" s="69"/>
      <c r="V189" s="69"/>
      <c r="W189" s="69"/>
      <c r="X189" s="69"/>
      <c r="Y189" s="70">
        <f>SUM(RD[[#This Row],[IS1Inv1]:[IS3Inv1]])</f>
        <v>0</v>
      </c>
      <c r="Z189" s="70">
        <f>SUM(RD[[#This Row],[IS4Inv1]:[IS4Inv2]])</f>
        <v>0</v>
      </c>
      <c r="AA189" s="70">
        <f>SUM(RD[[#This Row],[O2RE7]:[O2RE27]])</f>
        <v>0</v>
      </c>
      <c r="AB189" s="153"/>
      <c r="AC189" s="153"/>
      <c r="AD189" s="153"/>
      <c r="AE189" s="153"/>
      <c r="AF189" s="153"/>
      <c r="AG189" s="153"/>
      <c r="AH189" s="153"/>
      <c r="AI189" s="154" t="str">
        <f>IF((RD[[#This Row],[33 kV_F1_Ex]]-AB188)*150000&lt;=0,"",(RD[[#This Row],[33 kV_F1_Ex]]-AB188)*150000)</f>
        <v/>
      </c>
      <c r="AJ189" s="154">
        <f>IF((RD[[#This Row],[33kV_OG1_Ex]]-AC188)*1000&lt;=0,0,(RD[[#This Row],[33kV_OG1_Ex]]-AC188)*1000)</f>
        <v>0</v>
      </c>
      <c r="AK189" s="154">
        <f>IF((RD[[#This Row],[220kV_TL_TVM_Ex]]-AE188)*1600&lt;=0,0,(RD[[#This Row],[220kV_TL_TVM_Ex]]-AE188)*1600)</f>
        <v>0</v>
      </c>
      <c r="AL189" s="154" t="str">
        <f>IF((RD[[#This Row],[220kV_C&amp;R_PQM_Ex]]-AF188)*1000&lt;=0,"",(RD[[#This Row],[220kV_C&amp;R_PQM_Ex]]-AF188)*1000)</f>
        <v/>
      </c>
      <c r="AM189" s="154">
        <f>IF((RD[[#This Row],[33kV_Aux1_Im]]-AH188)*1000&lt;0,"",(RD[[#This Row],[33kV_Aux1_Im]]-AH188)*1000)</f>
        <v>0</v>
      </c>
      <c r="AN189" s="154">
        <f>IF((RD[[#This Row],[33kV_Aux1_Im]]-AH188)*1000&lt;0,"",(RD[[#This Row],[33kV_Aux1_Im]]-AH188)*1000)</f>
        <v>0</v>
      </c>
      <c r="AO189" s="61">
        <f>RD[[#This Row],[33kV_OG1_Energy (KWh)]]</f>
        <v>0</v>
      </c>
      <c r="AP189" s="61">
        <f>IFERROR(RD[[#This Row],[220kV_TL_TVM Energy (KWh)]]-RD[[#This Row],[220kV_C&amp;R_PQM_Imp (KWh)2]],"")</f>
        <v>0</v>
      </c>
      <c r="AQ189" s="63" t="str">
        <f>IFERROR(RD[[#This Row],[33 kV Total Export (KWH)]]/RD[[#This Row],[220 KV Net Export (KWh)]]-1,"")</f>
        <v/>
      </c>
      <c r="AR189" s="64">
        <f>IFERROR((RD[[#This Row],[Sunset Time (POA&lt;20 W/m2)]]-RD[[#This Row],[Sunrise Time (POA&gt;20 W/m2)]])*24,0)</f>
        <v>0</v>
      </c>
      <c r="AS189" s="65">
        <f>RD[[#This Row],[33kV_OG1_Energy (KWh)]]</f>
        <v>0</v>
      </c>
      <c r="AT189" s="65">
        <f>IFERROR(RD[[#This Row],[ Export (33 kV)]]*(1-RD[[#This Row],[33 kV Line Loss (%)]]),RD[[#This Row],[ Export (33 kV)]])</f>
        <v>0</v>
      </c>
      <c r="AU189" s="122"/>
      <c r="AV189" s="122"/>
      <c r="AW189" s="122"/>
      <c r="AX189" t="str">
        <f>IFERROR(RD[[#This Row],[E_AC (WPR)]]/RD[[#This Row],[E_DC (WPR)]],"")</f>
        <v/>
      </c>
    </row>
    <row r="190" spans="1:50">
      <c r="A190" s="148">
        <f t="shared" si="51"/>
        <v>45930</v>
      </c>
      <c r="B190" s="151">
        <f>YEAR(RD[[#This Row],[Date]])+IF(MONTH(RD[[#This Row],[Date]])&gt;=4,1,0)</f>
        <v>2026</v>
      </c>
      <c r="C190" s="151">
        <f>YEAR(RD[[#This Row],[Date]])</f>
        <v>2025</v>
      </c>
      <c r="D190" s="66">
        <f t="shared" si="50"/>
        <v>45901</v>
      </c>
      <c r="E190" s="151">
        <f>DAY(EOMONTH(RD[[#This Row],[Date]],0))</f>
        <v>30</v>
      </c>
      <c r="F190" s="122"/>
      <c r="G190" s="122"/>
      <c r="H190" s="138"/>
      <c r="I190" s="138"/>
      <c r="J190" s="138"/>
      <c r="K190" s="138"/>
      <c r="L190" s="138"/>
      <c r="M190" s="138"/>
      <c r="N190" s="138"/>
      <c r="O190" s="169"/>
      <c r="P190" s="169"/>
      <c r="Q190" s="69"/>
      <c r="R190" s="69"/>
      <c r="S190" s="69"/>
      <c r="T190" s="69"/>
      <c r="U190" s="69"/>
      <c r="V190" s="69"/>
      <c r="W190" s="69"/>
      <c r="X190" s="69"/>
      <c r="Y190" s="70">
        <f>SUM(RD[[#This Row],[IS1Inv1]:[IS3Inv1]])</f>
        <v>0</v>
      </c>
      <c r="Z190" s="70">
        <f>SUM(RD[[#This Row],[IS4Inv1]:[IS4Inv2]])</f>
        <v>0</v>
      </c>
      <c r="AA190" s="70">
        <f>SUM(RD[[#This Row],[O2RE7]:[O2RE27]])</f>
        <v>0</v>
      </c>
      <c r="AB190" s="153"/>
      <c r="AC190" s="153"/>
      <c r="AD190" s="153"/>
      <c r="AE190" s="153"/>
      <c r="AF190" s="153"/>
      <c r="AG190" s="153"/>
      <c r="AH190" s="153"/>
      <c r="AI190" s="154" t="str">
        <f>IF((RD[[#This Row],[33 kV_F1_Ex]]-AB189)*150000&lt;=0,"",(RD[[#This Row],[33 kV_F1_Ex]]-AB189)*150000)</f>
        <v/>
      </c>
      <c r="AJ190" s="154">
        <f>IF((RD[[#This Row],[33kV_OG1_Ex]]-AC189)*1000&lt;=0,0,(RD[[#This Row],[33kV_OG1_Ex]]-AC189)*1000)</f>
        <v>0</v>
      </c>
      <c r="AK190" s="154">
        <f>IF((RD[[#This Row],[220kV_TL_TVM_Ex]]-AE189)*1600&lt;=0,0,(RD[[#This Row],[220kV_TL_TVM_Ex]]-AE189)*1600)</f>
        <v>0</v>
      </c>
      <c r="AL190" s="154" t="str">
        <f>IF((RD[[#This Row],[220kV_C&amp;R_PQM_Ex]]-AF189)*1000&lt;=0,"",(RD[[#This Row],[220kV_C&amp;R_PQM_Ex]]-AF189)*1000)</f>
        <v/>
      </c>
      <c r="AM190" s="154">
        <f>IF((RD[[#This Row],[33kV_Aux1_Im]]-AH189)*1000&lt;0,"",(RD[[#This Row],[33kV_Aux1_Im]]-AH189)*1000)</f>
        <v>0</v>
      </c>
      <c r="AN190" s="154">
        <f>IF((RD[[#This Row],[33kV_Aux1_Im]]-AH189)*1000&lt;0,"",(RD[[#This Row],[33kV_Aux1_Im]]-AH189)*1000)</f>
        <v>0</v>
      </c>
      <c r="AO190" s="61">
        <f>RD[[#This Row],[33kV_OG1_Energy (KWh)]]</f>
        <v>0</v>
      </c>
      <c r="AP190" s="61">
        <f>IFERROR(RD[[#This Row],[220kV_TL_TVM Energy (KWh)]]-RD[[#This Row],[220kV_C&amp;R_PQM_Imp (KWh)2]],"")</f>
        <v>0</v>
      </c>
      <c r="AQ190" s="63" t="str">
        <f>IFERROR(RD[[#This Row],[33 kV Total Export (KWH)]]/RD[[#This Row],[220 KV Net Export (KWh)]]-1,"")</f>
        <v/>
      </c>
      <c r="AR190" s="64">
        <f>IFERROR((RD[[#This Row],[Sunset Time (POA&lt;20 W/m2)]]-RD[[#This Row],[Sunrise Time (POA&gt;20 W/m2)]])*24,0)</f>
        <v>0</v>
      </c>
      <c r="AS190" s="65">
        <f>RD[[#This Row],[33kV_OG1_Energy (KWh)]]</f>
        <v>0</v>
      </c>
      <c r="AT190" s="65">
        <f>IFERROR(RD[[#This Row],[ Export (33 kV)]]*(1-RD[[#This Row],[33 kV Line Loss (%)]]),RD[[#This Row],[ Export (33 kV)]])</f>
        <v>0</v>
      </c>
      <c r="AU190" s="122"/>
      <c r="AV190" s="122"/>
      <c r="AW190" s="122"/>
      <c r="AX190" t="str">
        <f>IFERROR(RD[[#This Row],[E_AC (WPR)]]/RD[[#This Row],[E_DC (WPR)]],"")</f>
        <v/>
      </c>
    </row>
    <row r="191" spans="1:50">
      <c r="A191" s="148">
        <f t="shared" si="51"/>
        <v>45931</v>
      </c>
      <c r="B191" s="151">
        <f>YEAR(RD[[#This Row],[Date]])+IF(MONTH(RD[[#This Row],[Date]])&gt;=4,1,0)</f>
        <v>2026</v>
      </c>
      <c r="C191" s="151">
        <f>YEAR(RD[[#This Row],[Date]])</f>
        <v>2025</v>
      </c>
      <c r="D191" s="66">
        <f t="shared" si="50"/>
        <v>45931</v>
      </c>
      <c r="E191" s="151">
        <f>DAY(EOMONTH(RD[[#This Row],[Date]],0))</f>
        <v>31</v>
      </c>
      <c r="F191" s="122"/>
      <c r="G191" s="122"/>
      <c r="H191" s="138"/>
      <c r="I191" s="138"/>
      <c r="J191" s="138"/>
      <c r="K191" s="138"/>
      <c r="L191" s="138"/>
      <c r="M191" s="138"/>
      <c r="N191" s="138"/>
      <c r="O191" s="169"/>
      <c r="P191" s="169"/>
      <c r="Q191" s="69"/>
      <c r="R191" s="69"/>
      <c r="S191" s="69"/>
      <c r="T191" s="69"/>
      <c r="U191" s="69"/>
      <c r="V191" s="69"/>
      <c r="W191" s="69"/>
      <c r="X191" s="69"/>
      <c r="Y191" s="70">
        <f>SUM(RD[[#This Row],[IS1Inv1]:[IS3Inv1]])</f>
        <v>0</v>
      </c>
      <c r="Z191" s="70">
        <f>SUM(RD[[#This Row],[IS4Inv1]:[IS4Inv2]])</f>
        <v>0</v>
      </c>
      <c r="AA191" s="70">
        <f>SUM(RD[[#This Row],[O2RE7]:[O2RE27]])</f>
        <v>0</v>
      </c>
      <c r="AB191" s="153"/>
      <c r="AC191" s="153"/>
      <c r="AD191" s="153"/>
      <c r="AE191" s="153"/>
      <c r="AF191" s="153"/>
      <c r="AG191" s="153"/>
      <c r="AH191" s="153"/>
      <c r="AI191" s="154" t="str">
        <f>IF((RD[[#This Row],[33 kV_F1_Ex]]-AB190)*150000&lt;=0,"",(RD[[#This Row],[33 kV_F1_Ex]]-AB190)*150000)</f>
        <v/>
      </c>
      <c r="AJ191" s="154">
        <f>IF((RD[[#This Row],[33kV_OG1_Ex]]-AC190)*1000&lt;=0,0,(RD[[#This Row],[33kV_OG1_Ex]]-AC190)*1000)</f>
        <v>0</v>
      </c>
      <c r="AK191" s="154">
        <f>IF((RD[[#This Row],[220kV_TL_TVM_Ex]]-AE190)*1600&lt;=0,0,(RD[[#This Row],[220kV_TL_TVM_Ex]]-AE190)*1600)</f>
        <v>0</v>
      </c>
      <c r="AL191" s="154" t="str">
        <f>IF((RD[[#This Row],[220kV_C&amp;R_PQM_Ex]]-AF190)*1000&lt;=0,"",(RD[[#This Row],[220kV_C&amp;R_PQM_Ex]]-AF190)*1000)</f>
        <v/>
      </c>
      <c r="AM191" s="154">
        <f>IF((RD[[#This Row],[33kV_Aux1_Im]]-AH190)*1000&lt;0,"",(RD[[#This Row],[33kV_Aux1_Im]]-AH190)*1000)</f>
        <v>0</v>
      </c>
      <c r="AN191" s="154">
        <f>IF((RD[[#This Row],[33kV_Aux1_Im]]-AH190)*1000&lt;0,"",(RD[[#This Row],[33kV_Aux1_Im]]-AH190)*1000)</f>
        <v>0</v>
      </c>
      <c r="AO191" s="61">
        <f>RD[[#This Row],[33kV_OG1_Energy (KWh)]]</f>
        <v>0</v>
      </c>
      <c r="AP191" s="61">
        <f>IFERROR(RD[[#This Row],[220kV_TL_TVM Energy (KWh)]]-RD[[#This Row],[220kV_C&amp;R_PQM_Imp (KWh)2]],"")</f>
        <v>0</v>
      </c>
      <c r="AQ191" s="63" t="str">
        <f>IFERROR(RD[[#This Row],[33 kV Total Export (KWH)]]/RD[[#This Row],[220 KV Net Export (KWh)]]-1,"")</f>
        <v/>
      </c>
      <c r="AR191" s="64">
        <f>IFERROR((RD[[#This Row],[Sunset Time (POA&lt;20 W/m2)]]-RD[[#This Row],[Sunrise Time (POA&gt;20 W/m2)]])*24,0)</f>
        <v>0</v>
      </c>
      <c r="AS191" s="65">
        <f>RD[[#This Row],[33kV_OG1_Energy (KWh)]]</f>
        <v>0</v>
      </c>
      <c r="AT191" s="65">
        <f>IFERROR(RD[[#This Row],[ Export (33 kV)]]*(1-RD[[#This Row],[33 kV Line Loss (%)]]),RD[[#This Row],[ Export (33 kV)]])</f>
        <v>0</v>
      </c>
      <c r="AU191" s="122"/>
      <c r="AV191" s="122"/>
      <c r="AW191" s="122"/>
      <c r="AX191" t="str">
        <f>IFERROR(RD[[#This Row],[E_AC (WPR)]]/RD[[#This Row],[E_DC (WPR)]],"")</f>
        <v/>
      </c>
    </row>
    <row r="192" spans="1:50">
      <c r="A192" s="148">
        <f t="shared" si="51"/>
        <v>45932</v>
      </c>
      <c r="B192" s="151">
        <f>YEAR(RD[[#This Row],[Date]])+IF(MONTH(RD[[#This Row],[Date]])&gt;=4,1,0)</f>
        <v>2026</v>
      </c>
      <c r="C192" s="151">
        <f>YEAR(RD[[#This Row],[Date]])</f>
        <v>2025</v>
      </c>
      <c r="D192" s="66">
        <f t="shared" si="50"/>
        <v>45931</v>
      </c>
      <c r="E192" s="151">
        <f>DAY(EOMONTH(RD[[#This Row],[Date]],0))</f>
        <v>31</v>
      </c>
      <c r="F192" s="122"/>
      <c r="G192" s="122"/>
      <c r="H192" s="138"/>
      <c r="I192" s="138"/>
      <c r="J192" s="138"/>
      <c r="K192" s="138"/>
      <c r="L192" s="138"/>
      <c r="M192" s="138"/>
      <c r="N192" s="138"/>
      <c r="O192" s="169"/>
      <c r="P192" s="169"/>
      <c r="Q192" s="69"/>
      <c r="R192" s="69"/>
      <c r="S192" s="69"/>
      <c r="T192" s="69"/>
      <c r="U192" s="69"/>
      <c r="V192" s="69"/>
      <c r="W192" s="69"/>
      <c r="X192" s="69"/>
      <c r="Y192" s="70">
        <f>SUM(RD[[#This Row],[IS1Inv1]:[IS3Inv1]])</f>
        <v>0</v>
      </c>
      <c r="Z192" s="70">
        <f>SUM(RD[[#This Row],[IS4Inv1]:[IS4Inv2]])</f>
        <v>0</v>
      </c>
      <c r="AA192" s="70">
        <f>SUM(RD[[#This Row],[O2RE7]:[O2RE27]])</f>
        <v>0</v>
      </c>
      <c r="AB192" s="153"/>
      <c r="AC192" s="153"/>
      <c r="AD192" s="153"/>
      <c r="AE192" s="153"/>
      <c r="AF192" s="153"/>
      <c r="AG192" s="153"/>
      <c r="AH192" s="153"/>
      <c r="AI192" s="154" t="str">
        <f>IF((RD[[#This Row],[33 kV_F1_Ex]]-AB191)*150000&lt;=0,"",(RD[[#This Row],[33 kV_F1_Ex]]-AB191)*150000)</f>
        <v/>
      </c>
      <c r="AJ192" s="154">
        <f>IF((RD[[#This Row],[33kV_OG1_Ex]]-AC191)*1000&lt;=0,0,(RD[[#This Row],[33kV_OG1_Ex]]-AC191)*1000)</f>
        <v>0</v>
      </c>
      <c r="AK192" s="154">
        <f>IF((RD[[#This Row],[220kV_TL_TVM_Ex]]-AE191)*1600&lt;=0,0,(RD[[#This Row],[220kV_TL_TVM_Ex]]-AE191)*1600)</f>
        <v>0</v>
      </c>
      <c r="AL192" s="154" t="str">
        <f>IF((RD[[#This Row],[220kV_C&amp;R_PQM_Ex]]-AF191)*1000&lt;=0,"",(RD[[#This Row],[220kV_C&amp;R_PQM_Ex]]-AF191)*1000)</f>
        <v/>
      </c>
      <c r="AM192" s="154">
        <f>IF((RD[[#This Row],[33kV_Aux1_Im]]-AH191)*1000&lt;0,"",(RD[[#This Row],[33kV_Aux1_Im]]-AH191)*1000)</f>
        <v>0</v>
      </c>
      <c r="AN192" s="154">
        <f>IF((RD[[#This Row],[33kV_Aux1_Im]]-AH191)*1000&lt;0,"",(RD[[#This Row],[33kV_Aux1_Im]]-AH191)*1000)</f>
        <v>0</v>
      </c>
      <c r="AO192" s="61">
        <f>RD[[#This Row],[33kV_OG1_Energy (KWh)]]</f>
        <v>0</v>
      </c>
      <c r="AP192" s="61">
        <f>IFERROR(RD[[#This Row],[220kV_TL_TVM Energy (KWh)]]-RD[[#This Row],[220kV_C&amp;R_PQM_Imp (KWh)2]],"")</f>
        <v>0</v>
      </c>
      <c r="AQ192" s="63" t="str">
        <f>IFERROR(RD[[#This Row],[33 kV Total Export (KWH)]]/RD[[#This Row],[220 KV Net Export (KWh)]]-1,"")</f>
        <v/>
      </c>
      <c r="AR192" s="64">
        <f>IFERROR((RD[[#This Row],[Sunset Time (POA&lt;20 W/m2)]]-RD[[#This Row],[Sunrise Time (POA&gt;20 W/m2)]])*24,0)</f>
        <v>0</v>
      </c>
      <c r="AS192" s="65">
        <f>RD[[#This Row],[33kV_OG1_Energy (KWh)]]</f>
        <v>0</v>
      </c>
      <c r="AT192" s="65">
        <f>IFERROR(RD[[#This Row],[ Export (33 kV)]]*(1-RD[[#This Row],[33 kV Line Loss (%)]]),RD[[#This Row],[ Export (33 kV)]])</f>
        <v>0</v>
      </c>
      <c r="AU192" s="122"/>
      <c r="AV192" s="122"/>
      <c r="AW192" s="122"/>
      <c r="AX192" t="str">
        <f>IFERROR(RD[[#This Row],[E_AC (WPR)]]/RD[[#This Row],[E_DC (WPR)]],"")</f>
        <v/>
      </c>
    </row>
    <row r="193" spans="1:50">
      <c r="A193" s="148">
        <f t="shared" si="51"/>
        <v>45933</v>
      </c>
      <c r="B193" s="151">
        <f>YEAR(RD[[#This Row],[Date]])+IF(MONTH(RD[[#This Row],[Date]])&gt;=4,1,0)</f>
        <v>2026</v>
      </c>
      <c r="C193" s="151">
        <f>YEAR(RD[[#This Row],[Date]])</f>
        <v>2025</v>
      </c>
      <c r="D193" s="66">
        <f t="shared" si="50"/>
        <v>45931</v>
      </c>
      <c r="E193" s="151">
        <f>DAY(EOMONTH(RD[[#This Row],[Date]],0))</f>
        <v>31</v>
      </c>
      <c r="F193" s="172"/>
      <c r="G193" s="172"/>
      <c r="H193" s="138"/>
      <c r="I193" s="138"/>
      <c r="J193" s="138"/>
      <c r="K193" s="138"/>
      <c r="L193" s="138"/>
      <c r="M193" s="138"/>
      <c r="N193" s="138"/>
      <c r="O193" s="169"/>
      <c r="P193" s="169"/>
      <c r="Q193" s="69"/>
      <c r="R193" s="69"/>
      <c r="S193" s="69"/>
      <c r="T193" s="69"/>
      <c r="U193" s="69"/>
      <c r="V193" s="69"/>
      <c r="W193" s="69"/>
      <c r="X193" s="69"/>
      <c r="Y193" s="70">
        <f>SUM(RD[[#This Row],[IS1Inv1]:[IS3Inv1]])</f>
        <v>0</v>
      </c>
      <c r="Z193" s="70">
        <f>SUM(RD[[#This Row],[IS4Inv1]:[IS4Inv2]])</f>
        <v>0</v>
      </c>
      <c r="AA193" s="70">
        <f>SUM(RD[[#This Row],[O2RE7]:[O2RE27]])</f>
        <v>0</v>
      </c>
      <c r="AB193" s="153"/>
      <c r="AC193" s="153"/>
      <c r="AD193" s="153"/>
      <c r="AE193" s="153"/>
      <c r="AF193" s="153"/>
      <c r="AG193" s="153"/>
      <c r="AH193" s="153"/>
      <c r="AI193" s="154" t="str">
        <f>IF((RD[[#This Row],[33 kV_F1_Ex]]-AB192)*150000&lt;=0,"",(RD[[#This Row],[33 kV_F1_Ex]]-AB192)*150000)</f>
        <v/>
      </c>
      <c r="AJ193" s="154">
        <f>IF((RD[[#This Row],[33kV_OG1_Ex]]-AC192)*1000&lt;=0,0,(RD[[#This Row],[33kV_OG1_Ex]]-AC192)*1000)</f>
        <v>0</v>
      </c>
      <c r="AK193" s="154">
        <f>IF((RD[[#This Row],[220kV_TL_TVM_Ex]]-AE192)*1600&lt;=0,0,(RD[[#This Row],[220kV_TL_TVM_Ex]]-AE192)*1600)</f>
        <v>0</v>
      </c>
      <c r="AL193" s="154" t="str">
        <f>IF((RD[[#This Row],[220kV_C&amp;R_PQM_Ex]]-AF192)*1000&lt;=0,"",(RD[[#This Row],[220kV_C&amp;R_PQM_Ex]]-AF192)*1000)</f>
        <v/>
      </c>
      <c r="AM193" s="154">
        <f>IF((RD[[#This Row],[33kV_Aux1_Im]]-AH192)*1000&lt;0,"",(RD[[#This Row],[33kV_Aux1_Im]]-AH192)*1000)</f>
        <v>0</v>
      </c>
      <c r="AN193" s="154">
        <f>IF((RD[[#This Row],[33kV_Aux1_Im]]-AH192)*1000&lt;0,"",(RD[[#This Row],[33kV_Aux1_Im]]-AH192)*1000)</f>
        <v>0</v>
      </c>
      <c r="AO193" s="61">
        <f>RD[[#This Row],[33kV_OG1_Energy (KWh)]]</f>
        <v>0</v>
      </c>
      <c r="AP193" s="61">
        <f>IFERROR(RD[[#This Row],[220kV_TL_TVM Energy (KWh)]]-RD[[#This Row],[220kV_C&amp;R_PQM_Imp (KWh)2]],"")</f>
        <v>0</v>
      </c>
      <c r="AQ193" s="63" t="str">
        <f>IFERROR(RD[[#This Row],[33 kV Total Export (KWH)]]/RD[[#This Row],[220 KV Net Export (KWh)]]-1,"")</f>
        <v/>
      </c>
      <c r="AR193" s="64">
        <f>IFERROR((RD[[#This Row],[Sunset Time (POA&lt;20 W/m2)]]-RD[[#This Row],[Sunrise Time (POA&gt;20 W/m2)]])*24,0)</f>
        <v>0</v>
      </c>
      <c r="AS193" s="65">
        <f>RD[[#This Row],[33kV_OG1_Energy (KWh)]]</f>
        <v>0</v>
      </c>
      <c r="AT193" s="65">
        <f>IFERROR(RD[[#This Row],[ Export (33 kV)]]*(1-RD[[#This Row],[33 kV Line Loss (%)]]),RD[[#This Row],[ Export (33 kV)]])</f>
        <v>0</v>
      </c>
      <c r="AU193" s="122"/>
      <c r="AV193" s="122"/>
      <c r="AW193" s="122"/>
      <c r="AX193" t="str">
        <f>IFERROR(RD[[#This Row],[E_AC (WPR)]]/RD[[#This Row],[E_DC (WPR)]],"")</f>
        <v/>
      </c>
    </row>
    <row r="194" spans="1:50">
      <c r="A194" s="148">
        <f t="shared" si="51"/>
        <v>45934</v>
      </c>
      <c r="B194" s="151">
        <f>YEAR(RD[[#This Row],[Date]])+IF(MONTH(RD[[#This Row],[Date]])&gt;=4,1,0)</f>
        <v>2026</v>
      </c>
      <c r="C194" s="151">
        <f>YEAR(RD[[#This Row],[Date]])</f>
        <v>2025</v>
      </c>
      <c r="D194" s="66">
        <f t="shared" si="50"/>
        <v>45931</v>
      </c>
      <c r="E194" s="151">
        <f>DAY(EOMONTH(RD[[#This Row],[Date]],0))</f>
        <v>31</v>
      </c>
      <c r="F194" s="172"/>
      <c r="G194" s="172"/>
      <c r="H194" s="138"/>
      <c r="I194" s="138"/>
      <c r="J194" s="138"/>
      <c r="K194" s="138"/>
      <c r="L194" s="138"/>
      <c r="M194" s="138"/>
      <c r="N194" s="138"/>
      <c r="O194" s="169"/>
      <c r="P194" s="169"/>
      <c r="Q194" s="69"/>
      <c r="R194" s="69"/>
      <c r="S194" s="69"/>
      <c r="T194" s="69"/>
      <c r="U194" s="69"/>
      <c r="V194" s="69"/>
      <c r="W194" s="69"/>
      <c r="X194" s="69"/>
      <c r="Y194" s="70">
        <f>SUM(RD[[#This Row],[IS1Inv1]:[IS3Inv1]])</f>
        <v>0</v>
      </c>
      <c r="Z194" s="70">
        <f>SUM(RD[[#This Row],[IS4Inv1]:[IS4Inv2]])</f>
        <v>0</v>
      </c>
      <c r="AA194" s="70">
        <f>SUM(RD[[#This Row],[O2RE7]:[O2RE27]])</f>
        <v>0</v>
      </c>
      <c r="AB194" s="153"/>
      <c r="AC194" s="153"/>
      <c r="AD194" s="153"/>
      <c r="AE194" s="153"/>
      <c r="AF194" s="153"/>
      <c r="AG194" s="153"/>
      <c r="AH194" s="153"/>
      <c r="AI194" s="154" t="str">
        <f>IF((RD[[#This Row],[33 kV_F1_Ex]]-AB193)*150000&lt;=0,"",(RD[[#This Row],[33 kV_F1_Ex]]-AB193)*150000)</f>
        <v/>
      </c>
      <c r="AJ194" s="154">
        <f>IF((RD[[#This Row],[33kV_OG1_Ex]]-AC193)*1000&lt;=0,0,(RD[[#This Row],[33kV_OG1_Ex]]-AC193)*1000)</f>
        <v>0</v>
      </c>
      <c r="AK194" s="154">
        <f>IF((RD[[#This Row],[220kV_TL_TVM_Ex]]-AE193)*1600&lt;=0,0,(RD[[#This Row],[220kV_TL_TVM_Ex]]-AE193)*1600)</f>
        <v>0</v>
      </c>
      <c r="AL194" s="154" t="str">
        <f>IF((RD[[#This Row],[220kV_C&amp;R_PQM_Ex]]-AF193)*1000&lt;=0,"",(RD[[#This Row],[220kV_C&amp;R_PQM_Ex]]-AF193)*1000)</f>
        <v/>
      </c>
      <c r="AM194" s="154">
        <f>IF((RD[[#This Row],[33kV_Aux1_Im]]-AH193)*1000&lt;0,"",(RD[[#This Row],[33kV_Aux1_Im]]-AH193)*1000)</f>
        <v>0</v>
      </c>
      <c r="AN194" s="154">
        <f>IF((RD[[#This Row],[33kV_Aux1_Im]]-AH193)*1000&lt;0,"",(RD[[#This Row],[33kV_Aux1_Im]]-AH193)*1000)</f>
        <v>0</v>
      </c>
      <c r="AO194" s="61">
        <f>RD[[#This Row],[33kV_OG1_Energy (KWh)]]</f>
        <v>0</v>
      </c>
      <c r="AP194" s="61">
        <f>IFERROR(RD[[#This Row],[220kV_TL_TVM Energy (KWh)]]-RD[[#This Row],[220kV_C&amp;R_PQM_Imp (KWh)2]],"")</f>
        <v>0</v>
      </c>
      <c r="AQ194" s="63" t="str">
        <f>IFERROR(RD[[#This Row],[33 kV Total Export (KWH)]]/RD[[#This Row],[220 KV Net Export (KWh)]]-1,"")</f>
        <v/>
      </c>
      <c r="AR194" s="64">
        <f>IFERROR((RD[[#This Row],[Sunset Time (POA&lt;20 W/m2)]]-RD[[#This Row],[Sunrise Time (POA&gt;20 W/m2)]])*24,0)</f>
        <v>0</v>
      </c>
      <c r="AS194" s="65">
        <f>RD[[#This Row],[33kV_OG1_Energy (KWh)]]</f>
        <v>0</v>
      </c>
      <c r="AT194" s="65">
        <f>IFERROR(RD[[#This Row],[ Export (33 kV)]]*(1-RD[[#This Row],[33 kV Line Loss (%)]]),RD[[#This Row],[ Export (33 kV)]])</f>
        <v>0</v>
      </c>
      <c r="AU194" s="122"/>
      <c r="AV194" s="122"/>
      <c r="AW194" s="122"/>
      <c r="AX194" t="str">
        <f>IFERROR(RD[[#This Row],[E_AC (WPR)]]/RD[[#This Row],[E_DC (WPR)]],"")</f>
        <v/>
      </c>
    </row>
    <row r="195" spans="1:50">
      <c r="A195" s="148">
        <f t="shared" si="51"/>
        <v>45935</v>
      </c>
      <c r="B195" s="151">
        <f>YEAR(RD[[#This Row],[Date]])+IF(MONTH(RD[[#This Row],[Date]])&gt;=4,1,0)</f>
        <v>2026</v>
      </c>
      <c r="C195" s="151">
        <f>YEAR(RD[[#This Row],[Date]])</f>
        <v>2025</v>
      </c>
      <c r="D195" s="66">
        <f t="shared" si="50"/>
        <v>45931</v>
      </c>
      <c r="E195" s="151">
        <f>DAY(EOMONTH(RD[[#This Row],[Date]],0))</f>
        <v>31</v>
      </c>
      <c r="F195" s="172"/>
      <c r="G195" s="172"/>
      <c r="H195" s="138"/>
      <c r="I195" s="138"/>
      <c r="J195" s="138"/>
      <c r="K195" s="138"/>
      <c r="L195" s="138"/>
      <c r="M195" s="138"/>
      <c r="N195" s="138"/>
      <c r="O195" s="169"/>
      <c r="P195" s="169"/>
      <c r="Q195" s="69"/>
      <c r="R195" s="69"/>
      <c r="S195" s="69"/>
      <c r="T195" s="69"/>
      <c r="U195" s="69"/>
      <c r="V195" s="69"/>
      <c r="W195" s="69"/>
      <c r="X195" s="69"/>
      <c r="Y195" s="70">
        <f>SUM(RD[[#This Row],[IS1Inv1]:[IS3Inv1]])</f>
        <v>0</v>
      </c>
      <c r="Z195" s="70">
        <f>SUM(RD[[#This Row],[IS4Inv1]:[IS4Inv2]])</f>
        <v>0</v>
      </c>
      <c r="AA195" s="70">
        <f>SUM(RD[[#This Row],[O2RE7]:[O2RE27]])</f>
        <v>0</v>
      </c>
      <c r="AB195" s="153"/>
      <c r="AC195" s="153"/>
      <c r="AD195" s="153"/>
      <c r="AE195" s="153"/>
      <c r="AF195" s="153"/>
      <c r="AG195" s="153"/>
      <c r="AH195" s="153"/>
      <c r="AI195" s="154" t="str">
        <f>IF((RD[[#This Row],[33 kV_F1_Ex]]-AB194)*150000&lt;=0,"",(RD[[#This Row],[33 kV_F1_Ex]]-AB194)*150000)</f>
        <v/>
      </c>
      <c r="AJ195" s="154">
        <f>IF((RD[[#This Row],[33kV_OG1_Ex]]-AC194)*1000&lt;=0,0,(RD[[#This Row],[33kV_OG1_Ex]]-AC194)*1000)</f>
        <v>0</v>
      </c>
      <c r="AK195" s="154">
        <f>IF((RD[[#This Row],[220kV_TL_TVM_Ex]]-AE194)*1600&lt;=0,0,(RD[[#This Row],[220kV_TL_TVM_Ex]]-AE194)*1600)</f>
        <v>0</v>
      </c>
      <c r="AL195" s="154" t="str">
        <f>IF((RD[[#This Row],[220kV_C&amp;R_PQM_Ex]]-AF194)*1000&lt;=0,"",(RD[[#This Row],[220kV_C&amp;R_PQM_Ex]]-AF194)*1000)</f>
        <v/>
      </c>
      <c r="AM195" s="154">
        <f>IF((RD[[#This Row],[33kV_Aux1_Im]]-AH194)*1000&lt;0,"",(RD[[#This Row],[33kV_Aux1_Im]]-AH194)*1000)</f>
        <v>0</v>
      </c>
      <c r="AN195" s="154">
        <f>IF((RD[[#This Row],[33kV_Aux1_Im]]-AH194)*1000&lt;0,"",(RD[[#This Row],[33kV_Aux1_Im]]-AH194)*1000)</f>
        <v>0</v>
      </c>
      <c r="AO195" s="61">
        <f>RD[[#This Row],[33kV_OG1_Energy (KWh)]]</f>
        <v>0</v>
      </c>
      <c r="AP195" s="61">
        <f>IFERROR(RD[[#This Row],[220kV_TL_TVM Energy (KWh)]]-RD[[#This Row],[220kV_C&amp;R_PQM_Imp (KWh)2]],"")</f>
        <v>0</v>
      </c>
      <c r="AQ195" s="63" t="str">
        <f>IFERROR(RD[[#This Row],[33 kV Total Export (KWH)]]/RD[[#This Row],[220 KV Net Export (KWh)]]-1,"")</f>
        <v/>
      </c>
      <c r="AR195" s="64">
        <f>IFERROR((RD[[#This Row],[Sunset Time (POA&lt;20 W/m2)]]-RD[[#This Row],[Sunrise Time (POA&gt;20 W/m2)]])*24,0)</f>
        <v>0</v>
      </c>
      <c r="AS195" s="65">
        <f>RD[[#This Row],[33kV_OG1_Energy (KWh)]]</f>
        <v>0</v>
      </c>
      <c r="AT195" s="65">
        <f>IFERROR(RD[[#This Row],[ Export (33 kV)]]*(1-RD[[#This Row],[33 kV Line Loss (%)]]),RD[[#This Row],[ Export (33 kV)]])</f>
        <v>0</v>
      </c>
      <c r="AU195" s="122"/>
      <c r="AV195" s="122"/>
      <c r="AW195" s="122"/>
      <c r="AX195" t="str">
        <f>IFERROR(RD[[#This Row],[E_AC (WPR)]]/RD[[#This Row],[E_DC (WPR)]],"")</f>
        <v/>
      </c>
    </row>
    <row r="196" spans="1:50">
      <c r="A196" s="148">
        <f t="shared" si="51"/>
        <v>45936</v>
      </c>
      <c r="B196" s="151">
        <f>YEAR(RD[[#This Row],[Date]])+IF(MONTH(RD[[#This Row],[Date]])&gt;=4,1,0)</f>
        <v>2026</v>
      </c>
      <c r="C196" s="151">
        <f>YEAR(RD[[#This Row],[Date]])</f>
        <v>2025</v>
      </c>
      <c r="D196" s="66">
        <f t="shared" si="50"/>
        <v>45931</v>
      </c>
      <c r="E196" s="151">
        <f>DAY(EOMONTH(RD[[#This Row],[Date]],0))</f>
        <v>31</v>
      </c>
      <c r="F196" s="172"/>
      <c r="G196" s="172"/>
      <c r="H196" s="138"/>
      <c r="I196" s="138"/>
      <c r="J196" s="138"/>
      <c r="K196" s="138"/>
      <c r="L196" s="138"/>
      <c r="M196" s="138"/>
      <c r="N196" s="138"/>
      <c r="O196" s="169"/>
      <c r="P196" s="169"/>
      <c r="Q196" s="69"/>
      <c r="R196" s="69"/>
      <c r="S196" s="69"/>
      <c r="T196" s="69"/>
      <c r="U196" s="69"/>
      <c r="V196" s="69"/>
      <c r="W196" s="69"/>
      <c r="X196" s="69"/>
      <c r="Y196" s="70">
        <f>SUM(RD[[#This Row],[IS1Inv1]:[IS3Inv1]])</f>
        <v>0</v>
      </c>
      <c r="Z196" s="70">
        <f>SUM(RD[[#This Row],[IS4Inv1]:[IS4Inv2]])</f>
        <v>0</v>
      </c>
      <c r="AA196" s="70">
        <f>SUM(RD[[#This Row],[O2RE7]:[O2RE27]])</f>
        <v>0</v>
      </c>
      <c r="AB196" s="153"/>
      <c r="AC196" s="153"/>
      <c r="AD196" s="153"/>
      <c r="AE196" s="153"/>
      <c r="AF196" s="153"/>
      <c r="AG196" s="153"/>
      <c r="AH196" s="153"/>
      <c r="AI196" s="154" t="str">
        <f>IF((RD[[#This Row],[33 kV_F1_Ex]]-AB195)*150000&lt;=0,"",(RD[[#This Row],[33 kV_F1_Ex]]-AB195)*150000)</f>
        <v/>
      </c>
      <c r="AJ196" s="154">
        <f>IF((RD[[#This Row],[33kV_OG1_Ex]]-AC195)*1000&lt;=0,0,(RD[[#This Row],[33kV_OG1_Ex]]-AC195)*1000)</f>
        <v>0</v>
      </c>
      <c r="AK196" s="154">
        <f>IF((RD[[#This Row],[220kV_TL_TVM_Ex]]-AE195)*1600&lt;=0,0,(RD[[#This Row],[220kV_TL_TVM_Ex]]-AE195)*1600)</f>
        <v>0</v>
      </c>
      <c r="AL196" s="154" t="str">
        <f>IF((RD[[#This Row],[220kV_C&amp;R_PQM_Ex]]-AF195)*1000&lt;=0,"",(RD[[#This Row],[220kV_C&amp;R_PQM_Ex]]-AF195)*1000)</f>
        <v/>
      </c>
      <c r="AM196" s="154">
        <f>IF((RD[[#This Row],[33kV_Aux1_Im]]-AH195)*1000&lt;0,"",(RD[[#This Row],[33kV_Aux1_Im]]-AH195)*1000)</f>
        <v>0</v>
      </c>
      <c r="AN196" s="154">
        <f>IF((RD[[#This Row],[33kV_Aux1_Im]]-AH195)*1000&lt;0,"",(RD[[#This Row],[33kV_Aux1_Im]]-AH195)*1000)</f>
        <v>0</v>
      </c>
      <c r="AO196" s="61">
        <f>RD[[#This Row],[33kV_OG1_Energy (KWh)]]</f>
        <v>0</v>
      </c>
      <c r="AP196" s="61">
        <f>IFERROR(RD[[#This Row],[220kV_TL_TVM Energy (KWh)]]-RD[[#This Row],[220kV_C&amp;R_PQM_Imp (KWh)2]],"")</f>
        <v>0</v>
      </c>
      <c r="AQ196" s="63" t="str">
        <f>IFERROR(RD[[#This Row],[33 kV Total Export (KWH)]]/RD[[#This Row],[220 KV Net Export (KWh)]]-1,"")</f>
        <v/>
      </c>
      <c r="AR196" s="64">
        <f>IFERROR((RD[[#This Row],[Sunset Time (POA&lt;20 W/m2)]]-RD[[#This Row],[Sunrise Time (POA&gt;20 W/m2)]])*24,0)</f>
        <v>0</v>
      </c>
      <c r="AS196" s="65">
        <f>RD[[#This Row],[33kV_OG1_Energy (KWh)]]</f>
        <v>0</v>
      </c>
      <c r="AT196" s="65">
        <f>IFERROR(RD[[#This Row],[ Export (33 kV)]]*(1-RD[[#This Row],[33 kV Line Loss (%)]]),RD[[#This Row],[ Export (33 kV)]])</f>
        <v>0</v>
      </c>
      <c r="AU196" s="122"/>
      <c r="AV196" s="122"/>
      <c r="AW196" s="122"/>
      <c r="AX196" t="str">
        <f>IFERROR(RD[[#This Row],[E_AC (WPR)]]/RD[[#This Row],[E_DC (WPR)]],"")</f>
        <v/>
      </c>
    </row>
    <row r="197" spans="1:50">
      <c r="A197" s="148">
        <f t="shared" si="51"/>
        <v>45937</v>
      </c>
      <c r="B197" s="151">
        <f>YEAR(RD[[#This Row],[Date]])+IF(MONTH(RD[[#This Row],[Date]])&gt;=4,1,0)</f>
        <v>2026</v>
      </c>
      <c r="C197" s="151">
        <f>YEAR(RD[[#This Row],[Date]])</f>
        <v>2025</v>
      </c>
      <c r="D197" s="66">
        <f t="shared" si="50"/>
        <v>45931</v>
      </c>
      <c r="E197" s="151">
        <f>DAY(EOMONTH(RD[[#This Row],[Date]],0))</f>
        <v>31</v>
      </c>
      <c r="F197" s="172"/>
      <c r="G197" s="172"/>
      <c r="H197" s="138"/>
      <c r="I197" s="138"/>
      <c r="J197" s="138"/>
      <c r="K197" s="138"/>
      <c r="L197" s="138"/>
      <c r="M197" s="138"/>
      <c r="N197" s="138"/>
      <c r="O197" s="169"/>
      <c r="P197" s="169"/>
      <c r="Q197" s="69"/>
      <c r="R197" s="69"/>
      <c r="S197" s="69"/>
      <c r="T197" s="69"/>
      <c r="U197" s="69"/>
      <c r="V197" s="69"/>
      <c r="W197" s="69"/>
      <c r="X197" s="69"/>
      <c r="Y197" s="70">
        <f>SUM(RD[[#This Row],[IS1Inv1]:[IS3Inv1]])</f>
        <v>0</v>
      </c>
      <c r="Z197" s="70">
        <f>SUM(RD[[#This Row],[IS4Inv1]:[IS4Inv2]])</f>
        <v>0</v>
      </c>
      <c r="AA197" s="70">
        <f>SUM(RD[[#This Row],[O2RE7]:[O2RE27]])</f>
        <v>0</v>
      </c>
      <c r="AB197" s="153"/>
      <c r="AC197" s="153"/>
      <c r="AD197" s="153"/>
      <c r="AE197" s="153"/>
      <c r="AF197" s="153"/>
      <c r="AG197" s="153"/>
      <c r="AH197" s="153"/>
      <c r="AI197" s="154" t="str">
        <f>IF((RD[[#This Row],[33 kV_F1_Ex]]-AB196)*150000&lt;=0,"",(RD[[#This Row],[33 kV_F1_Ex]]-AB196)*150000)</f>
        <v/>
      </c>
      <c r="AJ197" s="154">
        <f>IF((RD[[#This Row],[33kV_OG1_Ex]]-AC196)*1000&lt;=0,0,(RD[[#This Row],[33kV_OG1_Ex]]-AC196)*1000)</f>
        <v>0</v>
      </c>
      <c r="AK197" s="154">
        <f>IF((RD[[#This Row],[220kV_TL_TVM_Ex]]-AE196)*1600&lt;=0,0,(RD[[#This Row],[220kV_TL_TVM_Ex]]-AE196)*1600)</f>
        <v>0</v>
      </c>
      <c r="AL197" s="154" t="str">
        <f>IF((RD[[#This Row],[220kV_C&amp;R_PQM_Ex]]-AF196)*1000&lt;=0,"",(RD[[#This Row],[220kV_C&amp;R_PQM_Ex]]-AF196)*1000)</f>
        <v/>
      </c>
      <c r="AM197" s="154">
        <f>IF((RD[[#This Row],[33kV_Aux1_Im]]-AH196)*1000&lt;0,"",(RD[[#This Row],[33kV_Aux1_Im]]-AH196)*1000)</f>
        <v>0</v>
      </c>
      <c r="AN197" s="154">
        <f>IF((RD[[#This Row],[33kV_Aux1_Im]]-AH196)*1000&lt;0,"",(RD[[#This Row],[33kV_Aux1_Im]]-AH196)*1000)</f>
        <v>0</v>
      </c>
      <c r="AO197" s="61">
        <f>RD[[#This Row],[33kV_OG1_Energy (KWh)]]</f>
        <v>0</v>
      </c>
      <c r="AP197" s="61">
        <f>IFERROR(RD[[#This Row],[220kV_TL_TVM Energy (KWh)]]-RD[[#This Row],[220kV_C&amp;R_PQM_Imp (KWh)2]],"")</f>
        <v>0</v>
      </c>
      <c r="AQ197" s="63" t="str">
        <f>IFERROR(RD[[#This Row],[33 kV Total Export (KWH)]]/RD[[#This Row],[220 KV Net Export (KWh)]]-1,"")</f>
        <v/>
      </c>
      <c r="AR197" s="64">
        <f>IFERROR((RD[[#This Row],[Sunset Time (POA&lt;20 W/m2)]]-RD[[#This Row],[Sunrise Time (POA&gt;20 W/m2)]])*24,0)</f>
        <v>0</v>
      </c>
      <c r="AS197" s="65">
        <f>RD[[#This Row],[33kV_OG1_Energy (KWh)]]</f>
        <v>0</v>
      </c>
      <c r="AT197" s="65">
        <f>IFERROR(RD[[#This Row],[ Export (33 kV)]]*(1-RD[[#This Row],[33 kV Line Loss (%)]]),RD[[#This Row],[ Export (33 kV)]])</f>
        <v>0</v>
      </c>
      <c r="AU197" s="122"/>
      <c r="AV197" s="122"/>
      <c r="AW197" s="122"/>
      <c r="AX197" t="str">
        <f>IFERROR(RD[[#This Row],[E_AC (WPR)]]/RD[[#This Row],[E_DC (WPR)]],"")</f>
        <v/>
      </c>
    </row>
    <row r="198" spans="1:50">
      <c r="A198" s="148">
        <f t="shared" si="51"/>
        <v>45938</v>
      </c>
      <c r="B198" s="151">
        <f>YEAR(RD[[#This Row],[Date]])+IF(MONTH(RD[[#This Row],[Date]])&gt;=4,1,0)</f>
        <v>2026</v>
      </c>
      <c r="C198" s="151">
        <f>YEAR(RD[[#This Row],[Date]])</f>
        <v>2025</v>
      </c>
      <c r="D198" s="66">
        <f t="shared" si="50"/>
        <v>45931</v>
      </c>
      <c r="E198" s="151">
        <f>DAY(EOMONTH(RD[[#This Row],[Date]],0))</f>
        <v>31</v>
      </c>
      <c r="F198" s="172"/>
      <c r="G198" s="172"/>
      <c r="H198" s="138"/>
      <c r="I198" s="138"/>
      <c r="J198" s="138"/>
      <c r="K198" s="138"/>
      <c r="L198" s="138"/>
      <c r="M198" s="138"/>
      <c r="N198" s="138"/>
      <c r="O198" s="169"/>
      <c r="P198" s="169"/>
      <c r="Q198" s="69"/>
      <c r="R198" s="69"/>
      <c r="S198" s="69"/>
      <c r="T198" s="69"/>
      <c r="U198" s="69"/>
      <c r="V198" s="69"/>
      <c r="W198" s="69"/>
      <c r="X198" s="69"/>
      <c r="Y198" s="70">
        <f>SUM(RD[[#This Row],[IS1Inv1]:[IS3Inv1]])</f>
        <v>0</v>
      </c>
      <c r="Z198" s="70">
        <f>SUM(RD[[#This Row],[IS4Inv1]:[IS4Inv2]])</f>
        <v>0</v>
      </c>
      <c r="AA198" s="70">
        <f>SUM(RD[[#This Row],[O2RE7]:[O2RE27]])</f>
        <v>0</v>
      </c>
      <c r="AB198" s="153"/>
      <c r="AC198" s="153"/>
      <c r="AD198" s="153"/>
      <c r="AE198" s="153"/>
      <c r="AF198" s="153"/>
      <c r="AG198" s="153"/>
      <c r="AH198" s="153"/>
      <c r="AI198" s="154" t="str">
        <f>IF((RD[[#This Row],[33 kV_F1_Ex]]-AB197)*150000&lt;=0,"",(RD[[#This Row],[33 kV_F1_Ex]]-AB197)*150000)</f>
        <v/>
      </c>
      <c r="AJ198" s="154">
        <f>IF((RD[[#This Row],[33kV_OG1_Ex]]-AC197)*1000&lt;=0,0,(RD[[#This Row],[33kV_OG1_Ex]]-AC197)*1000)</f>
        <v>0</v>
      </c>
      <c r="AK198" s="154">
        <f>IF((RD[[#This Row],[220kV_TL_TVM_Ex]]-AE197)*1600&lt;=0,0,(RD[[#This Row],[220kV_TL_TVM_Ex]]-AE197)*1600)</f>
        <v>0</v>
      </c>
      <c r="AL198" s="154" t="str">
        <f>IF((RD[[#This Row],[220kV_C&amp;R_PQM_Ex]]-AF197)*1000&lt;=0,"",(RD[[#This Row],[220kV_C&amp;R_PQM_Ex]]-AF197)*1000)</f>
        <v/>
      </c>
      <c r="AM198" s="154">
        <f>IF((RD[[#This Row],[33kV_Aux1_Im]]-AH197)*1000&lt;0,"",(RD[[#This Row],[33kV_Aux1_Im]]-AH197)*1000)</f>
        <v>0</v>
      </c>
      <c r="AN198" s="154">
        <f>IF((RD[[#This Row],[33kV_Aux1_Im]]-AH197)*1000&lt;0,"",(RD[[#This Row],[33kV_Aux1_Im]]-AH197)*1000)</f>
        <v>0</v>
      </c>
      <c r="AO198" s="61">
        <f>RD[[#This Row],[33kV_OG1_Energy (KWh)]]</f>
        <v>0</v>
      </c>
      <c r="AP198" s="61">
        <f>IFERROR(RD[[#This Row],[220kV_TL_TVM Energy (KWh)]]-RD[[#This Row],[220kV_C&amp;R_PQM_Imp (KWh)2]],"")</f>
        <v>0</v>
      </c>
      <c r="AQ198" s="63" t="str">
        <f>IFERROR(RD[[#This Row],[33 kV Total Export (KWH)]]/RD[[#This Row],[220 KV Net Export (KWh)]]-1,"")</f>
        <v/>
      </c>
      <c r="AR198" s="64">
        <f>IFERROR((RD[[#This Row],[Sunset Time (POA&lt;20 W/m2)]]-RD[[#This Row],[Sunrise Time (POA&gt;20 W/m2)]])*24,0)</f>
        <v>0</v>
      </c>
      <c r="AS198" s="65">
        <f>RD[[#This Row],[33kV_OG1_Energy (KWh)]]</f>
        <v>0</v>
      </c>
      <c r="AT198" s="65">
        <f>IFERROR(RD[[#This Row],[ Export (33 kV)]]*(1-RD[[#This Row],[33 kV Line Loss (%)]]),RD[[#This Row],[ Export (33 kV)]])</f>
        <v>0</v>
      </c>
      <c r="AU198" s="122"/>
      <c r="AV198" s="122"/>
      <c r="AW198" s="122"/>
      <c r="AX198" t="str">
        <f>IFERROR(RD[[#This Row],[E_AC (WPR)]]/RD[[#This Row],[E_DC (WPR)]],"")</f>
        <v/>
      </c>
    </row>
    <row r="199" spans="1:50">
      <c r="A199" s="148">
        <f t="shared" si="51"/>
        <v>45939</v>
      </c>
      <c r="B199" s="151">
        <f>YEAR(RD[[#This Row],[Date]])+IF(MONTH(RD[[#This Row],[Date]])&gt;=4,1,0)</f>
        <v>2026</v>
      </c>
      <c r="C199" s="151">
        <f>YEAR(RD[[#This Row],[Date]])</f>
        <v>2025</v>
      </c>
      <c r="D199" s="66">
        <f t="shared" si="50"/>
        <v>45931</v>
      </c>
      <c r="E199" s="151">
        <f>DAY(EOMONTH(RD[[#This Row],[Date]],0))</f>
        <v>31</v>
      </c>
      <c r="F199" s="172"/>
      <c r="G199" s="172"/>
      <c r="H199" s="138"/>
      <c r="I199" s="138"/>
      <c r="J199" s="138"/>
      <c r="K199" s="138"/>
      <c r="L199" s="138"/>
      <c r="M199" s="138"/>
      <c r="N199" s="138"/>
      <c r="O199" s="169"/>
      <c r="P199" s="169"/>
      <c r="Q199" s="69"/>
      <c r="R199" s="69"/>
      <c r="S199" s="69"/>
      <c r="T199" s="69"/>
      <c r="U199" s="69"/>
      <c r="V199" s="69"/>
      <c r="W199" s="69"/>
      <c r="X199" s="69"/>
      <c r="Y199" s="70">
        <f>SUM(RD[[#This Row],[IS1Inv1]:[IS3Inv1]])</f>
        <v>0</v>
      </c>
      <c r="Z199" s="70">
        <f>SUM(RD[[#This Row],[IS4Inv1]:[IS4Inv2]])</f>
        <v>0</v>
      </c>
      <c r="AA199" s="70">
        <f>SUM(RD[[#This Row],[O2RE7]:[O2RE27]])</f>
        <v>0</v>
      </c>
      <c r="AB199" s="153"/>
      <c r="AC199" s="153"/>
      <c r="AD199" s="153"/>
      <c r="AE199" s="153"/>
      <c r="AF199" s="153"/>
      <c r="AG199" s="153"/>
      <c r="AH199" s="153"/>
      <c r="AI199" s="154" t="str">
        <f>IF((RD[[#This Row],[33 kV_F1_Ex]]-AB198)*150000&lt;=0,"",(RD[[#This Row],[33 kV_F1_Ex]]-AB198)*150000)</f>
        <v/>
      </c>
      <c r="AJ199" s="154">
        <f>IF((RD[[#This Row],[33kV_OG1_Ex]]-AC198)*1000&lt;=0,0,(RD[[#This Row],[33kV_OG1_Ex]]-AC198)*1000)</f>
        <v>0</v>
      </c>
      <c r="AK199" s="154">
        <f>IF((RD[[#This Row],[220kV_TL_TVM_Ex]]-AE198)*1600&lt;=0,0,(RD[[#This Row],[220kV_TL_TVM_Ex]]-AE198)*1600)</f>
        <v>0</v>
      </c>
      <c r="AL199" s="154" t="str">
        <f>IF((RD[[#This Row],[220kV_C&amp;R_PQM_Ex]]-AF198)*1000&lt;=0,"",(RD[[#This Row],[220kV_C&amp;R_PQM_Ex]]-AF198)*1000)</f>
        <v/>
      </c>
      <c r="AM199" s="154">
        <f>IF((RD[[#This Row],[33kV_Aux1_Im]]-AH198)*1000&lt;0,"",(RD[[#This Row],[33kV_Aux1_Im]]-AH198)*1000)</f>
        <v>0</v>
      </c>
      <c r="AN199" s="154">
        <f>IF((RD[[#This Row],[33kV_Aux1_Im]]-AH198)*1000&lt;0,"",(RD[[#This Row],[33kV_Aux1_Im]]-AH198)*1000)</f>
        <v>0</v>
      </c>
      <c r="AO199" s="61">
        <f>RD[[#This Row],[33kV_OG1_Energy (KWh)]]</f>
        <v>0</v>
      </c>
      <c r="AP199" s="61">
        <f>IFERROR(RD[[#This Row],[220kV_TL_TVM Energy (KWh)]]-RD[[#This Row],[220kV_C&amp;R_PQM_Imp (KWh)2]],"")</f>
        <v>0</v>
      </c>
      <c r="AQ199" s="63" t="str">
        <f>IFERROR(RD[[#This Row],[33 kV Total Export (KWH)]]/RD[[#This Row],[220 KV Net Export (KWh)]]-1,"")</f>
        <v/>
      </c>
      <c r="AR199" s="64">
        <f>IFERROR((RD[[#This Row],[Sunset Time (POA&lt;20 W/m2)]]-RD[[#This Row],[Sunrise Time (POA&gt;20 W/m2)]])*24,0)</f>
        <v>0</v>
      </c>
      <c r="AS199" s="65">
        <f>RD[[#This Row],[33kV_OG1_Energy (KWh)]]</f>
        <v>0</v>
      </c>
      <c r="AT199" s="65">
        <f>IFERROR(RD[[#This Row],[ Export (33 kV)]]*(1-RD[[#This Row],[33 kV Line Loss (%)]]),RD[[#This Row],[ Export (33 kV)]])</f>
        <v>0</v>
      </c>
      <c r="AU199" s="122"/>
      <c r="AV199" s="122"/>
      <c r="AW199" s="122"/>
      <c r="AX199" t="str">
        <f>IFERROR(RD[[#This Row],[E_AC (WPR)]]/RD[[#This Row],[E_DC (WPR)]],"")</f>
        <v/>
      </c>
    </row>
    <row r="200" spans="1:50">
      <c r="A200" s="148">
        <f t="shared" si="51"/>
        <v>45940</v>
      </c>
      <c r="B200" s="151">
        <f>YEAR(RD[[#This Row],[Date]])+IF(MONTH(RD[[#This Row],[Date]])&gt;=4,1,0)</f>
        <v>2026</v>
      </c>
      <c r="C200" s="151">
        <f>YEAR(RD[[#This Row],[Date]])</f>
        <v>2025</v>
      </c>
      <c r="D200" s="66">
        <f t="shared" si="50"/>
        <v>45931</v>
      </c>
      <c r="E200" s="151">
        <f>DAY(EOMONTH(RD[[#This Row],[Date]],0))</f>
        <v>31</v>
      </c>
      <c r="F200" s="172"/>
      <c r="G200" s="172"/>
      <c r="H200" s="138"/>
      <c r="I200" s="138"/>
      <c r="J200" s="138"/>
      <c r="K200" s="138"/>
      <c r="L200" s="138"/>
      <c r="M200" s="138"/>
      <c r="N200" s="138"/>
      <c r="O200" s="169"/>
      <c r="P200" s="169"/>
      <c r="Q200" s="69"/>
      <c r="R200" s="69"/>
      <c r="S200" s="69"/>
      <c r="T200" s="69"/>
      <c r="U200" s="69"/>
      <c r="V200" s="69"/>
      <c r="W200" s="69"/>
      <c r="X200" s="69"/>
      <c r="Y200" s="70">
        <f>SUM(RD[[#This Row],[IS1Inv1]:[IS3Inv1]])</f>
        <v>0</v>
      </c>
      <c r="Z200" s="70">
        <f>SUM(RD[[#This Row],[IS4Inv1]:[IS4Inv2]])</f>
        <v>0</v>
      </c>
      <c r="AA200" s="70">
        <f>SUM(RD[[#This Row],[O2RE7]:[O2RE27]])</f>
        <v>0</v>
      </c>
      <c r="AB200" s="153"/>
      <c r="AC200" s="153"/>
      <c r="AD200" s="153"/>
      <c r="AE200" s="153"/>
      <c r="AF200" s="153"/>
      <c r="AG200" s="153"/>
      <c r="AH200" s="153"/>
      <c r="AI200" s="154" t="str">
        <f>IF((RD[[#This Row],[33 kV_F1_Ex]]-AB199)*150000&lt;=0,"",(RD[[#This Row],[33 kV_F1_Ex]]-AB199)*150000)</f>
        <v/>
      </c>
      <c r="AJ200" s="154">
        <f>IF((RD[[#This Row],[33kV_OG1_Ex]]-AC199)*1000&lt;=0,0,(RD[[#This Row],[33kV_OG1_Ex]]-AC199)*1000)</f>
        <v>0</v>
      </c>
      <c r="AK200" s="154">
        <f>IF((RD[[#This Row],[220kV_TL_TVM_Ex]]-AE199)*1600&lt;=0,0,(RD[[#This Row],[220kV_TL_TVM_Ex]]-AE199)*1600)</f>
        <v>0</v>
      </c>
      <c r="AL200" s="154" t="str">
        <f>IF((RD[[#This Row],[220kV_C&amp;R_PQM_Ex]]-AF199)*1000&lt;=0,"",(RD[[#This Row],[220kV_C&amp;R_PQM_Ex]]-AF199)*1000)</f>
        <v/>
      </c>
      <c r="AM200" s="154">
        <f>IF((RD[[#This Row],[33kV_Aux1_Im]]-AH199)*1000&lt;0,"",(RD[[#This Row],[33kV_Aux1_Im]]-AH199)*1000)</f>
        <v>0</v>
      </c>
      <c r="AN200" s="154">
        <f>IF((RD[[#This Row],[33kV_Aux1_Im]]-AH199)*1000&lt;0,"",(RD[[#This Row],[33kV_Aux1_Im]]-AH199)*1000)</f>
        <v>0</v>
      </c>
      <c r="AO200" s="61">
        <f>RD[[#This Row],[33kV_OG1_Energy (KWh)]]</f>
        <v>0</v>
      </c>
      <c r="AP200" s="61">
        <f>IFERROR(RD[[#This Row],[220kV_TL_TVM Energy (KWh)]]-RD[[#This Row],[220kV_C&amp;R_PQM_Imp (KWh)2]],"")</f>
        <v>0</v>
      </c>
      <c r="AQ200" s="63" t="str">
        <f>IFERROR(RD[[#This Row],[33 kV Total Export (KWH)]]/RD[[#This Row],[220 KV Net Export (KWh)]]-1,"")</f>
        <v/>
      </c>
      <c r="AR200" s="64">
        <f>IFERROR((RD[[#This Row],[Sunset Time (POA&lt;20 W/m2)]]-RD[[#This Row],[Sunrise Time (POA&gt;20 W/m2)]])*24,0)</f>
        <v>0</v>
      </c>
      <c r="AS200" s="65">
        <f>RD[[#This Row],[33kV_OG1_Energy (KWh)]]</f>
        <v>0</v>
      </c>
      <c r="AT200" s="65">
        <f>IFERROR(RD[[#This Row],[ Export (33 kV)]]*(1-RD[[#This Row],[33 kV Line Loss (%)]]),RD[[#This Row],[ Export (33 kV)]])</f>
        <v>0</v>
      </c>
      <c r="AU200" s="122"/>
      <c r="AV200" s="122"/>
      <c r="AW200" s="122"/>
      <c r="AX200" t="str">
        <f>IFERROR(RD[[#This Row],[E_AC (WPR)]]/RD[[#This Row],[E_DC (WPR)]],"")</f>
        <v/>
      </c>
    </row>
    <row r="201" spans="1:50">
      <c r="A201" s="148">
        <f t="shared" si="51"/>
        <v>45941</v>
      </c>
      <c r="B201" s="151">
        <f>YEAR(RD[[#This Row],[Date]])+IF(MONTH(RD[[#This Row],[Date]])&gt;=4,1,0)</f>
        <v>2026</v>
      </c>
      <c r="C201" s="151">
        <f>YEAR(RD[[#This Row],[Date]])</f>
        <v>2025</v>
      </c>
      <c r="D201" s="66">
        <f t="shared" si="50"/>
        <v>45931</v>
      </c>
      <c r="E201" s="151">
        <f>DAY(EOMONTH(RD[[#This Row],[Date]],0))</f>
        <v>31</v>
      </c>
      <c r="F201" s="172"/>
      <c r="G201" s="172"/>
      <c r="H201" s="138"/>
      <c r="I201" s="138"/>
      <c r="J201" s="138"/>
      <c r="K201" s="138"/>
      <c r="L201" s="138"/>
      <c r="M201" s="138"/>
      <c r="N201" s="138"/>
      <c r="O201" s="169"/>
      <c r="P201" s="169"/>
      <c r="Q201" s="69"/>
      <c r="R201" s="69"/>
      <c r="S201" s="69"/>
      <c r="T201" s="69"/>
      <c r="U201" s="69"/>
      <c r="V201" s="69"/>
      <c r="W201" s="69"/>
      <c r="X201" s="69"/>
      <c r="Y201" s="70">
        <f>SUM(RD[[#This Row],[IS1Inv1]:[IS3Inv1]])</f>
        <v>0</v>
      </c>
      <c r="Z201" s="70">
        <f>SUM(RD[[#This Row],[IS4Inv1]:[IS4Inv2]])</f>
        <v>0</v>
      </c>
      <c r="AA201" s="70">
        <f>SUM(RD[[#This Row],[O2RE7]:[O2RE27]])</f>
        <v>0</v>
      </c>
      <c r="AB201" s="153"/>
      <c r="AC201" s="153"/>
      <c r="AD201" s="153"/>
      <c r="AE201" s="153"/>
      <c r="AF201" s="153"/>
      <c r="AG201" s="153"/>
      <c r="AH201" s="153"/>
      <c r="AI201" s="154"/>
      <c r="AJ201" s="154">
        <f>IF((RD[[#This Row],[33kV_OG1_Ex]]-AC200)*1000&lt;=0,0,(RD[[#This Row],[33kV_OG1_Ex]]-AC200)*1000)</f>
        <v>0</v>
      </c>
      <c r="AK201" s="154">
        <f>IF((RD[[#This Row],[220kV_TL_TVM_Ex]]-AE200)*1600&lt;=0,0,(RD[[#This Row],[220kV_TL_TVM_Ex]]-AE200)*1600)</f>
        <v>0</v>
      </c>
      <c r="AL201" s="154" t="str">
        <f>IF((RD[[#This Row],[220kV_C&amp;R_PQM_Ex]]-AF200)*1000&lt;=0,"",(RD[[#This Row],[220kV_C&amp;R_PQM_Ex]]-AF200)*1000)</f>
        <v/>
      </c>
      <c r="AM201" s="154">
        <f>IF((RD[[#This Row],[33kV_Aux1_Im]]-AH200)*1000&lt;0,"",(RD[[#This Row],[33kV_Aux1_Im]]-AH200)*1000)</f>
        <v>0</v>
      </c>
      <c r="AN201" s="154">
        <f>IF((RD[[#This Row],[33kV_Aux1_Im]]-AH200)*1000&lt;0,"",(RD[[#This Row],[33kV_Aux1_Im]]-AH200)*1000)</f>
        <v>0</v>
      </c>
      <c r="AO201" s="61">
        <f>RD[[#This Row],[33kV_OG1_Energy (KWh)]]</f>
        <v>0</v>
      </c>
      <c r="AP201" s="61">
        <f>IFERROR(RD[[#This Row],[220kV_TL_TVM Energy (KWh)]]-RD[[#This Row],[220kV_C&amp;R_PQM_Imp (KWh)2]],"")</f>
        <v>0</v>
      </c>
      <c r="AQ201" s="63" t="str">
        <f>IFERROR(RD[[#This Row],[33 kV Total Export (KWH)]]/RD[[#This Row],[220 KV Net Export (KWh)]]-1,"")</f>
        <v/>
      </c>
      <c r="AR201" s="64">
        <f>IFERROR((RD[[#This Row],[Sunset Time (POA&lt;20 W/m2)]]-RD[[#This Row],[Sunrise Time (POA&gt;20 W/m2)]])*24,0)</f>
        <v>0</v>
      </c>
      <c r="AS201" s="65">
        <f>RD[[#This Row],[33kV_OG1_Energy (KWh)]]</f>
        <v>0</v>
      </c>
      <c r="AT201" s="65">
        <f>IFERROR(RD[[#This Row],[ Export (33 kV)]]*(1-RD[[#This Row],[33 kV Line Loss (%)]]),RD[[#This Row],[ Export (33 kV)]])</f>
        <v>0</v>
      </c>
      <c r="AU201" s="122"/>
      <c r="AV201" s="122"/>
      <c r="AW201" s="122"/>
      <c r="AX201" t="str">
        <f>IFERROR(RD[[#This Row],[E_AC (WPR)]]/RD[[#This Row],[E_DC (WPR)]],"")</f>
        <v/>
      </c>
    </row>
    <row r="202" spans="1:50">
      <c r="A202" s="148">
        <f t="shared" si="51"/>
        <v>45942</v>
      </c>
      <c r="B202" s="151">
        <f>YEAR(RD[[#This Row],[Date]])+IF(MONTH(RD[[#This Row],[Date]])&gt;=4,1,0)</f>
        <v>2026</v>
      </c>
      <c r="C202" s="151">
        <f>YEAR(RD[[#This Row],[Date]])</f>
        <v>2025</v>
      </c>
      <c r="D202" s="66">
        <f t="shared" si="50"/>
        <v>45931</v>
      </c>
      <c r="E202" s="151">
        <f>DAY(EOMONTH(RD[[#This Row],[Date]],0))</f>
        <v>31</v>
      </c>
      <c r="F202" s="172"/>
      <c r="G202" s="172"/>
      <c r="H202" s="138"/>
      <c r="I202" s="138"/>
      <c r="J202" s="138"/>
      <c r="K202" s="138"/>
      <c r="L202" s="138"/>
      <c r="M202" s="138"/>
      <c r="N202" s="138"/>
      <c r="O202" s="169"/>
      <c r="P202" s="169"/>
      <c r="Q202" s="69"/>
      <c r="R202" s="69"/>
      <c r="S202" s="69"/>
      <c r="T202" s="69"/>
      <c r="U202" s="69"/>
      <c r="V202" s="69"/>
      <c r="W202" s="69"/>
      <c r="X202" s="69"/>
      <c r="Y202" s="70">
        <f>SUM(RD[[#This Row],[IS1Inv1]:[IS3Inv1]])</f>
        <v>0</v>
      </c>
      <c r="Z202" s="70">
        <f>SUM(RD[[#This Row],[IS4Inv1]:[IS4Inv2]])</f>
        <v>0</v>
      </c>
      <c r="AA202" s="70">
        <f>SUM(RD[[#This Row],[O2RE7]:[O2RE27]])</f>
        <v>0</v>
      </c>
      <c r="AB202" s="153"/>
      <c r="AC202" s="153"/>
      <c r="AD202" s="153"/>
      <c r="AE202" s="153"/>
      <c r="AF202" s="153"/>
      <c r="AG202" s="153"/>
      <c r="AH202" s="153"/>
      <c r="AI202" s="154" t="str">
        <f>IF((RD[[#This Row],[33 kV_F1_Ex]]-AB201)*225000&lt;=0,"",(RD[[#This Row],[33 kV_F1_Ex]]-AB201)*225000)</f>
        <v/>
      </c>
      <c r="AJ202" s="154">
        <f>IF((RD[[#This Row],[33kV_OG1_Ex]]-AC201)*1000&lt;=0,0,(RD[[#This Row],[33kV_OG1_Ex]]-AC201)*1000)</f>
        <v>0</v>
      </c>
      <c r="AK202" s="154">
        <f>IF((RD[[#This Row],[220kV_TL_TVM_Ex]]-AE201)*1600&lt;=0,0,(RD[[#This Row],[220kV_TL_TVM_Ex]]-AE201)*1600)</f>
        <v>0</v>
      </c>
      <c r="AL202" s="154" t="str">
        <f>IF((RD[[#This Row],[220kV_C&amp;R_PQM_Ex]]-AF201)*1000&lt;=0,"",(RD[[#This Row],[220kV_C&amp;R_PQM_Ex]]-AF201)*1000)</f>
        <v/>
      </c>
      <c r="AM202" s="154">
        <f>IF((RD[[#This Row],[33kV_Aux1_Im]]-AH201)*1000&lt;0,"",(RD[[#This Row],[33kV_Aux1_Im]]-AH201)*1000)</f>
        <v>0</v>
      </c>
      <c r="AN202" s="154">
        <f>IF((RD[[#This Row],[33kV_Aux1_Im]]-AH201)*1000&lt;0,"",(RD[[#This Row],[33kV_Aux1_Im]]-AH201)*1000)</f>
        <v>0</v>
      </c>
      <c r="AO202" s="61">
        <f>RD[[#This Row],[33kV_OG1_Energy (KWh)]]</f>
        <v>0</v>
      </c>
      <c r="AP202" s="61">
        <f>IFERROR(RD[[#This Row],[220kV_TL_TVM Energy (KWh)]]-RD[[#This Row],[220kV_C&amp;R_PQM_Imp (KWh)2]],"")</f>
        <v>0</v>
      </c>
      <c r="AQ202" s="63" t="str">
        <f>IFERROR(RD[[#This Row],[33 kV Total Export (KWH)]]/RD[[#This Row],[220 KV Net Export (KWh)]]-1,"")</f>
        <v/>
      </c>
      <c r="AR202" s="64">
        <f>IFERROR((RD[[#This Row],[Sunset Time (POA&lt;20 W/m2)]]-RD[[#This Row],[Sunrise Time (POA&gt;20 W/m2)]])*24,0)</f>
        <v>0</v>
      </c>
      <c r="AS202" s="65">
        <f>RD[[#This Row],[33kV_OG1_Energy (KWh)]]</f>
        <v>0</v>
      </c>
      <c r="AT202" s="65">
        <f>IFERROR(RD[[#This Row],[ Export (33 kV)]]*(1-RD[[#This Row],[33 kV Line Loss (%)]]),RD[[#This Row],[ Export (33 kV)]])</f>
        <v>0</v>
      </c>
      <c r="AU202" s="190"/>
      <c r="AV202" s="190"/>
      <c r="AW202" s="190"/>
      <c r="AX202" t="str">
        <f>IFERROR(RD[[#This Row],[E_AC (WPR)]]/RD[[#This Row],[E_DC (WPR)]],"")</f>
        <v/>
      </c>
    </row>
    <row r="203" spans="1:50">
      <c r="A203" s="148">
        <f t="shared" si="51"/>
        <v>45943</v>
      </c>
      <c r="B203" s="151">
        <f>YEAR(RD[[#This Row],[Date]])+IF(MONTH(RD[[#This Row],[Date]])&gt;=4,1,0)</f>
        <v>2026</v>
      </c>
      <c r="C203" s="151">
        <f>YEAR(RD[[#This Row],[Date]])</f>
        <v>2025</v>
      </c>
      <c r="D203" s="66">
        <f t="shared" si="50"/>
        <v>45931</v>
      </c>
      <c r="E203" s="151">
        <f>DAY(EOMONTH(RD[[#This Row],[Date]],0))</f>
        <v>31</v>
      </c>
      <c r="F203" s="172"/>
      <c r="G203" s="172"/>
      <c r="H203" s="138"/>
      <c r="I203" s="138"/>
      <c r="J203" s="138"/>
      <c r="K203" s="138"/>
      <c r="L203" s="138"/>
      <c r="M203" s="138"/>
      <c r="N203" s="138"/>
      <c r="O203" s="169"/>
      <c r="P203" s="169"/>
      <c r="Q203" s="72"/>
      <c r="R203" s="69"/>
      <c r="S203" s="69"/>
      <c r="T203" s="69"/>
      <c r="U203" s="69"/>
      <c r="V203" s="69"/>
      <c r="W203" s="69"/>
      <c r="X203" s="69"/>
      <c r="Y203" s="70">
        <f>SUM(RD[[#This Row],[IS1Inv1]:[IS3Inv1]])</f>
        <v>0</v>
      </c>
      <c r="Z203" s="70">
        <f>SUM(RD[[#This Row],[IS4Inv1]:[IS4Inv2]])</f>
        <v>0</v>
      </c>
      <c r="AA203" s="70">
        <f>SUM(RD[[#This Row],[O2RE7]:[O2RE27]])</f>
        <v>0</v>
      </c>
      <c r="AB203" s="153"/>
      <c r="AC203" s="153"/>
      <c r="AD203" s="153"/>
      <c r="AE203" s="153"/>
      <c r="AF203" s="153"/>
      <c r="AG203" s="153"/>
      <c r="AH203" s="153"/>
      <c r="AI203" s="154" t="str">
        <f>IF((RD[[#This Row],[33 kV_F1_Ex]]-AB202)*225000&lt;=0,"",(RD[[#This Row],[33 kV_F1_Ex]]-AB202)*225000)</f>
        <v/>
      </c>
      <c r="AJ203" s="154">
        <f>IF((RD[[#This Row],[33kV_OG1_Ex]]-AC202)*1000&lt;=0,0,(RD[[#This Row],[33kV_OG1_Ex]]-AC202)*1000)</f>
        <v>0</v>
      </c>
      <c r="AK203" s="154">
        <f>IF((RD[[#This Row],[220kV_TL_TVM_Ex]]-AE202)*1600&lt;=0,0,(RD[[#This Row],[220kV_TL_TVM_Ex]]-AE202)*1600)</f>
        <v>0</v>
      </c>
      <c r="AL203" s="154" t="str">
        <f>IF((RD[[#This Row],[220kV_C&amp;R_PQM_Ex]]-AF202)*1000&lt;=0,"",(RD[[#This Row],[220kV_C&amp;R_PQM_Ex]]-AF202)*1000)</f>
        <v/>
      </c>
      <c r="AM203" s="154">
        <f>IF((RD[[#This Row],[33kV_Aux1_Im]]-AH202)*1000&lt;0,"",(RD[[#This Row],[33kV_Aux1_Im]]-AH202)*1000)</f>
        <v>0</v>
      </c>
      <c r="AN203" s="154">
        <f>IF((RD[[#This Row],[33kV_Aux1_Im]]-AH202)*1000&lt;0,"",(RD[[#This Row],[33kV_Aux1_Im]]-AH202)*1000)</f>
        <v>0</v>
      </c>
      <c r="AO203" s="61">
        <f>RD[[#This Row],[33kV_OG1_Energy (KWh)]]</f>
        <v>0</v>
      </c>
      <c r="AP203" s="61">
        <f>IFERROR(RD[[#This Row],[220kV_TL_TVM Energy (KWh)]]-RD[[#This Row],[220kV_C&amp;R_PQM_Imp (KWh)2]],"")</f>
        <v>0</v>
      </c>
      <c r="AQ203" s="63" t="str">
        <f>IFERROR(RD[[#This Row],[33 kV Total Export (KWH)]]/RD[[#This Row],[220 KV Net Export (KWh)]]-1,"")</f>
        <v/>
      </c>
      <c r="AR203" s="64">
        <f>IFERROR((RD[[#This Row],[Sunset Time (POA&lt;20 W/m2)]]-RD[[#This Row],[Sunrise Time (POA&gt;20 W/m2)]])*24,0)</f>
        <v>0</v>
      </c>
      <c r="AS203" s="65">
        <f>RD[[#This Row],[33kV_OG1_Energy (KWh)]]</f>
        <v>0</v>
      </c>
      <c r="AT203" s="65">
        <f>IFERROR(RD[[#This Row],[ Export (33 kV)]]*(1-RD[[#This Row],[33 kV Line Loss (%)]]),RD[[#This Row],[ Export (33 kV)]])</f>
        <v>0</v>
      </c>
      <c r="AU203" s="190"/>
      <c r="AV203" s="190"/>
      <c r="AW203" s="190"/>
      <c r="AX203" t="str">
        <f>IFERROR(RD[[#This Row],[E_AC (WPR)]]/RD[[#This Row],[E_DC (WPR)]],"")</f>
        <v/>
      </c>
    </row>
    <row r="204" spans="1:50">
      <c r="A204" s="148">
        <f t="shared" si="51"/>
        <v>45944</v>
      </c>
      <c r="B204" s="151">
        <f>YEAR(RD[[#This Row],[Date]])+IF(MONTH(RD[[#This Row],[Date]])&gt;=4,1,0)</f>
        <v>2026</v>
      </c>
      <c r="C204" s="151">
        <f>YEAR(RD[[#This Row],[Date]])</f>
        <v>2025</v>
      </c>
      <c r="D204" s="66">
        <f t="shared" si="50"/>
        <v>45931</v>
      </c>
      <c r="E204" s="151">
        <f>DAY(EOMONTH(RD[[#This Row],[Date]],0))</f>
        <v>31</v>
      </c>
      <c r="F204" s="172"/>
      <c r="G204" s="172"/>
      <c r="H204" s="138"/>
      <c r="I204" s="138"/>
      <c r="J204" s="138"/>
      <c r="K204" s="138"/>
      <c r="L204" s="138"/>
      <c r="M204" s="138"/>
      <c r="N204" s="138"/>
      <c r="O204" s="169"/>
      <c r="P204" s="169"/>
      <c r="Q204" s="72"/>
      <c r="R204" s="69"/>
      <c r="S204" s="69"/>
      <c r="T204" s="69"/>
      <c r="U204" s="69"/>
      <c r="V204" s="69"/>
      <c r="W204" s="69"/>
      <c r="X204" s="69"/>
      <c r="Y204" s="70">
        <f>SUM(RD[[#This Row],[IS1Inv1]:[IS3Inv1]])</f>
        <v>0</v>
      </c>
      <c r="Z204" s="70">
        <f>SUM(RD[[#This Row],[IS4Inv1]:[IS4Inv2]])</f>
        <v>0</v>
      </c>
      <c r="AA204" s="70">
        <f>SUM(RD[[#This Row],[O2RE7]:[O2RE27]])</f>
        <v>0</v>
      </c>
      <c r="AB204" s="153"/>
      <c r="AC204" s="153"/>
      <c r="AD204" s="153"/>
      <c r="AE204" s="153"/>
      <c r="AF204" s="153"/>
      <c r="AG204" s="153"/>
      <c r="AH204" s="153"/>
      <c r="AI204" s="154" t="str">
        <f>IF((RD[[#This Row],[33 kV_F1_Ex]]-AB203)*225000&lt;=0,"",(RD[[#This Row],[33 kV_F1_Ex]]-AB203)*225000)</f>
        <v/>
      </c>
      <c r="AJ204" s="154">
        <f>IF((RD[[#This Row],[33kV_OG1_Ex]]-AC203)*1000&lt;=0,0,(RD[[#This Row],[33kV_OG1_Ex]]-AC203)*1000)</f>
        <v>0</v>
      </c>
      <c r="AK204" s="154">
        <f>IF((RD[[#This Row],[220kV_TL_TVM_Ex]]-AE203)*1600&lt;=0,0,(RD[[#This Row],[220kV_TL_TVM_Ex]]-AE203)*1600)</f>
        <v>0</v>
      </c>
      <c r="AL204" s="154" t="str">
        <f>IF((RD[[#This Row],[220kV_C&amp;R_PQM_Ex]]-AF203)*1000&lt;=0,"",(RD[[#This Row],[220kV_C&amp;R_PQM_Ex]]-AF203)*1000)</f>
        <v/>
      </c>
      <c r="AM204" s="154">
        <f>IF((RD[[#This Row],[33kV_Aux1_Im]]-AH203)*1000&lt;0,"",(RD[[#This Row],[33kV_Aux1_Im]]-AH203)*1000)</f>
        <v>0</v>
      </c>
      <c r="AN204" s="154">
        <f>IF((RD[[#This Row],[33kV_Aux1_Im]]-AH203)*1000&lt;0,"",(RD[[#This Row],[33kV_Aux1_Im]]-AH203)*1000)</f>
        <v>0</v>
      </c>
      <c r="AO204" s="61">
        <f>RD[[#This Row],[33kV_OG1_Energy (KWh)]]</f>
        <v>0</v>
      </c>
      <c r="AP204" s="61">
        <f>IFERROR(RD[[#This Row],[220kV_TL_TVM Energy (KWh)]]-RD[[#This Row],[220kV_C&amp;R_PQM_Imp (KWh)2]],"")</f>
        <v>0</v>
      </c>
      <c r="AQ204" s="63" t="str">
        <f>IFERROR(RD[[#This Row],[33 kV Total Export (KWH)]]/RD[[#This Row],[220 KV Net Export (KWh)]]-1,"")</f>
        <v/>
      </c>
      <c r="AR204" s="64">
        <f>IFERROR((RD[[#This Row],[Sunset Time (POA&lt;20 W/m2)]]-RD[[#This Row],[Sunrise Time (POA&gt;20 W/m2)]])*24,0)</f>
        <v>0</v>
      </c>
      <c r="AS204" s="65">
        <f>RD[[#This Row],[33kV_OG1_Energy (KWh)]]</f>
        <v>0</v>
      </c>
      <c r="AT204" s="65">
        <f>IFERROR(RD[[#This Row],[ Export (33 kV)]]*(1-RD[[#This Row],[33 kV Line Loss (%)]]),RD[[#This Row],[ Export (33 kV)]])</f>
        <v>0</v>
      </c>
      <c r="AU204" s="190"/>
      <c r="AV204" s="190"/>
      <c r="AW204" s="190"/>
      <c r="AX204" t="str">
        <f>IFERROR(RD[[#This Row],[E_AC (WPR)]]/RD[[#This Row],[E_DC (WPR)]],"")</f>
        <v/>
      </c>
    </row>
    <row r="205" spans="1:50">
      <c r="A205" s="148">
        <f t="shared" si="51"/>
        <v>45945</v>
      </c>
      <c r="B205" s="151">
        <f>YEAR(RD[[#This Row],[Date]])+IF(MONTH(RD[[#This Row],[Date]])&gt;=4,1,0)</f>
        <v>2026</v>
      </c>
      <c r="C205" s="151">
        <f>YEAR(RD[[#This Row],[Date]])</f>
        <v>2025</v>
      </c>
      <c r="D205" s="66">
        <f t="shared" ref="D205:D268" si="52">A205-DAY(A205)+1</f>
        <v>45931</v>
      </c>
      <c r="E205" s="151">
        <f>DAY(EOMONTH(RD[[#This Row],[Date]],0))</f>
        <v>31</v>
      </c>
      <c r="F205" s="172"/>
      <c r="G205" s="172"/>
      <c r="H205" s="138"/>
      <c r="I205" s="138"/>
      <c r="J205" s="138"/>
      <c r="K205" s="138"/>
      <c r="L205" s="138"/>
      <c r="M205" s="138"/>
      <c r="N205" s="138"/>
      <c r="O205" s="169"/>
      <c r="P205" s="169"/>
      <c r="Q205" s="72"/>
      <c r="R205" s="69"/>
      <c r="S205" s="69"/>
      <c r="T205" s="69"/>
      <c r="U205" s="69"/>
      <c r="V205" s="69"/>
      <c r="W205" s="69"/>
      <c r="X205" s="69"/>
      <c r="Y205" s="70">
        <f>SUM(RD[[#This Row],[IS1Inv1]:[IS3Inv1]])</f>
        <v>0</v>
      </c>
      <c r="Z205" s="70">
        <f>SUM(RD[[#This Row],[IS4Inv1]:[IS4Inv2]])</f>
        <v>0</v>
      </c>
      <c r="AA205" s="70">
        <f>SUM(RD[[#This Row],[O2RE7]:[O2RE27]])</f>
        <v>0</v>
      </c>
      <c r="AB205" s="153"/>
      <c r="AC205" s="153"/>
      <c r="AD205" s="153"/>
      <c r="AE205" s="153"/>
      <c r="AF205" s="153"/>
      <c r="AG205" s="153"/>
      <c r="AH205" s="153"/>
      <c r="AI205" s="154" t="str">
        <f>IF((RD[[#This Row],[33 kV_F1_Ex]]-AB204)*225000&lt;=0,"",(RD[[#This Row],[33 kV_F1_Ex]]-AB204)*225000)</f>
        <v/>
      </c>
      <c r="AJ205" s="154">
        <f>IF((RD[[#This Row],[33kV_OG1_Ex]]-AC204)*1000&lt;=0,0,(RD[[#This Row],[33kV_OG1_Ex]]-AC204)*1000)</f>
        <v>0</v>
      </c>
      <c r="AK205" s="154">
        <f>IF((RD[[#This Row],[220kV_TL_TVM_Ex]]-AE204)*1600&lt;=0,0,(RD[[#This Row],[220kV_TL_TVM_Ex]]-AE204)*1600)</f>
        <v>0</v>
      </c>
      <c r="AL205" s="154" t="str">
        <f>IF((RD[[#This Row],[220kV_C&amp;R_PQM_Ex]]-AF204)*1000&lt;=0,"",(RD[[#This Row],[220kV_C&amp;R_PQM_Ex]]-AF204)*1000)</f>
        <v/>
      </c>
      <c r="AM205" s="154">
        <f>IF((RD[[#This Row],[33kV_Aux1_Im]]-AH204)*1000&lt;0,"",(RD[[#This Row],[33kV_Aux1_Im]]-AH204)*1000)</f>
        <v>0</v>
      </c>
      <c r="AN205" s="154">
        <f>IF((RD[[#This Row],[33kV_Aux1_Im]]-AH204)*1000&lt;0,"",(RD[[#This Row],[33kV_Aux1_Im]]-AH204)*1000)</f>
        <v>0</v>
      </c>
      <c r="AO205" s="61">
        <f>RD[[#This Row],[33kV_OG1_Energy (KWh)]]</f>
        <v>0</v>
      </c>
      <c r="AP205" s="61">
        <f>IFERROR(RD[[#This Row],[220kV_TL_TVM Energy (KWh)]]-RD[[#This Row],[220kV_C&amp;R_PQM_Imp (KWh)2]],"")</f>
        <v>0</v>
      </c>
      <c r="AQ205" s="63" t="str">
        <f>IFERROR(RD[[#This Row],[33 kV Total Export (KWH)]]/RD[[#This Row],[220 KV Net Export (KWh)]]-1,"")</f>
        <v/>
      </c>
      <c r="AR205" s="64">
        <f>IFERROR((RD[[#This Row],[Sunset Time (POA&lt;20 W/m2)]]-RD[[#This Row],[Sunrise Time (POA&gt;20 W/m2)]])*24,0)</f>
        <v>0</v>
      </c>
      <c r="AS205" s="65">
        <f>RD[[#This Row],[33kV_OG1_Energy (KWh)]]</f>
        <v>0</v>
      </c>
      <c r="AT205" s="65">
        <f>IFERROR(RD[[#This Row],[ Export (33 kV)]]*(1-RD[[#This Row],[33 kV Line Loss (%)]]),RD[[#This Row],[ Export (33 kV)]])</f>
        <v>0</v>
      </c>
      <c r="AU205" s="190"/>
      <c r="AV205" s="190"/>
      <c r="AW205" s="190"/>
      <c r="AX205" t="str">
        <f>IFERROR(RD[[#This Row],[E_AC (WPR)]]/RD[[#This Row],[E_DC (WPR)]],"")</f>
        <v/>
      </c>
    </row>
    <row r="206" spans="1:50">
      <c r="A206" s="148">
        <f t="shared" si="51"/>
        <v>45946</v>
      </c>
      <c r="B206" s="151">
        <f>YEAR(RD[[#This Row],[Date]])+IF(MONTH(RD[[#This Row],[Date]])&gt;=4,1,0)</f>
        <v>2026</v>
      </c>
      <c r="C206" s="151">
        <f>YEAR(RD[[#This Row],[Date]])</f>
        <v>2025</v>
      </c>
      <c r="D206" s="66">
        <f t="shared" si="52"/>
        <v>45931</v>
      </c>
      <c r="E206" s="151">
        <f>DAY(EOMONTH(RD[[#This Row],[Date]],0))</f>
        <v>31</v>
      </c>
      <c r="F206" s="172"/>
      <c r="G206" s="172"/>
      <c r="H206" s="138"/>
      <c r="I206" s="138"/>
      <c r="J206" s="138"/>
      <c r="K206" s="138"/>
      <c r="L206" s="138"/>
      <c r="M206" s="138"/>
      <c r="N206" s="138"/>
      <c r="O206" s="169"/>
      <c r="P206" s="169"/>
      <c r="Q206" s="72"/>
      <c r="R206" s="69"/>
      <c r="S206" s="69"/>
      <c r="T206" s="69"/>
      <c r="U206" s="69"/>
      <c r="V206" s="69"/>
      <c r="W206" s="69"/>
      <c r="X206" s="69"/>
      <c r="Y206" s="70">
        <f>SUM(RD[[#This Row],[IS1Inv1]:[IS3Inv1]])</f>
        <v>0</v>
      </c>
      <c r="Z206" s="70">
        <f>SUM(RD[[#This Row],[IS4Inv1]:[IS4Inv2]])</f>
        <v>0</v>
      </c>
      <c r="AA206" s="70">
        <f>SUM(RD[[#This Row],[O2RE7]:[O2RE27]])</f>
        <v>0</v>
      </c>
      <c r="AB206" s="153"/>
      <c r="AC206" s="153"/>
      <c r="AD206" s="153"/>
      <c r="AE206" s="153"/>
      <c r="AF206" s="153"/>
      <c r="AG206" s="153"/>
      <c r="AH206" s="153"/>
      <c r="AI206" s="154" t="str">
        <f>IF((RD[[#This Row],[33 kV_F1_Ex]]-AB205)*225000&lt;=0,"",(RD[[#This Row],[33 kV_F1_Ex]]-AB205)*225000)</f>
        <v/>
      </c>
      <c r="AJ206" s="154">
        <f>IF((RD[[#This Row],[33kV_OG1_Ex]]-AC205)*1000&lt;=0,0,(RD[[#This Row],[33kV_OG1_Ex]]-AC205)*1000)</f>
        <v>0</v>
      </c>
      <c r="AK206" s="154">
        <f>IF((RD[[#This Row],[220kV_TL_TVM_Ex]]-AE205)*1600&lt;=0,0,(RD[[#This Row],[220kV_TL_TVM_Ex]]-AE205)*1600)</f>
        <v>0</v>
      </c>
      <c r="AL206" s="154" t="str">
        <f>IF((RD[[#This Row],[220kV_C&amp;R_PQM_Ex]]-AF205)*1000&lt;=0,"",(RD[[#This Row],[220kV_C&amp;R_PQM_Ex]]-AF205)*1000)</f>
        <v/>
      </c>
      <c r="AM206" s="154">
        <f>IF((RD[[#This Row],[33kV_Aux1_Im]]-AH205)*1000&lt;0,"",(RD[[#This Row],[33kV_Aux1_Im]]-AH205)*1000)</f>
        <v>0</v>
      </c>
      <c r="AN206" s="154">
        <f>IF((RD[[#This Row],[33kV_Aux1_Im]]-AH205)*1000&lt;0,"",(RD[[#This Row],[33kV_Aux1_Im]]-AH205)*1000)</f>
        <v>0</v>
      </c>
      <c r="AO206" s="61">
        <f>RD[[#This Row],[33kV_OG1_Energy (KWh)]]</f>
        <v>0</v>
      </c>
      <c r="AP206" s="61">
        <f>IFERROR(RD[[#This Row],[220kV_TL_TVM Energy (KWh)]]-RD[[#This Row],[220kV_C&amp;R_PQM_Imp (KWh)2]],"")</f>
        <v>0</v>
      </c>
      <c r="AQ206" s="63" t="str">
        <f>IFERROR(RD[[#This Row],[33 kV Total Export (KWH)]]/RD[[#This Row],[220 KV Net Export (KWh)]]-1,"")</f>
        <v/>
      </c>
      <c r="AR206" s="64">
        <f>IFERROR((RD[[#This Row],[Sunset Time (POA&lt;20 W/m2)]]-RD[[#This Row],[Sunrise Time (POA&gt;20 W/m2)]])*24,0)</f>
        <v>0</v>
      </c>
      <c r="AS206" s="65">
        <f>RD[[#This Row],[33kV_OG1_Energy (KWh)]]</f>
        <v>0</v>
      </c>
      <c r="AT206" s="65">
        <f>IFERROR(RD[[#This Row],[ Export (33 kV)]]*(1-RD[[#This Row],[33 kV Line Loss (%)]]),RD[[#This Row],[ Export (33 kV)]])</f>
        <v>0</v>
      </c>
      <c r="AU206" s="190"/>
      <c r="AV206" s="190"/>
      <c r="AW206" s="190"/>
      <c r="AX206" t="str">
        <f>IFERROR(RD[[#This Row],[E_AC (WPR)]]/RD[[#This Row],[E_DC (WPR)]],"")</f>
        <v/>
      </c>
    </row>
    <row r="207" spans="1:50">
      <c r="A207" s="148">
        <f t="shared" ref="A207:A270" si="53">A206+1</f>
        <v>45947</v>
      </c>
      <c r="B207" s="151">
        <f>YEAR(RD[[#This Row],[Date]])+IF(MONTH(RD[[#This Row],[Date]])&gt;=4,1,0)</f>
        <v>2026</v>
      </c>
      <c r="C207" s="151">
        <f>YEAR(RD[[#This Row],[Date]])</f>
        <v>2025</v>
      </c>
      <c r="D207" s="66">
        <f t="shared" si="52"/>
        <v>45931</v>
      </c>
      <c r="E207" s="151">
        <f>DAY(EOMONTH(RD[[#This Row],[Date]],0))</f>
        <v>31</v>
      </c>
      <c r="F207" s="172"/>
      <c r="G207" s="172"/>
      <c r="H207" s="138"/>
      <c r="I207" s="138"/>
      <c r="J207" s="138"/>
      <c r="K207" s="138"/>
      <c r="L207" s="138"/>
      <c r="M207" s="138"/>
      <c r="N207" s="138"/>
      <c r="O207" s="169"/>
      <c r="P207" s="169"/>
      <c r="Q207" s="72"/>
      <c r="R207" s="69"/>
      <c r="S207" s="69"/>
      <c r="T207" s="69"/>
      <c r="U207" s="69"/>
      <c r="V207" s="69"/>
      <c r="W207" s="69"/>
      <c r="X207" s="69"/>
      <c r="Y207" s="70">
        <f>SUM(RD[[#This Row],[IS1Inv1]:[IS3Inv1]])</f>
        <v>0</v>
      </c>
      <c r="Z207" s="70">
        <f>SUM(RD[[#This Row],[IS4Inv1]:[IS4Inv2]])</f>
        <v>0</v>
      </c>
      <c r="AA207" s="70">
        <f>SUM(RD[[#This Row],[O2RE7]:[O2RE27]])</f>
        <v>0</v>
      </c>
      <c r="AB207" s="153"/>
      <c r="AC207" s="153"/>
      <c r="AD207" s="153"/>
      <c r="AE207" s="153"/>
      <c r="AF207" s="153"/>
      <c r="AG207" s="153"/>
      <c r="AH207" s="153"/>
      <c r="AI207" s="154" t="str">
        <f>IF((RD[[#This Row],[33 kV_F1_Ex]]-AB206)*225000&lt;=0,"",(RD[[#This Row],[33 kV_F1_Ex]]-AB206)*225000)</f>
        <v/>
      </c>
      <c r="AJ207" s="154">
        <f>IF((RD[[#This Row],[33kV_OG1_Ex]]-AC206)*1000&lt;=0,0,(RD[[#This Row],[33kV_OG1_Ex]]-AC206)*1000)</f>
        <v>0</v>
      </c>
      <c r="AK207" s="154">
        <f>IF((RD[[#This Row],[220kV_TL_TVM_Ex]]-AE206)*1600&lt;=0,0,(RD[[#This Row],[220kV_TL_TVM_Ex]]-AE206)*1600)</f>
        <v>0</v>
      </c>
      <c r="AL207" s="154" t="str">
        <f>IF((RD[[#This Row],[220kV_C&amp;R_PQM_Ex]]-AF206)*1000&lt;=0,"",(RD[[#This Row],[220kV_C&amp;R_PQM_Ex]]-AF206)*1000)</f>
        <v/>
      </c>
      <c r="AM207" s="154">
        <f>IF((RD[[#This Row],[33kV_Aux1_Im]]-AH206)*1000&lt;0,"",(RD[[#This Row],[33kV_Aux1_Im]]-AH206)*1000)</f>
        <v>0</v>
      </c>
      <c r="AN207" s="154">
        <f>IF((RD[[#This Row],[33kV_Aux1_Im]]-AH206)*1000&lt;0,"",(RD[[#This Row],[33kV_Aux1_Im]]-AH206)*1000)</f>
        <v>0</v>
      </c>
      <c r="AO207" s="61">
        <f>RD[[#This Row],[33kV_OG1_Energy (KWh)]]</f>
        <v>0</v>
      </c>
      <c r="AP207" s="61">
        <f>IFERROR(RD[[#This Row],[220kV_TL_TVM Energy (KWh)]]-RD[[#This Row],[220kV_C&amp;R_PQM_Imp (KWh)2]],"")</f>
        <v>0</v>
      </c>
      <c r="AQ207" s="63" t="str">
        <f>IFERROR(RD[[#This Row],[33 kV Total Export (KWH)]]/RD[[#This Row],[220 KV Net Export (KWh)]]-1,"")</f>
        <v/>
      </c>
      <c r="AR207" s="64">
        <f>IFERROR((RD[[#This Row],[Sunset Time (POA&lt;20 W/m2)]]-RD[[#This Row],[Sunrise Time (POA&gt;20 W/m2)]])*24,0)</f>
        <v>0</v>
      </c>
      <c r="AS207" s="65">
        <f>RD[[#This Row],[33kV_OG1_Energy (KWh)]]</f>
        <v>0</v>
      </c>
      <c r="AT207" s="65">
        <f>IFERROR(RD[[#This Row],[ Export (33 kV)]]*(1-RD[[#This Row],[33 kV Line Loss (%)]]),RD[[#This Row],[ Export (33 kV)]])</f>
        <v>0</v>
      </c>
      <c r="AU207" s="190"/>
      <c r="AV207" s="190"/>
      <c r="AW207" s="190"/>
      <c r="AX207" t="str">
        <f>IFERROR(RD[[#This Row],[E_AC (WPR)]]/RD[[#This Row],[E_DC (WPR)]],"")</f>
        <v/>
      </c>
    </row>
    <row r="208" spans="1:50">
      <c r="A208" s="148">
        <f t="shared" si="53"/>
        <v>45948</v>
      </c>
      <c r="B208" s="151">
        <f>YEAR(RD[[#This Row],[Date]])+IF(MONTH(RD[[#This Row],[Date]])&gt;=4,1,0)</f>
        <v>2026</v>
      </c>
      <c r="C208" s="151">
        <f>YEAR(RD[[#This Row],[Date]])</f>
        <v>2025</v>
      </c>
      <c r="D208" s="66">
        <f t="shared" si="52"/>
        <v>45931</v>
      </c>
      <c r="E208" s="151">
        <f>DAY(EOMONTH(RD[[#This Row],[Date]],0))</f>
        <v>31</v>
      </c>
      <c r="F208" s="172"/>
      <c r="G208" s="172"/>
      <c r="H208" s="138"/>
      <c r="I208" s="138"/>
      <c r="J208" s="138"/>
      <c r="K208" s="138"/>
      <c r="L208" s="138"/>
      <c r="M208" s="138"/>
      <c r="N208" s="138"/>
      <c r="O208" s="169"/>
      <c r="P208" s="169"/>
      <c r="Q208" s="72"/>
      <c r="R208" s="69"/>
      <c r="S208" s="69"/>
      <c r="T208" s="69"/>
      <c r="U208" s="69"/>
      <c r="V208" s="69"/>
      <c r="W208" s="69"/>
      <c r="X208" s="69"/>
      <c r="Y208" s="70">
        <f>SUM(RD[[#This Row],[IS1Inv1]:[IS3Inv1]])</f>
        <v>0</v>
      </c>
      <c r="Z208" s="70">
        <f>SUM(RD[[#This Row],[IS4Inv1]:[IS4Inv2]])</f>
        <v>0</v>
      </c>
      <c r="AA208" s="70">
        <f>SUM(RD[[#This Row],[O2RE7]:[O2RE27]])</f>
        <v>0</v>
      </c>
      <c r="AB208" s="153"/>
      <c r="AC208" s="153"/>
      <c r="AD208" s="153"/>
      <c r="AE208" s="153"/>
      <c r="AF208" s="153"/>
      <c r="AG208" s="153"/>
      <c r="AH208" s="153"/>
      <c r="AI208" s="154" t="str">
        <f>IF((RD[[#This Row],[33 kV_F1_Ex]]-AB207)*225000&lt;=0,"",(RD[[#This Row],[33 kV_F1_Ex]]-AB207)*225000)</f>
        <v/>
      </c>
      <c r="AJ208" s="154">
        <f>IF((RD[[#This Row],[33kV_OG1_Ex]]-AC207)*1000&lt;=0,0,(RD[[#This Row],[33kV_OG1_Ex]]-AC207)*1000)</f>
        <v>0</v>
      </c>
      <c r="AK208" s="154">
        <f>IF((RD[[#This Row],[220kV_TL_TVM_Ex]]-AE207)*1600&lt;=0,0,(RD[[#This Row],[220kV_TL_TVM_Ex]]-AE207)*1600)</f>
        <v>0</v>
      </c>
      <c r="AL208" s="154" t="str">
        <f>IF((RD[[#This Row],[220kV_C&amp;R_PQM_Ex]]-AF207)*1000&lt;=0,"",(RD[[#This Row],[220kV_C&amp;R_PQM_Ex]]-AF207)*1000)</f>
        <v/>
      </c>
      <c r="AM208" s="154">
        <f>IF((RD[[#This Row],[33kV_Aux1_Im]]-AH207)*1000&lt;0,"",(RD[[#This Row],[33kV_Aux1_Im]]-AH207)*1000)</f>
        <v>0</v>
      </c>
      <c r="AN208" s="154">
        <f>IF((RD[[#This Row],[33kV_Aux1_Im]]-AH207)*1000&lt;0,"",(RD[[#This Row],[33kV_Aux1_Im]]-AH207)*1000)</f>
        <v>0</v>
      </c>
      <c r="AO208" s="61">
        <f>RD[[#This Row],[33kV_OG1_Energy (KWh)]]</f>
        <v>0</v>
      </c>
      <c r="AP208" s="61">
        <f>IFERROR(RD[[#This Row],[220kV_TL_TVM Energy (KWh)]]-RD[[#This Row],[220kV_C&amp;R_PQM_Imp (KWh)2]],"")</f>
        <v>0</v>
      </c>
      <c r="AQ208" s="63" t="str">
        <f>IFERROR(RD[[#This Row],[33 kV Total Export (KWH)]]/RD[[#This Row],[220 KV Net Export (KWh)]]-1,"")</f>
        <v/>
      </c>
      <c r="AR208" s="64">
        <f>IFERROR((RD[[#This Row],[Sunset Time (POA&lt;20 W/m2)]]-RD[[#This Row],[Sunrise Time (POA&gt;20 W/m2)]])*24,0)</f>
        <v>0</v>
      </c>
      <c r="AS208" s="65">
        <f>RD[[#This Row],[33kV_OG1_Energy (KWh)]]</f>
        <v>0</v>
      </c>
      <c r="AT208" s="65">
        <f>IFERROR(RD[[#This Row],[ Export (33 kV)]]*(1-RD[[#This Row],[33 kV Line Loss (%)]]),RD[[#This Row],[ Export (33 kV)]])</f>
        <v>0</v>
      </c>
      <c r="AU208" s="190"/>
      <c r="AV208" s="190"/>
      <c r="AW208" s="190"/>
      <c r="AX208" t="str">
        <f>IFERROR(RD[[#This Row],[E_AC (WPR)]]/RD[[#This Row],[E_DC (WPR)]],"")</f>
        <v/>
      </c>
    </row>
    <row r="209" spans="1:50">
      <c r="A209" s="148">
        <f t="shared" si="53"/>
        <v>45949</v>
      </c>
      <c r="B209" s="151">
        <f>YEAR(RD[[#This Row],[Date]])+IF(MONTH(RD[[#This Row],[Date]])&gt;=4,1,0)</f>
        <v>2026</v>
      </c>
      <c r="C209" s="151">
        <f>YEAR(RD[[#This Row],[Date]])</f>
        <v>2025</v>
      </c>
      <c r="D209" s="66">
        <f t="shared" si="52"/>
        <v>45931</v>
      </c>
      <c r="E209" s="151">
        <f>DAY(EOMONTH(RD[[#This Row],[Date]],0))</f>
        <v>31</v>
      </c>
      <c r="F209" s="172"/>
      <c r="G209" s="172"/>
      <c r="H209" s="138"/>
      <c r="I209" s="138"/>
      <c r="J209" s="138"/>
      <c r="K209" s="138"/>
      <c r="L209" s="138"/>
      <c r="M209" s="138"/>
      <c r="N209" s="138"/>
      <c r="O209" s="169"/>
      <c r="P209" s="169"/>
      <c r="Q209" s="72"/>
      <c r="R209" s="69"/>
      <c r="S209" s="69"/>
      <c r="T209" s="69"/>
      <c r="U209" s="69"/>
      <c r="V209" s="69"/>
      <c r="W209" s="69"/>
      <c r="X209" s="69"/>
      <c r="Y209" s="70">
        <f>SUM(RD[[#This Row],[IS1Inv1]:[IS3Inv1]])</f>
        <v>0</v>
      </c>
      <c r="Z209" s="70">
        <f>SUM(RD[[#This Row],[IS4Inv1]:[IS4Inv2]])</f>
        <v>0</v>
      </c>
      <c r="AA209" s="70">
        <f>SUM(RD[[#This Row],[O2RE7]:[O2RE27]])</f>
        <v>0</v>
      </c>
      <c r="AB209" s="153"/>
      <c r="AC209" s="153"/>
      <c r="AD209" s="153"/>
      <c r="AE209" s="153"/>
      <c r="AF209" s="153"/>
      <c r="AG209" s="153"/>
      <c r="AH209" s="153"/>
      <c r="AI209" s="154" t="str">
        <f>IF((RD[[#This Row],[33 kV_F1_Ex]]-AB208)*225000&lt;=0,"",(RD[[#This Row],[33 kV_F1_Ex]]-AB208)*225000)</f>
        <v/>
      </c>
      <c r="AJ209" s="154">
        <f>IF((RD[[#This Row],[33kV_OG1_Ex]]-AC208)*1000&lt;=0,0,(RD[[#This Row],[33kV_OG1_Ex]]-AC208)*1000)</f>
        <v>0</v>
      </c>
      <c r="AK209" s="154">
        <f>IF((RD[[#This Row],[220kV_TL_TVM_Ex]]-AE208)*1600&lt;=0,0,(RD[[#This Row],[220kV_TL_TVM_Ex]]-AE208)*1600)</f>
        <v>0</v>
      </c>
      <c r="AL209" s="154" t="str">
        <f>IF((RD[[#This Row],[220kV_C&amp;R_PQM_Ex]]-AF208)*1000&lt;=0,"",(RD[[#This Row],[220kV_C&amp;R_PQM_Ex]]-AF208)*1000)</f>
        <v/>
      </c>
      <c r="AM209" s="154">
        <f>IF((RD[[#This Row],[33kV_Aux1_Im]]-AH208)*1000&lt;0,"",(RD[[#This Row],[33kV_Aux1_Im]]-AH208)*1000)</f>
        <v>0</v>
      </c>
      <c r="AN209" s="154">
        <f>IF((RD[[#This Row],[33kV_Aux1_Im]]-AH208)*1000&lt;0,"",(RD[[#This Row],[33kV_Aux1_Im]]-AH208)*1000)</f>
        <v>0</v>
      </c>
      <c r="AO209" s="61">
        <f>RD[[#This Row],[33kV_OG1_Energy (KWh)]]</f>
        <v>0</v>
      </c>
      <c r="AP209" s="61">
        <f>IFERROR(RD[[#This Row],[220kV_TL_TVM Energy (KWh)]]-RD[[#This Row],[220kV_C&amp;R_PQM_Imp (KWh)2]],"")</f>
        <v>0</v>
      </c>
      <c r="AQ209" s="63" t="str">
        <f>IFERROR(RD[[#This Row],[33 kV Total Export (KWH)]]/RD[[#This Row],[220 KV Net Export (KWh)]]-1,"")</f>
        <v/>
      </c>
      <c r="AR209" s="64">
        <f>IFERROR((RD[[#This Row],[Sunset Time (POA&lt;20 W/m2)]]-RD[[#This Row],[Sunrise Time (POA&gt;20 W/m2)]])*24,0)</f>
        <v>0</v>
      </c>
      <c r="AS209" s="65">
        <f>RD[[#This Row],[33kV_OG1_Energy (KWh)]]</f>
        <v>0</v>
      </c>
      <c r="AT209" s="65">
        <f>IFERROR(RD[[#This Row],[ Export (33 kV)]]*(1-RD[[#This Row],[33 kV Line Loss (%)]]),RD[[#This Row],[ Export (33 kV)]])</f>
        <v>0</v>
      </c>
      <c r="AU209" s="190"/>
      <c r="AV209" s="190"/>
      <c r="AW209" s="190"/>
      <c r="AX209" t="str">
        <f>IFERROR(RD[[#This Row],[E_AC (WPR)]]/RD[[#This Row],[E_DC (WPR)]],"")</f>
        <v/>
      </c>
    </row>
    <row r="210" spans="1:50">
      <c r="A210" s="148">
        <f t="shared" si="53"/>
        <v>45950</v>
      </c>
      <c r="B210" s="151">
        <f>YEAR(RD[[#This Row],[Date]])+IF(MONTH(RD[[#This Row],[Date]])&gt;=4,1,0)</f>
        <v>2026</v>
      </c>
      <c r="C210" s="151">
        <f>YEAR(RD[[#This Row],[Date]])</f>
        <v>2025</v>
      </c>
      <c r="D210" s="66">
        <f t="shared" si="52"/>
        <v>45931</v>
      </c>
      <c r="E210" s="151">
        <f>DAY(EOMONTH(RD[[#This Row],[Date]],0))</f>
        <v>31</v>
      </c>
      <c r="F210" s="172"/>
      <c r="G210" s="172"/>
      <c r="H210" s="138"/>
      <c r="I210" s="138"/>
      <c r="J210" s="138"/>
      <c r="K210" s="138"/>
      <c r="L210" s="138"/>
      <c r="M210" s="138"/>
      <c r="N210" s="138"/>
      <c r="O210" s="169"/>
      <c r="P210" s="169"/>
      <c r="Q210" s="72"/>
      <c r="R210" s="69"/>
      <c r="S210" s="69"/>
      <c r="T210" s="69"/>
      <c r="U210" s="69"/>
      <c r="V210" s="69"/>
      <c r="W210" s="69"/>
      <c r="X210" s="69"/>
      <c r="Y210" s="70">
        <f>SUM(RD[[#This Row],[IS1Inv1]:[IS3Inv1]])</f>
        <v>0</v>
      </c>
      <c r="Z210" s="70">
        <f>SUM(RD[[#This Row],[IS4Inv1]:[IS4Inv2]])</f>
        <v>0</v>
      </c>
      <c r="AA210" s="70">
        <f>SUM(RD[[#This Row],[O2RE7]:[O2RE27]])</f>
        <v>0</v>
      </c>
      <c r="AB210" s="153"/>
      <c r="AC210" s="153"/>
      <c r="AD210" s="153"/>
      <c r="AE210" s="153"/>
      <c r="AF210" s="153"/>
      <c r="AG210" s="153"/>
      <c r="AH210" s="153"/>
      <c r="AI210" s="154" t="str">
        <f>IF((RD[[#This Row],[33 kV_F1_Ex]]-AB209)*225000&lt;=0,"",(RD[[#This Row],[33 kV_F1_Ex]]-AB209)*225000)</f>
        <v/>
      </c>
      <c r="AJ210" s="154">
        <f>IF((RD[[#This Row],[33kV_OG1_Ex]]-AC209)*1000&lt;=0,0,(RD[[#This Row],[33kV_OG1_Ex]]-AC209)*1000)</f>
        <v>0</v>
      </c>
      <c r="AK210" s="154">
        <f>IF((RD[[#This Row],[220kV_TL_TVM_Ex]]-AE209)*1600&lt;=0,0,(RD[[#This Row],[220kV_TL_TVM_Ex]]-AE209)*1600)</f>
        <v>0</v>
      </c>
      <c r="AL210" s="154" t="str">
        <f>IF((RD[[#This Row],[220kV_C&amp;R_PQM_Ex]]-AF209)*1000&lt;=0,"",(RD[[#This Row],[220kV_C&amp;R_PQM_Ex]]-AF209)*1000)</f>
        <v/>
      </c>
      <c r="AM210" s="154">
        <f>IF((RD[[#This Row],[33kV_Aux1_Im]]-AH209)*1000&lt;0,"",(RD[[#This Row],[33kV_Aux1_Im]]-AH209)*1000)</f>
        <v>0</v>
      </c>
      <c r="AN210" s="154">
        <f>IF((RD[[#This Row],[33kV_Aux1_Im]]-AH209)*1000&lt;0,"",(RD[[#This Row],[33kV_Aux1_Im]]-AH209)*1000)</f>
        <v>0</v>
      </c>
      <c r="AO210" s="61">
        <f>RD[[#This Row],[33kV_OG1_Energy (KWh)]]</f>
        <v>0</v>
      </c>
      <c r="AP210" s="61">
        <f>IFERROR(RD[[#This Row],[220kV_TL_TVM Energy (KWh)]]-RD[[#This Row],[220kV_C&amp;R_PQM_Imp (KWh)2]],"")</f>
        <v>0</v>
      </c>
      <c r="AQ210" s="63" t="str">
        <f>IFERROR(RD[[#This Row],[33 kV Total Export (KWH)]]/RD[[#This Row],[220 KV Net Export (KWh)]]-1,"")</f>
        <v/>
      </c>
      <c r="AR210" s="64">
        <f>IFERROR((RD[[#This Row],[Sunset Time (POA&lt;20 W/m2)]]-RD[[#This Row],[Sunrise Time (POA&gt;20 W/m2)]])*24,0)</f>
        <v>0</v>
      </c>
      <c r="AS210" s="65">
        <f>RD[[#This Row],[33kV_OG1_Energy (KWh)]]</f>
        <v>0</v>
      </c>
      <c r="AT210" s="65">
        <f>IFERROR(RD[[#This Row],[ Export (33 kV)]]*(1-RD[[#This Row],[33 kV Line Loss (%)]]),RD[[#This Row],[ Export (33 kV)]])</f>
        <v>0</v>
      </c>
      <c r="AU210" s="190"/>
      <c r="AV210" s="190"/>
      <c r="AW210" s="190"/>
      <c r="AX210" t="str">
        <f>IFERROR(RD[[#This Row],[E_AC (WPR)]]/RD[[#This Row],[E_DC (WPR)]],"")</f>
        <v/>
      </c>
    </row>
    <row r="211" spans="1:50">
      <c r="A211" s="148">
        <f t="shared" si="53"/>
        <v>45951</v>
      </c>
      <c r="B211" s="151">
        <f>YEAR(RD[[#This Row],[Date]])+IF(MONTH(RD[[#This Row],[Date]])&gt;=4,1,0)</f>
        <v>2026</v>
      </c>
      <c r="C211" s="151">
        <f>YEAR(RD[[#This Row],[Date]])</f>
        <v>2025</v>
      </c>
      <c r="D211" s="66">
        <f t="shared" si="52"/>
        <v>45931</v>
      </c>
      <c r="E211" s="151">
        <f>DAY(EOMONTH(RD[[#This Row],[Date]],0))</f>
        <v>31</v>
      </c>
      <c r="F211" s="172"/>
      <c r="G211" s="172"/>
      <c r="H211" s="138"/>
      <c r="I211" s="138"/>
      <c r="J211" s="138"/>
      <c r="K211" s="138"/>
      <c r="L211" s="138"/>
      <c r="M211" s="138"/>
      <c r="N211" s="138"/>
      <c r="O211" s="169"/>
      <c r="P211" s="169"/>
      <c r="Q211" s="72"/>
      <c r="R211" s="69"/>
      <c r="S211" s="69"/>
      <c r="T211" s="69"/>
      <c r="U211" s="69"/>
      <c r="V211" s="69"/>
      <c r="W211" s="69"/>
      <c r="X211" s="69"/>
      <c r="Y211" s="70">
        <f>SUM(RD[[#This Row],[IS1Inv1]:[IS3Inv1]])</f>
        <v>0</v>
      </c>
      <c r="Z211" s="70">
        <f>SUM(RD[[#This Row],[IS4Inv1]:[IS4Inv2]])</f>
        <v>0</v>
      </c>
      <c r="AA211" s="70">
        <f>SUM(RD[[#This Row],[O2RE7]:[O2RE27]])</f>
        <v>0</v>
      </c>
      <c r="AB211" s="153"/>
      <c r="AC211" s="153"/>
      <c r="AD211" s="153"/>
      <c r="AE211" s="153"/>
      <c r="AF211" s="153"/>
      <c r="AG211" s="153"/>
      <c r="AH211" s="153"/>
      <c r="AI211" s="154" t="str">
        <f>IF((RD[[#This Row],[33 kV_F1_Ex]]-AB210)*225000&lt;=0,"",(RD[[#This Row],[33 kV_F1_Ex]]-AB210)*225000)</f>
        <v/>
      </c>
      <c r="AJ211" s="154">
        <f>IF((RD[[#This Row],[33kV_OG1_Ex]]-AC210)*1000&lt;=0,0,(RD[[#This Row],[33kV_OG1_Ex]]-AC210)*1000)</f>
        <v>0</v>
      </c>
      <c r="AK211" s="154">
        <f>IF((RD[[#This Row],[220kV_TL_TVM_Ex]]-AE210)*1600&lt;=0,0,(RD[[#This Row],[220kV_TL_TVM_Ex]]-AE210)*1600)</f>
        <v>0</v>
      </c>
      <c r="AL211" s="154" t="str">
        <f>IF((RD[[#This Row],[220kV_C&amp;R_PQM_Ex]]-AF210)*1000&lt;=0,"",(RD[[#This Row],[220kV_C&amp;R_PQM_Ex]]-AF210)*1000)</f>
        <v/>
      </c>
      <c r="AM211" s="154">
        <f>IF((RD[[#This Row],[33kV_Aux1_Im]]-AH210)*1000&lt;0,"",(RD[[#This Row],[33kV_Aux1_Im]]-AH210)*1000)</f>
        <v>0</v>
      </c>
      <c r="AN211" s="154">
        <f>IF((RD[[#This Row],[33kV_Aux1_Im]]-AH210)*1000&lt;0,"",(RD[[#This Row],[33kV_Aux1_Im]]-AH210)*1000)</f>
        <v>0</v>
      </c>
      <c r="AO211" s="61">
        <f>RD[[#This Row],[33kV_OG1_Energy (KWh)]]</f>
        <v>0</v>
      </c>
      <c r="AP211" s="61">
        <f>IFERROR(RD[[#This Row],[220kV_TL_TVM Energy (KWh)]]-RD[[#This Row],[220kV_C&amp;R_PQM_Imp (KWh)2]],"")</f>
        <v>0</v>
      </c>
      <c r="AQ211" s="63" t="str">
        <f>IFERROR(RD[[#This Row],[33 kV Total Export (KWH)]]/RD[[#This Row],[220 KV Net Export (KWh)]]-1,"")</f>
        <v/>
      </c>
      <c r="AR211" s="64">
        <f>IFERROR((RD[[#This Row],[Sunset Time (POA&lt;20 W/m2)]]-RD[[#This Row],[Sunrise Time (POA&gt;20 W/m2)]])*24,0)</f>
        <v>0</v>
      </c>
      <c r="AS211" s="65">
        <f>RD[[#This Row],[33kV_OG1_Energy (KWh)]]</f>
        <v>0</v>
      </c>
      <c r="AT211" s="65">
        <f>IFERROR(RD[[#This Row],[ Export (33 kV)]]*(1-RD[[#This Row],[33 kV Line Loss (%)]]),RD[[#This Row],[ Export (33 kV)]])</f>
        <v>0</v>
      </c>
      <c r="AU211" s="190"/>
      <c r="AV211" s="190"/>
      <c r="AW211" s="190"/>
      <c r="AX211" t="str">
        <f>IFERROR(RD[[#This Row],[E_AC (WPR)]]/RD[[#This Row],[E_DC (WPR)]],"")</f>
        <v/>
      </c>
    </row>
    <row r="212" spans="1:50">
      <c r="A212" s="148">
        <f t="shared" si="53"/>
        <v>45952</v>
      </c>
      <c r="B212" s="151">
        <f>YEAR(RD[[#This Row],[Date]])+IF(MONTH(RD[[#This Row],[Date]])&gt;=4,1,0)</f>
        <v>2026</v>
      </c>
      <c r="C212" s="151">
        <f>YEAR(RD[[#This Row],[Date]])</f>
        <v>2025</v>
      </c>
      <c r="D212" s="66">
        <f t="shared" si="52"/>
        <v>45931</v>
      </c>
      <c r="E212" s="151">
        <f>DAY(EOMONTH(RD[[#This Row],[Date]],0))</f>
        <v>31</v>
      </c>
      <c r="F212" s="172"/>
      <c r="G212" s="172"/>
      <c r="H212" s="138"/>
      <c r="I212" s="138"/>
      <c r="J212" s="138"/>
      <c r="K212" s="138"/>
      <c r="L212" s="138"/>
      <c r="M212" s="138"/>
      <c r="N212" s="138"/>
      <c r="O212" s="169"/>
      <c r="P212" s="169"/>
      <c r="Q212" s="72"/>
      <c r="R212" s="69"/>
      <c r="S212" s="69"/>
      <c r="T212" s="69"/>
      <c r="U212" s="69"/>
      <c r="V212" s="69"/>
      <c r="W212" s="69"/>
      <c r="X212" s="69"/>
      <c r="Y212" s="70">
        <f>SUM(RD[[#This Row],[IS1Inv1]:[IS3Inv1]])</f>
        <v>0</v>
      </c>
      <c r="Z212" s="70">
        <f>SUM(RD[[#This Row],[IS4Inv1]:[IS4Inv2]])</f>
        <v>0</v>
      </c>
      <c r="AA212" s="70">
        <f>SUM(RD[[#This Row],[O2RE7]:[O2RE27]])</f>
        <v>0</v>
      </c>
      <c r="AB212" s="153"/>
      <c r="AC212" s="153"/>
      <c r="AD212" s="153"/>
      <c r="AE212" s="153"/>
      <c r="AF212" s="153"/>
      <c r="AG212" s="153"/>
      <c r="AH212" s="153"/>
      <c r="AI212" s="154" t="str">
        <f>IF((RD[[#This Row],[33 kV_F1_Ex]]-AB211)*225000&lt;=0,"",(RD[[#This Row],[33 kV_F1_Ex]]-AB211)*225000)</f>
        <v/>
      </c>
      <c r="AJ212" s="154">
        <f>IF((RD[[#This Row],[33kV_OG1_Ex]]-AC211)*1000&lt;=0,0,(RD[[#This Row],[33kV_OG1_Ex]]-AC211)*1000)</f>
        <v>0</v>
      </c>
      <c r="AK212" s="154">
        <f>IF((RD[[#This Row],[220kV_TL_TVM_Ex]]-AE211)*1600&lt;=0,0,(RD[[#This Row],[220kV_TL_TVM_Ex]]-AE211)*1600)</f>
        <v>0</v>
      </c>
      <c r="AL212" s="154" t="str">
        <f>IF((RD[[#This Row],[220kV_C&amp;R_PQM_Ex]]-AF211)*1000&lt;=0,"",(RD[[#This Row],[220kV_C&amp;R_PQM_Ex]]-AF211)*1000)</f>
        <v/>
      </c>
      <c r="AM212" s="154">
        <f>IF((RD[[#This Row],[33kV_Aux1_Im]]-AH211)*1000&lt;0,"",(RD[[#This Row],[33kV_Aux1_Im]]-AH211)*1000)</f>
        <v>0</v>
      </c>
      <c r="AN212" s="154">
        <f>IF((RD[[#This Row],[33kV_Aux1_Im]]-AH211)*1000&lt;0,"",(RD[[#This Row],[33kV_Aux1_Im]]-AH211)*1000)</f>
        <v>0</v>
      </c>
      <c r="AO212" s="61">
        <f>RD[[#This Row],[33kV_OG1_Energy (KWh)]]</f>
        <v>0</v>
      </c>
      <c r="AP212" s="61">
        <f>IFERROR(RD[[#This Row],[220kV_TL_TVM Energy (KWh)]]-RD[[#This Row],[220kV_C&amp;R_PQM_Imp (KWh)2]],"")</f>
        <v>0</v>
      </c>
      <c r="AQ212" s="63" t="str">
        <f>IFERROR(RD[[#This Row],[33 kV Total Export (KWH)]]/RD[[#This Row],[220 KV Net Export (KWh)]]-1,"")</f>
        <v/>
      </c>
      <c r="AR212" s="64">
        <f>IFERROR((RD[[#This Row],[Sunset Time (POA&lt;20 W/m2)]]-RD[[#This Row],[Sunrise Time (POA&gt;20 W/m2)]])*24,0)</f>
        <v>0</v>
      </c>
      <c r="AS212" s="65">
        <f>RD[[#This Row],[33kV_OG1_Energy (KWh)]]</f>
        <v>0</v>
      </c>
      <c r="AT212" s="65">
        <f>IFERROR(RD[[#This Row],[ Export (33 kV)]]*(1-RD[[#This Row],[33 kV Line Loss (%)]]),RD[[#This Row],[ Export (33 kV)]])</f>
        <v>0</v>
      </c>
      <c r="AU212" s="190"/>
      <c r="AV212" s="190"/>
      <c r="AW212" s="190"/>
      <c r="AX212" t="str">
        <f>IFERROR(RD[[#This Row],[E_AC (WPR)]]/RD[[#This Row],[E_DC (WPR)]],"")</f>
        <v/>
      </c>
    </row>
    <row r="213" spans="1:50">
      <c r="A213" s="148">
        <f t="shared" si="53"/>
        <v>45953</v>
      </c>
      <c r="B213" s="151">
        <f>YEAR(RD[[#This Row],[Date]])+IF(MONTH(RD[[#This Row],[Date]])&gt;=4,1,0)</f>
        <v>2026</v>
      </c>
      <c r="C213" s="151">
        <f>YEAR(RD[[#This Row],[Date]])</f>
        <v>2025</v>
      </c>
      <c r="D213" s="66">
        <f t="shared" si="52"/>
        <v>45931</v>
      </c>
      <c r="E213" s="151">
        <f>DAY(EOMONTH(RD[[#This Row],[Date]],0))</f>
        <v>31</v>
      </c>
      <c r="F213" s="172"/>
      <c r="G213" s="172"/>
      <c r="H213" s="138"/>
      <c r="I213" s="138"/>
      <c r="J213" s="138"/>
      <c r="K213" s="138"/>
      <c r="L213" s="138"/>
      <c r="M213" s="138"/>
      <c r="N213" s="138"/>
      <c r="O213" s="169"/>
      <c r="P213" s="169"/>
      <c r="Q213" s="72"/>
      <c r="R213" s="69"/>
      <c r="S213" s="69"/>
      <c r="T213" s="69"/>
      <c r="U213" s="69"/>
      <c r="V213" s="69"/>
      <c r="W213" s="69"/>
      <c r="X213" s="69"/>
      <c r="Y213" s="70">
        <f>SUM(RD[[#This Row],[IS1Inv1]:[IS3Inv1]])</f>
        <v>0</v>
      </c>
      <c r="Z213" s="70">
        <f>SUM(RD[[#This Row],[IS4Inv1]:[IS4Inv2]])</f>
        <v>0</v>
      </c>
      <c r="AA213" s="70">
        <f>SUM(RD[[#This Row],[O2RE7]:[O2RE27]])</f>
        <v>0</v>
      </c>
      <c r="AB213" s="153"/>
      <c r="AC213" s="153"/>
      <c r="AD213" s="153"/>
      <c r="AE213" s="153"/>
      <c r="AF213" s="153"/>
      <c r="AG213" s="153"/>
      <c r="AH213" s="153"/>
      <c r="AI213" s="154" t="str">
        <f>IF((RD[[#This Row],[33 kV_F1_Ex]]-AB212)*225000&lt;=0,"",(RD[[#This Row],[33 kV_F1_Ex]]-AB212)*225000)</f>
        <v/>
      </c>
      <c r="AJ213" s="154">
        <f>IF((RD[[#This Row],[33kV_OG1_Ex]]-AC212)*1000&lt;=0,0,(RD[[#This Row],[33kV_OG1_Ex]]-AC212)*1000)</f>
        <v>0</v>
      </c>
      <c r="AK213" s="154">
        <f>IF((RD[[#This Row],[220kV_TL_TVM_Ex]]-AE212)*1600&lt;=0,0,(RD[[#This Row],[220kV_TL_TVM_Ex]]-AE212)*1600)</f>
        <v>0</v>
      </c>
      <c r="AL213" s="154" t="str">
        <f>IF((RD[[#This Row],[220kV_C&amp;R_PQM_Ex]]-AF212)*1000&lt;=0,"",(RD[[#This Row],[220kV_C&amp;R_PQM_Ex]]-AF212)*1000)</f>
        <v/>
      </c>
      <c r="AM213" s="154">
        <f>IF((RD[[#This Row],[33kV_Aux1_Im]]-AH212)*1000&lt;0,"",(RD[[#This Row],[33kV_Aux1_Im]]-AH212)*1000)</f>
        <v>0</v>
      </c>
      <c r="AN213" s="154">
        <f>IF((RD[[#This Row],[33kV_Aux1_Im]]-AH212)*1000&lt;0,"",(RD[[#This Row],[33kV_Aux1_Im]]-AH212)*1000)</f>
        <v>0</v>
      </c>
      <c r="AO213" s="61">
        <f>RD[[#This Row],[33kV_OG1_Energy (KWh)]]</f>
        <v>0</v>
      </c>
      <c r="AP213" s="61">
        <f>IFERROR(RD[[#This Row],[220kV_TL_TVM Energy (KWh)]]-RD[[#This Row],[220kV_C&amp;R_PQM_Imp (KWh)2]],"")</f>
        <v>0</v>
      </c>
      <c r="AQ213" s="63" t="str">
        <f>IFERROR(RD[[#This Row],[33 kV Total Export (KWH)]]/RD[[#This Row],[220 KV Net Export (KWh)]]-1,"")</f>
        <v/>
      </c>
      <c r="AR213" s="64">
        <f>IFERROR((RD[[#This Row],[Sunset Time (POA&lt;20 W/m2)]]-RD[[#This Row],[Sunrise Time (POA&gt;20 W/m2)]])*24,0)</f>
        <v>0</v>
      </c>
      <c r="AS213" s="65">
        <f>RD[[#This Row],[33kV_OG1_Energy (KWh)]]</f>
        <v>0</v>
      </c>
      <c r="AT213" s="65">
        <f>IFERROR(RD[[#This Row],[ Export (33 kV)]]*(1-RD[[#This Row],[33 kV Line Loss (%)]]),RD[[#This Row],[ Export (33 kV)]])</f>
        <v>0</v>
      </c>
      <c r="AU213" s="190"/>
      <c r="AV213" s="190"/>
      <c r="AW213" s="190"/>
      <c r="AX213" t="str">
        <f>IFERROR(RD[[#This Row],[E_AC (WPR)]]/RD[[#This Row],[E_DC (WPR)]],"")</f>
        <v/>
      </c>
    </row>
    <row r="214" spans="1:50">
      <c r="A214" s="148">
        <f t="shared" si="53"/>
        <v>45954</v>
      </c>
      <c r="B214" s="151">
        <f>YEAR(RD[[#This Row],[Date]])+IF(MONTH(RD[[#This Row],[Date]])&gt;=4,1,0)</f>
        <v>2026</v>
      </c>
      <c r="C214" s="151">
        <f>YEAR(RD[[#This Row],[Date]])</f>
        <v>2025</v>
      </c>
      <c r="D214" s="66">
        <f t="shared" si="52"/>
        <v>45931</v>
      </c>
      <c r="E214" s="151">
        <f>DAY(EOMONTH(RD[[#This Row],[Date]],0))</f>
        <v>31</v>
      </c>
      <c r="F214" s="172"/>
      <c r="G214" s="172"/>
      <c r="H214" s="138"/>
      <c r="I214" s="138"/>
      <c r="J214" s="138"/>
      <c r="K214" s="138"/>
      <c r="L214" s="138"/>
      <c r="M214" s="138"/>
      <c r="N214" s="138"/>
      <c r="O214" s="169"/>
      <c r="P214" s="169"/>
      <c r="Q214" s="72"/>
      <c r="R214" s="69"/>
      <c r="S214" s="69"/>
      <c r="T214" s="69"/>
      <c r="U214" s="69"/>
      <c r="V214" s="69"/>
      <c r="W214" s="69"/>
      <c r="X214" s="69"/>
      <c r="Y214" s="70">
        <f>SUM(RD[[#This Row],[IS1Inv1]:[IS3Inv1]])</f>
        <v>0</v>
      </c>
      <c r="Z214" s="70">
        <f>SUM(RD[[#This Row],[IS4Inv1]:[IS4Inv2]])</f>
        <v>0</v>
      </c>
      <c r="AA214" s="70">
        <f>SUM(RD[[#This Row],[O2RE7]:[O2RE27]])</f>
        <v>0</v>
      </c>
      <c r="AB214" s="153"/>
      <c r="AC214" s="153"/>
      <c r="AD214" s="153"/>
      <c r="AE214" s="153"/>
      <c r="AF214" s="153"/>
      <c r="AG214" s="153"/>
      <c r="AH214" s="153"/>
      <c r="AI214" s="154" t="str">
        <f>IF((RD[[#This Row],[33 kV_F1_Ex]]-AB213)*225000&lt;=0,"",(RD[[#This Row],[33 kV_F1_Ex]]-AB213)*225000)</f>
        <v/>
      </c>
      <c r="AJ214" s="154">
        <f>IF((RD[[#This Row],[33kV_OG1_Ex]]-AC213)*1000&lt;=0,0,(RD[[#This Row],[33kV_OG1_Ex]]-AC213)*1000)</f>
        <v>0</v>
      </c>
      <c r="AK214" s="154">
        <f>IF((RD[[#This Row],[220kV_TL_TVM_Ex]]-AE213)*1600&lt;=0,0,(RD[[#This Row],[220kV_TL_TVM_Ex]]-AE213)*1600)</f>
        <v>0</v>
      </c>
      <c r="AL214" s="154" t="str">
        <f>IF((RD[[#This Row],[220kV_C&amp;R_PQM_Ex]]-AF213)*1000&lt;=0,"",(RD[[#This Row],[220kV_C&amp;R_PQM_Ex]]-AF213)*1000)</f>
        <v/>
      </c>
      <c r="AM214" s="154">
        <f>IF((RD[[#This Row],[33kV_Aux1_Im]]-AH213)*1000&lt;0,"",(RD[[#This Row],[33kV_Aux1_Im]]-AH213)*1000)</f>
        <v>0</v>
      </c>
      <c r="AN214" s="154">
        <f>IF((RD[[#This Row],[33kV_Aux1_Im]]-AH213)*1000&lt;0,"",(RD[[#This Row],[33kV_Aux1_Im]]-AH213)*1000)</f>
        <v>0</v>
      </c>
      <c r="AO214" s="61">
        <f>RD[[#This Row],[33kV_OG1_Energy (KWh)]]</f>
        <v>0</v>
      </c>
      <c r="AP214" s="61">
        <f>IFERROR(RD[[#This Row],[220kV_TL_TVM Energy (KWh)]]-RD[[#This Row],[220kV_C&amp;R_PQM_Imp (KWh)2]],"")</f>
        <v>0</v>
      </c>
      <c r="AQ214" s="63" t="str">
        <f>IFERROR(RD[[#This Row],[33 kV Total Export (KWH)]]/RD[[#This Row],[220 KV Net Export (KWh)]]-1,"")</f>
        <v/>
      </c>
      <c r="AR214" s="64">
        <f>IFERROR((RD[[#This Row],[Sunset Time (POA&lt;20 W/m2)]]-RD[[#This Row],[Sunrise Time (POA&gt;20 W/m2)]])*24,0)</f>
        <v>0</v>
      </c>
      <c r="AS214" s="65">
        <f>RD[[#This Row],[33kV_OG1_Energy (KWh)]]</f>
        <v>0</v>
      </c>
      <c r="AT214" s="65">
        <f>IFERROR(RD[[#This Row],[ Export (33 kV)]]*(1-RD[[#This Row],[33 kV Line Loss (%)]]),RD[[#This Row],[ Export (33 kV)]])</f>
        <v>0</v>
      </c>
      <c r="AU214" s="190"/>
      <c r="AV214" s="190"/>
      <c r="AW214" s="190"/>
      <c r="AX214" t="str">
        <f>IFERROR(RD[[#This Row],[E_AC (WPR)]]/RD[[#This Row],[E_DC (WPR)]],"")</f>
        <v/>
      </c>
    </row>
    <row r="215" spans="1:50">
      <c r="A215" s="148">
        <f t="shared" si="53"/>
        <v>45955</v>
      </c>
      <c r="B215" s="151">
        <f>YEAR(RD[[#This Row],[Date]])+IF(MONTH(RD[[#This Row],[Date]])&gt;=4,1,0)</f>
        <v>2026</v>
      </c>
      <c r="C215" s="151">
        <f>YEAR(RD[[#This Row],[Date]])</f>
        <v>2025</v>
      </c>
      <c r="D215" s="66">
        <f t="shared" si="52"/>
        <v>45931</v>
      </c>
      <c r="E215" s="151">
        <f>DAY(EOMONTH(RD[[#This Row],[Date]],0))</f>
        <v>31</v>
      </c>
      <c r="F215" s="172"/>
      <c r="G215" s="172"/>
      <c r="H215" s="138"/>
      <c r="I215" s="138"/>
      <c r="J215" s="138"/>
      <c r="K215" s="138"/>
      <c r="L215" s="138"/>
      <c r="M215" s="138"/>
      <c r="N215" s="138"/>
      <c r="O215" s="169"/>
      <c r="P215" s="169"/>
      <c r="Q215" s="72"/>
      <c r="R215" s="69"/>
      <c r="S215" s="69"/>
      <c r="T215" s="69"/>
      <c r="U215" s="69"/>
      <c r="V215" s="69"/>
      <c r="W215" s="69"/>
      <c r="X215" s="69"/>
      <c r="Y215" s="70">
        <f>SUM(RD[[#This Row],[IS1Inv1]:[IS3Inv1]])</f>
        <v>0</v>
      </c>
      <c r="Z215" s="70">
        <f>SUM(RD[[#This Row],[IS4Inv1]:[IS4Inv2]])</f>
        <v>0</v>
      </c>
      <c r="AA215" s="70">
        <f>SUM(RD[[#This Row],[O2RE7]:[O2RE27]])</f>
        <v>0</v>
      </c>
      <c r="AB215" s="153"/>
      <c r="AC215" s="153"/>
      <c r="AD215" s="153"/>
      <c r="AE215" s="153"/>
      <c r="AF215" s="153"/>
      <c r="AG215" s="153"/>
      <c r="AH215" s="153"/>
      <c r="AI215" s="154" t="str">
        <f>IF((RD[[#This Row],[33 kV_F1_Ex]]-AB214)*225000&lt;=0,"",(RD[[#This Row],[33 kV_F1_Ex]]-AB214)*225000)</f>
        <v/>
      </c>
      <c r="AJ215" s="154">
        <f>IF((RD[[#This Row],[33kV_OG1_Ex]]-AC214)*1000&lt;=0,0,(RD[[#This Row],[33kV_OG1_Ex]]-AC214)*1000)</f>
        <v>0</v>
      </c>
      <c r="AK215" s="154">
        <f>IF((RD[[#This Row],[220kV_TL_TVM_Ex]]-AE214)*1600&lt;=0,0,(RD[[#This Row],[220kV_TL_TVM_Ex]]-AE214)*1600)</f>
        <v>0</v>
      </c>
      <c r="AL215" s="154" t="str">
        <f>IF((RD[[#This Row],[220kV_C&amp;R_PQM_Ex]]-AF214)*1000&lt;=0,"",(RD[[#This Row],[220kV_C&amp;R_PQM_Ex]]-AF214)*1000)</f>
        <v/>
      </c>
      <c r="AM215" s="154">
        <f>IF((RD[[#This Row],[33kV_Aux1_Im]]-AH214)*1000&lt;0,"",(RD[[#This Row],[33kV_Aux1_Im]]-AH214)*1000)</f>
        <v>0</v>
      </c>
      <c r="AN215" s="154">
        <f>IF((RD[[#This Row],[33kV_Aux1_Im]]-AH214)*1000&lt;0,"",(RD[[#This Row],[33kV_Aux1_Im]]-AH214)*1000)</f>
        <v>0</v>
      </c>
      <c r="AO215" s="61">
        <f>RD[[#This Row],[33kV_OG1_Energy (KWh)]]</f>
        <v>0</v>
      </c>
      <c r="AP215" s="61">
        <f>IFERROR(RD[[#This Row],[220kV_TL_TVM Energy (KWh)]]-RD[[#This Row],[220kV_C&amp;R_PQM_Imp (KWh)2]],"")</f>
        <v>0</v>
      </c>
      <c r="AQ215" s="63" t="str">
        <f>IFERROR(RD[[#This Row],[33 kV Total Export (KWH)]]/RD[[#This Row],[220 KV Net Export (KWh)]]-1,"")</f>
        <v/>
      </c>
      <c r="AR215" s="64">
        <f>IFERROR((RD[[#This Row],[Sunset Time (POA&lt;20 W/m2)]]-RD[[#This Row],[Sunrise Time (POA&gt;20 W/m2)]])*24,0)</f>
        <v>0</v>
      </c>
      <c r="AS215" s="65">
        <f>RD[[#This Row],[33kV_OG1_Energy (KWh)]]</f>
        <v>0</v>
      </c>
      <c r="AT215" s="65">
        <f>IFERROR(RD[[#This Row],[ Export (33 kV)]]*(1-RD[[#This Row],[33 kV Line Loss (%)]]),RD[[#This Row],[ Export (33 kV)]])</f>
        <v>0</v>
      </c>
      <c r="AU215" s="190"/>
      <c r="AV215" s="190"/>
      <c r="AW215" s="190"/>
      <c r="AX215" t="str">
        <f>IFERROR(RD[[#This Row],[E_AC (WPR)]]/RD[[#This Row],[E_DC (WPR)]],"")</f>
        <v/>
      </c>
    </row>
    <row r="216" spans="1:50">
      <c r="A216" s="148">
        <f t="shared" si="53"/>
        <v>45956</v>
      </c>
      <c r="B216" s="151">
        <f>YEAR(RD[[#This Row],[Date]])+IF(MONTH(RD[[#This Row],[Date]])&gt;=4,1,0)</f>
        <v>2026</v>
      </c>
      <c r="C216" s="151">
        <f>YEAR(RD[[#This Row],[Date]])</f>
        <v>2025</v>
      </c>
      <c r="D216" s="66">
        <f t="shared" si="52"/>
        <v>45931</v>
      </c>
      <c r="E216" s="151">
        <f>DAY(EOMONTH(RD[[#This Row],[Date]],0))</f>
        <v>31</v>
      </c>
      <c r="F216" s="172"/>
      <c r="G216" s="172"/>
      <c r="H216" s="138"/>
      <c r="I216" s="138"/>
      <c r="J216" s="138"/>
      <c r="K216" s="138"/>
      <c r="L216" s="138"/>
      <c r="M216" s="138"/>
      <c r="N216" s="138"/>
      <c r="O216" s="169"/>
      <c r="P216" s="169"/>
      <c r="Q216" s="72"/>
      <c r="R216" s="69"/>
      <c r="S216" s="69"/>
      <c r="T216" s="69"/>
      <c r="U216" s="69"/>
      <c r="V216" s="69"/>
      <c r="W216" s="69"/>
      <c r="X216" s="69"/>
      <c r="Y216" s="70">
        <f>SUM(RD[[#This Row],[IS1Inv1]:[IS3Inv1]])</f>
        <v>0</v>
      </c>
      <c r="Z216" s="70">
        <f>SUM(RD[[#This Row],[IS4Inv1]:[IS4Inv2]])</f>
        <v>0</v>
      </c>
      <c r="AA216" s="70">
        <f>SUM(RD[[#This Row],[O2RE7]:[O2RE27]])</f>
        <v>0</v>
      </c>
      <c r="AB216" s="153"/>
      <c r="AC216" s="153"/>
      <c r="AD216" s="153"/>
      <c r="AE216" s="153"/>
      <c r="AF216" s="153"/>
      <c r="AG216" s="153"/>
      <c r="AH216" s="153"/>
      <c r="AI216" s="154" t="str">
        <f>IF((RD[[#This Row],[33 kV_F1_Ex]]-AB215)*225000&lt;=0,"",(RD[[#This Row],[33 kV_F1_Ex]]-AB215)*225000)</f>
        <v/>
      </c>
      <c r="AJ216" s="154">
        <f>IF((RD[[#This Row],[33kV_OG1_Ex]]-AC215)*1000&lt;=0,0,(RD[[#This Row],[33kV_OG1_Ex]]-AC215)*1000)</f>
        <v>0</v>
      </c>
      <c r="AK216" s="154">
        <f>IF((RD[[#This Row],[220kV_TL_TVM_Ex]]-AE215)*1600&lt;=0,0,(RD[[#This Row],[220kV_TL_TVM_Ex]]-AE215)*1600)</f>
        <v>0</v>
      </c>
      <c r="AL216" s="154" t="str">
        <f>IF((RD[[#This Row],[220kV_C&amp;R_PQM_Ex]]-AF215)*1000&lt;=0,"",(RD[[#This Row],[220kV_C&amp;R_PQM_Ex]]-AF215)*1000)</f>
        <v/>
      </c>
      <c r="AM216" s="154">
        <f>IF((RD[[#This Row],[33kV_Aux1_Im]]-AH215)*1000&lt;0,"",(RD[[#This Row],[33kV_Aux1_Im]]-AH215)*1000)</f>
        <v>0</v>
      </c>
      <c r="AN216" s="154">
        <f>IF((RD[[#This Row],[33kV_Aux1_Im]]-AH215)*1000&lt;0,"",(RD[[#This Row],[33kV_Aux1_Im]]-AH215)*1000)</f>
        <v>0</v>
      </c>
      <c r="AO216" s="61">
        <f>RD[[#This Row],[33kV_OG1_Energy (KWh)]]</f>
        <v>0</v>
      </c>
      <c r="AP216" s="61">
        <f>IFERROR(RD[[#This Row],[220kV_TL_TVM Energy (KWh)]]-RD[[#This Row],[220kV_C&amp;R_PQM_Imp (KWh)2]],"")</f>
        <v>0</v>
      </c>
      <c r="AQ216" s="63" t="str">
        <f>IFERROR(RD[[#This Row],[33 kV Total Export (KWH)]]/RD[[#This Row],[220 KV Net Export (KWh)]]-1,"")</f>
        <v/>
      </c>
      <c r="AR216" s="64">
        <f>IFERROR((RD[[#This Row],[Sunset Time (POA&lt;20 W/m2)]]-RD[[#This Row],[Sunrise Time (POA&gt;20 W/m2)]])*24,0)</f>
        <v>0</v>
      </c>
      <c r="AS216" s="65">
        <f>RD[[#This Row],[33kV_OG1_Energy (KWh)]]</f>
        <v>0</v>
      </c>
      <c r="AT216" s="65">
        <f>IFERROR(RD[[#This Row],[ Export (33 kV)]]*(1-RD[[#This Row],[33 kV Line Loss (%)]]),RD[[#This Row],[ Export (33 kV)]])</f>
        <v>0</v>
      </c>
      <c r="AU216" s="190"/>
      <c r="AV216" s="190"/>
      <c r="AW216" s="190"/>
      <c r="AX216" t="str">
        <f>IFERROR(RD[[#This Row],[E_AC (WPR)]]/RD[[#This Row],[E_DC (WPR)]],"")</f>
        <v/>
      </c>
    </row>
    <row r="217" spans="1:50">
      <c r="A217" s="148">
        <f t="shared" si="53"/>
        <v>45957</v>
      </c>
      <c r="B217" s="151">
        <f>YEAR(RD[[#This Row],[Date]])+IF(MONTH(RD[[#This Row],[Date]])&gt;=4,1,0)</f>
        <v>2026</v>
      </c>
      <c r="C217" s="151">
        <f>YEAR(RD[[#This Row],[Date]])</f>
        <v>2025</v>
      </c>
      <c r="D217" s="66">
        <f t="shared" si="52"/>
        <v>45931</v>
      </c>
      <c r="E217" s="151">
        <f>DAY(EOMONTH(RD[[#This Row],[Date]],0))</f>
        <v>31</v>
      </c>
      <c r="F217" s="172"/>
      <c r="G217" s="172"/>
      <c r="H217" s="138"/>
      <c r="I217" s="138"/>
      <c r="J217" s="138"/>
      <c r="K217" s="138"/>
      <c r="L217" s="138"/>
      <c r="M217" s="138"/>
      <c r="N217" s="138"/>
      <c r="O217" s="169"/>
      <c r="P217" s="169"/>
      <c r="Q217" s="72"/>
      <c r="R217" s="69"/>
      <c r="S217" s="69"/>
      <c r="T217" s="69"/>
      <c r="U217" s="69"/>
      <c r="V217" s="69"/>
      <c r="W217" s="69"/>
      <c r="X217" s="69"/>
      <c r="Y217" s="70">
        <f>SUM(RD[[#This Row],[IS1Inv1]:[IS3Inv1]])</f>
        <v>0</v>
      </c>
      <c r="Z217" s="70">
        <f>SUM(RD[[#This Row],[IS4Inv1]:[IS4Inv2]])</f>
        <v>0</v>
      </c>
      <c r="AA217" s="70">
        <f>SUM(RD[[#This Row],[O2RE7]:[O2RE27]])</f>
        <v>0</v>
      </c>
      <c r="AB217" s="153"/>
      <c r="AC217" s="153"/>
      <c r="AD217" s="153"/>
      <c r="AE217" s="153"/>
      <c r="AF217" s="153"/>
      <c r="AG217" s="153"/>
      <c r="AH217" s="153"/>
      <c r="AI217" s="154" t="str">
        <f>IF((RD[[#This Row],[33 kV_F1_Ex]]-AB216)*225000&lt;=0,"",(RD[[#This Row],[33 kV_F1_Ex]]-AB216)*225000)</f>
        <v/>
      </c>
      <c r="AJ217" s="154">
        <f>IF((RD[[#This Row],[33kV_OG1_Ex]]-AC216)*1000&lt;=0,0,(RD[[#This Row],[33kV_OG1_Ex]]-AC216)*1000)</f>
        <v>0</v>
      </c>
      <c r="AK217" s="154">
        <f>IF((RD[[#This Row],[220kV_TL_TVM_Ex]]-AE216)*1600&lt;=0,0,(RD[[#This Row],[220kV_TL_TVM_Ex]]-AE216)*1600)</f>
        <v>0</v>
      </c>
      <c r="AL217" s="154" t="str">
        <f>IF((RD[[#This Row],[220kV_C&amp;R_PQM_Ex]]-AF216)*1000&lt;=0,"",(RD[[#This Row],[220kV_C&amp;R_PQM_Ex]]-AF216)*1000)</f>
        <v/>
      </c>
      <c r="AM217" s="154">
        <f>IF((RD[[#This Row],[33kV_Aux1_Im]]-AH216)*1000&lt;0,"",(RD[[#This Row],[33kV_Aux1_Im]]-AH216)*1000)</f>
        <v>0</v>
      </c>
      <c r="AN217" s="154">
        <f>IF((RD[[#This Row],[33kV_Aux1_Im]]-AH216)*1000&lt;0,"",(RD[[#This Row],[33kV_Aux1_Im]]-AH216)*1000)</f>
        <v>0</v>
      </c>
      <c r="AO217" s="61">
        <f>RD[[#This Row],[33kV_OG1_Energy (KWh)]]</f>
        <v>0</v>
      </c>
      <c r="AP217" s="61">
        <f>IFERROR(RD[[#This Row],[220kV_TL_TVM Energy (KWh)]]-RD[[#This Row],[220kV_C&amp;R_PQM_Imp (KWh)2]],"")</f>
        <v>0</v>
      </c>
      <c r="AQ217" s="63" t="str">
        <f>IFERROR(RD[[#This Row],[33 kV Total Export (KWH)]]/RD[[#This Row],[220 KV Net Export (KWh)]]-1,"")</f>
        <v/>
      </c>
      <c r="AR217" s="64">
        <f>IFERROR((RD[[#This Row],[Sunset Time (POA&lt;20 W/m2)]]-RD[[#This Row],[Sunrise Time (POA&gt;20 W/m2)]])*24,0)</f>
        <v>0</v>
      </c>
      <c r="AS217" s="65">
        <f>RD[[#This Row],[33kV_OG1_Energy (KWh)]]</f>
        <v>0</v>
      </c>
      <c r="AT217" s="65">
        <f>IFERROR(RD[[#This Row],[ Export (33 kV)]]*(1-RD[[#This Row],[33 kV Line Loss (%)]]),RD[[#This Row],[ Export (33 kV)]])</f>
        <v>0</v>
      </c>
      <c r="AU217" s="190"/>
      <c r="AV217" s="190"/>
      <c r="AW217" s="190"/>
      <c r="AX217" t="str">
        <f>IFERROR(RD[[#This Row],[E_AC (WPR)]]/RD[[#This Row],[E_DC (WPR)]],"")</f>
        <v/>
      </c>
    </row>
    <row r="218" spans="1:50">
      <c r="A218" s="148">
        <f t="shared" si="53"/>
        <v>45958</v>
      </c>
      <c r="B218" s="151">
        <f>YEAR(RD[[#This Row],[Date]])+IF(MONTH(RD[[#This Row],[Date]])&gt;=4,1,0)</f>
        <v>2026</v>
      </c>
      <c r="C218" s="151">
        <f>YEAR(RD[[#This Row],[Date]])</f>
        <v>2025</v>
      </c>
      <c r="D218" s="66">
        <f t="shared" si="52"/>
        <v>45931</v>
      </c>
      <c r="E218" s="151">
        <f>DAY(EOMONTH(RD[[#This Row],[Date]],0))</f>
        <v>31</v>
      </c>
      <c r="F218" s="172"/>
      <c r="G218" s="172"/>
      <c r="H218" s="138"/>
      <c r="I218" s="138"/>
      <c r="J218" s="138"/>
      <c r="K218" s="138"/>
      <c r="L218" s="138"/>
      <c r="M218" s="138"/>
      <c r="N218" s="138"/>
      <c r="O218" s="170"/>
      <c r="P218" s="170"/>
      <c r="Q218" s="156"/>
      <c r="R218" s="69"/>
      <c r="S218" s="69"/>
      <c r="T218" s="69"/>
      <c r="U218" s="69"/>
      <c r="V218" s="69"/>
      <c r="W218" s="69"/>
      <c r="X218" s="69"/>
      <c r="Y218" s="70">
        <f>SUM(RD[[#This Row],[IS1Inv1]:[IS3Inv1]])</f>
        <v>0</v>
      </c>
      <c r="Z218" s="70">
        <f>SUM(RD[[#This Row],[IS4Inv1]:[IS4Inv2]])</f>
        <v>0</v>
      </c>
      <c r="AA218" s="70">
        <f>SUM(RD[[#This Row],[O2RE7]:[O2RE27]])</f>
        <v>0</v>
      </c>
      <c r="AB218" s="153"/>
      <c r="AC218" s="153"/>
      <c r="AD218" s="153"/>
      <c r="AE218" s="153"/>
      <c r="AF218" s="153"/>
      <c r="AG218" s="153"/>
      <c r="AH218" s="153"/>
      <c r="AI218" s="154" t="str">
        <f>IF((RD[[#This Row],[33 kV_F1_Ex]]-AB217)*225000&lt;=0,"",(RD[[#This Row],[33 kV_F1_Ex]]-AB217)*225000)</f>
        <v/>
      </c>
      <c r="AJ218" s="154">
        <f>IF((RD[[#This Row],[33kV_OG1_Ex]]-AC217)*1000&lt;=0,0,(RD[[#This Row],[33kV_OG1_Ex]]-AC217)*1000)</f>
        <v>0</v>
      </c>
      <c r="AK218" s="154">
        <f>IF((RD[[#This Row],[220kV_TL_TVM_Ex]]-AE217)*1600&lt;=0,0,(RD[[#This Row],[220kV_TL_TVM_Ex]]-AE217)*1600)</f>
        <v>0</v>
      </c>
      <c r="AL218" s="154" t="str">
        <f>IF((RD[[#This Row],[220kV_C&amp;R_PQM_Ex]]-AF217)*1000&lt;=0,"",(RD[[#This Row],[220kV_C&amp;R_PQM_Ex]]-AF217)*1000)</f>
        <v/>
      </c>
      <c r="AM218" s="154">
        <f>IF((RD[[#This Row],[33kV_Aux1_Im]]-AH217)*1000&lt;0,"",(RD[[#This Row],[33kV_Aux1_Im]]-AH217)*1000)</f>
        <v>0</v>
      </c>
      <c r="AN218" s="154">
        <f>IF((RD[[#This Row],[33kV_Aux1_Im]]-AH217)*1000&lt;0,"",(RD[[#This Row],[33kV_Aux1_Im]]-AH217)*1000)</f>
        <v>0</v>
      </c>
      <c r="AO218" s="61">
        <f>RD[[#This Row],[33kV_OG1_Energy (KWh)]]</f>
        <v>0</v>
      </c>
      <c r="AP218" s="61">
        <f>IFERROR(RD[[#This Row],[220kV_TL_TVM Energy (KWh)]]-RD[[#This Row],[220kV_C&amp;R_PQM_Imp (KWh)2]],"")</f>
        <v>0</v>
      </c>
      <c r="AQ218" s="63" t="str">
        <f>IFERROR(RD[[#This Row],[33 kV Total Export (KWH)]]/RD[[#This Row],[220 KV Net Export (KWh)]]-1,"")</f>
        <v/>
      </c>
      <c r="AR218" s="64">
        <f>IFERROR((RD[[#This Row],[Sunset Time (POA&lt;20 W/m2)]]-RD[[#This Row],[Sunrise Time (POA&gt;20 W/m2)]])*24,0)</f>
        <v>0</v>
      </c>
      <c r="AS218" s="65">
        <f>RD[[#This Row],[33kV_OG1_Energy (KWh)]]</f>
        <v>0</v>
      </c>
      <c r="AT218" s="65">
        <f>IFERROR(RD[[#This Row],[ Export (33 kV)]]*(1-RD[[#This Row],[33 kV Line Loss (%)]]),RD[[#This Row],[ Export (33 kV)]])</f>
        <v>0</v>
      </c>
      <c r="AU218" s="190"/>
      <c r="AV218" s="190"/>
      <c r="AW218" s="190"/>
      <c r="AX218" t="str">
        <f>IFERROR(RD[[#This Row],[E_AC (WPR)]]/RD[[#This Row],[E_DC (WPR)]],"")</f>
        <v/>
      </c>
    </row>
    <row r="219" spans="1:50">
      <c r="A219" s="148">
        <f t="shared" si="53"/>
        <v>45959</v>
      </c>
      <c r="B219" s="151">
        <f>YEAR(RD[[#This Row],[Date]])+IF(MONTH(RD[[#This Row],[Date]])&gt;=4,1,0)</f>
        <v>2026</v>
      </c>
      <c r="C219" s="151">
        <f>YEAR(RD[[#This Row],[Date]])</f>
        <v>2025</v>
      </c>
      <c r="D219" s="66">
        <f t="shared" si="52"/>
        <v>45931</v>
      </c>
      <c r="E219" s="151">
        <f>DAY(EOMONTH(RD[[#This Row],[Date]],0))</f>
        <v>31</v>
      </c>
      <c r="F219" s="172"/>
      <c r="G219" s="172"/>
      <c r="H219" s="138"/>
      <c r="I219" s="138"/>
      <c r="J219" s="138"/>
      <c r="K219" s="138"/>
      <c r="L219" s="138"/>
      <c r="M219" s="138"/>
      <c r="N219" s="138"/>
      <c r="O219" s="170"/>
      <c r="P219" s="170"/>
      <c r="Q219" s="156"/>
      <c r="R219" s="69"/>
      <c r="S219" s="69"/>
      <c r="T219" s="69"/>
      <c r="U219" s="69"/>
      <c r="V219" s="69"/>
      <c r="W219" s="69"/>
      <c r="X219" s="69"/>
      <c r="Y219" s="70">
        <f>SUM(RD[[#This Row],[IS1Inv1]:[IS3Inv1]])</f>
        <v>0</v>
      </c>
      <c r="Z219" s="70">
        <f>SUM(RD[[#This Row],[IS4Inv1]:[IS4Inv2]])</f>
        <v>0</v>
      </c>
      <c r="AA219" s="70">
        <f>SUM(RD[[#This Row],[O2RE7]:[O2RE27]])</f>
        <v>0</v>
      </c>
      <c r="AB219" s="153"/>
      <c r="AC219" s="153"/>
      <c r="AD219" s="153"/>
      <c r="AE219" s="153"/>
      <c r="AF219" s="153"/>
      <c r="AG219" s="153"/>
      <c r="AH219" s="153"/>
      <c r="AI219" s="154" t="str">
        <f>IF((RD[[#This Row],[33 kV_F1_Ex]]-AB218)*225000&lt;=0,"",(RD[[#This Row],[33 kV_F1_Ex]]-AB218)*225000)</f>
        <v/>
      </c>
      <c r="AJ219" s="154">
        <f>IF((RD[[#This Row],[33kV_OG1_Ex]]-AC218)*1000&lt;=0,0,(RD[[#This Row],[33kV_OG1_Ex]]-AC218)*1000)</f>
        <v>0</v>
      </c>
      <c r="AK219" s="154">
        <f>IF((RD[[#This Row],[220kV_TL_TVM_Ex]]-AE218)*1600&lt;=0,0,(RD[[#This Row],[220kV_TL_TVM_Ex]]-AE218)*1600)</f>
        <v>0</v>
      </c>
      <c r="AL219" s="154" t="str">
        <f>IF((RD[[#This Row],[220kV_C&amp;R_PQM_Ex]]-AF218)*1000&lt;=0,"",(RD[[#This Row],[220kV_C&amp;R_PQM_Ex]]-AF218)*1000)</f>
        <v/>
      </c>
      <c r="AM219" s="154">
        <f>IF((RD[[#This Row],[33kV_Aux1_Im]]-AH218)*1000&lt;0,"",(RD[[#This Row],[33kV_Aux1_Im]]-AH218)*1000)</f>
        <v>0</v>
      </c>
      <c r="AN219" s="154">
        <f>IF((RD[[#This Row],[33kV_Aux1_Im]]-AH218)*1000&lt;0,"",(RD[[#This Row],[33kV_Aux1_Im]]-AH218)*1000)</f>
        <v>0</v>
      </c>
      <c r="AO219" s="61">
        <f>RD[[#This Row],[33kV_OG1_Energy (KWh)]]</f>
        <v>0</v>
      </c>
      <c r="AP219" s="61">
        <f>IFERROR(RD[[#This Row],[220kV_TL_TVM Energy (KWh)]]-RD[[#This Row],[220kV_C&amp;R_PQM_Imp (KWh)2]],"")</f>
        <v>0</v>
      </c>
      <c r="AQ219" s="63" t="str">
        <f>IFERROR(RD[[#This Row],[33 kV Total Export (KWH)]]/RD[[#This Row],[220 KV Net Export (KWh)]]-1,"")</f>
        <v/>
      </c>
      <c r="AR219" s="64">
        <f>IFERROR((RD[[#This Row],[Sunset Time (POA&lt;20 W/m2)]]-RD[[#This Row],[Sunrise Time (POA&gt;20 W/m2)]])*24,0)</f>
        <v>0</v>
      </c>
      <c r="AS219" s="65">
        <f>RD[[#This Row],[33kV_OG1_Energy (KWh)]]</f>
        <v>0</v>
      </c>
      <c r="AT219" s="65">
        <f>IFERROR(RD[[#This Row],[ Export (33 kV)]]*(1-RD[[#This Row],[33 kV Line Loss (%)]]),RD[[#This Row],[ Export (33 kV)]])</f>
        <v>0</v>
      </c>
      <c r="AU219" s="190"/>
      <c r="AV219" s="190"/>
      <c r="AW219" s="190"/>
      <c r="AX219" t="str">
        <f>IFERROR(RD[[#This Row],[E_AC (WPR)]]/RD[[#This Row],[E_DC (WPR)]],"")</f>
        <v/>
      </c>
    </row>
    <row r="220" spans="1:50">
      <c r="A220" s="148">
        <f t="shared" si="53"/>
        <v>45960</v>
      </c>
      <c r="B220" s="151">
        <f>YEAR(RD[[#This Row],[Date]])+IF(MONTH(RD[[#This Row],[Date]])&gt;=4,1,0)</f>
        <v>2026</v>
      </c>
      <c r="C220" s="151">
        <f>YEAR(RD[[#This Row],[Date]])</f>
        <v>2025</v>
      </c>
      <c r="D220" s="66">
        <f t="shared" si="52"/>
        <v>45931</v>
      </c>
      <c r="E220" s="151">
        <f>DAY(EOMONTH(RD[[#This Row],[Date]],0))</f>
        <v>31</v>
      </c>
      <c r="F220" s="172"/>
      <c r="G220" s="172"/>
      <c r="H220" s="138"/>
      <c r="I220" s="138"/>
      <c r="J220" s="138"/>
      <c r="K220" s="138"/>
      <c r="L220" s="138"/>
      <c r="M220" s="138"/>
      <c r="N220" s="138"/>
      <c r="O220" s="169"/>
      <c r="P220" s="169"/>
      <c r="Q220" s="72"/>
      <c r="R220" s="69"/>
      <c r="S220" s="69"/>
      <c r="T220" s="69"/>
      <c r="U220" s="69"/>
      <c r="V220" s="69"/>
      <c r="W220" s="69"/>
      <c r="X220" s="69"/>
      <c r="Y220" s="70">
        <f>SUM(RD[[#This Row],[IS1Inv1]:[IS3Inv1]])</f>
        <v>0</v>
      </c>
      <c r="Z220" s="70">
        <f>SUM(RD[[#This Row],[IS4Inv1]:[IS4Inv2]])</f>
        <v>0</v>
      </c>
      <c r="AA220" s="70">
        <f>SUM(RD[[#This Row],[O2RE7]:[O2RE27]])</f>
        <v>0</v>
      </c>
      <c r="AB220" s="153"/>
      <c r="AC220" s="153"/>
      <c r="AD220" s="153"/>
      <c r="AE220" s="153"/>
      <c r="AF220" s="153"/>
      <c r="AG220" s="153"/>
      <c r="AH220" s="153"/>
      <c r="AI220" s="154" t="str">
        <f>IF((RD[[#This Row],[33 kV_F1_Ex]]-AB219)*225000&lt;=0,"",(RD[[#This Row],[33 kV_F1_Ex]]-AB219)*225000)</f>
        <v/>
      </c>
      <c r="AJ220" s="154">
        <f>IF((RD[[#This Row],[33kV_OG1_Ex]]-AC219)*1000&lt;=0,0,(RD[[#This Row],[33kV_OG1_Ex]]-AC219)*1000)</f>
        <v>0</v>
      </c>
      <c r="AK220" s="154">
        <f>IF((RD[[#This Row],[220kV_TL_TVM_Ex]]-AE219)*1600&lt;=0,0,(RD[[#This Row],[220kV_TL_TVM_Ex]]-AE219)*1600)</f>
        <v>0</v>
      </c>
      <c r="AL220" s="154" t="str">
        <f>IF((RD[[#This Row],[220kV_C&amp;R_PQM_Ex]]-AF219)*1000&lt;=0,"",(RD[[#This Row],[220kV_C&amp;R_PQM_Ex]]-AF219)*1000)</f>
        <v/>
      </c>
      <c r="AM220" s="154">
        <f>IF((RD[[#This Row],[33kV_Aux1_Im]]-AH219)*1000&lt;0,"",(RD[[#This Row],[33kV_Aux1_Im]]-AH219)*1000)</f>
        <v>0</v>
      </c>
      <c r="AN220" s="154">
        <f>IF((RD[[#This Row],[33kV_Aux1_Im]]-AH219)*1000&lt;0,"",(RD[[#This Row],[33kV_Aux1_Im]]-AH219)*1000)</f>
        <v>0</v>
      </c>
      <c r="AO220" s="61">
        <f>RD[[#This Row],[33kV_OG1_Energy (KWh)]]</f>
        <v>0</v>
      </c>
      <c r="AP220" s="61">
        <f>IFERROR(RD[[#This Row],[220kV_TL_TVM Energy (KWh)]]-RD[[#This Row],[220kV_C&amp;R_PQM_Imp (KWh)2]],"")</f>
        <v>0</v>
      </c>
      <c r="AQ220" s="63" t="str">
        <f>IFERROR(RD[[#This Row],[33 kV Total Export (KWH)]]/RD[[#This Row],[220 KV Net Export (KWh)]]-1,"")</f>
        <v/>
      </c>
      <c r="AR220" s="64">
        <f>IFERROR((RD[[#This Row],[Sunset Time (POA&lt;20 W/m2)]]-RD[[#This Row],[Sunrise Time (POA&gt;20 W/m2)]])*24,0)</f>
        <v>0</v>
      </c>
      <c r="AS220" s="65">
        <f>RD[[#This Row],[33kV_OG1_Energy (KWh)]]</f>
        <v>0</v>
      </c>
      <c r="AT220" s="65">
        <f>IFERROR(RD[[#This Row],[ Export (33 kV)]]*(1-RD[[#This Row],[33 kV Line Loss (%)]]),RD[[#This Row],[ Export (33 kV)]])</f>
        <v>0</v>
      </c>
      <c r="AU220" s="190"/>
      <c r="AV220" s="190"/>
      <c r="AW220" s="190"/>
      <c r="AX220" t="str">
        <f>IFERROR(RD[[#This Row],[E_AC (WPR)]]/RD[[#This Row],[E_DC (WPR)]],"")</f>
        <v/>
      </c>
    </row>
    <row r="221" spans="1:50">
      <c r="A221" s="148">
        <f t="shared" si="53"/>
        <v>45961</v>
      </c>
      <c r="B221" s="151">
        <f>YEAR(RD[[#This Row],[Date]])+IF(MONTH(RD[[#This Row],[Date]])&gt;=4,1,0)</f>
        <v>2026</v>
      </c>
      <c r="C221" s="151">
        <f>YEAR(RD[[#This Row],[Date]])</f>
        <v>2025</v>
      </c>
      <c r="D221" s="66">
        <f t="shared" si="52"/>
        <v>45931</v>
      </c>
      <c r="E221" s="151">
        <f>DAY(EOMONTH(RD[[#This Row],[Date]],0))</f>
        <v>31</v>
      </c>
      <c r="F221" s="172"/>
      <c r="G221" s="172"/>
      <c r="H221" s="138"/>
      <c r="I221" s="138"/>
      <c r="J221" s="138"/>
      <c r="K221" s="138"/>
      <c r="L221" s="138"/>
      <c r="M221" s="138"/>
      <c r="N221" s="138"/>
      <c r="O221" s="169"/>
      <c r="P221" s="169"/>
      <c r="Q221" s="72"/>
      <c r="R221" s="69"/>
      <c r="S221" s="69"/>
      <c r="T221" s="69"/>
      <c r="U221" s="69"/>
      <c r="V221" s="69"/>
      <c r="W221" s="69"/>
      <c r="X221" s="69"/>
      <c r="Y221" s="70">
        <f>SUM(RD[[#This Row],[IS1Inv1]:[IS3Inv1]])</f>
        <v>0</v>
      </c>
      <c r="Z221" s="70">
        <f>SUM(RD[[#This Row],[IS4Inv1]:[IS4Inv2]])</f>
        <v>0</v>
      </c>
      <c r="AA221" s="70">
        <f>SUM(RD[[#This Row],[O2RE7]:[O2RE27]])</f>
        <v>0</v>
      </c>
      <c r="AB221" s="153"/>
      <c r="AC221" s="153"/>
      <c r="AD221" s="153"/>
      <c r="AE221" s="153"/>
      <c r="AF221" s="153"/>
      <c r="AG221" s="153"/>
      <c r="AH221" s="153"/>
      <c r="AI221" s="154" t="str">
        <f>IF((RD[[#This Row],[33 kV_F1_Ex]]-AB220)*225000&lt;=0,"",(RD[[#This Row],[33 kV_F1_Ex]]-AB220)*225000)</f>
        <v/>
      </c>
      <c r="AJ221" s="154">
        <f>IF((RD[[#This Row],[33kV_OG1_Ex]]-AC220)*1000&lt;=0,0,(RD[[#This Row],[33kV_OG1_Ex]]-AC220)*1000)</f>
        <v>0</v>
      </c>
      <c r="AK221" s="154">
        <f>IF((RD[[#This Row],[220kV_TL_TVM_Ex]]-AE220)*1600&lt;=0,0,(RD[[#This Row],[220kV_TL_TVM_Ex]]-AE220)*1600)</f>
        <v>0</v>
      </c>
      <c r="AL221" s="154" t="str">
        <f>IF((RD[[#This Row],[220kV_C&amp;R_PQM_Ex]]-AF220)*1000&lt;=0,"",(RD[[#This Row],[220kV_C&amp;R_PQM_Ex]]-AF220)*1000)</f>
        <v/>
      </c>
      <c r="AM221" s="154">
        <f>IF((RD[[#This Row],[33kV_Aux1_Im]]-AH220)*1000&lt;0,"",(RD[[#This Row],[33kV_Aux1_Im]]-AH220)*1000)</f>
        <v>0</v>
      </c>
      <c r="AN221" s="154">
        <f>IF((RD[[#This Row],[33kV_Aux1_Im]]-AH220)*1000&lt;0,"",(RD[[#This Row],[33kV_Aux1_Im]]-AH220)*1000)</f>
        <v>0</v>
      </c>
      <c r="AO221" s="61">
        <f>RD[[#This Row],[33kV_OG1_Energy (KWh)]]</f>
        <v>0</v>
      </c>
      <c r="AP221" s="61">
        <f>IFERROR(RD[[#This Row],[220kV_TL_TVM Energy (KWh)]]-RD[[#This Row],[220kV_C&amp;R_PQM_Imp (KWh)2]],"")</f>
        <v>0</v>
      </c>
      <c r="AQ221" s="63" t="str">
        <f>IFERROR(RD[[#This Row],[33 kV Total Export (KWH)]]/RD[[#This Row],[220 KV Net Export (KWh)]]-1,"")</f>
        <v/>
      </c>
      <c r="AR221" s="64">
        <f>IFERROR((RD[[#This Row],[Sunset Time (POA&lt;20 W/m2)]]-RD[[#This Row],[Sunrise Time (POA&gt;20 W/m2)]])*24,0)</f>
        <v>0</v>
      </c>
      <c r="AS221" s="65">
        <f>RD[[#This Row],[33kV_OG1_Energy (KWh)]]</f>
        <v>0</v>
      </c>
      <c r="AT221" s="65">
        <f>IFERROR(RD[[#This Row],[ Export (33 kV)]]*(1-RD[[#This Row],[33 kV Line Loss (%)]]),RD[[#This Row],[ Export (33 kV)]])</f>
        <v>0</v>
      </c>
      <c r="AU221" s="190"/>
      <c r="AV221" s="190"/>
      <c r="AW221" s="190"/>
      <c r="AX221" t="str">
        <f>IFERROR(RD[[#This Row],[E_AC (WPR)]]/RD[[#This Row],[E_DC (WPR)]],"")</f>
        <v/>
      </c>
    </row>
    <row r="222" spans="1:50">
      <c r="A222" s="148">
        <f t="shared" si="53"/>
        <v>45962</v>
      </c>
      <c r="B222" s="151">
        <f>YEAR(RD[[#This Row],[Date]])+IF(MONTH(RD[[#This Row],[Date]])&gt;=4,1,0)</f>
        <v>2026</v>
      </c>
      <c r="C222" s="151">
        <f>YEAR(RD[[#This Row],[Date]])</f>
        <v>2025</v>
      </c>
      <c r="D222" s="66">
        <f t="shared" si="52"/>
        <v>45962</v>
      </c>
      <c r="E222" s="151">
        <f>DAY(EOMONTH(RD[[#This Row],[Date]],0))</f>
        <v>30</v>
      </c>
      <c r="F222" s="172"/>
      <c r="G222" s="172"/>
      <c r="H222" s="138"/>
      <c r="I222" s="138"/>
      <c r="J222" s="138"/>
      <c r="K222" s="138"/>
      <c r="L222" s="138"/>
      <c r="M222" s="138"/>
      <c r="N222" s="138"/>
      <c r="O222" s="169"/>
      <c r="P222" s="169"/>
      <c r="Q222" s="72"/>
      <c r="R222" s="69"/>
      <c r="S222" s="69"/>
      <c r="T222" s="69"/>
      <c r="U222" s="69"/>
      <c r="V222" s="69"/>
      <c r="W222" s="69"/>
      <c r="X222" s="69"/>
      <c r="Y222" s="70">
        <f>SUM(RD[[#This Row],[IS1Inv1]:[IS3Inv1]])</f>
        <v>0</v>
      </c>
      <c r="Z222" s="70">
        <f>SUM(RD[[#This Row],[IS4Inv1]:[IS4Inv2]])</f>
        <v>0</v>
      </c>
      <c r="AA222" s="70">
        <f>SUM(RD[[#This Row],[O2RE7]:[O2RE27]])</f>
        <v>0</v>
      </c>
      <c r="AB222" s="153"/>
      <c r="AC222" s="153"/>
      <c r="AD222" s="153"/>
      <c r="AE222" s="153"/>
      <c r="AF222" s="153"/>
      <c r="AG222" s="153"/>
      <c r="AH222" s="153"/>
      <c r="AI222" s="154" t="str">
        <f>IF((RD[[#This Row],[33 kV_F1_Ex]]-AB221)*225000&lt;=0,"",(RD[[#This Row],[33 kV_F1_Ex]]-AB221)*225000)</f>
        <v/>
      </c>
      <c r="AJ222" s="154">
        <f>IF((RD[[#This Row],[33kV_OG1_Ex]]-AC221)*1000&lt;=0,0,(RD[[#This Row],[33kV_OG1_Ex]]-AC221)*1000)</f>
        <v>0</v>
      </c>
      <c r="AK222" s="154">
        <f>IF((RD[[#This Row],[220kV_TL_TVM_Ex]]-AE221)*1600&lt;=0,0,(RD[[#This Row],[220kV_TL_TVM_Ex]]-AE221)*1600)</f>
        <v>0</v>
      </c>
      <c r="AL222" s="154" t="str">
        <f>IF((RD[[#This Row],[220kV_C&amp;R_PQM_Ex]]-AF221)*1000&lt;=0,"",(RD[[#This Row],[220kV_C&amp;R_PQM_Ex]]-AF221)*1000)</f>
        <v/>
      </c>
      <c r="AM222" s="154">
        <f>IF((RD[[#This Row],[33kV_Aux1_Im]]-AH221)*1000&lt;0,"",(RD[[#This Row],[33kV_Aux1_Im]]-AH221)*1000)</f>
        <v>0</v>
      </c>
      <c r="AN222" s="154">
        <f>IF((RD[[#This Row],[33kV_Aux1_Im]]-AH221)*1000&lt;0,"",(RD[[#This Row],[33kV_Aux1_Im]]-AH221)*1000)</f>
        <v>0</v>
      </c>
      <c r="AO222" s="61">
        <f>RD[[#This Row],[33kV_OG1_Energy (KWh)]]</f>
        <v>0</v>
      </c>
      <c r="AP222" s="61">
        <f>IFERROR(RD[[#This Row],[220kV_TL_TVM Energy (KWh)]]-RD[[#This Row],[220kV_C&amp;R_PQM_Imp (KWh)2]],"")</f>
        <v>0</v>
      </c>
      <c r="AQ222" s="63" t="str">
        <f>IFERROR(RD[[#This Row],[33 kV Total Export (KWH)]]/RD[[#This Row],[220 KV Net Export (KWh)]]-1,"")</f>
        <v/>
      </c>
      <c r="AR222" s="64">
        <f>IFERROR((RD[[#This Row],[Sunset Time (POA&lt;20 W/m2)]]-RD[[#This Row],[Sunrise Time (POA&gt;20 W/m2)]])*24,0)</f>
        <v>0</v>
      </c>
      <c r="AS222" s="65">
        <f>RD[[#This Row],[33kV_OG1_Energy (KWh)]]</f>
        <v>0</v>
      </c>
      <c r="AT222" s="65">
        <f>IFERROR(RD[[#This Row],[ Export (33 kV)]]*(1-RD[[#This Row],[33 kV Line Loss (%)]]),RD[[#This Row],[ Export (33 kV)]])</f>
        <v>0</v>
      </c>
      <c r="AU222" s="190"/>
      <c r="AV222" s="190"/>
      <c r="AW222" s="190"/>
      <c r="AX222" t="str">
        <f>IFERROR(RD[[#This Row],[E_AC (WPR)]]/RD[[#This Row],[E_DC (WPR)]],"")</f>
        <v/>
      </c>
    </row>
    <row r="223" spans="1:50">
      <c r="A223" s="148">
        <f t="shared" si="53"/>
        <v>45963</v>
      </c>
      <c r="B223" s="151">
        <f>YEAR(RD[[#This Row],[Date]])+IF(MONTH(RD[[#This Row],[Date]])&gt;=4,1,0)</f>
        <v>2026</v>
      </c>
      <c r="C223" s="151">
        <f>YEAR(RD[[#This Row],[Date]])</f>
        <v>2025</v>
      </c>
      <c r="D223" s="66">
        <f t="shared" si="52"/>
        <v>45962</v>
      </c>
      <c r="E223" s="151">
        <f>DAY(EOMONTH(RD[[#This Row],[Date]],0))</f>
        <v>30</v>
      </c>
      <c r="F223" s="172"/>
      <c r="G223" s="172"/>
      <c r="H223" s="138"/>
      <c r="I223" s="138"/>
      <c r="J223" s="138"/>
      <c r="K223" s="138"/>
      <c r="L223" s="138"/>
      <c r="M223" s="138"/>
      <c r="N223" s="138"/>
      <c r="O223" s="169"/>
      <c r="P223" s="169"/>
      <c r="Q223" s="72"/>
      <c r="R223" s="69"/>
      <c r="S223" s="69"/>
      <c r="T223" s="69"/>
      <c r="U223" s="69"/>
      <c r="V223" s="69"/>
      <c r="W223" s="69"/>
      <c r="X223" s="69"/>
      <c r="Y223" s="70">
        <f>SUM(RD[[#This Row],[IS1Inv1]:[IS3Inv1]])</f>
        <v>0</v>
      </c>
      <c r="Z223" s="70">
        <f>SUM(RD[[#This Row],[IS4Inv1]:[IS4Inv2]])</f>
        <v>0</v>
      </c>
      <c r="AA223" s="70">
        <f>SUM(RD[[#This Row],[O2RE7]:[O2RE27]])</f>
        <v>0</v>
      </c>
      <c r="AB223" s="153"/>
      <c r="AC223" s="153"/>
      <c r="AD223" s="153"/>
      <c r="AE223" s="153"/>
      <c r="AF223" s="153"/>
      <c r="AG223" s="153"/>
      <c r="AH223" s="153"/>
      <c r="AI223" s="154" t="str">
        <f>IF((RD[[#This Row],[33 kV_F1_Ex]]-AB222)*225000&lt;=0,"",(RD[[#This Row],[33 kV_F1_Ex]]-AB222)*225000)</f>
        <v/>
      </c>
      <c r="AJ223" s="154">
        <f>IF((RD[[#This Row],[33kV_OG1_Ex]]-AC222)*1000&lt;=0,0,(RD[[#This Row],[33kV_OG1_Ex]]-AC222)*1000)</f>
        <v>0</v>
      </c>
      <c r="AK223" s="154">
        <f>IF((RD[[#This Row],[220kV_TL_TVM_Ex]]-AE222)*1600&lt;=0,0,(RD[[#This Row],[220kV_TL_TVM_Ex]]-AE222)*1600)</f>
        <v>0</v>
      </c>
      <c r="AL223" s="154" t="str">
        <f>IF((RD[[#This Row],[220kV_C&amp;R_PQM_Ex]]-AF222)*1000&lt;=0,"",(RD[[#This Row],[220kV_C&amp;R_PQM_Ex]]-AF222)*1000)</f>
        <v/>
      </c>
      <c r="AM223" s="154">
        <f>IF((RD[[#This Row],[33kV_Aux1_Im]]-AH222)*1000&lt;0,"",(RD[[#This Row],[33kV_Aux1_Im]]-AH222)*1000)</f>
        <v>0</v>
      </c>
      <c r="AN223" s="154">
        <f>IF((RD[[#This Row],[33kV_Aux1_Im]]-AH222)*1000&lt;0,"",(RD[[#This Row],[33kV_Aux1_Im]]-AH222)*1000)</f>
        <v>0</v>
      </c>
      <c r="AO223" s="61">
        <f>RD[[#This Row],[33kV_OG1_Energy (KWh)]]</f>
        <v>0</v>
      </c>
      <c r="AP223" s="61">
        <f>IFERROR(RD[[#This Row],[220kV_TL_TVM Energy (KWh)]]-RD[[#This Row],[220kV_C&amp;R_PQM_Imp (KWh)2]],"")</f>
        <v>0</v>
      </c>
      <c r="AQ223" s="63" t="str">
        <f>IFERROR(RD[[#This Row],[33 kV Total Export (KWH)]]/RD[[#This Row],[220 KV Net Export (KWh)]]-1,"")</f>
        <v/>
      </c>
      <c r="AR223" s="64">
        <f>IFERROR((RD[[#This Row],[Sunset Time (POA&lt;20 W/m2)]]-RD[[#This Row],[Sunrise Time (POA&gt;20 W/m2)]])*24,0)</f>
        <v>0</v>
      </c>
      <c r="AS223" s="65">
        <f>RD[[#This Row],[33kV_OG1_Energy (KWh)]]</f>
        <v>0</v>
      </c>
      <c r="AT223" s="65">
        <f>IFERROR(RD[[#This Row],[ Export (33 kV)]]*(1-RD[[#This Row],[33 kV Line Loss (%)]]),RD[[#This Row],[ Export (33 kV)]])</f>
        <v>0</v>
      </c>
      <c r="AU223" s="190"/>
      <c r="AV223" s="190"/>
      <c r="AW223" s="190"/>
      <c r="AX223" t="str">
        <f>IFERROR(RD[[#This Row],[E_AC (WPR)]]/RD[[#This Row],[E_DC (WPR)]],"")</f>
        <v/>
      </c>
    </row>
    <row r="224" spans="1:50">
      <c r="A224" s="148">
        <f t="shared" si="53"/>
        <v>45964</v>
      </c>
      <c r="B224" s="151">
        <f>YEAR(RD[[#This Row],[Date]])+IF(MONTH(RD[[#This Row],[Date]])&gt;=4,1,0)</f>
        <v>2026</v>
      </c>
      <c r="C224" s="151">
        <f>YEAR(RD[[#This Row],[Date]])</f>
        <v>2025</v>
      </c>
      <c r="D224" s="66">
        <f t="shared" si="52"/>
        <v>45962</v>
      </c>
      <c r="E224" s="151">
        <f>DAY(EOMONTH(RD[[#This Row],[Date]],0))</f>
        <v>30</v>
      </c>
      <c r="F224" s="172"/>
      <c r="G224" s="172"/>
      <c r="H224" s="138"/>
      <c r="I224" s="138"/>
      <c r="J224" s="138"/>
      <c r="K224" s="138"/>
      <c r="L224" s="138"/>
      <c r="M224" s="138"/>
      <c r="N224" s="138"/>
      <c r="O224" s="169"/>
      <c r="P224" s="169"/>
      <c r="Q224" s="72"/>
      <c r="R224" s="69"/>
      <c r="S224" s="69"/>
      <c r="T224" s="69"/>
      <c r="U224" s="69"/>
      <c r="V224" s="69"/>
      <c r="W224" s="69"/>
      <c r="X224" s="69"/>
      <c r="Y224" s="70">
        <f>SUM(RD[[#This Row],[IS1Inv1]:[IS3Inv1]])</f>
        <v>0</v>
      </c>
      <c r="Z224" s="70">
        <f>SUM(RD[[#This Row],[IS4Inv1]:[IS4Inv2]])</f>
        <v>0</v>
      </c>
      <c r="AA224" s="70">
        <f>SUM(RD[[#This Row],[O2RE7]:[O2RE27]])</f>
        <v>0</v>
      </c>
      <c r="AB224" s="153"/>
      <c r="AC224" s="153"/>
      <c r="AD224" s="153"/>
      <c r="AE224" s="153"/>
      <c r="AF224" s="153"/>
      <c r="AG224" s="153"/>
      <c r="AH224" s="153"/>
      <c r="AI224" s="154" t="str">
        <f>IF((RD[[#This Row],[33 kV_F1_Ex]]-AB223)*225000&lt;=0,"",(RD[[#This Row],[33 kV_F1_Ex]]-AB223)*225000)</f>
        <v/>
      </c>
      <c r="AJ224" s="154">
        <f>IF((RD[[#This Row],[33kV_OG1_Ex]]-AC223)*1000&lt;=0,0,(RD[[#This Row],[33kV_OG1_Ex]]-AC223)*1000)</f>
        <v>0</v>
      </c>
      <c r="AK224" s="154">
        <f>IF((RD[[#This Row],[220kV_TL_TVM_Ex]]-AE223)*1600&lt;=0,0,(RD[[#This Row],[220kV_TL_TVM_Ex]]-AE223)*1600)</f>
        <v>0</v>
      </c>
      <c r="AL224" s="154" t="str">
        <f>IF((RD[[#This Row],[220kV_C&amp;R_PQM_Ex]]-AF223)*1000&lt;=0,"",(RD[[#This Row],[220kV_C&amp;R_PQM_Ex]]-AF223)*1000)</f>
        <v/>
      </c>
      <c r="AM224" s="154">
        <f>IF((RD[[#This Row],[33kV_Aux1_Im]]-AH223)*1000&lt;0,"",(RD[[#This Row],[33kV_Aux1_Im]]-AH223)*1000)</f>
        <v>0</v>
      </c>
      <c r="AN224" s="154">
        <f>IF((RD[[#This Row],[33kV_Aux1_Im]]-AH223)*1000&lt;0,"",(RD[[#This Row],[33kV_Aux1_Im]]-AH223)*1000)</f>
        <v>0</v>
      </c>
      <c r="AO224" s="61">
        <f>RD[[#This Row],[33kV_OG1_Energy (KWh)]]</f>
        <v>0</v>
      </c>
      <c r="AP224" s="61">
        <f>IFERROR(RD[[#This Row],[220kV_TL_TVM Energy (KWh)]]-RD[[#This Row],[220kV_C&amp;R_PQM_Imp (KWh)2]],"")</f>
        <v>0</v>
      </c>
      <c r="AQ224" s="63" t="str">
        <f>IFERROR(RD[[#This Row],[33 kV Total Export (KWH)]]/RD[[#This Row],[220 KV Net Export (KWh)]]-1,"")</f>
        <v/>
      </c>
      <c r="AR224" s="64">
        <f>IFERROR((RD[[#This Row],[Sunset Time (POA&lt;20 W/m2)]]-RD[[#This Row],[Sunrise Time (POA&gt;20 W/m2)]])*24,0)</f>
        <v>0</v>
      </c>
      <c r="AS224" s="65">
        <f>RD[[#This Row],[33kV_OG1_Energy (KWh)]]</f>
        <v>0</v>
      </c>
      <c r="AT224" s="65">
        <f>IFERROR(RD[[#This Row],[ Export (33 kV)]]*(1-RD[[#This Row],[33 kV Line Loss (%)]]),RD[[#This Row],[ Export (33 kV)]])</f>
        <v>0</v>
      </c>
      <c r="AU224" s="190"/>
      <c r="AV224" s="190"/>
      <c r="AW224" s="190"/>
      <c r="AX224" t="str">
        <f>IFERROR(RD[[#This Row],[E_AC (WPR)]]/RD[[#This Row],[E_DC (WPR)]],"")</f>
        <v/>
      </c>
    </row>
    <row r="225" spans="1:50">
      <c r="A225" s="148">
        <f t="shared" si="53"/>
        <v>45965</v>
      </c>
      <c r="B225" s="151">
        <f>YEAR(RD[[#This Row],[Date]])+IF(MONTH(RD[[#This Row],[Date]])&gt;=4,1,0)</f>
        <v>2026</v>
      </c>
      <c r="C225" s="151">
        <f>YEAR(RD[[#This Row],[Date]])</f>
        <v>2025</v>
      </c>
      <c r="D225" s="66">
        <f t="shared" si="52"/>
        <v>45962</v>
      </c>
      <c r="E225" s="151">
        <f>DAY(EOMONTH(RD[[#This Row],[Date]],0))</f>
        <v>30</v>
      </c>
      <c r="F225" s="172"/>
      <c r="G225" s="172"/>
      <c r="H225" s="138"/>
      <c r="I225" s="138"/>
      <c r="J225" s="138"/>
      <c r="K225" s="138"/>
      <c r="L225" s="138"/>
      <c r="M225" s="138"/>
      <c r="N225" s="138"/>
      <c r="O225" s="169"/>
      <c r="P225" s="169"/>
      <c r="Q225" s="72"/>
      <c r="R225" s="69"/>
      <c r="S225" s="69"/>
      <c r="T225" s="69"/>
      <c r="U225" s="69"/>
      <c r="V225" s="69"/>
      <c r="W225" s="69"/>
      <c r="X225" s="69"/>
      <c r="Y225" s="70">
        <f>SUM(RD[[#This Row],[IS1Inv1]:[IS3Inv1]])</f>
        <v>0</v>
      </c>
      <c r="Z225" s="70">
        <f>SUM(RD[[#This Row],[IS4Inv1]:[IS4Inv2]])</f>
        <v>0</v>
      </c>
      <c r="AA225" s="70">
        <f>SUM(RD[[#This Row],[O2RE7]:[O2RE27]])</f>
        <v>0</v>
      </c>
      <c r="AB225" s="153"/>
      <c r="AC225" s="153"/>
      <c r="AD225" s="153"/>
      <c r="AE225" s="153"/>
      <c r="AF225" s="153"/>
      <c r="AG225" s="153"/>
      <c r="AH225" s="153"/>
      <c r="AI225" s="154" t="str">
        <f>IF((RD[[#This Row],[33 kV_F1_Ex]]-AB224)*225000&lt;=0,"",(RD[[#This Row],[33 kV_F1_Ex]]-AB224)*225000)</f>
        <v/>
      </c>
      <c r="AJ225" s="154">
        <f>IF((RD[[#This Row],[33kV_OG1_Ex]]-AC224)*1000&lt;=0,0,(RD[[#This Row],[33kV_OG1_Ex]]-AC224)*1000)</f>
        <v>0</v>
      </c>
      <c r="AK225" s="154">
        <f>IF((RD[[#This Row],[220kV_TL_TVM_Ex]]-AE224)*1600&lt;=0,0,(RD[[#This Row],[220kV_TL_TVM_Ex]]-AE224)*1600)</f>
        <v>0</v>
      </c>
      <c r="AL225" s="154" t="str">
        <f>IF((RD[[#This Row],[220kV_C&amp;R_PQM_Ex]]-AF224)*1000&lt;=0,"",(RD[[#This Row],[220kV_C&amp;R_PQM_Ex]]-AF224)*1000)</f>
        <v/>
      </c>
      <c r="AM225" s="154">
        <f>IF((RD[[#This Row],[33kV_Aux1_Im]]-AH224)*1000&lt;0,"",(RD[[#This Row],[33kV_Aux1_Im]]-AH224)*1000)</f>
        <v>0</v>
      </c>
      <c r="AN225" s="154">
        <f>IF((RD[[#This Row],[33kV_Aux1_Im]]-AH224)*1000&lt;0,"",(RD[[#This Row],[33kV_Aux1_Im]]-AH224)*1000)</f>
        <v>0</v>
      </c>
      <c r="AO225" s="61">
        <f>RD[[#This Row],[33kV_OG1_Energy (KWh)]]</f>
        <v>0</v>
      </c>
      <c r="AP225" s="61">
        <f>IFERROR(RD[[#This Row],[220kV_TL_TVM Energy (KWh)]]-RD[[#This Row],[220kV_C&amp;R_PQM_Imp (KWh)2]],"")</f>
        <v>0</v>
      </c>
      <c r="AQ225" s="63" t="str">
        <f>IFERROR(RD[[#This Row],[33 kV Total Export (KWH)]]/RD[[#This Row],[220 KV Net Export (KWh)]]-1,"")</f>
        <v/>
      </c>
      <c r="AR225" s="64">
        <f>IFERROR((RD[[#This Row],[Sunset Time (POA&lt;20 W/m2)]]-RD[[#This Row],[Sunrise Time (POA&gt;20 W/m2)]])*24,0)</f>
        <v>0</v>
      </c>
      <c r="AS225" s="65">
        <f>RD[[#This Row],[33kV_OG1_Energy (KWh)]]</f>
        <v>0</v>
      </c>
      <c r="AT225" s="65">
        <f>IFERROR(RD[[#This Row],[ Export (33 kV)]]*(1-RD[[#This Row],[33 kV Line Loss (%)]]),RD[[#This Row],[ Export (33 kV)]])</f>
        <v>0</v>
      </c>
      <c r="AU225" s="190"/>
      <c r="AV225" s="190"/>
      <c r="AW225" s="190"/>
      <c r="AX225" t="str">
        <f>IFERROR(RD[[#This Row],[E_AC (WPR)]]/RD[[#This Row],[E_DC (WPR)]],"")</f>
        <v/>
      </c>
    </row>
    <row r="226" spans="1:50">
      <c r="A226" s="148">
        <f t="shared" si="53"/>
        <v>45966</v>
      </c>
      <c r="B226" s="151">
        <f>YEAR(RD[[#This Row],[Date]])+IF(MONTH(RD[[#This Row],[Date]])&gt;=4,1,0)</f>
        <v>2026</v>
      </c>
      <c r="C226" s="151">
        <f>YEAR(RD[[#This Row],[Date]])</f>
        <v>2025</v>
      </c>
      <c r="D226" s="66">
        <f t="shared" si="52"/>
        <v>45962</v>
      </c>
      <c r="E226" s="151">
        <f>DAY(EOMONTH(RD[[#This Row],[Date]],0))</f>
        <v>30</v>
      </c>
      <c r="F226" s="172"/>
      <c r="G226" s="172"/>
      <c r="H226" s="138"/>
      <c r="I226" s="138"/>
      <c r="J226" s="138"/>
      <c r="K226" s="138"/>
      <c r="L226" s="138"/>
      <c r="M226" s="138"/>
      <c r="N226" s="138"/>
      <c r="O226" s="169"/>
      <c r="P226" s="169"/>
      <c r="Q226" s="72"/>
      <c r="R226" s="69"/>
      <c r="S226" s="69"/>
      <c r="T226" s="69"/>
      <c r="U226" s="69"/>
      <c r="V226" s="69"/>
      <c r="W226" s="69"/>
      <c r="X226" s="69"/>
      <c r="Y226" s="70">
        <f>SUM(RD[[#This Row],[IS1Inv1]:[IS3Inv1]])</f>
        <v>0</v>
      </c>
      <c r="Z226" s="70">
        <f>SUM(RD[[#This Row],[IS4Inv1]:[IS4Inv2]])</f>
        <v>0</v>
      </c>
      <c r="AA226" s="70">
        <f>SUM(RD[[#This Row],[O2RE7]:[O2RE27]])</f>
        <v>0</v>
      </c>
      <c r="AB226" s="153"/>
      <c r="AC226" s="153"/>
      <c r="AD226" s="153"/>
      <c r="AE226" s="153"/>
      <c r="AF226" s="153"/>
      <c r="AG226" s="153"/>
      <c r="AH226" s="153"/>
      <c r="AI226" s="154" t="str">
        <f>IF((RD[[#This Row],[33 kV_F1_Ex]]-AB225)*225000&lt;=0,"",(RD[[#This Row],[33 kV_F1_Ex]]-AB225)*225000)</f>
        <v/>
      </c>
      <c r="AJ226" s="154">
        <f>IF((RD[[#This Row],[33kV_OG1_Ex]]-AC225)*1000&lt;=0,0,(RD[[#This Row],[33kV_OG1_Ex]]-AC225)*1000)</f>
        <v>0</v>
      </c>
      <c r="AK226" s="154">
        <f>IF((RD[[#This Row],[220kV_TL_TVM_Ex]]-AE225)*1600&lt;=0,0,(RD[[#This Row],[220kV_TL_TVM_Ex]]-AE225)*1600)</f>
        <v>0</v>
      </c>
      <c r="AL226" s="154" t="str">
        <f>IF((RD[[#This Row],[220kV_C&amp;R_PQM_Ex]]-AF225)*1000&lt;=0,"",(RD[[#This Row],[220kV_C&amp;R_PQM_Ex]]-AF225)*1000)</f>
        <v/>
      </c>
      <c r="AM226" s="154">
        <f>IF((RD[[#This Row],[33kV_Aux1_Im]]-AH225)*1000&lt;0,"",(RD[[#This Row],[33kV_Aux1_Im]]-AH225)*1000)</f>
        <v>0</v>
      </c>
      <c r="AN226" s="154">
        <f>IF((RD[[#This Row],[33kV_Aux1_Im]]-AH225)*1000&lt;0,"",(RD[[#This Row],[33kV_Aux1_Im]]-AH225)*1000)</f>
        <v>0</v>
      </c>
      <c r="AO226" s="61">
        <f>RD[[#This Row],[33kV_OG1_Energy (KWh)]]</f>
        <v>0</v>
      </c>
      <c r="AP226" s="61">
        <f>IFERROR(RD[[#This Row],[220kV_TL_TVM Energy (KWh)]]-RD[[#This Row],[220kV_C&amp;R_PQM_Imp (KWh)2]],"")</f>
        <v>0</v>
      </c>
      <c r="AQ226" s="63" t="str">
        <f>IFERROR(RD[[#This Row],[33 kV Total Export (KWH)]]/RD[[#This Row],[220 KV Net Export (KWh)]]-1,"")</f>
        <v/>
      </c>
      <c r="AR226" s="64">
        <f>IFERROR((RD[[#This Row],[Sunset Time (POA&lt;20 W/m2)]]-RD[[#This Row],[Sunrise Time (POA&gt;20 W/m2)]])*24,0)</f>
        <v>0</v>
      </c>
      <c r="AS226" s="65">
        <f>RD[[#This Row],[33kV_OG1_Energy (KWh)]]</f>
        <v>0</v>
      </c>
      <c r="AT226" s="65">
        <f>IFERROR(RD[[#This Row],[ Export (33 kV)]]*(1-RD[[#This Row],[33 kV Line Loss (%)]]),RD[[#This Row],[ Export (33 kV)]])</f>
        <v>0</v>
      </c>
      <c r="AU226" s="190"/>
      <c r="AV226" s="190"/>
      <c r="AW226" s="190"/>
      <c r="AX226" t="str">
        <f>IFERROR(RD[[#This Row],[E_AC (WPR)]]/RD[[#This Row],[E_DC (WPR)]],"")</f>
        <v/>
      </c>
    </row>
    <row r="227" spans="1:50">
      <c r="A227" s="148">
        <f t="shared" si="53"/>
        <v>45967</v>
      </c>
      <c r="B227" s="151">
        <f>YEAR(RD[[#This Row],[Date]])+IF(MONTH(RD[[#This Row],[Date]])&gt;=4,1,0)</f>
        <v>2026</v>
      </c>
      <c r="C227" s="151">
        <f>YEAR(RD[[#This Row],[Date]])</f>
        <v>2025</v>
      </c>
      <c r="D227" s="66">
        <f t="shared" si="52"/>
        <v>45962</v>
      </c>
      <c r="E227" s="151">
        <f>DAY(EOMONTH(RD[[#This Row],[Date]],0))</f>
        <v>30</v>
      </c>
      <c r="F227" s="172"/>
      <c r="G227" s="172"/>
      <c r="H227" s="138"/>
      <c r="I227" s="138"/>
      <c r="J227" s="138"/>
      <c r="K227" s="138"/>
      <c r="L227" s="138"/>
      <c r="M227" s="138"/>
      <c r="N227" s="138"/>
      <c r="O227" s="169"/>
      <c r="P227" s="169"/>
      <c r="Q227" s="72"/>
      <c r="R227" s="69"/>
      <c r="S227" s="69"/>
      <c r="T227" s="69"/>
      <c r="U227" s="69"/>
      <c r="V227" s="69"/>
      <c r="W227" s="69"/>
      <c r="X227" s="69"/>
      <c r="Y227" s="70">
        <f>SUM(RD[[#This Row],[IS1Inv1]:[IS3Inv1]])</f>
        <v>0</v>
      </c>
      <c r="Z227" s="70">
        <f>SUM(RD[[#This Row],[IS4Inv1]:[IS4Inv2]])</f>
        <v>0</v>
      </c>
      <c r="AA227" s="70">
        <f>SUM(RD[[#This Row],[O2RE7]:[O2RE27]])</f>
        <v>0</v>
      </c>
      <c r="AB227" s="153"/>
      <c r="AC227" s="153"/>
      <c r="AD227" s="153"/>
      <c r="AE227" s="153"/>
      <c r="AF227" s="153"/>
      <c r="AG227" s="153"/>
      <c r="AH227" s="153"/>
      <c r="AI227" s="154" t="str">
        <f>IF((RD[[#This Row],[33 kV_F1_Ex]]-AB226)*225000&lt;=0,"",(RD[[#This Row],[33 kV_F1_Ex]]-AB226)*225000)</f>
        <v/>
      </c>
      <c r="AJ227" s="154">
        <f>IF((RD[[#This Row],[33kV_OG1_Ex]]-AC226)*1000&lt;=0,0,(RD[[#This Row],[33kV_OG1_Ex]]-AC226)*1000)</f>
        <v>0</v>
      </c>
      <c r="AK227" s="154">
        <f>IF((RD[[#This Row],[220kV_TL_TVM_Ex]]-AE226)*1600&lt;=0,0,(RD[[#This Row],[220kV_TL_TVM_Ex]]-AE226)*1600)</f>
        <v>0</v>
      </c>
      <c r="AL227" s="154" t="str">
        <f>IF((RD[[#This Row],[220kV_C&amp;R_PQM_Ex]]-AF226)*1000&lt;=0,"",(RD[[#This Row],[220kV_C&amp;R_PQM_Ex]]-AF226)*1000)</f>
        <v/>
      </c>
      <c r="AM227" s="154">
        <f>IF((RD[[#This Row],[33kV_Aux1_Im]]-AH226)*1000&lt;0,"",(RD[[#This Row],[33kV_Aux1_Im]]-AH226)*1000)</f>
        <v>0</v>
      </c>
      <c r="AN227" s="154">
        <f>IF((RD[[#This Row],[33kV_Aux1_Im]]-AH226)*1000&lt;0,"",(RD[[#This Row],[33kV_Aux1_Im]]-AH226)*1000)</f>
        <v>0</v>
      </c>
      <c r="AO227" s="61">
        <f>RD[[#This Row],[33kV_OG1_Energy (KWh)]]</f>
        <v>0</v>
      </c>
      <c r="AP227" s="61">
        <f>IFERROR(RD[[#This Row],[220kV_TL_TVM Energy (KWh)]]-RD[[#This Row],[220kV_C&amp;R_PQM_Imp (KWh)2]],"")</f>
        <v>0</v>
      </c>
      <c r="AQ227" s="63" t="str">
        <f>IFERROR(RD[[#This Row],[33 kV Total Export (KWH)]]/RD[[#This Row],[220 KV Net Export (KWh)]]-1,"")</f>
        <v/>
      </c>
      <c r="AR227" s="64">
        <f>IFERROR((RD[[#This Row],[Sunset Time (POA&lt;20 W/m2)]]-RD[[#This Row],[Sunrise Time (POA&gt;20 W/m2)]])*24,0)</f>
        <v>0</v>
      </c>
      <c r="AS227" s="65">
        <f>RD[[#This Row],[33kV_OG1_Energy (KWh)]]</f>
        <v>0</v>
      </c>
      <c r="AT227" s="65">
        <f>IFERROR(RD[[#This Row],[ Export (33 kV)]]*(1-RD[[#This Row],[33 kV Line Loss (%)]]),RD[[#This Row],[ Export (33 kV)]])</f>
        <v>0</v>
      </c>
      <c r="AU227" s="190"/>
      <c r="AV227" s="190"/>
      <c r="AW227" s="190"/>
      <c r="AX227" t="str">
        <f>IFERROR(RD[[#This Row],[E_AC (WPR)]]/RD[[#This Row],[E_DC (WPR)]],"")</f>
        <v/>
      </c>
    </row>
    <row r="228" spans="1:50">
      <c r="A228" s="148">
        <f t="shared" si="53"/>
        <v>45968</v>
      </c>
      <c r="B228" s="151">
        <f>YEAR(RD[[#This Row],[Date]])+IF(MONTH(RD[[#This Row],[Date]])&gt;=4,1,0)</f>
        <v>2026</v>
      </c>
      <c r="C228" s="151">
        <f>YEAR(RD[[#This Row],[Date]])</f>
        <v>2025</v>
      </c>
      <c r="D228" s="66">
        <f t="shared" si="52"/>
        <v>45962</v>
      </c>
      <c r="E228" s="151">
        <f>DAY(EOMONTH(RD[[#This Row],[Date]],0))</f>
        <v>30</v>
      </c>
      <c r="F228" s="172"/>
      <c r="G228" s="172"/>
      <c r="H228" s="138"/>
      <c r="I228" s="138"/>
      <c r="J228" s="138"/>
      <c r="K228" s="138"/>
      <c r="L228" s="138"/>
      <c r="M228" s="138"/>
      <c r="N228" s="138"/>
      <c r="O228" s="169"/>
      <c r="P228" s="169"/>
      <c r="Q228" s="69"/>
      <c r="R228" s="69"/>
      <c r="S228" s="69"/>
      <c r="T228" s="69"/>
      <c r="U228" s="69"/>
      <c r="V228" s="69"/>
      <c r="W228" s="69"/>
      <c r="X228" s="69"/>
      <c r="Y228" s="70">
        <f>SUM(RD[[#This Row],[IS1Inv1]:[IS3Inv1]])</f>
        <v>0</v>
      </c>
      <c r="Z228" s="70">
        <f>SUM(RD[[#This Row],[IS4Inv1]:[IS4Inv2]])</f>
        <v>0</v>
      </c>
      <c r="AA228" s="70">
        <f>SUM(RD[[#This Row],[O2RE7]:[O2RE27]])</f>
        <v>0</v>
      </c>
      <c r="AB228" s="153"/>
      <c r="AC228" s="153"/>
      <c r="AD228" s="153"/>
      <c r="AE228" s="153"/>
      <c r="AF228" s="153"/>
      <c r="AG228" s="153"/>
      <c r="AH228" s="153"/>
      <c r="AI228" s="154" t="str">
        <f>IF((RD[[#This Row],[33 kV_F1_Ex]]-AB227)*225000&lt;=0,"",(RD[[#This Row],[33 kV_F1_Ex]]-AB227)*225000)</f>
        <v/>
      </c>
      <c r="AJ228" s="154">
        <f>IF((RD[[#This Row],[33kV_OG1_Ex]]-AC227)*1000&lt;=0,0,(RD[[#This Row],[33kV_OG1_Ex]]-AC227)*1000)</f>
        <v>0</v>
      </c>
      <c r="AK228" s="154">
        <f>IF((RD[[#This Row],[220kV_TL_TVM_Ex]]-AE227)*1600&lt;=0,0,(RD[[#This Row],[220kV_TL_TVM_Ex]]-AE227)*1600)</f>
        <v>0</v>
      </c>
      <c r="AL228" s="154" t="str">
        <f>IF((RD[[#This Row],[220kV_C&amp;R_PQM_Ex]]-AF227)*1000&lt;=0,"",(RD[[#This Row],[220kV_C&amp;R_PQM_Ex]]-AF227)*1000)</f>
        <v/>
      </c>
      <c r="AM228" s="154">
        <f>IF((RD[[#This Row],[33kV_Aux1_Im]]-AH227)*1000&lt;0,"",(RD[[#This Row],[33kV_Aux1_Im]]-AH227)*1000)</f>
        <v>0</v>
      </c>
      <c r="AN228" s="154">
        <f>IF((RD[[#This Row],[33kV_Aux1_Im]]-AH227)*1000&lt;0,"",(RD[[#This Row],[33kV_Aux1_Im]]-AH227)*1000)</f>
        <v>0</v>
      </c>
      <c r="AO228" s="61">
        <f>RD[[#This Row],[33kV_OG1_Energy (KWh)]]</f>
        <v>0</v>
      </c>
      <c r="AP228" s="61">
        <f>IFERROR(RD[[#This Row],[220kV_TL_TVM Energy (KWh)]]-RD[[#This Row],[220kV_C&amp;R_PQM_Imp (KWh)2]],"")</f>
        <v>0</v>
      </c>
      <c r="AQ228" s="63" t="str">
        <f>IFERROR(RD[[#This Row],[33 kV Total Export (KWH)]]/RD[[#This Row],[220 KV Net Export (KWh)]]-1,"")</f>
        <v/>
      </c>
      <c r="AR228" s="64">
        <f>IFERROR((RD[[#This Row],[Sunset Time (POA&lt;20 W/m2)]]-RD[[#This Row],[Sunrise Time (POA&gt;20 W/m2)]])*24,0)</f>
        <v>0</v>
      </c>
      <c r="AS228" s="65">
        <f>RD[[#This Row],[33kV_OG1_Energy (KWh)]]</f>
        <v>0</v>
      </c>
      <c r="AT228" s="65">
        <f>IFERROR(RD[[#This Row],[ Export (33 kV)]]*(1-RD[[#This Row],[33 kV Line Loss (%)]]),RD[[#This Row],[ Export (33 kV)]])</f>
        <v>0</v>
      </c>
      <c r="AU228" s="190"/>
      <c r="AV228" s="190"/>
      <c r="AW228" s="190"/>
      <c r="AX228" t="str">
        <f>IFERROR(RD[[#This Row],[E_AC (WPR)]]/RD[[#This Row],[E_DC (WPR)]],"")</f>
        <v/>
      </c>
    </row>
    <row r="229" spans="1:50">
      <c r="A229" s="148">
        <f t="shared" si="53"/>
        <v>45969</v>
      </c>
      <c r="B229" s="151">
        <f>YEAR(RD[[#This Row],[Date]])+IF(MONTH(RD[[#This Row],[Date]])&gt;=4,1,0)</f>
        <v>2026</v>
      </c>
      <c r="C229" s="151">
        <f>YEAR(RD[[#This Row],[Date]])</f>
        <v>2025</v>
      </c>
      <c r="D229" s="66">
        <f t="shared" si="52"/>
        <v>45962</v>
      </c>
      <c r="E229" s="151">
        <f>DAY(EOMONTH(RD[[#This Row],[Date]],0))</f>
        <v>30</v>
      </c>
      <c r="F229" s="172"/>
      <c r="G229" s="172"/>
      <c r="H229" s="138"/>
      <c r="I229" s="138"/>
      <c r="J229" s="138"/>
      <c r="K229" s="138"/>
      <c r="L229" s="138"/>
      <c r="M229" s="138"/>
      <c r="N229" s="138"/>
      <c r="O229" s="169"/>
      <c r="P229" s="169"/>
      <c r="Q229" s="69"/>
      <c r="R229" s="69"/>
      <c r="S229" s="69"/>
      <c r="T229" s="69"/>
      <c r="U229" s="69"/>
      <c r="V229" s="69"/>
      <c r="W229" s="69"/>
      <c r="X229" s="69"/>
      <c r="Y229" s="70">
        <f>SUM(RD[[#This Row],[IS1Inv1]:[IS3Inv1]])</f>
        <v>0</v>
      </c>
      <c r="Z229" s="70">
        <f>SUM(RD[[#This Row],[IS4Inv1]:[IS4Inv2]])</f>
        <v>0</v>
      </c>
      <c r="AA229" s="70">
        <f>SUM(RD[[#This Row],[O2RE7]:[O2RE27]])</f>
        <v>0</v>
      </c>
      <c r="AB229" s="153"/>
      <c r="AC229" s="153"/>
      <c r="AD229" s="153"/>
      <c r="AE229" s="153"/>
      <c r="AF229" s="153"/>
      <c r="AG229" s="153"/>
      <c r="AH229" s="153"/>
      <c r="AI229" s="154" t="str">
        <f>IF((RD[[#This Row],[33 kV_F1_Ex]]-AB228)*225000&lt;=0,"",(RD[[#This Row],[33 kV_F1_Ex]]-AB228)*225000)</f>
        <v/>
      </c>
      <c r="AJ229" s="154">
        <f>IF((RD[[#This Row],[33kV_OG1_Ex]]-AC228)*1000&lt;=0,0,(RD[[#This Row],[33kV_OG1_Ex]]-AC228)*1000)</f>
        <v>0</v>
      </c>
      <c r="AK229" s="154">
        <f>IF((RD[[#This Row],[220kV_TL_TVM_Ex]]-AE228)*1600&lt;=0,0,(RD[[#This Row],[220kV_TL_TVM_Ex]]-AE228)*1600)</f>
        <v>0</v>
      </c>
      <c r="AL229" s="154" t="str">
        <f>IF((RD[[#This Row],[220kV_C&amp;R_PQM_Ex]]-AF228)*1000&lt;=0,"",(RD[[#This Row],[220kV_C&amp;R_PQM_Ex]]-AF228)*1000)</f>
        <v/>
      </c>
      <c r="AM229" s="154">
        <f>IF((RD[[#This Row],[33kV_Aux1_Im]]-AH228)*1000&lt;0,"",(RD[[#This Row],[33kV_Aux1_Im]]-AH228)*1000)</f>
        <v>0</v>
      </c>
      <c r="AN229" s="154">
        <f>IF((RD[[#This Row],[33kV_Aux1_Im]]-AH228)*1000&lt;0,"",(RD[[#This Row],[33kV_Aux1_Im]]-AH228)*1000)</f>
        <v>0</v>
      </c>
      <c r="AO229" s="61">
        <f>RD[[#This Row],[33kV_OG1_Energy (KWh)]]</f>
        <v>0</v>
      </c>
      <c r="AP229" s="61">
        <f>IFERROR(RD[[#This Row],[220kV_TL_TVM Energy (KWh)]]-RD[[#This Row],[220kV_C&amp;R_PQM_Imp (KWh)2]],"")</f>
        <v>0</v>
      </c>
      <c r="AQ229" s="63" t="str">
        <f>IFERROR(RD[[#This Row],[33 kV Total Export (KWH)]]/RD[[#This Row],[220 KV Net Export (KWh)]]-1,"")</f>
        <v/>
      </c>
      <c r="AR229" s="64">
        <f>IFERROR((RD[[#This Row],[Sunset Time (POA&lt;20 W/m2)]]-RD[[#This Row],[Sunrise Time (POA&gt;20 W/m2)]])*24,0)</f>
        <v>0</v>
      </c>
      <c r="AS229" s="65">
        <f>RD[[#This Row],[33kV_OG1_Energy (KWh)]]</f>
        <v>0</v>
      </c>
      <c r="AT229" s="65">
        <f>IFERROR(RD[[#This Row],[ Export (33 kV)]]*(1-RD[[#This Row],[33 kV Line Loss (%)]]),RD[[#This Row],[ Export (33 kV)]])</f>
        <v>0</v>
      </c>
      <c r="AU229" s="190"/>
      <c r="AV229" s="190"/>
      <c r="AW229" s="190"/>
      <c r="AX229" t="str">
        <f>IFERROR(RD[[#This Row],[E_AC (WPR)]]/RD[[#This Row],[E_DC (WPR)]],"")</f>
        <v/>
      </c>
    </row>
    <row r="230" spans="1:50">
      <c r="A230" s="148">
        <f t="shared" si="53"/>
        <v>45970</v>
      </c>
      <c r="B230" s="151">
        <f>YEAR(RD[[#This Row],[Date]])+IF(MONTH(RD[[#This Row],[Date]])&gt;=4,1,0)</f>
        <v>2026</v>
      </c>
      <c r="C230" s="151">
        <f>YEAR(RD[[#This Row],[Date]])</f>
        <v>2025</v>
      </c>
      <c r="D230" s="66">
        <f t="shared" si="52"/>
        <v>45962</v>
      </c>
      <c r="E230" s="151">
        <f>DAY(EOMONTH(RD[[#This Row],[Date]],0))</f>
        <v>30</v>
      </c>
      <c r="F230" s="172"/>
      <c r="G230" s="172"/>
      <c r="H230" s="138"/>
      <c r="I230" s="138"/>
      <c r="J230" s="138"/>
      <c r="K230" s="138"/>
      <c r="L230" s="138"/>
      <c r="M230" s="138"/>
      <c r="N230" s="138"/>
      <c r="O230" s="169"/>
      <c r="P230" s="169"/>
      <c r="Q230" s="69"/>
      <c r="R230" s="69"/>
      <c r="S230" s="69"/>
      <c r="T230" s="69"/>
      <c r="U230" s="69"/>
      <c r="V230" s="69"/>
      <c r="W230" s="69"/>
      <c r="X230" s="69"/>
      <c r="Y230" s="70">
        <f>SUM(RD[[#This Row],[IS1Inv1]:[IS3Inv1]])</f>
        <v>0</v>
      </c>
      <c r="Z230" s="70">
        <f>SUM(RD[[#This Row],[IS4Inv1]:[IS4Inv2]])</f>
        <v>0</v>
      </c>
      <c r="AA230" s="70">
        <f>SUM(RD[[#This Row],[O2RE7]:[O2RE27]])</f>
        <v>0</v>
      </c>
      <c r="AB230" s="153"/>
      <c r="AC230" s="153"/>
      <c r="AD230" s="153"/>
      <c r="AE230" s="153"/>
      <c r="AF230" s="153"/>
      <c r="AG230" s="153"/>
      <c r="AH230" s="153"/>
      <c r="AI230" s="154" t="str">
        <f>IF((RD[[#This Row],[33 kV_F1_Ex]]-AB229)*225000&lt;=0,"",(RD[[#This Row],[33 kV_F1_Ex]]-AB229)*225000)</f>
        <v/>
      </c>
      <c r="AJ230" s="154">
        <f>IF((RD[[#This Row],[33kV_OG1_Ex]]-AC229)*1000&lt;=0,0,(RD[[#This Row],[33kV_OG1_Ex]]-AC229)*1000)</f>
        <v>0</v>
      </c>
      <c r="AK230" s="154">
        <f>IF((RD[[#This Row],[220kV_TL_TVM_Ex]]-AE229)*1600&lt;=0,0,(RD[[#This Row],[220kV_TL_TVM_Ex]]-AE229)*1600)</f>
        <v>0</v>
      </c>
      <c r="AL230" s="154" t="str">
        <f>IF((RD[[#This Row],[220kV_C&amp;R_PQM_Ex]]-AF229)*1000&lt;=0,"",(RD[[#This Row],[220kV_C&amp;R_PQM_Ex]]-AF229)*1000)</f>
        <v/>
      </c>
      <c r="AM230" s="154">
        <f>IF((RD[[#This Row],[33kV_Aux1_Im]]-AH229)*1000&lt;0,"",(RD[[#This Row],[33kV_Aux1_Im]]-AH229)*1000)</f>
        <v>0</v>
      </c>
      <c r="AN230" s="154">
        <f>IF((RD[[#This Row],[33kV_Aux1_Im]]-AH229)*1000&lt;0,"",(RD[[#This Row],[33kV_Aux1_Im]]-AH229)*1000)</f>
        <v>0</v>
      </c>
      <c r="AO230" s="61">
        <f>RD[[#This Row],[33kV_OG1_Energy (KWh)]]</f>
        <v>0</v>
      </c>
      <c r="AP230" s="61">
        <f>IFERROR(RD[[#This Row],[220kV_TL_TVM Energy (KWh)]]-RD[[#This Row],[220kV_C&amp;R_PQM_Imp (KWh)2]],"")</f>
        <v>0</v>
      </c>
      <c r="AQ230" s="63" t="str">
        <f>IFERROR(RD[[#This Row],[33 kV Total Export (KWH)]]/RD[[#This Row],[220 KV Net Export (KWh)]]-1,"")</f>
        <v/>
      </c>
      <c r="AR230" s="64">
        <f>IFERROR((RD[[#This Row],[Sunset Time (POA&lt;20 W/m2)]]-RD[[#This Row],[Sunrise Time (POA&gt;20 W/m2)]])*24,0)</f>
        <v>0</v>
      </c>
      <c r="AS230" s="65">
        <f>RD[[#This Row],[33kV_OG1_Energy (KWh)]]</f>
        <v>0</v>
      </c>
      <c r="AT230" s="65">
        <f>IFERROR(RD[[#This Row],[ Export (33 kV)]]*(1-RD[[#This Row],[33 kV Line Loss (%)]]),RD[[#This Row],[ Export (33 kV)]])</f>
        <v>0</v>
      </c>
      <c r="AU230" s="190"/>
      <c r="AV230" s="190"/>
      <c r="AW230" s="190"/>
      <c r="AX230" t="str">
        <f>IFERROR(RD[[#This Row],[E_AC (WPR)]]/RD[[#This Row],[E_DC (WPR)]],"")</f>
        <v/>
      </c>
    </row>
    <row r="231" spans="1:50">
      <c r="A231" s="148">
        <f t="shared" si="53"/>
        <v>45971</v>
      </c>
      <c r="B231" s="151">
        <f>YEAR(RD[[#This Row],[Date]])+IF(MONTH(RD[[#This Row],[Date]])&gt;=4,1,0)</f>
        <v>2026</v>
      </c>
      <c r="C231" s="151">
        <f>YEAR(RD[[#This Row],[Date]])</f>
        <v>2025</v>
      </c>
      <c r="D231" s="66">
        <f t="shared" si="52"/>
        <v>45962</v>
      </c>
      <c r="E231" s="151">
        <f>DAY(EOMONTH(RD[[#This Row],[Date]],0))</f>
        <v>30</v>
      </c>
      <c r="F231" s="172"/>
      <c r="G231" s="172"/>
      <c r="H231" s="138"/>
      <c r="I231" s="138"/>
      <c r="J231" s="138"/>
      <c r="K231" s="138"/>
      <c r="L231" s="138"/>
      <c r="M231" s="138"/>
      <c r="N231" s="138"/>
      <c r="O231" s="169"/>
      <c r="P231" s="169"/>
      <c r="Q231" s="69"/>
      <c r="R231" s="69"/>
      <c r="S231" s="69"/>
      <c r="T231" s="69"/>
      <c r="U231" s="69"/>
      <c r="V231" s="69"/>
      <c r="W231" s="69"/>
      <c r="X231" s="69"/>
      <c r="Y231" s="70">
        <f>SUM(RD[[#This Row],[IS1Inv1]:[IS3Inv1]])</f>
        <v>0</v>
      </c>
      <c r="Z231" s="70">
        <f>SUM(RD[[#This Row],[IS4Inv1]:[IS4Inv2]])</f>
        <v>0</v>
      </c>
      <c r="AA231" s="70">
        <f>SUM(RD[[#This Row],[O2RE7]:[O2RE27]])</f>
        <v>0</v>
      </c>
      <c r="AB231" s="153"/>
      <c r="AC231" s="153"/>
      <c r="AD231" s="153"/>
      <c r="AE231" s="153"/>
      <c r="AF231" s="153"/>
      <c r="AG231" s="153"/>
      <c r="AH231" s="153"/>
      <c r="AI231" s="154" t="str">
        <f>IF((RD[[#This Row],[33 kV_F1_Ex]]-AB230)*225000&lt;=0,"",(RD[[#This Row],[33 kV_F1_Ex]]-AB230)*225000)</f>
        <v/>
      </c>
      <c r="AJ231" s="154">
        <f>IF((RD[[#This Row],[33kV_OG1_Ex]]-AC230)*1000&lt;=0,0,(RD[[#This Row],[33kV_OG1_Ex]]-AC230)*1000)</f>
        <v>0</v>
      </c>
      <c r="AK231" s="154">
        <f>IF((RD[[#This Row],[220kV_TL_TVM_Ex]]-AE230)*1600&lt;=0,0,(RD[[#This Row],[220kV_TL_TVM_Ex]]-AE230)*1600)</f>
        <v>0</v>
      </c>
      <c r="AL231" s="154" t="str">
        <f>IF((RD[[#This Row],[220kV_C&amp;R_PQM_Ex]]-AF230)*1000&lt;=0,"",(RD[[#This Row],[220kV_C&amp;R_PQM_Ex]]-AF230)*1000)</f>
        <v/>
      </c>
      <c r="AM231" s="154">
        <f>IF((RD[[#This Row],[33kV_Aux1_Im]]-AH230)*1000&lt;0,"",(RD[[#This Row],[33kV_Aux1_Im]]-AH230)*1000)</f>
        <v>0</v>
      </c>
      <c r="AN231" s="154">
        <f>IF((RD[[#This Row],[33kV_Aux1_Im]]-AH230)*1000&lt;0,"",(RD[[#This Row],[33kV_Aux1_Im]]-AH230)*1000)</f>
        <v>0</v>
      </c>
      <c r="AO231" s="61">
        <f>RD[[#This Row],[33kV_OG1_Energy (KWh)]]</f>
        <v>0</v>
      </c>
      <c r="AP231" s="61">
        <f>IFERROR(RD[[#This Row],[220kV_TL_TVM Energy (KWh)]]-RD[[#This Row],[220kV_C&amp;R_PQM_Imp (KWh)2]],"")</f>
        <v>0</v>
      </c>
      <c r="AQ231" s="63" t="str">
        <f>IFERROR(RD[[#This Row],[33 kV Total Export (KWH)]]/RD[[#This Row],[220 KV Net Export (KWh)]]-1,"")</f>
        <v/>
      </c>
      <c r="AR231" s="64">
        <f>IFERROR((RD[[#This Row],[Sunset Time (POA&lt;20 W/m2)]]-RD[[#This Row],[Sunrise Time (POA&gt;20 W/m2)]])*24,0)</f>
        <v>0</v>
      </c>
      <c r="AS231" s="65">
        <f>RD[[#This Row],[33kV_OG1_Energy (KWh)]]</f>
        <v>0</v>
      </c>
      <c r="AT231" s="65">
        <f>IFERROR(RD[[#This Row],[ Export (33 kV)]]*(1-RD[[#This Row],[33 kV Line Loss (%)]]),RD[[#This Row],[ Export (33 kV)]])</f>
        <v>0</v>
      </c>
      <c r="AU231" s="190"/>
      <c r="AV231" s="190"/>
      <c r="AW231" s="190"/>
      <c r="AX231" t="str">
        <f>IFERROR(RD[[#This Row],[E_AC (WPR)]]/RD[[#This Row],[E_DC (WPR)]],"")</f>
        <v/>
      </c>
    </row>
    <row r="232" spans="1:50">
      <c r="A232" s="148">
        <f t="shared" si="53"/>
        <v>45972</v>
      </c>
      <c r="B232" s="151">
        <f>YEAR(RD[[#This Row],[Date]])+IF(MONTH(RD[[#This Row],[Date]])&gt;=4,1,0)</f>
        <v>2026</v>
      </c>
      <c r="C232" s="151">
        <f>YEAR(RD[[#This Row],[Date]])</f>
        <v>2025</v>
      </c>
      <c r="D232" s="66">
        <f t="shared" si="52"/>
        <v>45962</v>
      </c>
      <c r="E232" s="151">
        <f>DAY(EOMONTH(RD[[#This Row],[Date]],0))</f>
        <v>30</v>
      </c>
      <c r="F232" s="172"/>
      <c r="G232" s="172"/>
      <c r="H232" s="138"/>
      <c r="I232" s="138"/>
      <c r="J232" s="138"/>
      <c r="K232" s="138"/>
      <c r="L232" s="138"/>
      <c r="M232" s="138"/>
      <c r="N232" s="138"/>
      <c r="O232" s="169"/>
      <c r="P232" s="169"/>
      <c r="Q232" s="69"/>
      <c r="R232" s="69"/>
      <c r="S232" s="69"/>
      <c r="T232" s="69"/>
      <c r="U232" s="69"/>
      <c r="V232" s="69"/>
      <c r="W232" s="69"/>
      <c r="X232" s="69"/>
      <c r="Y232" s="70">
        <f>SUM(RD[[#This Row],[IS1Inv1]:[IS3Inv1]])</f>
        <v>0</v>
      </c>
      <c r="Z232" s="70">
        <f>SUM(RD[[#This Row],[IS4Inv1]:[IS4Inv2]])</f>
        <v>0</v>
      </c>
      <c r="AA232" s="70">
        <f>SUM(RD[[#This Row],[O2RE7]:[O2RE27]])</f>
        <v>0</v>
      </c>
      <c r="AB232" s="153"/>
      <c r="AC232" s="153"/>
      <c r="AD232" s="153"/>
      <c r="AE232" s="153"/>
      <c r="AF232" s="153"/>
      <c r="AG232" s="153"/>
      <c r="AH232" s="153"/>
      <c r="AI232" s="154" t="str">
        <f>IF((RD[[#This Row],[33 kV_F1_Ex]]-AB231)*225000&lt;=0,"",(RD[[#This Row],[33 kV_F1_Ex]]-AB231)*225000)</f>
        <v/>
      </c>
      <c r="AJ232" s="154">
        <f>IF((RD[[#This Row],[33kV_OG1_Ex]]-AC231)*1000&lt;=0,0,(RD[[#This Row],[33kV_OG1_Ex]]-AC231)*1000)</f>
        <v>0</v>
      </c>
      <c r="AK232" s="154">
        <f>IF((RD[[#This Row],[220kV_TL_TVM_Ex]]-AE231)*1600&lt;=0,0,(RD[[#This Row],[220kV_TL_TVM_Ex]]-AE231)*1600)</f>
        <v>0</v>
      </c>
      <c r="AL232" s="154" t="str">
        <f>IF((RD[[#This Row],[220kV_C&amp;R_PQM_Ex]]-AF231)*1000&lt;=0,"",(RD[[#This Row],[220kV_C&amp;R_PQM_Ex]]-AF231)*1000)</f>
        <v/>
      </c>
      <c r="AM232" s="154">
        <f>IF((RD[[#This Row],[33kV_Aux1_Im]]-AH231)*1000&lt;0,"",(RD[[#This Row],[33kV_Aux1_Im]]-AH231)*1000)</f>
        <v>0</v>
      </c>
      <c r="AN232" s="154">
        <f>IF((RD[[#This Row],[33kV_Aux1_Im]]-AH231)*1000&lt;0,"",(RD[[#This Row],[33kV_Aux1_Im]]-AH231)*1000)</f>
        <v>0</v>
      </c>
      <c r="AO232" s="61">
        <f>RD[[#This Row],[33kV_OG1_Energy (KWh)]]</f>
        <v>0</v>
      </c>
      <c r="AP232" s="61">
        <f>IFERROR(RD[[#This Row],[220kV_TL_TVM Energy (KWh)]]-RD[[#This Row],[220kV_C&amp;R_PQM_Imp (KWh)2]],"")</f>
        <v>0</v>
      </c>
      <c r="AQ232" s="63" t="str">
        <f>IFERROR(RD[[#This Row],[33 kV Total Export (KWH)]]/RD[[#This Row],[220 KV Net Export (KWh)]]-1,"")</f>
        <v/>
      </c>
      <c r="AR232" s="64">
        <f>IFERROR((RD[[#This Row],[Sunset Time (POA&lt;20 W/m2)]]-RD[[#This Row],[Sunrise Time (POA&gt;20 W/m2)]])*24,0)</f>
        <v>0</v>
      </c>
      <c r="AS232" s="65">
        <f>RD[[#This Row],[33kV_OG1_Energy (KWh)]]</f>
        <v>0</v>
      </c>
      <c r="AT232" s="65">
        <f>IFERROR(RD[[#This Row],[ Export (33 kV)]]*(1-RD[[#This Row],[33 kV Line Loss (%)]]),RD[[#This Row],[ Export (33 kV)]])</f>
        <v>0</v>
      </c>
      <c r="AU232" s="190"/>
      <c r="AV232" s="190"/>
      <c r="AW232" s="190"/>
      <c r="AX232" t="str">
        <f>IFERROR(RD[[#This Row],[E_AC (WPR)]]/RD[[#This Row],[E_DC (WPR)]],"")</f>
        <v/>
      </c>
    </row>
    <row r="233" spans="1:50">
      <c r="A233" s="148">
        <f t="shared" si="53"/>
        <v>45973</v>
      </c>
      <c r="B233" s="151">
        <f>YEAR(RD[[#This Row],[Date]])+IF(MONTH(RD[[#This Row],[Date]])&gt;=4,1,0)</f>
        <v>2026</v>
      </c>
      <c r="C233" s="151">
        <f>YEAR(RD[[#This Row],[Date]])</f>
        <v>2025</v>
      </c>
      <c r="D233" s="66">
        <f t="shared" si="52"/>
        <v>45962</v>
      </c>
      <c r="E233" s="151">
        <f>DAY(EOMONTH(RD[[#This Row],[Date]],0))</f>
        <v>30</v>
      </c>
      <c r="F233" s="172"/>
      <c r="G233" s="172"/>
      <c r="H233" s="138"/>
      <c r="I233" s="138"/>
      <c r="J233" s="138"/>
      <c r="K233" s="138"/>
      <c r="L233" s="138"/>
      <c r="M233" s="138"/>
      <c r="N233" s="138"/>
      <c r="O233" s="169"/>
      <c r="P233" s="169"/>
      <c r="Q233" s="72"/>
      <c r="R233" s="72"/>
      <c r="S233" s="72"/>
      <c r="T233" s="72"/>
      <c r="U233" s="72"/>
      <c r="V233" s="72"/>
      <c r="W233" s="72"/>
      <c r="X233" s="72"/>
      <c r="Y233" s="70">
        <f>SUM(RD[[#This Row],[IS1Inv1]:[IS3Inv1]])</f>
        <v>0</v>
      </c>
      <c r="Z233" s="70">
        <f>SUM(RD[[#This Row],[IS4Inv1]:[IS4Inv2]])</f>
        <v>0</v>
      </c>
      <c r="AA233" s="70">
        <f>SUM(RD[[#This Row],[O2RE7]:[O2RE27]])</f>
        <v>0</v>
      </c>
      <c r="AB233" s="153"/>
      <c r="AC233" s="153"/>
      <c r="AD233" s="153"/>
      <c r="AE233" s="153"/>
      <c r="AF233" s="153"/>
      <c r="AG233" s="153"/>
      <c r="AH233" s="153"/>
      <c r="AI233" s="154" t="str">
        <f>IF((RD[[#This Row],[33 kV_F1_Ex]]-AB232)*225000&lt;=0,"",(RD[[#This Row],[33 kV_F1_Ex]]-AB232)*225000)</f>
        <v/>
      </c>
      <c r="AJ233" s="154">
        <f>IF((RD[[#This Row],[33kV_OG1_Ex]]-AC232)*1000&lt;=0,0,(RD[[#This Row],[33kV_OG1_Ex]]-AC232)*1000)</f>
        <v>0</v>
      </c>
      <c r="AK233" s="154">
        <f>IF((RD[[#This Row],[220kV_TL_TVM_Ex]]-AE232)*1600&lt;=0,0,(RD[[#This Row],[220kV_TL_TVM_Ex]]-AE232)*1600)</f>
        <v>0</v>
      </c>
      <c r="AL233" s="154" t="str">
        <f>IF((RD[[#This Row],[220kV_C&amp;R_PQM_Ex]]-AF232)*1000&lt;=0,"",(RD[[#This Row],[220kV_C&amp;R_PQM_Ex]]-AF232)*1000)</f>
        <v/>
      </c>
      <c r="AM233" s="154">
        <f>IF((RD[[#This Row],[33kV_Aux1_Im]]-AH232)*1000&lt;0,"",(RD[[#This Row],[33kV_Aux1_Im]]-AH232)*1000)</f>
        <v>0</v>
      </c>
      <c r="AN233" s="154">
        <f>IF((RD[[#This Row],[33kV_Aux1_Im]]-AH232)*1000&lt;0,"",(RD[[#This Row],[33kV_Aux1_Im]]-AH232)*1000)</f>
        <v>0</v>
      </c>
      <c r="AO233" s="61">
        <f>RD[[#This Row],[33kV_OG1_Energy (KWh)]]</f>
        <v>0</v>
      </c>
      <c r="AP233" s="61">
        <f>IFERROR(RD[[#This Row],[220kV_TL_TVM Energy (KWh)]]-RD[[#This Row],[220kV_C&amp;R_PQM_Imp (KWh)2]],"")</f>
        <v>0</v>
      </c>
      <c r="AQ233" s="63" t="str">
        <f>IFERROR(RD[[#This Row],[33 kV Total Export (KWH)]]/RD[[#This Row],[220 KV Net Export (KWh)]]-1,"")</f>
        <v/>
      </c>
      <c r="AR233" s="64">
        <f>IFERROR((RD[[#This Row],[Sunset Time (POA&lt;20 W/m2)]]-RD[[#This Row],[Sunrise Time (POA&gt;20 W/m2)]])*24,0)</f>
        <v>0</v>
      </c>
      <c r="AS233" s="65">
        <f>RD[[#This Row],[33kV_OG1_Energy (KWh)]]</f>
        <v>0</v>
      </c>
      <c r="AT233" s="65">
        <f>IFERROR(RD[[#This Row],[ Export (33 kV)]]*(1-RD[[#This Row],[33 kV Line Loss (%)]]),RD[[#This Row],[ Export (33 kV)]])</f>
        <v>0</v>
      </c>
      <c r="AU233" s="190"/>
      <c r="AV233" s="190"/>
      <c r="AW233" s="190"/>
      <c r="AX233" t="str">
        <f>IFERROR(RD[[#This Row],[E_AC (WPR)]]/RD[[#This Row],[E_DC (WPR)]],"")</f>
        <v/>
      </c>
    </row>
    <row r="234" spans="1:50">
      <c r="A234" s="148">
        <f t="shared" si="53"/>
        <v>45974</v>
      </c>
      <c r="B234" s="151">
        <f>YEAR(RD[[#This Row],[Date]])+IF(MONTH(RD[[#This Row],[Date]])&gt;=4,1,0)</f>
        <v>2026</v>
      </c>
      <c r="C234" s="151">
        <f>YEAR(RD[[#This Row],[Date]])</f>
        <v>2025</v>
      </c>
      <c r="D234" s="66">
        <f t="shared" si="52"/>
        <v>45962</v>
      </c>
      <c r="E234" s="151">
        <f>DAY(EOMONTH(RD[[#This Row],[Date]],0))</f>
        <v>30</v>
      </c>
      <c r="F234" s="172"/>
      <c r="G234" s="172"/>
      <c r="H234" s="138"/>
      <c r="I234" s="138"/>
      <c r="J234" s="138"/>
      <c r="K234" s="138"/>
      <c r="L234" s="138"/>
      <c r="M234" s="138"/>
      <c r="N234" s="138"/>
      <c r="O234" s="169"/>
      <c r="P234" s="169"/>
      <c r="Q234" s="72"/>
      <c r="R234" s="72"/>
      <c r="S234" s="72"/>
      <c r="T234" s="72"/>
      <c r="U234" s="72"/>
      <c r="V234" s="72"/>
      <c r="W234" s="72"/>
      <c r="X234" s="72"/>
      <c r="Y234" s="70">
        <f>SUM(RD[[#This Row],[IS1Inv1]:[IS3Inv1]])</f>
        <v>0</v>
      </c>
      <c r="Z234" s="70">
        <f>SUM(RD[[#This Row],[IS4Inv1]:[IS4Inv2]])</f>
        <v>0</v>
      </c>
      <c r="AA234" s="70">
        <f>SUM(RD[[#This Row],[O2RE7]:[O2RE27]])</f>
        <v>0</v>
      </c>
      <c r="AB234" s="153"/>
      <c r="AC234" s="153"/>
      <c r="AD234" s="153"/>
      <c r="AE234" s="153"/>
      <c r="AF234" s="153"/>
      <c r="AG234" s="153"/>
      <c r="AH234" s="153"/>
      <c r="AI234" s="154" t="str">
        <f>IF((RD[[#This Row],[33 kV_F1_Ex]]-AB233)*225000&lt;=0,"",(RD[[#This Row],[33 kV_F1_Ex]]-AB233)*225000)</f>
        <v/>
      </c>
      <c r="AJ234" s="154">
        <f>IF((RD[[#This Row],[33kV_OG1_Ex]]-AC233)*1000&lt;=0,0,(RD[[#This Row],[33kV_OG1_Ex]]-AC233)*1000)</f>
        <v>0</v>
      </c>
      <c r="AK234" s="154">
        <f>IF((RD[[#This Row],[220kV_TL_TVM_Ex]]-AE233)*1600&lt;=0,0,(RD[[#This Row],[220kV_TL_TVM_Ex]]-AE233)*1600)</f>
        <v>0</v>
      </c>
      <c r="AL234" s="154" t="str">
        <f>IF((RD[[#This Row],[220kV_C&amp;R_PQM_Ex]]-AF233)*1000&lt;=0,"",(RD[[#This Row],[220kV_C&amp;R_PQM_Ex]]-AF233)*1000)</f>
        <v/>
      </c>
      <c r="AM234" s="154">
        <f>IF((RD[[#This Row],[33kV_Aux1_Im]]-AH233)*1000&lt;0,"",(RD[[#This Row],[33kV_Aux1_Im]]-AH233)*1000)</f>
        <v>0</v>
      </c>
      <c r="AN234" s="154">
        <f>IF((RD[[#This Row],[33kV_Aux1_Im]]-AH233)*1000&lt;0,"",(RD[[#This Row],[33kV_Aux1_Im]]-AH233)*1000)</f>
        <v>0</v>
      </c>
      <c r="AO234" s="61">
        <f>RD[[#This Row],[33kV_OG1_Energy (KWh)]]</f>
        <v>0</v>
      </c>
      <c r="AP234" s="61">
        <f>IFERROR(RD[[#This Row],[220kV_TL_TVM Energy (KWh)]]-RD[[#This Row],[220kV_C&amp;R_PQM_Imp (KWh)2]],"")</f>
        <v>0</v>
      </c>
      <c r="AQ234" s="63" t="str">
        <f>IFERROR(RD[[#This Row],[33 kV Total Export (KWH)]]/RD[[#This Row],[220 KV Net Export (KWh)]]-1,"")</f>
        <v/>
      </c>
      <c r="AR234" s="64">
        <f>IFERROR((RD[[#This Row],[Sunset Time (POA&lt;20 W/m2)]]-RD[[#This Row],[Sunrise Time (POA&gt;20 W/m2)]])*24,0)</f>
        <v>0</v>
      </c>
      <c r="AS234" s="65">
        <f>RD[[#This Row],[33kV_OG1_Energy (KWh)]]</f>
        <v>0</v>
      </c>
      <c r="AT234" s="65">
        <f>IFERROR(RD[[#This Row],[ Export (33 kV)]]*(1-RD[[#This Row],[33 kV Line Loss (%)]]),RD[[#This Row],[ Export (33 kV)]])</f>
        <v>0</v>
      </c>
      <c r="AU234" s="190"/>
      <c r="AV234" s="190"/>
      <c r="AW234" s="190"/>
      <c r="AX234" t="str">
        <f>IFERROR(RD[[#This Row],[E_AC (WPR)]]/RD[[#This Row],[E_DC (WPR)]],"")</f>
        <v/>
      </c>
    </row>
    <row r="235" spans="1:50">
      <c r="A235" s="148">
        <f t="shared" si="53"/>
        <v>45975</v>
      </c>
      <c r="B235" s="151">
        <f>YEAR(RD[[#This Row],[Date]])+IF(MONTH(RD[[#This Row],[Date]])&gt;=4,1,0)</f>
        <v>2026</v>
      </c>
      <c r="C235" s="151">
        <f>YEAR(RD[[#This Row],[Date]])</f>
        <v>2025</v>
      </c>
      <c r="D235" s="66">
        <f t="shared" si="52"/>
        <v>45962</v>
      </c>
      <c r="E235" s="151">
        <f>DAY(EOMONTH(RD[[#This Row],[Date]],0))</f>
        <v>30</v>
      </c>
      <c r="F235" s="172"/>
      <c r="G235" s="172"/>
      <c r="H235" s="138"/>
      <c r="I235" s="138"/>
      <c r="J235" s="138"/>
      <c r="K235" s="138"/>
      <c r="L235" s="138"/>
      <c r="M235" s="138"/>
      <c r="N235" s="138"/>
      <c r="O235" s="169"/>
      <c r="P235" s="169"/>
      <c r="Q235" s="72"/>
      <c r="R235" s="72"/>
      <c r="S235" s="72"/>
      <c r="T235" s="72"/>
      <c r="U235" s="72"/>
      <c r="V235" s="72"/>
      <c r="W235" s="72"/>
      <c r="X235" s="72"/>
      <c r="Y235" s="70">
        <f>SUM(RD[[#This Row],[IS1Inv1]:[IS3Inv1]])</f>
        <v>0</v>
      </c>
      <c r="Z235" s="70">
        <f>SUM(RD[[#This Row],[IS4Inv1]:[IS4Inv2]])</f>
        <v>0</v>
      </c>
      <c r="AA235" s="70">
        <f>SUM(RD[[#This Row],[O2RE7]:[O2RE27]])</f>
        <v>0</v>
      </c>
      <c r="AB235" s="153"/>
      <c r="AC235" s="153"/>
      <c r="AD235" s="153"/>
      <c r="AE235" s="153"/>
      <c r="AF235" s="153"/>
      <c r="AG235" s="153"/>
      <c r="AH235" s="153"/>
      <c r="AI235" s="154" t="str">
        <f>IF((RD[[#This Row],[33 kV_F1_Ex]]-AB234)*225000&lt;=0,"",(RD[[#This Row],[33 kV_F1_Ex]]-AB234)*225000)</f>
        <v/>
      </c>
      <c r="AJ235" s="154">
        <f>IF((RD[[#This Row],[33kV_OG1_Ex]]-AC234)*1000&lt;=0,0,(RD[[#This Row],[33kV_OG1_Ex]]-AC234)*1000)</f>
        <v>0</v>
      </c>
      <c r="AK235" s="154">
        <f>IF((RD[[#This Row],[220kV_TL_TVM_Ex]]-AE234)*1600&lt;=0,0,(RD[[#This Row],[220kV_TL_TVM_Ex]]-AE234)*1600)</f>
        <v>0</v>
      </c>
      <c r="AL235" s="154" t="str">
        <f>IF((RD[[#This Row],[220kV_C&amp;R_PQM_Ex]]-AF234)*1000&lt;=0,"",(RD[[#This Row],[220kV_C&amp;R_PQM_Ex]]-AF234)*1000)</f>
        <v/>
      </c>
      <c r="AM235" s="154">
        <f>IF((RD[[#This Row],[33kV_Aux1_Im]]-AH234)*1000&lt;0,"",(RD[[#This Row],[33kV_Aux1_Im]]-AH234)*1000)</f>
        <v>0</v>
      </c>
      <c r="AN235" s="154">
        <f>IF((RD[[#This Row],[33kV_Aux1_Im]]-AH234)*1000&lt;0,"",(RD[[#This Row],[33kV_Aux1_Im]]-AH234)*1000)</f>
        <v>0</v>
      </c>
      <c r="AO235" s="61">
        <f>RD[[#This Row],[33kV_OG1_Energy (KWh)]]</f>
        <v>0</v>
      </c>
      <c r="AP235" s="61">
        <f>IFERROR(RD[[#This Row],[220kV_TL_TVM Energy (KWh)]]-RD[[#This Row],[220kV_C&amp;R_PQM_Imp (KWh)2]],"")</f>
        <v>0</v>
      </c>
      <c r="AQ235" s="63" t="str">
        <f>IFERROR(RD[[#This Row],[33 kV Total Export (KWH)]]/RD[[#This Row],[220 KV Net Export (KWh)]]-1,"")</f>
        <v/>
      </c>
      <c r="AR235" s="64">
        <f>IFERROR((RD[[#This Row],[Sunset Time (POA&lt;20 W/m2)]]-RD[[#This Row],[Sunrise Time (POA&gt;20 W/m2)]])*24,0)</f>
        <v>0</v>
      </c>
      <c r="AS235" s="65">
        <f>RD[[#This Row],[33kV_OG1_Energy (KWh)]]</f>
        <v>0</v>
      </c>
      <c r="AT235" s="65">
        <f>IFERROR(RD[[#This Row],[ Export (33 kV)]]*(1-RD[[#This Row],[33 kV Line Loss (%)]]),RD[[#This Row],[ Export (33 kV)]])</f>
        <v>0</v>
      </c>
      <c r="AU235" s="190"/>
      <c r="AV235" s="190"/>
      <c r="AW235" s="190"/>
      <c r="AX235" t="str">
        <f>IFERROR(RD[[#This Row],[E_AC (WPR)]]/RD[[#This Row],[E_DC (WPR)]],"")</f>
        <v/>
      </c>
    </row>
    <row r="236" spans="1:50">
      <c r="A236" s="148">
        <f t="shared" si="53"/>
        <v>45976</v>
      </c>
      <c r="B236" s="151">
        <f>YEAR(RD[[#This Row],[Date]])+IF(MONTH(RD[[#This Row],[Date]])&gt;=4,1,0)</f>
        <v>2026</v>
      </c>
      <c r="C236" s="151">
        <f>YEAR(RD[[#This Row],[Date]])</f>
        <v>2025</v>
      </c>
      <c r="D236" s="66">
        <f t="shared" si="52"/>
        <v>45962</v>
      </c>
      <c r="E236" s="151">
        <f>DAY(EOMONTH(RD[[#This Row],[Date]],0))</f>
        <v>30</v>
      </c>
      <c r="F236" s="172"/>
      <c r="G236" s="172"/>
      <c r="H236" s="138"/>
      <c r="I236" s="138"/>
      <c r="J236" s="138"/>
      <c r="K236" s="138"/>
      <c r="L236" s="138"/>
      <c r="M236" s="138"/>
      <c r="N236" s="138"/>
      <c r="O236" s="169"/>
      <c r="P236" s="169"/>
      <c r="Q236" s="72"/>
      <c r="R236" s="72"/>
      <c r="S236" s="72"/>
      <c r="T236" s="72"/>
      <c r="U236" s="72"/>
      <c r="V236" s="72"/>
      <c r="W236" s="72"/>
      <c r="X236" s="72"/>
      <c r="Y236" s="70">
        <f>SUM(RD[[#This Row],[IS1Inv1]:[IS3Inv1]])</f>
        <v>0</v>
      </c>
      <c r="Z236" s="70">
        <f>SUM(RD[[#This Row],[IS4Inv1]:[IS4Inv2]])</f>
        <v>0</v>
      </c>
      <c r="AA236" s="70">
        <f>SUM(RD[[#This Row],[O2RE7]:[O2RE27]])</f>
        <v>0</v>
      </c>
      <c r="AB236" s="153"/>
      <c r="AC236" s="153"/>
      <c r="AD236" s="153"/>
      <c r="AE236" s="153"/>
      <c r="AF236" s="153"/>
      <c r="AG236" s="153"/>
      <c r="AH236" s="153"/>
      <c r="AI236" s="154" t="str">
        <f>IF((RD[[#This Row],[33 kV_F1_Ex]]-AB235)*225000&lt;=0,"",(RD[[#This Row],[33 kV_F1_Ex]]-AB235)*225000)</f>
        <v/>
      </c>
      <c r="AJ236" s="154">
        <f>IF((RD[[#This Row],[33kV_OG1_Ex]]-AC235)*1000&lt;=0,0,(RD[[#This Row],[33kV_OG1_Ex]]-AC235)*1000)</f>
        <v>0</v>
      </c>
      <c r="AK236" s="154">
        <f>IF((RD[[#This Row],[220kV_TL_TVM_Ex]]-AE235)*1600&lt;=0,0,(RD[[#This Row],[220kV_TL_TVM_Ex]]-AE235)*1600)</f>
        <v>0</v>
      </c>
      <c r="AL236" s="154" t="str">
        <f>IF((RD[[#This Row],[220kV_C&amp;R_PQM_Ex]]-AF235)*1000&lt;=0,"",(RD[[#This Row],[220kV_C&amp;R_PQM_Ex]]-AF235)*1000)</f>
        <v/>
      </c>
      <c r="AM236" s="154">
        <f>IF((RD[[#This Row],[33kV_Aux1_Im]]-AH235)*1000&lt;0,"",(RD[[#This Row],[33kV_Aux1_Im]]-AH235)*1000)</f>
        <v>0</v>
      </c>
      <c r="AN236" s="154">
        <f>IF((RD[[#This Row],[33kV_Aux1_Im]]-AH235)*1000&lt;0,"",(RD[[#This Row],[33kV_Aux1_Im]]-AH235)*1000)</f>
        <v>0</v>
      </c>
      <c r="AO236" s="61">
        <f>RD[[#This Row],[33kV_OG1_Energy (KWh)]]</f>
        <v>0</v>
      </c>
      <c r="AP236" s="61">
        <f>IFERROR(RD[[#This Row],[220kV_TL_TVM Energy (KWh)]]-RD[[#This Row],[220kV_C&amp;R_PQM_Imp (KWh)2]],"")</f>
        <v>0</v>
      </c>
      <c r="AQ236" s="63" t="str">
        <f>IFERROR(RD[[#This Row],[33 kV Total Export (KWH)]]/RD[[#This Row],[220 KV Net Export (KWh)]]-1,"")</f>
        <v/>
      </c>
      <c r="AR236" s="64">
        <f>IFERROR((RD[[#This Row],[Sunset Time (POA&lt;20 W/m2)]]-RD[[#This Row],[Sunrise Time (POA&gt;20 W/m2)]])*24,0)</f>
        <v>0</v>
      </c>
      <c r="AS236" s="65">
        <f>RD[[#This Row],[33kV_OG1_Energy (KWh)]]</f>
        <v>0</v>
      </c>
      <c r="AT236" s="65">
        <f>IFERROR(RD[[#This Row],[ Export (33 kV)]]*(1-RD[[#This Row],[33 kV Line Loss (%)]]),RD[[#This Row],[ Export (33 kV)]])</f>
        <v>0</v>
      </c>
      <c r="AU236" s="190"/>
      <c r="AV236" s="190"/>
      <c r="AW236" s="190"/>
      <c r="AX236" t="str">
        <f>IFERROR(RD[[#This Row],[E_AC (WPR)]]/RD[[#This Row],[E_DC (WPR)]],"")</f>
        <v/>
      </c>
    </row>
    <row r="237" spans="1:50">
      <c r="A237" s="148">
        <f t="shared" si="53"/>
        <v>45977</v>
      </c>
      <c r="B237" s="151">
        <f>YEAR(RD[[#This Row],[Date]])+IF(MONTH(RD[[#This Row],[Date]])&gt;=4,1,0)</f>
        <v>2026</v>
      </c>
      <c r="C237" s="151">
        <f>YEAR(RD[[#This Row],[Date]])</f>
        <v>2025</v>
      </c>
      <c r="D237" s="66">
        <f t="shared" si="52"/>
        <v>45962</v>
      </c>
      <c r="E237" s="151">
        <f>DAY(EOMONTH(RD[[#This Row],[Date]],0))</f>
        <v>30</v>
      </c>
      <c r="F237" s="172"/>
      <c r="G237" s="172"/>
      <c r="H237" s="138"/>
      <c r="I237" s="138"/>
      <c r="J237" s="138"/>
      <c r="K237" s="138"/>
      <c r="L237" s="138"/>
      <c r="M237" s="138"/>
      <c r="N237" s="138"/>
      <c r="O237" s="169"/>
      <c r="P237" s="169"/>
      <c r="Q237" s="72"/>
      <c r="R237" s="72"/>
      <c r="S237" s="72"/>
      <c r="T237" s="72"/>
      <c r="U237" s="72"/>
      <c r="V237" s="72"/>
      <c r="W237" s="72"/>
      <c r="X237" s="72"/>
      <c r="Y237" s="70">
        <f>SUM(RD[[#This Row],[IS1Inv1]:[IS3Inv1]])</f>
        <v>0</v>
      </c>
      <c r="Z237" s="70">
        <f>SUM(RD[[#This Row],[IS4Inv1]:[IS4Inv2]])</f>
        <v>0</v>
      </c>
      <c r="AA237" s="70">
        <f>SUM(RD[[#This Row],[O2RE7]:[O2RE27]])</f>
        <v>0</v>
      </c>
      <c r="AB237" s="153"/>
      <c r="AC237" s="153"/>
      <c r="AD237" s="153"/>
      <c r="AE237" s="153"/>
      <c r="AF237" s="153"/>
      <c r="AG237" s="153"/>
      <c r="AH237" s="153"/>
      <c r="AI237" s="154" t="str">
        <f>IF((RD[[#This Row],[33 kV_F1_Ex]]-AB236)*225000&lt;=0,"",(RD[[#This Row],[33 kV_F1_Ex]]-AB236)*225000)</f>
        <v/>
      </c>
      <c r="AJ237" s="154">
        <f>IF((RD[[#This Row],[33kV_OG1_Ex]]-AC236)*1000&lt;=0,0,(RD[[#This Row],[33kV_OG1_Ex]]-AC236)*1000)</f>
        <v>0</v>
      </c>
      <c r="AK237" s="154">
        <f>IF((RD[[#This Row],[220kV_TL_TVM_Ex]]-AE236)*1600&lt;=0,0,(RD[[#This Row],[220kV_TL_TVM_Ex]]-AE236)*1600)</f>
        <v>0</v>
      </c>
      <c r="AL237" s="154" t="str">
        <f>IF((RD[[#This Row],[220kV_C&amp;R_PQM_Ex]]-AF236)*1000&lt;=0,"",(RD[[#This Row],[220kV_C&amp;R_PQM_Ex]]-AF236)*1000)</f>
        <v/>
      </c>
      <c r="AM237" s="154">
        <f>IF((RD[[#This Row],[33kV_Aux1_Im]]-AH236)*1000&lt;0,"",(RD[[#This Row],[33kV_Aux1_Im]]-AH236)*1000)</f>
        <v>0</v>
      </c>
      <c r="AN237" s="154">
        <f>IF((RD[[#This Row],[33kV_Aux1_Im]]-AH236)*1000&lt;0,"",(RD[[#This Row],[33kV_Aux1_Im]]-AH236)*1000)</f>
        <v>0</v>
      </c>
      <c r="AO237" s="61">
        <f>RD[[#This Row],[33kV_OG1_Energy (KWh)]]</f>
        <v>0</v>
      </c>
      <c r="AP237" s="61">
        <f>IFERROR(RD[[#This Row],[220kV_TL_TVM Energy (KWh)]]-RD[[#This Row],[220kV_C&amp;R_PQM_Imp (KWh)2]],"")</f>
        <v>0</v>
      </c>
      <c r="AQ237" s="63" t="str">
        <f>IFERROR(RD[[#This Row],[33 kV Total Export (KWH)]]/RD[[#This Row],[220 KV Net Export (KWh)]]-1,"")</f>
        <v/>
      </c>
      <c r="AR237" s="64">
        <f>IFERROR((RD[[#This Row],[Sunset Time (POA&lt;20 W/m2)]]-RD[[#This Row],[Sunrise Time (POA&gt;20 W/m2)]])*24,0)</f>
        <v>0</v>
      </c>
      <c r="AS237" s="65">
        <f>RD[[#This Row],[33kV_OG1_Energy (KWh)]]</f>
        <v>0</v>
      </c>
      <c r="AT237" s="65">
        <f>IFERROR(RD[[#This Row],[ Export (33 kV)]]*(1-RD[[#This Row],[33 kV Line Loss (%)]]),RD[[#This Row],[ Export (33 kV)]])</f>
        <v>0</v>
      </c>
      <c r="AU237" s="190"/>
      <c r="AV237" s="190"/>
      <c r="AW237" s="190"/>
      <c r="AX237" t="str">
        <f>IFERROR(RD[[#This Row],[E_AC (WPR)]]/RD[[#This Row],[E_DC (WPR)]],"")</f>
        <v/>
      </c>
    </row>
    <row r="238" spans="1:50">
      <c r="A238" s="148">
        <f t="shared" si="53"/>
        <v>45978</v>
      </c>
      <c r="B238" s="151">
        <f>YEAR(RD[[#This Row],[Date]])+IF(MONTH(RD[[#This Row],[Date]])&gt;=4,1,0)</f>
        <v>2026</v>
      </c>
      <c r="C238" s="151">
        <f>YEAR(RD[[#This Row],[Date]])</f>
        <v>2025</v>
      </c>
      <c r="D238" s="66">
        <f t="shared" si="52"/>
        <v>45962</v>
      </c>
      <c r="E238" s="151">
        <f>DAY(EOMONTH(RD[[#This Row],[Date]],0))</f>
        <v>30</v>
      </c>
      <c r="F238" s="172"/>
      <c r="G238" s="172"/>
      <c r="H238" s="138"/>
      <c r="I238" s="138"/>
      <c r="J238" s="138"/>
      <c r="K238" s="138"/>
      <c r="L238" s="138"/>
      <c r="M238" s="138"/>
      <c r="N238" s="138"/>
      <c r="O238" s="169"/>
      <c r="P238" s="169"/>
      <c r="Q238" s="72"/>
      <c r="R238" s="72"/>
      <c r="S238" s="72"/>
      <c r="T238" s="72"/>
      <c r="U238" s="72"/>
      <c r="V238" s="72"/>
      <c r="W238" s="72"/>
      <c r="X238" s="72"/>
      <c r="Y238" s="70">
        <f>SUM(RD[[#This Row],[IS1Inv1]:[IS3Inv1]])</f>
        <v>0</v>
      </c>
      <c r="Z238" s="70">
        <f>SUM(RD[[#This Row],[IS4Inv1]:[IS4Inv2]])</f>
        <v>0</v>
      </c>
      <c r="AA238" s="70">
        <f>SUM(RD[[#This Row],[O2RE7]:[O2RE27]])</f>
        <v>0</v>
      </c>
      <c r="AB238" s="153"/>
      <c r="AC238" s="153"/>
      <c r="AD238" s="153"/>
      <c r="AE238" s="153"/>
      <c r="AF238" s="153"/>
      <c r="AG238" s="153"/>
      <c r="AH238" s="153"/>
      <c r="AI238" s="154" t="str">
        <f>IF((RD[[#This Row],[33 kV_F1_Ex]]-AB237)*225000&lt;=0,"",(RD[[#This Row],[33 kV_F1_Ex]]-AB237)*225000)</f>
        <v/>
      </c>
      <c r="AJ238" s="154">
        <f>IF((RD[[#This Row],[33kV_OG1_Ex]]-AC237)*1000&lt;=0,0,(RD[[#This Row],[33kV_OG1_Ex]]-AC237)*1000)</f>
        <v>0</v>
      </c>
      <c r="AK238" s="154">
        <f>IF((RD[[#This Row],[220kV_TL_TVM_Ex]]-AE237)*1600&lt;=0,0,(RD[[#This Row],[220kV_TL_TVM_Ex]]-AE237)*1600)</f>
        <v>0</v>
      </c>
      <c r="AL238" s="154" t="str">
        <f>IF((RD[[#This Row],[220kV_C&amp;R_PQM_Ex]]-AF237)*1000&lt;=0,"",(RD[[#This Row],[220kV_C&amp;R_PQM_Ex]]-AF237)*1000)</f>
        <v/>
      </c>
      <c r="AM238" s="154">
        <f>IF((RD[[#This Row],[33kV_Aux1_Im]]-AH237)*1000&lt;0,"",(RD[[#This Row],[33kV_Aux1_Im]]-AH237)*1000)</f>
        <v>0</v>
      </c>
      <c r="AN238" s="154">
        <f>IF((RD[[#This Row],[33kV_Aux1_Im]]-AH237)*1000&lt;0,"",(RD[[#This Row],[33kV_Aux1_Im]]-AH237)*1000)</f>
        <v>0</v>
      </c>
      <c r="AO238" s="61">
        <f>RD[[#This Row],[33kV_OG1_Energy (KWh)]]</f>
        <v>0</v>
      </c>
      <c r="AP238" s="61">
        <f>IFERROR(RD[[#This Row],[220kV_TL_TVM Energy (KWh)]]-RD[[#This Row],[220kV_C&amp;R_PQM_Imp (KWh)2]],"")</f>
        <v>0</v>
      </c>
      <c r="AQ238" s="63" t="str">
        <f>IFERROR(RD[[#This Row],[33 kV Total Export (KWH)]]/RD[[#This Row],[220 KV Net Export (KWh)]]-1,"")</f>
        <v/>
      </c>
      <c r="AR238" s="64">
        <f>IFERROR((RD[[#This Row],[Sunset Time (POA&lt;20 W/m2)]]-RD[[#This Row],[Sunrise Time (POA&gt;20 W/m2)]])*24,0)</f>
        <v>0</v>
      </c>
      <c r="AS238" s="65">
        <f>RD[[#This Row],[33kV_OG1_Energy (KWh)]]</f>
        <v>0</v>
      </c>
      <c r="AT238" s="65">
        <f>IFERROR(RD[[#This Row],[ Export (33 kV)]]*(1-RD[[#This Row],[33 kV Line Loss (%)]]),RD[[#This Row],[ Export (33 kV)]])</f>
        <v>0</v>
      </c>
      <c r="AU238" s="190"/>
      <c r="AV238" s="190"/>
      <c r="AW238" s="190"/>
      <c r="AX238" t="str">
        <f>IFERROR(RD[[#This Row],[E_AC (WPR)]]/RD[[#This Row],[E_DC (WPR)]],"")</f>
        <v/>
      </c>
    </row>
    <row r="239" spans="1:50">
      <c r="A239" s="148">
        <f t="shared" si="53"/>
        <v>45979</v>
      </c>
      <c r="B239" s="151">
        <f>YEAR(RD[[#This Row],[Date]])+IF(MONTH(RD[[#This Row],[Date]])&gt;=4,1,0)</f>
        <v>2026</v>
      </c>
      <c r="C239" s="151">
        <f>YEAR(RD[[#This Row],[Date]])</f>
        <v>2025</v>
      </c>
      <c r="D239" s="66">
        <f t="shared" si="52"/>
        <v>45962</v>
      </c>
      <c r="E239" s="151">
        <f>DAY(EOMONTH(RD[[#This Row],[Date]],0))</f>
        <v>30</v>
      </c>
      <c r="F239" s="172"/>
      <c r="G239" s="172"/>
      <c r="H239" s="138"/>
      <c r="I239" s="138"/>
      <c r="J239" s="138"/>
      <c r="K239" s="138"/>
      <c r="L239" s="138"/>
      <c r="M239" s="138"/>
      <c r="N239" s="138"/>
      <c r="O239" s="169"/>
      <c r="P239" s="169"/>
      <c r="Q239" s="72"/>
      <c r="R239" s="72"/>
      <c r="S239" s="72"/>
      <c r="T239" s="72"/>
      <c r="U239" s="72"/>
      <c r="V239" s="72"/>
      <c r="W239" s="72"/>
      <c r="X239" s="72"/>
      <c r="Y239" s="70">
        <f>SUM(RD[[#This Row],[IS1Inv1]:[IS3Inv1]])</f>
        <v>0</v>
      </c>
      <c r="Z239" s="70">
        <f>SUM(RD[[#This Row],[IS4Inv1]:[IS4Inv2]])</f>
        <v>0</v>
      </c>
      <c r="AA239" s="70">
        <f>SUM(RD[[#This Row],[O2RE7]:[O2RE27]])</f>
        <v>0</v>
      </c>
      <c r="AB239" s="153"/>
      <c r="AC239" s="153"/>
      <c r="AD239" s="153"/>
      <c r="AE239" s="153"/>
      <c r="AF239" s="153"/>
      <c r="AG239" s="153"/>
      <c r="AH239" s="153"/>
      <c r="AI239" s="154" t="str">
        <f>IF((RD[[#This Row],[33 kV_F1_Ex]]-AB238)*225000&lt;=0,"",(RD[[#This Row],[33 kV_F1_Ex]]-AB238)*225000)</f>
        <v/>
      </c>
      <c r="AJ239" s="154">
        <f>IF((RD[[#This Row],[33kV_OG1_Ex]]-AC238)*1000&lt;=0,0,(RD[[#This Row],[33kV_OG1_Ex]]-AC238)*1000)</f>
        <v>0</v>
      </c>
      <c r="AK239" s="154">
        <f>IF((RD[[#This Row],[220kV_TL_TVM_Ex]]-AE238)*1600&lt;=0,0,(RD[[#This Row],[220kV_TL_TVM_Ex]]-AE238)*1600)</f>
        <v>0</v>
      </c>
      <c r="AL239" s="154" t="str">
        <f>IF((RD[[#This Row],[220kV_C&amp;R_PQM_Ex]]-AF238)*1000&lt;=0,"",(RD[[#This Row],[220kV_C&amp;R_PQM_Ex]]-AF238)*1000)</f>
        <v/>
      </c>
      <c r="AM239" s="154">
        <f>IF((RD[[#This Row],[33kV_Aux1_Im]]-AH238)*1000&lt;0,"",(RD[[#This Row],[33kV_Aux1_Im]]-AH238)*1000)</f>
        <v>0</v>
      </c>
      <c r="AN239" s="154">
        <f>IF((RD[[#This Row],[33kV_Aux1_Im]]-AH238)*1000&lt;0,"",(RD[[#This Row],[33kV_Aux1_Im]]-AH238)*1000)</f>
        <v>0</v>
      </c>
      <c r="AO239" s="61">
        <f>RD[[#This Row],[33kV_OG1_Energy (KWh)]]</f>
        <v>0</v>
      </c>
      <c r="AP239" s="61">
        <f>IFERROR(RD[[#This Row],[220kV_TL_TVM Energy (KWh)]]-RD[[#This Row],[220kV_C&amp;R_PQM_Imp (KWh)2]],"")</f>
        <v>0</v>
      </c>
      <c r="AQ239" s="63" t="str">
        <f>IFERROR(RD[[#This Row],[33 kV Total Export (KWH)]]/RD[[#This Row],[220 KV Net Export (KWh)]]-1,"")</f>
        <v/>
      </c>
      <c r="AR239" s="64">
        <f>IFERROR((RD[[#This Row],[Sunset Time (POA&lt;20 W/m2)]]-RD[[#This Row],[Sunrise Time (POA&gt;20 W/m2)]])*24,0)</f>
        <v>0</v>
      </c>
      <c r="AS239" s="65">
        <f>RD[[#This Row],[33kV_OG1_Energy (KWh)]]</f>
        <v>0</v>
      </c>
      <c r="AT239" s="65">
        <f>IFERROR(RD[[#This Row],[ Export (33 kV)]]*(1-RD[[#This Row],[33 kV Line Loss (%)]]),RD[[#This Row],[ Export (33 kV)]])</f>
        <v>0</v>
      </c>
      <c r="AU239" s="190"/>
      <c r="AV239" s="190"/>
      <c r="AW239" s="190"/>
      <c r="AX239" t="str">
        <f>IFERROR(RD[[#This Row],[E_AC (WPR)]]/RD[[#This Row],[E_DC (WPR)]],"")</f>
        <v/>
      </c>
    </row>
    <row r="240" spans="1:50">
      <c r="A240" s="148">
        <f t="shared" si="53"/>
        <v>45980</v>
      </c>
      <c r="B240" s="151">
        <f>YEAR(RD[[#This Row],[Date]])+IF(MONTH(RD[[#This Row],[Date]])&gt;=4,1,0)</f>
        <v>2026</v>
      </c>
      <c r="C240" s="151">
        <f>YEAR(RD[[#This Row],[Date]])</f>
        <v>2025</v>
      </c>
      <c r="D240" s="66">
        <f t="shared" si="52"/>
        <v>45962</v>
      </c>
      <c r="E240" s="151">
        <f>DAY(EOMONTH(RD[[#This Row],[Date]],0))</f>
        <v>30</v>
      </c>
      <c r="F240" s="172"/>
      <c r="G240" s="172"/>
      <c r="H240" s="138"/>
      <c r="I240" s="138"/>
      <c r="J240" s="138"/>
      <c r="K240" s="138"/>
      <c r="L240" s="138"/>
      <c r="M240" s="138"/>
      <c r="N240" s="138"/>
      <c r="O240" s="169"/>
      <c r="P240" s="169"/>
      <c r="Q240" s="72"/>
      <c r="R240" s="72"/>
      <c r="S240" s="72"/>
      <c r="T240" s="72"/>
      <c r="U240" s="72"/>
      <c r="V240" s="72"/>
      <c r="W240" s="72"/>
      <c r="X240" s="72"/>
      <c r="Y240" s="70">
        <f>SUM(RD[[#This Row],[IS1Inv1]:[IS3Inv1]])</f>
        <v>0</v>
      </c>
      <c r="Z240" s="70">
        <f>SUM(RD[[#This Row],[IS4Inv1]:[IS4Inv2]])</f>
        <v>0</v>
      </c>
      <c r="AA240" s="70">
        <f>SUM(RD[[#This Row],[O2RE7]:[O2RE27]])</f>
        <v>0</v>
      </c>
      <c r="AB240" s="153"/>
      <c r="AC240" s="153"/>
      <c r="AD240" s="153"/>
      <c r="AE240" s="153"/>
      <c r="AF240" s="153"/>
      <c r="AG240" s="153"/>
      <c r="AH240" s="153"/>
      <c r="AI240" s="154" t="str">
        <f>IF((RD[[#This Row],[33 kV_F1_Ex]]-AB239)*225000&lt;=0,"",(RD[[#This Row],[33 kV_F1_Ex]]-AB239)*225000)</f>
        <v/>
      </c>
      <c r="AJ240" s="154">
        <f>IF((RD[[#This Row],[33kV_OG1_Ex]]-AC239)*1000&lt;=0,0,(RD[[#This Row],[33kV_OG1_Ex]]-AC239)*1000)</f>
        <v>0</v>
      </c>
      <c r="AK240" s="154">
        <f>IF((RD[[#This Row],[220kV_TL_TVM_Ex]]-AE239)*1600&lt;=0,0,(RD[[#This Row],[220kV_TL_TVM_Ex]]-AE239)*1600)</f>
        <v>0</v>
      </c>
      <c r="AL240" s="154" t="str">
        <f>IF((RD[[#This Row],[220kV_C&amp;R_PQM_Ex]]-AF239)*1000&lt;=0,"",(RD[[#This Row],[220kV_C&amp;R_PQM_Ex]]-AF239)*1000)</f>
        <v/>
      </c>
      <c r="AM240" s="154">
        <f>IF((RD[[#This Row],[33kV_Aux1_Im]]-AH239)*1000&lt;0,"",(RD[[#This Row],[33kV_Aux1_Im]]-AH239)*1000)</f>
        <v>0</v>
      </c>
      <c r="AN240" s="154">
        <f>IF((RD[[#This Row],[33kV_Aux1_Im]]-AH239)*1000&lt;0,"",(RD[[#This Row],[33kV_Aux1_Im]]-AH239)*1000)</f>
        <v>0</v>
      </c>
      <c r="AO240" s="61">
        <f>RD[[#This Row],[33kV_OG1_Energy (KWh)]]</f>
        <v>0</v>
      </c>
      <c r="AP240" s="61">
        <f>IFERROR(RD[[#This Row],[220kV_TL_TVM Energy (KWh)]]-RD[[#This Row],[220kV_C&amp;R_PQM_Imp (KWh)2]],"")</f>
        <v>0</v>
      </c>
      <c r="AQ240" s="63" t="str">
        <f>IFERROR(RD[[#This Row],[33 kV Total Export (KWH)]]/RD[[#This Row],[220 KV Net Export (KWh)]]-1,"")</f>
        <v/>
      </c>
      <c r="AR240" s="64">
        <f>IFERROR((RD[[#This Row],[Sunset Time (POA&lt;20 W/m2)]]-RD[[#This Row],[Sunrise Time (POA&gt;20 W/m2)]])*24,0)</f>
        <v>0</v>
      </c>
      <c r="AS240" s="65">
        <f>RD[[#This Row],[33kV_OG1_Energy (KWh)]]</f>
        <v>0</v>
      </c>
      <c r="AT240" s="65">
        <f>IFERROR(RD[[#This Row],[ Export (33 kV)]]*(1-RD[[#This Row],[33 kV Line Loss (%)]]),RD[[#This Row],[ Export (33 kV)]])</f>
        <v>0</v>
      </c>
      <c r="AU240" s="190"/>
      <c r="AV240" s="190"/>
      <c r="AW240" s="190"/>
      <c r="AX240" t="str">
        <f>IFERROR(RD[[#This Row],[E_AC (WPR)]]/RD[[#This Row],[E_DC (WPR)]],"")</f>
        <v/>
      </c>
    </row>
    <row r="241" spans="1:50">
      <c r="A241" s="148">
        <f t="shared" si="53"/>
        <v>45981</v>
      </c>
      <c r="B241" s="151">
        <f>YEAR(RD[[#This Row],[Date]])+IF(MONTH(RD[[#This Row],[Date]])&gt;=4,1,0)</f>
        <v>2026</v>
      </c>
      <c r="C241" s="151">
        <f>YEAR(RD[[#This Row],[Date]])</f>
        <v>2025</v>
      </c>
      <c r="D241" s="66">
        <f t="shared" si="52"/>
        <v>45962</v>
      </c>
      <c r="E241" s="151">
        <f>DAY(EOMONTH(RD[[#This Row],[Date]],0))</f>
        <v>30</v>
      </c>
      <c r="F241" s="172"/>
      <c r="G241" s="172"/>
      <c r="H241" s="138"/>
      <c r="I241" s="138"/>
      <c r="J241" s="138"/>
      <c r="K241" s="138"/>
      <c r="L241" s="138"/>
      <c r="M241" s="138"/>
      <c r="N241" s="138"/>
      <c r="O241" s="169"/>
      <c r="P241" s="169"/>
      <c r="Q241" s="72"/>
      <c r="R241" s="72"/>
      <c r="S241" s="72"/>
      <c r="T241" s="72"/>
      <c r="U241" s="72"/>
      <c r="V241" s="72"/>
      <c r="W241" s="72"/>
      <c r="X241" s="72"/>
      <c r="Y241" s="70">
        <f>SUM(RD[[#This Row],[IS1Inv1]:[IS3Inv1]])</f>
        <v>0</v>
      </c>
      <c r="Z241" s="70">
        <f>SUM(RD[[#This Row],[IS4Inv1]:[IS4Inv2]])</f>
        <v>0</v>
      </c>
      <c r="AA241" s="70">
        <f>SUM(RD[[#This Row],[O2RE7]:[O2RE27]])</f>
        <v>0</v>
      </c>
      <c r="AB241" s="153"/>
      <c r="AC241" s="153"/>
      <c r="AD241" s="153"/>
      <c r="AE241" s="153"/>
      <c r="AF241" s="153"/>
      <c r="AG241" s="153"/>
      <c r="AH241" s="153"/>
      <c r="AI241" s="154" t="str">
        <f>IF((RD[[#This Row],[33 kV_F1_Ex]]-AB240)*225000&lt;=0,"",(RD[[#This Row],[33 kV_F1_Ex]]-AB240)*225000)</f>
        <v/>
      </c>
      <c r="AJ241" s="154">
        <f>IF((RD[[#This Row],[33kV_OG1_Ex]]-AC240)*1000&lt;=0,0,(RD[[#This Row],[33kV_OG1_Ex]]-AC240)*1000)</f>
        <v>0</v>
      </c>
      <c r="AK241" s="154">
        <f>IF((RD[[#This Row],[220kV_TL_TVM_Ex]]-AE240)*1600&lt;=0,0,(RD[[#This Row],[220kV_TL_TVM_Ex]]-AE240)*1600)</f>
        <v>0</v>
      </c>
      <c r="AL241" s="154" t="str">
        <f>IF((RD[[#This Row],[220kV_C&amp;R_PQM_Ex]]-AF240)*1000&lt;=0,"",(RD[[#This Row],[220kV_C&amp;R_PQM_Ex]]-AF240)*1000)</f>
        <v/>
      </c>
      <c r="AM241" s="154">
        <f>IF((RD[[#This Row],[33kV_Aux1_Im]]-AH240)*1000&lt;0,"",(RD[[#This Row],[33kV_Aux1_Im]]-AH240)*1000)</f>
        <v>0</v>
      </c>
      <c r="AN241" s="154">
        <f>IF((RD[[#This Row],[33kV_Aux1_Im]]-AH240)*1000&lt;0,"",(RD[[#This Row],[33kV_Aux1_Im]]-AH240)*1000)</f>
        <v>0</v>
      </c>
      <c r="AO241" s="61">
        <f>RD[[#This Row],[33kV_OG1_Energy (KWh)]]</f>
        <v>0</v>
      </c>
      <c r="AP241" s="61">
        <f>IFERROR(RD[[#This Row],[220kV_TL_TVM Energy (KWh)]]-RD[[#This Row],[220kV_C&amp;R_PQM_Imp (KWh)2]],"")</f>
        <v>0</v>
      </c>
      <c r="AQ241" s="63" t="str">
        <f>IFERROR(RD[[#This Row],[33 kV Total Export (KWH)]]/RD[[#This Row],[220 KV Net Export (KWh)]]-1,"")</f>
        <v/>
      </c>
      <c r="AR241" s="64">
        <f>IFERROR((RD[[#This Row],[Sunset Time (POA&lt;20 W/m2)]]-RD[[#This Row],[Sunrise Time (POA&gt;20 W/m2)]])*24,0)</f>
        <v>0</v>
      </c>
      <c r="AS241" s="65">
        <f>RD[[#This Row],[33kV_OG1_Energy (KWh)]]</f>
        <v>0</v>
      </c>
      <c r="AT241" s="65">
        <f>IFERROR(RD[[#This Row],[ Export (33 kV)]]*(1-RD[[#This Row],[33 kV Line Loss (%)]]),RD[[#This Row],[ Export (33 kV)]])</f>
        <v>0</v>
      </c>
      <c r="AU241" s="190"/>
      <c r="AV241" s="190"/>
      <c r="AW241" s="190"/>
      <c r="AX241" t="str">
        <f>IFERROR(RD[[#This Row],[E_AC (WPR)]]/RD[[#This Row],[E_DC (WPR)]],"")</f>
        <v/>
      </c>
    </row>
    <row r="242" spans="1:50">
      <c r="A242" s="148">
        <f t="shared" si="53"/>
        <v>45982</v>
      </c>
      <c r="B242" s="151">
        <f>YEAR(RD[[#This Row],[Date]])+IF(MONTH(RD[[#This Row],[Date]])&gt;=4,1,0)</f>
        <v>2026</v>
      </c>
      <c r="C242" s="151">
        <f>YEAR(RD[[#This Row],[Date]])</f>
        <v>2025</v>
      </c>
      <c r="D242" s="66">
        <f t="shared" si="52"/>
        <v>45962</v>
      </c>
      <c r="E242" s="151">
        <f>DAY(EOMONTH(RD[[#This Row],[Date]],0))</f>
        <v>30</v>
      </c>
      <c r="F242" s="172"/>
      <c r="G242" s="172"/>
      <c r="H242" s="138"/>
      <c r="I242" s="138"/>
      <c r="J242" s="138"/>
      <c r="K242" s="138"/>
      <c r="L242" s="138"/>
      <c r="M242" s="138"/>
      <c r="N242" s="138"/>
      <c r="O242" s="169"/>
      <c r="P242" s="169"/>
      <c r="Q242" s="72"/>
      <c r="R242" s="72"/>
      <c r="S242" s="72"/>
      <c r="T242" s="72"/>
      <c r="U242" s="72"/>
      <c r="V242" s="72"/>
      <c r="W242" s="72"/>
      <c r="X242" s="72"/>
      <c r="Y242" s="73">
        <f>SUM(RD[[#This Row],[IS1Inv1]:[IS3Inv1]])</f>
        <v>0</v>
      </c>
      <c r="Z242" s="73">
        <f>SUM(RD[[#This Row],[IS4Inv1]:[IS4Inv2]])</f>
        <v>0</v>
      </c>
      <c r="AA242" s="73">
        <f>SUM(RD[[#This Row],[O2RE7]:[O2RE27]])</f>
        <v>0</v>
      </c>
      <c r="AB242" s="150"/>
      <c r="AC242" s="150"/>
      <c r="AD242" s="150"/>
      <c r="AE242" s="150"/>
      <c r="AF242" s="150"/>
      <c r="AG242" s="150"/>
      <c r="AH242" s="150"/>
      <c r="AI242" s="157" t="str">
        <f>IF((RD[[#This Row],[33 kV_F1_Ex]]-AB241)*225000&lt;=0,"",(RD[[#This Row],[33 kV_F1_Ex]]-AB241)*225000)</f>
        <v/>
      </c>
      <c r="AJ242" s="154">
        <f>IF((RD[[#This Row],[33kV_OG1_Ex]]-AC241)*1000&lt;=0,0,(RD[[#This Row],[33kV_OG1_Ex]]-AC241)*1000)</f>
        <v>0</v>
      </c>
      <c r="AK242" s="154">
        <f>IF((RD[[#This Row],[220kV_TL_TVM_Ex]]-AE241)*1600&lt;=0,0,(RD[[#This Row],[220kV_TL_TVM_Ex]]-AE241)*1600)</f>
        <v>0</v>
      </c>
      <c r="AL242" s="154" t="str">
        <f>IF((RD[[#This Row],[220kV_C&amp;R_PQM_Ex]]-AF241)*1000&lt;=0,"",(RD[[#This Row],[220kV_C&amp;R_PQM_Ex]]-AF241)*1000)</f>
        <v/>
      </c>
      <c r="AM242" s="154">
        <f>IF((RD[[#This Row],[33kV_Aux1_Im]]-AH241)*1000&lt;0,"",(RD[[#This Row],[33kV_Aux1_Im]]-AH241)*1000)</f>
        <v>0</v>
      </c>
      <c r="AN242" s="154">
        <f>IF((RD[[#This Row],[33kV_Aux1_Im]]-AH241)*1000&lt;0,"",(RD[[#This Row],[33kV_Aux1_Im]]-AH241)*1000)</f>
        <v>0</v>
      </c>
      <c r="AO242" s="61">
        <f>RD[[#This Row],[33kV_OG1_Energy (KWh)]]</f>
        <v>0</v>
      </c>
      <c r="AP242" s="61">
        <f>IFERROR(RD[[#This Row],[220kV_TL_TVM Energy (KWh)]]-RD[[#This Row],[220kV_C&amp;R_PQM_Imp (KWh)2]],"")</f>
        <v>0</v>
      </c>
      <c r="AQ242" s="63" t="str">
        <f>IFERROR(RD[[#This Row],[33 kV Total Export (KWH)]]/RD[[#This Row],[220 KV Net Export (KWh)]]-1,"")</f>
        <v/>
      </c>
      <c r="AR242" s="64">
        <f>IFERROR((RD[[#This Row],[Sunset Time (POA&lt;20 W/m2)]]-RD[[#This Row],[Sunrise Time (POA&gt;20 W/m2)]])*24,0)</f>
        <v>0</v>
      </c>
      <c r="AS242" s="65">
        <f>RD[[#This Row],[33kV_OG1_Energy (KWh)]]</f>
        <v>0</v>
      </c>
      <c r="AT242" s="65">
        <f>IFERROR(RD[[#This Row],[ Export (33 kV)]]*(1-RD[[#This Row],[33 kV Line Loss (%)]]),RD[[#This Row],[ Export (33 kV)]])</f>
        <v>0</v>
      </c>
      <c r="AU242" s="190"/>
      <c r="AV242" s="190"/>
      <c r="AW242" s="190"/>
      <c r="AX242" t="str">
        <f>IFERROR(RD[[#This Row],[E_AC (WPR)]]/RD[[#This Row],[E_DC (WPR)]],"")</f>
        <v/>
      </c>
    </row>
    <row r="243" spans="1:50">
      <c r="A243" s="148">
        <f t="shared" si="53"/>
        <v>45983</v>
      </c>
      <c r="B243" s="151">
        <f>YEAR(RD[[#This Row],[Date]])+IF(MONTH(RD[[#This Row],[Date]])&gt;=4,1,0)</f>
        <v>2026</v>
      </c>
      <c r="C243" s="151">
        <f>YEAR(RD[[#This Row],[Date]])</f>
        <v>2025</v>
      </c>
      <c r="D243" s="66">
        <f t="shared" si="52"/>
        <v>45962</v>
      </c>
      <c r="E243" s="151">
        <f>DAY(EOMONTH(RD[[#This Row],[Date]],0))</f>
        <v>30</v>
      </c>
      <c r="F243" s="172"/>
      <c r="G243" s="172"/>
      <c r="H243" s="138"/>
      <c r="I243" s="138"/>
      <c r="J243" s="138"/>
      <c r="K243" s="138"/>
      <c r="L243" s="138"/>
      <c r="M243" s="138"/>
      <c r="N243" s="138"/>
      <c r="O243" s="169"/>
      <c r="P243" s="169"/>
      <c r="Q243" s="72"/>
      <c r="R243" s="72"/>
      <c r="S243" s="72"/>
      <c r="T243" s="72"/>
      <c r="U243" s="72"/>
      <c r="V243" s="72"/>
      <c r="W243" s="72"/>
      <c r="X243" s="72"/>
      <c r="Y243" s="73">
        <f>SUM(RD[[#This Row],[IS1Inv1]:[IS3Inv1]])</f>
        <v>0</v>
      </c>
      <c r="Z243" s="73">
        <f>SUM(RD[[#This Row],[IS4Inv1]:[IS4Inv2]])</f>
        <v>0</v>
      </c>
      <c r="AA243" s="73">
        <f>SUM(RD[[#This Row],[O2RE7]:[O2RE27]])</f>
        <v>0</v>
      </c>
      <c r="AB243" s="158"/>
      <c r="AC243" s="150"/>
      <c r="AD243" s="150"/>
      <c r="AE243" s="150"/>
      <c r="AF243" s="150"/>
      <c r="AG243" s="150"/>
      <c r="AH243" s="150"/>
      <c r="AI243" s="157" t="str">
        <f>IF((RD[[#This Row],[33 kV_F1_Ex]]-AB242)*225000&lt;=0,"",(RD[[#This Row],[33 kV_F1_Ex]]-AB242)*225000)</f>
        <v/>
      </c>
      <c r="AJ243" s="154">
        <f>IF((RD[[#This Row],[33kV_OG1_Ex]]-AC242)*1000&lt;=0,0,(RD[[#This Row],[33kV_OG1_Ex]]-AC242)*1000)</f>
        <v>0</v>
      </c>
      <c r="AK243" s="154">
        <f>IF((RD[[#This Row],[220kV_TL_TVM_Ex]]-AE242)*1600&lt;=0,0,(RD[[#This Row],[220kV_TL_TVM_Ex]]-AE242)*1600)</f>
        <v>0</v>
      </c>
      <c r="AL243" s="154" t="str">
        <f>IF((RD[[#This Row],[220kV_C&amp;R_PQM_Ex]]-AF242)*1000&lt;=0,"",(RD[[#This Row],[220kV_C&amp;R_PQM_Ex]]-AF242)*1000)</f>
        <v/>
      </c>
      <c r="AM243" s="154">
        <f>IF((RD[[#This Row],[33kV_Aux1_Im]]-AH242)*1000&lt;0,"",(RD[[#This Row],[33kV_Aux1_Im]]-AH242)*1000)</f>
        <v>0</v>
      </c>
      <c r="AN243" s="154">
        <f>IF((RD[[#This Row],[33kV_Aux1_Im]]-AH242)*1000&lt;0,"",(RD[[#This Row],[33kV_Aux1_Im]]-AH242)*1000)</f>
        <v>0</v>
      </c>
      <c r="AO243" s="61">
        <f>RD[[#This Row],[33kV_OG1_Energy (KWh)]]</f>
        <v>0</v>
      </c>
      <c r="AP243" s="61">
        <f>IFERROR(RD[[#This Row],[220kV_TL_TVM Energy (KWh)]]-RD[[#This Row],[220kV_C&amp;R_PQM_Imp (KWh)2]],"")</f>
        <v>0</v>
      </c>
      <c r="AQ243" s="63" t="str">
        <f>IFERROR(RD[[#This Row],[33 kV Total Export (KWH)]]/RD[[#This Row],[220 KV Net Export (KWh)]]-1,"")</f>
        <v/>
      </c>
      <c r="AR243" s="64">
        <f>IFERROR((RD[[#This Row],[Sunset Time (POA&lt;20 W/m2)]]-RD[[#This Row],[Sunrise Time (POA&gt;20 W/m2)]])*24,0)</f>
        <v>0</v>
      </c>
      <c r="AS243" s="65">
        <f>RD[[#This Row],[33kV_OG1_Energy (KWh)]]</f>
        <v>0</v>
      </c>
      <c r="AT243" s="65">
        <f>IFERROR(RD[[#This Row],[ Export (33 kV)]]*(1-RD[[#This Row],[33 kV Line Loss (%)]]),RD[[#This Row],[ Export (33 kV)]])</f>
        <v>0</v>
      </c>
      <c r="AU243" s="190"/>
      <c r="AV243" s="190"/>
      <c r="AW243" s="190"/>
      <c r="AX243" t="str">
        <f>IFERROR(RD[[#This Row],[E_AC (WPR)]]/RD[[#This Row],[E_DC (WPR)]],"")</f>
        <v/>
      </c>
    </row>
    <row r="244" spans="1:50">
      <c r="A244" s="148">
        <f t="shared" si="53"/>
        <v>45984</v>
      </c>
      <c r="B244" s="151">
        <f>YEAR(RD[[#This Row],[Date]])+IF(MONTH(RD[[#This Row],[Date]])&gt;=4,1,0)</f>
        <v>2026</v>
      </c>
      <c r="C244" s="151">
        <f>YEAR(RD[[#This Row],[Date]])</f>
        <v>2025</v>
      </c>
      <c r="D244" s="66">
        <f t="shared" si="52"/>
        <v>45962</v>
      </c>
      <c r="E244" s="151">
        <f>DAY(EOMONTH(RD[[#This Row],[Date]],0))</f>
        <v>30</v>
      </c>
      <c r="F244" s="172"/>
      <c r="G244" s="172"/>
      <c r="H244" s="138"/>
      <c r="I244" s="138"/>
      <c r="J244" s="138"/>
      <c r="K244" s="138"/>
      <c r="L244" s="138"/>
      <c r="M244" s="138"/>
      <c r="N244" s="138"/>
      <c r="O244" s="169"/>
      <c r="P244" s="169"/>
      <c r="Q244" s="72"/>
      <c r="R244" s="72"/>
      <c r="S244" s="72"/>
      <c r="T244" s="72"/>
      <c r="U244" s="72"/>
      <c r="V244" s="72"/>
      <c r="W244" s="72"/>
      <c r="X244" s="72"/>
      <c r="Y244" s="73">
        <f>SUM(RD[[#This Row],[IS1Inv1]:[IS3Inv1]])</f>
        <v>0</v>
      </c>
      <c r="Z244" s="73">
        <f>SUM(RD[[#This Row],[IS4Inv1]:[IS4Inv2]])</f>
        <v>0</v>
      </c>
      <c r="AA244" s="73">
        <f>SUM(RD[[#This Row],[O2RE7]:[O2RE27]])</f>
        <v>0</v>
      </c>
      <c r="AB244" s="150"/>
      <c r="AC244" s="150"/>
      <c r="AD244" s="150"/>
      <c r="AE244" s="150"/>
      <c r="AF244" s="150"/>
      <c r="AG244" s="150"/>
      <c r="AH244" s="150"/>
      <c r="AI244" s="157" t="str">
        <f>IF((RD[[#This Row],[33 kV_F1_Ex]]-AB243)*225000&lt;=0,"",(RD[[#This Row],[33 kV_F1_Ex]]-AB243)*225000)</f>
        <v/>
      </c>
      <c r="AJ244" s="154">
        <f>IF((RD[[#This Row],[33kV_OG1_Ex]]-AC243)*1000&lt;=0,0,(RD[[#This Row],[33kV_OG1_Ex]]-AC243)*1000)</f>
        <v>0</v>
      </c>
      <c r="AK244" s="154">
        <f>IF((RD[[#This Row],[220kV_TL_TVM_Ex]]-AE243)*1600&lt;=0,0,(RD[[#This Row],[220kV_TL_TVM_Ex]]-AE243)*1600)</f>
        <v>0</v>
      </c>
      <c r="AL244" s="154" t="str">
        <f>IF((RD[[#This Row],[220kV_C&amp;R_PQM_Ex]]-AF243)*1000&lt;=0,"",(RD[[#This Row],[220kV_C&amp;R_PQM_Ex]]-AF243)*1000)</f>
        <v/>
      </c>
      <c r="AM244" s="154">
        <f>IF((RD[[#This Row],[33kV_Aux1_Im]]-AH243)*1000&lt;0,"",(RD[[#This Row],[33kV_Aux1_Im]]-AH243)*1000)</f>
        <v>0</v>
      </c>
      <c r="AN244" s="154">
        <f>IF((RD[[#This Row],[33kV_Aux1_Im]]-AH243)*1000&lt;0,"",(RD[[#This Row],[33kV_Aux1_Im]]-AH243)*1000)</f>
        <v>0</v>
      </c>
      <c r="AO244" s="61">
        <f>RD[[#This Row],[33kV_OG1_Energy (KWh)]]</f>
        <v>0</v>
      </c>
      <c r="AP244" s="61">
        <f>IFERROR(RD[[#This Row],[220kV_TL_TVM Energy (KWh)]]-RD[[#This Row],[220kV_C&amp;R_PQM_Imp (KWh)2]],"")</f>
        <v>0</v>
      </c>
      <c r="AQ244" s="63" t="str">
        <f>IFERROR(RD[[#This Row],[33 kV Total Export (KWH)]]/RD[[#This Row],[220 KV Net Export (KWh)]]-1,"")</f>
        <v/>
      </c>
      <c r="AR244" s="64">
        <f>IFERROR((RD[[#This Row],[Sunset Time (POA&lt;20 W/m2)]]-RD[[#This Row],[Sunrise Time (POA&gt;20 W/m2)]])*24,0)</f>
        <v>0</v>
      </c>
      <c r="AS244" s="65">
        <f>RD[[#This Row],[33kV_OG1_Energy (KWh)]]</f>
        <v>0</v>
      </c>
      <c r="AT244" s="65">
        <f>IFERROR(RD[[#This Row],[ Export (33 kV)]]*(1-RD[[#This Row],[33 kV Line Loss (%)]]),RD[[#This Row],[ Export (33 kV)]])</f>
        <v>0</v>
      </c>
      <c r="AU244" s="190"/>
      <c r="AV244" s="190"/>
      <c r="AW244" s="190"/>
      <c r="AX244" t="str">
        <f>IFERROR(RD[[#This Row],[E_AC (WPR)]]/RD[[#This Row],[E_DC (WPR)]],"")</f>
        <v/>
      </c>
    </row>
    <row r="245" spans="1:50">
      <c r="A245" s="149">
        <f t="shared" si="53"/>
        <v>45985</v>
      </c>
      <c r="B245" s="71">
        <f>YEAR(RD[[#This Row],[Date]])+IF(MONTH(RD[[#This Row],[Date]])&gt;=4,1,0)</f>
        <v>2026</v>
      </c>
      <c r="C245" s="71">
        <f>YEAR(RD[[#This Row],[Date]])</f>
        <v>2025</v>
      </c>
      <c r="D245" s="66">
        <f t="shared" si="52"/>
        <v>45962</v>
      </c>
      <c r="E245" s="71">
        <f>DAY(EOMONTH(RD[[#This Row],[Date]],0))</f>
        <v>30</v>
      </c>
      <c r="F245" s="172"/>
      <c r="G245" s="172"/>
      <c r="H245" s="67"/>
      <c r="I245" s="67"/>
      <c r="J245" s="67"/>
      <c r="K245" s="67"/>
      <c r="L245" s="67"/>
      <c r="M245" s="67"/>
      <c r="N245" s="67"/>
      <c r="O245" s="171"/>
      <c r="P245" s="171"/>
      <c r="Q245" s="72"/>
      <c r="R245" s="72"/>
      <c r="S245" s="72"/>
      <c r="T245" s="72"/>
      <c r="U245" s="72"/>
      <c r="V245" s="72"/>
      <c r="W245" s="72"/>
      <c r="X245" s="72"/>
      <c r="Y245" s="73">
        <f>SUM(RD[[#This Row],[IS1Inv1]:[IS3Inv1]])</f>
        <v>0</v>
      </c>
      <c r="Z245" s="73">
        <f>SUM(RD[[#This Row],[IS4Inv1]:[IS4Inv2]])</f>
        <v>0</v>
      </c>
      <c r="AA245" s="73">
        <f>SUM(RD[[#This Row],[O2RE7]:[O2RE27]])</f>
        <v>0</v>
      </c>
      <c r="AB245" s="159"/>
      <c r="AC245" s="159"/>
      <c r="AD245" s="159"/>
      <c r="AE245" s="159"/>
      <c r="AF245" s="159"/>
      <c r="AG245" s="159"/>
      <c r="AH245" s="159"/>
      <c r="AI245" s="157" t="str">
        <f>IF((RD[[#This Row],[33 kV_F1_Ex]]-AB244)*225000&lt;=0,"",(RD[[#This Row],[33 kV_F1_Ex]]-AB244)*225000)</f>
        <v/>
      </c>
      <c r="AJ245" s="154">
        <f>IF((RD[[#This Row],[33kV_OG1_Ex]]-AC244)*1000&lt;=0,0,(RD[[#This Row],[33kV_OG1_Ex]]-AC244)*1000)</f>
        <v>0</v>
      </c>
      <c r="AK245" s="154">
        <f>IF((RD[[#This Row],[220kV_TL_TVM_Ex]]-AE244)*1600&lt;=0,0,(RD[[#This Row],[220kV_TL_TVM_Ex]]-AE244)*1600)</f>
        <v>0</v>
      </c>
      <c r="AL245" s="154" t="str">
        <f>IF((RD[[#This Row],[220kV_C&amp;R_PQM_Ex]]-AF244)*1000&lt;=0,"",(RD[[#This Row],[220kV_C&amp;R_PQM_Ex]]-AF244)*1000)</f>
        <v/>
      </c>
      <c r="AM245" s="154">
        <f>IF((RD[[#This Row],[33kV_Aux1_Im]]-AH244)*1000&lt;0,"",(RD[[#This Row],[33kV_Aux1_Im]]-AH244)*1000)</f>
        <v>0</v>
      </c>
      <c r="AN245" s="154">
        <f>IF((RD[[#This Row],[33kV_Aux1_Im]]-AH244)*1000&lt;0,"",(RD[[#This Row],[33kV_Aux1_Im]]-AH244)*1000)</f>
        <v>0</v>
      </c>
      <c r="AO245" s="61">
        <f>RD[[#This Row],[33kV_OG1_Energy (KWh)]]</f>
        <v>0</v>
      </c>
      <c r="AP245" s="61">
        <f>IFERROR(RD[[#This Row],[220kV_TL_TVM Energy (KWh)]]-RD[[#This Row],[220kV_C&amp;R_PQM_Imp (KWh)2]],"")</f>
        <v>0</v>
      </c>
      <c r="AQ245" s="63" t="str">
        <f>IFERROR(RD[[#This Row],[33 kV Total Export (KWH)]]/RD[[#This Row],[220 KV Net Export (KWh)]]-1,"")</f>
        <v/>
      </c>
      <c r="AR245" s="64">
        <f>IFERROR((RD[[#This Row],[Sunset Time (POA&lt;20 W/m2)]]-RD[[#This Row],[Sunrise Time (POA&gt;20 W/m2)]])*24,0)</f>
        <v>0</v>
      </c>
      <c r="AS245" s="65">
        <f>RD[[#This Row],[33kV_OG1_Energy (KWh)]]</f>
        <v>0</v>
      </c>
      <c r="AT245" s="65">
        <f>IFERROR(RD[[#This Row],[ Export (33 kV)]]*(1-RD[[#This Row],[33 kV Line Loss (%)]]),RD[[#This Row],[ Export (33 kV)]])</f>
        <v>0</v>
      </c>
      <c r="AU245" s="191"/>
      <c r="AV245" s="191"/>
      <c r="AW245" s="191"/>
      <c r="AX245" t="str">
        <f>IFERROR(RD[[#This Row],[E_AC (WPR)]]/RD[[#This Row],[E_DC (WPR)]],"")</f>
        <v/>
      </c>
    </row>
    <row r="246" spans="1:50">
      <c r="A246" s="148">
        <f t="shared" si="53"/>
        <v>45986</v>
      </c>
      <c r="B246" s="151">
        <f>YEAR(RD[[#This Row],[Date]])+IF(MONTH(RD[[#This Row],[Date]])&gt;=4,1,0)</f>
        <v>2026</v>
      </c>
      <c r="C246" s="151">
        <f>YEAR(RD[[#This Row],[Date]])</f>
        <v>2025</v>
      </c>
      <c r="D246" s="66">
        <f t="shared" si="52"/>
        <v>45962</v>
      </c>
      <c r="E246" s="151">
        <f>DAY(EOMONTH(RD[[#This Row],[Date]],0))</f>
        <v>30</v>
      </c>
      <c r="F246" s="172"/>
      <c r="G246" s="172"/>
      <c r="H246" s="138"/>
      <c r="I246" s="138"/>
      <c r="J246" s="138"/>
      <c r="K246" s="138"/>
      <c r="L246" s="138"/>
      <c r="M246" s="138"/>
      <c r="N246" s="138"/>
      <c r="O246" s="169"/>
      <c r="P246" s="169"/>
      <c r="Q246" s="72"/>
      <c r="R246" s="72"/>
      <c r="S246" s="72"/>
      <c r="T246" s="72"/>
      <c r="U246" s="72"/>
      <c r="V246" s="72"/>
      <c r="W246" s="72"/>
      <c r="X246" s="72"/>
      <c r="Y246" s="70">
        <f>SUM(RD[[#This Row],[IS1Inv1]:[IS3Inv1]])</f>
        <v>0</v>
      </c>
      <c r="Z246" s="70">
        <f>SUM(RD[[#This Row],[IS4Inv1]:[IS4Inv2]])</f>
        <v>0</v>
      </c>
      <c r="AA246" s="70">
        <f>SUM(RD[[#This Row],[O2RE7]:[O2RE27]])</f>
        <v>0</v>
      </c>
      <c r="AB246" s="160"/>
      <c r="AC246" s="158"/>
      <c r="AD246" s="160"/>
      <c r="AE246" s="160"/>
      <c r="AF246" s="160"/>
      <c r="AG246" s="160"/>
      <c r="AH246" s="150"/>
      <c r="AI246" s="157" t="str">
        <f>IF((RD[[#This Row],[33 kV_F1_Ex]]-AB245)*225000&lt;=0,"",(RD[[#This Row],[33 kV_F1_Ex]]-AB245)*225000)</f>
        <v/>
      </c>
      <c r="AJ246" s="154">
        <f>IF((RD[[#This Row],[33kV_OG1_Ex]]-AC245)*1000&lt;=0,0,(RD[[#This Row],[33kV_OG1_Ex]]-AC245)*1000)</f>
        <v>0</v>
      </c>
      <c r="AK246" s="154">
        <f>IF((RD[[#This Row],[220kV_TL_TVM_Ex]]-AE245)*1600&lt;=0,0,(RD[[#This Row],[220kV_TL_TVM_Ex]]-AE245)*1600)</f>
        <v>0</v>
      </c>
      <c r="AL246" s="154" t="str">
        <f>IF((RD[[#This Row],[220kV_C&amp;R_PQM_Ex]]-AF245)*1000&lt;=0,"",(RD[[#This Row],[220kV_C&amp;R_PQM_Ex]]-AF245)*1000)</f>
        <v/>
      </c>
      <c r="AM246" s="154">
        <f>IF((RD[[#This Row],[33kV_Aux1_Im]]-AH245)*1000&lt;0,"",(RD[[#This Row],[33kV_Aux1_Im]]-AH245)*1000)</f>
        <v>0</v>
      </c>
      <c r="AN246" s="154">
        <f>IF((RD[[#This Row],[33kV_Aux1_Im]]-AH245)*1000&lt;0,"",(RD[[#This Row],[33kV_Aux1_Im]]-AH245)*1000)</f>
        <v>0</v>
      </c>
      <c r="AO246" s="61">
        <f>RD[[#This Row],[33kV_OG1_Energy (KWh)]]</f>
        <v>0</v>
      </c>
      <c r="AP246" s="61">
        <f>IFERROR(RD[[#This Row],[220kV_TL_TVM Energy (KWh)]]-RD[[#This Row],[220kV_C&amp;R_PQM_Imp (KWh)2]],"")</f>
        <v>0</v>
      </c>
      <c r="AQ246" s="63" t="str">
        <f>IFERROR(RD[[#This Row],[33 kV Total Export (KWH)]]/RD[[#This Row],[220 KV Net Export (KWh)]]-1,"")</f>
        <v/>
      </c>
      <c r="AR246" s="64">
        <f>IFERROR((RD[[#This Row],[Sunset Time (POA&lt;20 W/m2)]]-RD[[#This Row],[Sunrise Time (POA&gt;20 W/m2)]])*24,0)</f>
        <v>0</v>
      </c>
      <c r="AS246" s="65">
        <f>RD[[#This Row],[33kV_OG1_Energy (KWh)]]</f>
        <v>0</v>
      </c>
      <c r="AT246" s="65">
        <f>IFERROR(RD[[#This Row],[ Export (33 kV)]]*(1-RD[[#This Row],[33 kV Line Loss (%)]]),RD[[#This Row],[ Export (33 kV)]])</f>
        <v>0</v>
      </c>
      <c r="AU246" s="190"/>
      <c r="AV246" s="190"/>
      <c r="AW246" s="190"/>
      <c r="AX246" t="str">
        <f>IFERROR(RD[[#This Row],[E_AC (WPR)]]/RD[[#This Row],[E_DC (WPR)]],"")</f>
        <v/>
      </c>
    </row>
    <row r="247" spans="1:50">
      <c r="A247" s="148">
        <f t="shared" si="53"/>
        <v>45987</v>
      </c>
      <c r="B247" s="151">
        <f>YEAR(RD[[#This Row],[Date]])+IF(MONTH(RD[[#This Row],[Date]])&gt;=4,1,0)</f>
        <v>2026</v>
      </c>
      <c r="C247" s="151">
        <f>YEAR(RD[[#This Row],[Date]])</f>
        <v>2025</v>
      </c>
      <c r="D247" s="66">
        <f t="shared" si="52"/>
        <v>45962</v>
      </c>
      <c r="E247" s="151">
        <f>DAY(EOMONTH(RD[[#This Row],[Date]],0))</f>
        <v>30</v>
      </c>
      <c r="F247" s="172"/>
      <c r="G247" s="172"/>
      <c r="H247" s="138"/>
      <c r="I247" s="138"/>
      <c r="J247" s="138"/>
      <c r="K247" s="138"/>
      <c r="L247" s="138"/>
      <c r="M247" s="138"/>
      <c r="N247" s="138"/>
      <c r="O247" s="169"/>
      <c r="P247" s="169"/>
      <c r="Q247" s="72"/>
      <c r="R247" s="72"/>
      <c r="S247" s="72"/>
      <c r="T247" s="72"/>
      <c r="U247" s="72"/>
      <c r="V247" s="72"/>
      <c r="W247" s="72"/>
      <c r="X247" s="72"/>
      <c r="Y247" s="70">
        <f>SUM(RD[[#This Row],[IS1Inv1]:[IS3Inv1]])</f>
        <v>0</v>
      </c>
      <c r="Z247" s="70">
        <f>SUM(RD[[#This Row],[IS4Inv1]:[IS4Inv2]])</f>
        <v>0</v>
      </c>
      <c r="AA247" s="70">
        <f>SUM(RD[[#This Row],[O2RE7]:[O2RE27]])</f>
        <v>0</v>
      </c>
      <c r="AB247" s="150"/>
      <c r="AC247" s="158"/>
      <c r="AD247" s="150"/>
      <c r="AE247" s="150"/>
      <c r="AF247" s="150"/>
      <c r="AG247" s="150"/>
      <c r="AH247" s="150"/>
      <c r="AI247" s="157" t="str">
        <f>IF((RD[[#This Row],[33 kV_F1_Ex]]-AB246)*225000&lt;=0,"",(RD[[#This Row],[33 kV_F1_Ex]]-AB246)*225000)</f>
        <v/>
      </c>
      <c r="AJ247" s="154">
        <f>IF((RD[[#This Row],[33kV_OG1_Ex]]-AC246)*1000&lt;=0,0,(RD[[#This Row],[33kV_OG1_Ex]]-AC246)*1000)</f>
        <v>0</v>
      </c>
      <c r="AK247" s="154">
        <f>IF((RD[[#This Row],[220kV_TL_TVM_Ex]]-AE246)*1600&lt;=0,0,(RD[[#This Row],[220kV_TL_TVM_Ex]]-AE246)*1600)</f>
        <v>0</v>
      </c>
      <c r="AL247" s="154" t="str">
        <f>IF((RD[[#This Row],[220kV_C&amp;R_PQM_Ex]]-AF246)*1000&lt;=0,"",(RD[[#This Row],[220kV_C&amp;R_PQM_Ex]]-AF246)*1000)</f>
        <v/>
      </c>
      <c r="AM247" s="154">
        <f>IF((RD[[#This Row],[33kV_Aux1_Im]]-AH246)*1000&lt;0,"",(RD[[#This Row],[33kV_Aux1_Im]]-AH246)*1000)</f>
        <v>0</v>
      </c>
      <c r="AN247" s="154">
        <f>IF((RD[[#This Row],[33kV_Aux1_Im]]-AH246)*1000&lt;0,"",(RD[[#This Row],[33kV_Aux1_Im]]-AH246)*1000)</f>
        <v>0</v>
      </c>
      <c r="AO247" s="61">
        <f>RD[[#This Row],[33kV_OG1_Energy (KWh)]]</f>
        <v>0</v>
      </c>
      <c r="AP247" s="61">
        <f>IFERROR(RD[[#This Row],[220kV_TL_TVM Energy (KWh)]]-RD[[#This Row],[220kV_C&amp;R_PQM_Imp (KWh)2]],"")</f>
        <v>0</v>
      </c>
      <c r="AQ247" s="63" t="str">
        <f>IFERROR(RD[[#This Row],[33 kV Total Export (KWH)]]/RD[[#This Row],[220 KV Net Export (KWh)]]-1,"")</f>
        <v/>
      </c>
      <c r="AR247" s="64">
        <f>IFERROR((RD[[#This Row],[Sunset Time (POA&lt;20 W/m2)]]-RD[[#This Row],[Sunrise Time (POA&gt;20 W/m2)]])*24,0)</f>
        <v>0</v>
      </c>
      <c r="AS247" s="65">
        <f>RD[[#This Row],[33kV_OG1_Energy (KWh)]]</f>
        <v>0</v>
      </c>
      <c r="AT247" s="65">
        <f>IFERROR(RD[[#This Row],[ Export (33 kV)]]*(1-RD[[#This Row],[33 kV Line Loss (%)]]),RD[[#This Row],[ Export (33 kV)]])</f>
        <v>0</v>
      </c>
      <c r="AU247" s="190"/>
      <c r="AV247" s="190"/>
      <c r="AW247" s="190"/>
      <c r="AX247" t="str">
        <f>IFERROR(RD[[#This Row],[E_AC (WPR)]]/RD[[#This Row],[E_DC (WPR)]],"")</f>
        <v/>
      </c>
    </row>
    <row r="248" spans="1:50">
      <c r="A248" s="148">
        <f t="shared" si="53"/>
        <v>45988</v>
      </c>
      <c r="B248" s="151">
        <f>YEAR(RD[[#This Row],[Date]])+IF(MONTH(RD[[#This Row],[Date]])&gt;=4,1,0)</f>
        <v>2026</v>
      </c>
      <c r="C248" s="151">
        <f>YEAR(RD[[#This Row],[Date]])</f>
        <v>2025</v>
      </c>
      <c r="D248" s="66">
        <f t="shared" si="52"/>
        <v>45962</v>
      </c>
      <c r="E248" s="151">
        <f>DAY(EOMONTH(RD[[#This Row],[Date]],0))</f>
        <v>30</v>
      </c>
      <c r="F248" s="172"/>
      <c r="G248" s="172"/>
      <c r="H248" s="138"/>
      <c r="I248" s="138"/>
      <c r="J248" s="138"/>
      <c r="K248" s="138"/>
      <c r="L248" s="138"/>
      <c r="M248" s="138"/>
      <c r="N248" s="138"/>
      <c r="O248" s="170"/>
      <c r="P248" s="170"/>
      <c r="Q248" s="156"/>
      <c r="R248" s="156"/>
      <c r="S248" s="156"/>
      <c r="T248" s="156"/>
      <c r="U248" s="156"/>
      <c r="V248" s="156"/>
      <c r="W248" s="156"/>
      <c r="X248" s="156"/>
      <c r="Y248" s="70">
        <f>SUM(RD[[#This Row],[IS1Inv1]:[IS3Inv1]])</f>
        <v>0</v>
      </c>
      <c r="Z248" s="70">
        <f>SUM(RD[[#This Row],[IS4Inv1]:[IS4Inv2]])</f>
        <v>0</v>
      </c>
      <c r="AA248" s="70">
        <f>SUM(RD[[#This Row],[O2RE7]:[O2RE27]])</f>
        <v>0</v>
      </c>
      <c r="AB248" s="150"/>
      <c r="AC248" s="158"/>
      <c r="AD248" s="150"/>
      <c r="AE248" s="150"/>
      <c r="AF248" s="150"/>
      <c r="AG248" s="150"/>
      <c r="AH248" s="150"/>
      <c r="AI248" s="157" t="str">
        <f>IF((RD[[#This Row],[33 kV_F1_Ex]]-AB247)*225000&lt;=0,"",(RD[[#This Row],[33 kV_F1_Ex]]-AB247)*225000)</f>
        <v/>
      </c>
      <c r="AJ248" s="154">
        <f>IF((RD[[#This Row],[33kV_OG1_Ex]]-AC247)*1000&lt;=0,0,(RD[[#This Row],[33kV_OG1_Ex]]-AC247)*1000)</f>
        <v>0</v>
      </c>
      <c r="AK248" s="154">
        <f>IF((RD[[#This Row],[220kV_TL_TVM_Ex]]-AE247)*1600&lt;=0,0,(RD[[#This Row],[220kV_TL_TVM_Ex]]-AE247)*1600)</f>
        <v>0</v>
      </c>
      <c r="AL248" s="154" t="str">
        <f>IF((RD[[#This Row],[220kV_C&amp;R_PQM_Ex]]-AF247)*1000&lt;=0,"",(RD[[#This Row],[220kV_C&amp;R_PQM_Ex]]-AF247)*1000)</f>
        <v/>
      </c>
      <c r="AM248" s="154">
        <f>IF((RD[[#This Row],[33kV_Aux1_Im]]-AH247)*1000&lt;0,"",(RD[[#This Row],[33kV_Aux1_Im]]-AH247)*1000)</f>
        <v>0</v>
      </c>
      <c r="AN248" s="154">
        <f>IF((RD[[#This Row],[33kV_Aux1_Im]]-AH247)*1000&lt;0,"",(RD[[#This Row],[33kV_Aux1_Im]]-AH247)*1000)</f>
        <v>0</v>
      </c>
      <c r="AO248" s="61">
        <f>RD[[#This Row],[33kV_OG1_Energy (KWh)]]</f>
        <v>0</v>
      </c>
      <c r="AP248" s="61">
        <f>IFERROR(RD[[#This Row],[220kV_TL_TVM Energy (KWh)]]-RD[[#This Row],[220kV_C&amp;R_PQM_Imp (KWh)2]],"")</f>
        <v>0</v>
      </c>
      <c r="AQ248" s="63" t="str">
        <f>IFERROR(RD[[#This Row],[33 kV Total Export (KWH)]]/RD[[#This Row],[220 KV Net Export (KWh)]]-1,"")</f>
        <v/>
      </c>
      <c r="AR248" s="64">
        <f>IFERROR((RD[[#This Row],[Sunset Time (POA&lt;20 W/m2)]]-RD[[#This Row],[Sunrise Time (POA&gt;20 W/m2)]])*24,0)</f>
        <v>0</v>
      </c>
      <c r="AS248" s="65">
        <f>RD[[#This Row],[33kV_OG1_Energy (KWh)]]</f>
        <v>0</v>
      </c>
      <c r="AT248" s="65">
        <f>IFERROR(RD[[#This Row],[ Export (33 kV)]]*(1-RD[[#This Row],[33 kV Line Loss (%)]]),RD[[#This Row],[ Export (33 kV)]])</f>
        <v>0</v>
      </c>
      <c r="AU248" s="192"/>
      <c r="AV248" s="192"/>
      <c r="AW248" s="192"/>
      <c r="AX248" t="str">
        <f>IFERROR(RD[[#This Row],[E_AC (WPR)]]/RD[[#This Row],[E_DC (WPR)]],"")</f>
        <v/>
      </c>
    </row>
    <row r="249" spans="1:50">
      <c r="A249" s="148">
        <f t="shared" si="53"/>
        <v>45989</v>
      </c>
      <c r="B249" s="151">
        <f>YEAR(RD[[#This Row],[Date]])+IF(MONTH(RD[[#This Row],[Date]])&gt;=4,1,0)</f>
        <v>2026</v>
      </c>
      <c r="C249" s="151">
        <f>YEAR(RD[[#This Row],[Date]])</f>
        <v>2025</v>
      </c>
      <c r="D249" s="66">
        <f t="shared" si="52"/>
        <v>45962</v>
      </c>
      <c r="E249" s="151">
        <f>DAY(EOMONTH(RD[[#This Row],[Date]],0))</f>
        <v>30</v>
      </c>
      <c r="F249" s="172"/>
      <c r="G249" s="172"/>
      <c r="H249" s="138"/>
      <c r="I249" s="138"/>
      <c r="J249" s="138"/>
      <c r="K249" s="138"/>
      <c r="L249" s="138"/>
      <c r="M249" s="138"/>
      <c r="N249" s="138"/>
      <c r="O249" s="170"/>
      <c r="P249" s="170"/>
      <c r="Q249" s="156"/>
      <c r="R249" s="156"/>
      <c r="S249" s="156"/>
      <c r="T249" s="156"/>
      <c r="U249" s="156"/>
      <c r="V249" s="156"/>
      <c r="W249" s="156"/>
      <c r="X249" s="156"/>
      <c r="Y249" s="70">
        <f>SUM(RD[[#This Row],[IS1Inv1]:[IS3Inv1]])</f>
        <v>0</v>
      </c>
      <c r="Z249" s="70">
        <f>SUM(RD[[#This Row],[IS4Inv1]:[IS4Inv2]])</f>
        <v>0</v>
      </c>
      <c r="AA249" s="70">
        <f>SUM(RD[[#This Row],[O2RE7]:[O2RE27]])</f>
        <v>0</v>
      </c>
      <c r="AB249" s="161"/>
      <c r="AC249" s="162"/>
      <c r="AD249" s="161"/>
      <c r="AE249" s="161"/>
      <c r="AF249" s="161"/>
      <c r="AG249" s="161"/>
      <c r="AH249" s="161"/>
      <c r="AI249" s="157" t="str">
        <f>IF((RD[[#This Row],[33 kV_F1_Ex]]-AB248)*225000&lt;=0,"",(RD[[#This Row],[33 kV_F1_Ex]]-AB248)*225000)</f>
        <v/>
      </c>
      <c r="AJ249" s="154">
        <f>IF((RD[[#This Row],[33kV_OG1_Ex]]-AC248)*1000&lt;=0,0,(RD[[#This Row],[33kV_OG1_Ex]]-AC248)*1000)</f>
        <v>0</v>
      </c>
      <c r="AK249" s="154">
        <f>IF((RD[[#This Row],[220kV_TL_TVM_Ex]]-AE248)*1600&lt;=0,0,(RD[[#This Row],[220kV_TL_TVM_Ex]]-AE248)*1600)</f>
        <v>0</v>
      </c>
      <c r="AL249" s="154" t="str">
        <f>IF((RD[[#This Row],[220kV_C&amp;R_PQM_Ex]]-AF248)*1000&lt;=0,"",(RD[[#This Row],[220kV_C&amp;R_PQM_Ex]]-AF248)*1000)</f>
        <v/>
      </c>
      <c r="AM249" s="154">
        <f>IF((RD[[#This Row],[33kV_Aux1_Im]]-AH248)*1000&lt;0,"",(RD[[#This Row],[33kV_Aux1_Im]]-AH248)*1000)</f>
        <v>0</v>
      </c>
      <c r="AN249" s="154">
        <f>IF((RD[[#This Row],[33kV_Aux1_Im]]-AH248)*1000&lt;0,"",(RD[[#This Row],[33kV_Aux1_Im]]-AH248)*1000)</f>
        <v>0</v>
      </c>
      <c r="AO249" s="61">
        <f>RD[[#This Row],[33kV_OG1_Energy (KWh)]]</f>
        <v>0</v>
      </c>
      <c r="AP249" s="61">
        <f>IFERROR(RD[[#This Row],[220kV_TL_TVM Energy (KWh)]]-RD[[#This Row],[220kV_C&amp;R_PQM_Imp (KWh)2]],"")</f>
        <v>0</v>
      </c>
      <c r="AQ249" s="63" t="str">
        <f>IFERROR(RD[[#This Row],[33 kV Total Export (KWH)]]/RD[[#This Row],[220 KV Net Export (KWh)]]-1,"")</f>
        <v/>
      </c>
      <c r="AR249" s="64">
        <f>IFERROR((RD[[#This Row],[Sunset Time (POA&lt;20 W/m2)]]-RD[[#This Row],[Sunrise Time (POA&gt;20 W/m2)]])*24,0)</f>
        <v>0</v>
      </c>
      <c r="AS249" s="65">
        <f>RD[[#This Row],[33kV_OG1_Energy (KWh)]]</f>
        <v>0</v>
      </c>
      <c r="AT249" s="65">
        <f>IFERROR(RD[[#This Row],[ Export (33 kV)]]*(1-RD[[#This Row],[33 kV Line Loss (%)]]),RD[[#This Row],[ Export (33 kV)]])</f>
        <v>0</v>
      </c>
      <c r="AU249" s="190"/>
      <c r="AV249" s="190"/>
      <c r="AW249" s="190"/>
      <c r="AX249" t="str">
        <f>IFERROR(RD[[#This Row],[E_AC (WPR)]]/RD[[#This Row],[E_DC (WPR)]],"")</f>
        <v/>
      </c>
    </row>
    <row r="250" spans="1:50">
      <c r="A250" s="148">
        <f t="shared" si="53"/>
        <v>45990</v>
      </c>
      <c r="B250" s="151">
        <f>YEAR(RD[[#This Row],[Date]])+IF(MONTH(RD[[#This Row],[Date]])&gt;=4,1,0)</f>
        <v>2026</v>
      </c>
      <c r="C250" s="151">
        <f>YEAR(RD[[#This Row],[Date]])</f>
        <v>2025</v>
      </c>
      <c r="D250" s="66">
        <f t="shared" si="52"/>
        <v>45962</v>
      </c>
      <c r="E250" s="151">
        <f>DAY(EOMONTH(RD[[#This Row],[Date]],0))</f>
        <v>30</v>
      </c>
      <c r="F250" s="172"/>
      <c r="G250" s="172"/>
      <c r="H250" s="138"/>
      <c r="I250" s="138"/>
      <c r="J250" s="138"/>
      <c r="K250" s="138"/>
      <c r="L250" s="138"/>
      <c r="M250" s="138"/>
      <c r="N250" s="138"/>
      <c r="O250" s="169"/>
      <c r="P250" s="169"/>
      <c r="Q250" s="72"/>
      <c r="R250" s="72"/>
      <c r="S250" s="72"/>
      <c r="T250" s="72"/>
      <c r="U250" s="72"/>
      <c r="V250" s="72"/>
      <c r="W250" s="72"/>
      <c r="X250" s="72"/>
      <c r="Y250" s="70">
        <f>SUM(RD[[#This Row],[IS1Inv1]:[IS3Inv1]])</f>
        <v>0</v>
      </c>
      <c r="Z250" s="70">
        <f>SUM(RD[[#This Row],[IS4Inv1]:[IS4Inv2]])</f>
        <v>0</v>
      </c>
      <c r="AA250" s="70">
        <f>SUM(RD[[#This Row],[O2RE7]:[O2RE27]])</f>
        <v>0</v>
      </c>
      <c r="AB250" s="150"/>
      <c r="AC250" s="162"/>
      <c r="AD250" s="150"/>
      <c r="AE250" s="150"/>
      <c r="AF250" s="150"/>
      <c r="AG250" s="150"/>
      <c r="AH250" s="150"/>
      <c r="AI250" s="157" t="str">
        <f>IF((RD[[#This Row],[33 kV_F1_Ex]]-AB249)*225000&lt;=0,"",(RD[[#This Row],[33 kV_F1_Ex]]-AB249)*225000)</f>
        <v/>
      </c>
      <c r="AJ250" s="154">
        <f>IF((RD[[#This Row],[33kV_OG1_Ex]]-AC249)*1000&lt;=0,0,(RD[[#This Row],[33kV_OG1_Ex]]-AC249)*1000)</f>
        <v>0</v>
      </c>
      <c r="AK250" s="154">
        <f>IF((RD[[#This Row],[220kV_TL_TVM_Ex]]-AE249)*1600&lt;=0,0,(RD[[#This Row],[220kV_TL_TVM_Ex]]-AE249)*1600)</f>
        <v>0</v>
      </c>
      <c r="AL250" s="154" t="str">
        <f>IF((RD[[#This Row],[220kV_C&amp;R_PQM_Ex]]-AF249)*1000&lt;=0,"",(RD[[#This Row],[220kV_C&amp;R_PQM_Ex]]-AF249)*1000)</f>
        <v/>
      </c>
      <c r="AM250" s="154">
        <f>IF((RD[[#This Row],[33kV_Aux1_Im]]-AH249)*1000&lt;0,"",(RD[[#This Row],[33kV_Aux1_Im]]-AH249)*1000)</f>
        <v>0</v>
      </c>
      <c r="AN250" s="154">
        <f>IF((RD[[#This Row],[33kV_Aux1_Im]]-AH249)*1000&lt;0,"",(RD[[#This Row],[33kV_Aux1_Im]]-AH249)*1000)</f>
        <v>0</v>
      </c>
      <c r="AO250" s="61">
        <f>RD[[#This Row],[33kV_OG1_Energy (KWh)]]</f>
        <v>0</v>
      </c>
      <c r="AP250" s="61">
        <f>IFERROR(RD[[#This Row],[220kV_TL_TVM Energy (KWh)]]-RD[[#This Row],[220kV_C&amp;R_PQM_Imp (KWh)2]],"")</f>
        <v>0</v>
      </c>
      <c r="AQ250" s="63" t="str">
        <f>IFERROR(RD[[#This Row],[33 kV Total Export (KWH)]]/RD[[#This Row],[220 KV Net Export (KWh)]]-1,"")</f>
        <v/>
      </c>
      <c r="AR250" s="64">
        <f>IFERROR((RD[[#This Row],[Sunset Time (POA&lt;20 W/m2)]]-RD[[#This Row],[Sunrise Time (POA&gt;20 W/m2)]])*24,0)</f>
        <v>0</v>
      </c>
      <c r="AS250" s="65">
        <f>RD[[#This Row],[33kV_OG1_Energy (KWh)]]</f>
        <v>0</v>
      </c>
      <c r="AT250" s="65">
        <f>IFERROR(RD[[#This Row],[ Export (33 kV)]]*(1-RD[[#This Row],[33 kV Line Loss (%)]]),RD[[#This Row],[ Export (33 kV)]])</f>
        <v>0</v>
      </c>
      <c r="AU250" s="192"/>
      <c r="AV250" s="192"/>
      <c r="AW250" s="192"/>
      <c r="AX250" t="str">
        <f>IFERROR(RD[[#This Row],[E_AC (WPR)]]/RD[[#This Row],[E_DC (WPR)]],"")</f>
        <v/>
      </c>
    </row>
    <row r="251" spans="1:50">
      <c r="A251" s="148">
        <f t="shared" si="53"/>
        <v>45991</v>
      </c>
      <c r="B251" s="151">
        <f>YEAR(RD[[#This Row],[Date]])+IF(MONTH(RD[[#This Row],[Date]])&gt;=4,1,0)</f>
        <v>2026</v>
      </c>
      <c r="C251" s="151">
        <f>YEAR(RD[[#This Row],[Date]])</f>
        <v>2025</v>
      </c>
      <c r="D251" s="66">
        <f t="shared" si="52"/>
        <v>45962</v>
      </c>
      <c r="E251" s="151">
        <f>DAY(EOMONTH(RD[[#This Row],[Date]],0))</f>
        <v>30</v>
      </c>
      <c r="F251" s="172"/>
      <c r="G251" s="172"/>
      <c r="H251" s="138"/>
      <c r="I251" s="138"/>
      <c r="J251" s="138"/>
      <c r="K251" s="138"/>
      <c r="L251" s="138"/>
      <c r="M251" s="138"/>
      <c r="N251" s="138"/>
      <c r="O251" s="169"/>
      <c r="P251" s="169"/>
      <c r="Q251" s="72"/>
      <c r="R251" s="72"/>
      <c r="S251" s="72"/>
      <c r="T251" s="72"/>
      <c r="U251" s="72"/>
      <c r="V251" s="72"/>
      <c r="W251" s="72"/>
      <c r="X251" s="72"/>
      <c r="Y251" s="70">
        <f>SUM(RD[[#This Row],[IS1Inv1]:[IS3Inv1]])</f>
        <v>0</v>
      </c>
      <c r="Z251" s="70">
        <f>SUM(RD[[#This Row],[IS4Inv1]:[IS4Inv2]])</f>
        <v>0</v>
      </c>
      <c r="AA251" s="70">
        <f>SUM(RD[[#This Row],[O2RE7]:[O2RE27]])</f>
        <v>0</v>
      </c>
      <c r="AB251" s="163"/>
      <c r="AC251" s="164"/>
      <c r="AD251" s="163"/>
      <c r="AE251" s="163"/>
      <c r="AF251" s="163"/>
      <c r="AG251" s="163"/>
      <c r="AH251" s="163"/>
      <c r="AI251" s="157" t="str">
        <f>IF((RD[[#This Row],[33 kV_F1_Ex]]-AB250)*225000&lt;=0,"",(RD[[#This Row],[33 kV_F1_Ex]]-AB250)*225000)</f>
        <v/>
      </c>
      <c r="AJ251" s="154">
        <f>IF((RD[[#This Row],[33kV_OG1_Ex]]-AC250)*1000&lt;=0,0,(RD[[#This Row],[33kV_OG1_Ex]]-AC250)*1000)</f>
        <v>0</v>
      </c>
      <c r="AK251" s="154">
        <f>IF((RD[[#This Row],[220kV_TL_TVM_Ex]]-AE250)*1600&lt;=0,0,(RD[[#This Row],[220kV_TL_TVM_Ex]]-AE250)*1600)</f>
        <v>0</v>
      </c>
      <c r="AL251" s="154" t="str">
        <f>IF((RD[[#This Row],[220kV_C&amp;R_PQM_Ex]]-AF250)*1000&lt;=0,"",(RD[[#This Row],[220kV_C&amp;R_PQM_Ex]]-AF250)*1000)</f>
        <v/>
      </c>
      <c r="AM251" s="154">
        <f>IF((RD[[#This Row],[33kV_Aux1_Im]]-AH250)*1000&lt;0,"",(RD[[#This Row],[33kV_Aux1_Im]]-AH250)*1000)</f>
        <v>0</v>
      </c>
      <c r="AN251" s="154">
        <f>IF((RD[[#This Row],[33kV_Aux1_Im]]-AH250)*1000&lt;0,"",(RD[[#This Row],[33kV_Aux1_Im]]-AH250)*1000)</f>
        <v>0</v>
      </c>
      <c r="AO251" s="61">
        <f>RD[[#This Row],[33kV_OG1_Energy (KWh)]]</f>
        <v>0</v>
      </c>
      <c r="AP251" s="61">
        <f>IFERROR(RD[[#This Row],[220kV_TL_TVM Energy (KWh)]]-RD[[#This Row],[220kV_C&amp;R_PQM_Imp (KWh)2]],"")</f>
        <v>0</v>
      </c>
      <c r="AQ251" s="63" t="str">
        <f>IFERROR(RD[[#This Row],[33 kV Total Export (KWH)]]/RD[[#This Row],[220 KV Net Export (KWh)]]-1,"")</f>
        <v/>
      </c>
      <c r="AR251" s="64">
        <f>IFERROR((RD[[#This Row],[Sunset Time (POA&lt;20 W/m2)]]-RD[[#This Row],[Sunrise Time (POA&gt;20 W/m2)]])*24,0)</f>
        <v>0</v>
      </c>
      <c r="AS251" s="65">
        <f>RD[[#This Row],[33kV_OG1_Energy (KWh)]]</f>
        <v>0</v>
      </c>
      <c r="AT251" s="65">
        <f>IFERROR(RD[[#This Row],[ Export (33 kV)]]*(1-RD[[#This Row],[33 kV Line Loss (%)]]),RD[[#This Row],[ Export (33 kV)]])</f>
        <v>0</v>
      </c>
      <c r="AU251" s="192"/>
      <c r="AV251" s="192"/>
      <c r="AW251" s="192"/>
      <c r="AX251" t="str">
        <f>IFERROR(RD[[#This Row],[E_AC (WPR)]]/RD[[#This Row],[E_DC (WPR)]],"")</f>
        <v/>
      </c>
    </row>
    <row r="252" spans="1:50">
      <c r="A252" s="148">
        <f t="shared" si="53"/>
        <v>45992</v>
      </c>
      <c r="B252" s="151">
        <f>YEAR(RD[[#This Row],[Date]])+IF(MONTH(RD[[#This Row],[Date]])&gt;=4,1,0)</f>
        <v>2026</v>
      </c>
      <c r="C252" s="151">
        <f>YEAR(RD[[#This Row],[Date]])</f>
        <v>2025</v>
      </c>
      <c r="D252" s="66">
        <f t="shared" si="52"/>
        <v>45992</v>
      </c>
      <c r="E252" s="151">
        <f>DAY(EOMONTH(RD[[#This Row],[Date]],0))</f>
        <v>31</v>
      </c>
      <c r="F252" s="172"/>
      <c r="G252" s="172"/>
      <c r="H252" s="138"/>
      <c r="I252" s="138"/>
      <c r="J252" s="138"/>
      <c r="K252" s="138"/>
      <c r="L252" s="138"/>
      <c r="M252" s="138"/>
      <c r="N252" s="138"/>
      <c r="O252" s="169"/>
      <c r="P252" s="169"/>
      <c r="Q252" s="72"/>
      <c r="R252" s="72"/>
      <c r="S252" s="72"/>
      <c r="T252" s="72"/>
      <c r="U252" s="72"/>
      <c r="V252" s="72"/>
      <c r="W252" s="72"/>
      <c r="X252" s="72"/>
      <c r="Y252" s="70">
        <f>SUM(RD[[#This Row],[IS1Inv1]:[IS3Inv1]])</f>
        <v>0</v>
      </c>
      <c r="Z252" s="70">
        <f>SUM(RD[[#This Row],[IS4Inv1]:[IS4Inv2]])</f>
        <v>0</v>
      </c>
      <c r="AA252" s="70">
        <f>SUM(RD[[#This Row],[O2RE7]:[O2RE27]])</f>
        <v>0</v>
      </c>
      <c r="AB252" s="150"/>
      <c r="AC252" s="150"/>
      <c r="AD252" s="150"/>
      <c r="AE252" s="150"/>
      <c r="AF252" s="150"/>
      <c r="AG252" s="150"/>
      <c r="AH252" s="150"/>
      <c r="AI252" s="157" t="str">
        <f>IF((RD[[#This Row],[33 kV_F1_Ex]]-AB251)*225000&lt;=0,"",(RD[[#This Row],[33 kV_F1_Ex]]-AB251)*225000)</f>
        <v/>
      </c>
      <c r="AJ252" s="154">
        <f>IF((RD[[#This Row],[33kV_OG1_Ex]]-AC251)*1000&lt;=0,0,(RD[[#This Row],[33kV_OG1_Ex]]-AC251)*1000)</f>
        <v>0</v>
      </c>
      <c r="AK252" s="154">
        <f>IF((RD[[#This Row],[220kV_TL_TVM_Ex]]-AE251)*1600&lt;=0,0,(RD[[#This Row],[220kV_TL_TVM_Ex]]-AE251)*1600)</f>
        <v>0</v>
      </c>
      <c r="AL252" s="154" t="str">
        <f>IF((RD[[#This Row],[220kV_C&amp;R_PQM_Ex]]-AF251)*1000&lt;=0,"",(RD[[#This Row],[220kV_C&amp;R_PQM_Ex]]-AF251)*1000)</f>
        <v/>
      </c>
      <c r="AM252" s="154">
        <f>IF((RD[[#This Row],[33kV_Aux1_Im]]-AH251)*1000&lt;0,"",(RD[[#This Row],[33kV_Aux1_Im]]-AH251)*1000)</f>
        <v>0</v>
      </c>
      <c r="AN252" s="154">
        <f>IF((RD[[#This Row],[33kV_Aux1_Im]]-AH251)*1000&lt;0,"",(RD[[#This Row],[33kV_Aux1_Im]]-AH251)*1000)</f>
        <v>0</v>
      </c>
      <c r="AO252" s="61">
        <f>RD[[#This Row],[33kV_OG1_Energy (KWh)]]</f>
        <v>0</v>
      </c>
      <c r="AP252" s="61">
        <f>IFERROR(RD[[#This Row],[220kV_TL_TVM Energy (KWh)]]-RD[[#This Row],[220kV_C&amp;R_PQM_Imp (KWh)2]],"")</f>
        <v>0</v>
      </c>
      <c r="AQ252" s="63" t="str">
        <f>IFERROR(RD[[#This Row],[33 kV Total Export (KWH)]]/RD[[#This Row],[220 KV Net Export (KWh)]]-1,"")</f>
        <v/>
      </c>
      <c r="AR252" s="64">
        <f>IFERROR((RD[[#This Row],[Sunset Time (POA&lt;20 W/m2)]]-RD[[#This Row],[Sunrise Time (POA&gt;20 W/m2)]])*24,0)</f>
        <v>0</v>
      </c>
      <c r="AS252" s="65">
        <f>RD[[#This Row],[33kV_OG1_Energy (KWh)]]</f>
        <v>0</v>
      </c>
      <c r="AT252" s="65">
        <f>IFERROR(RD[[#This Row],[ Export (33 kV)]]*(1-RD[[#This Row],[33 kV Line Loss (%)]]),RD[[#This Row],[ Export (33 kV)]])</f>
        <v>0</v>
      </c>
      <c r="AU252" s="190"/>
      <c r="AV252" s="190"/>
      <c r="AW252" s="190"/>
      <c r="AX252" t="str">
        <f>IFERROR(RD[[#This Row],[E_AC (WPR)]]/RD[[#This Row],[E_DC (WPR)]],"")</f>
        <v/>
      </c>
    </row>
    <row r="253" spans="1:50">
      <c r="A253" s="148">
        <f t="shared" si="53"/>
        <v>45993</v>
      </c>
      <c r="B253" s="151">
        <f>YEAR(RD[[#This Row],[Date]])+IF(MONTH(RD[[#This Row],[Date]])&gt;=4,1,0)</f>
        <v>2026</v>
      </c>
      <c r="C253" s="151">
        <f>YEAR(RD[[#This Row],[Date]])</f>
        <v>2025</v>
      </c>
      <c r="D253" s="66">
        <f t="shared" si="52"/>
        <v>45992</v>
      </c>
      <c r="E253" s="151">
        <f>DAY(EOMONTH(RD[[#This Row],[Date]],0))</f>
        <v>31</v>
      </c>
      <c r="F253" s="172"/>
      <c r="G253" s="172"/>
      <c r="H253" s="138"/>
      <c r="I253" s="138"/>
      <c r="J253" s="138"/>
      <c r="K253" s="138"/>
      <c r="L253" s="138"/>
      <c r="M253" s="138"/>
      <c r="N253" s="138"/>
      <c r="O253" s="169"/>
      <c r="P253" s="169"/>
      <c r="Q253" s="72"/>
      <c r="R253" s="72"/>
      <c r="S253" s="72"/>
      <c r="T253" s="72"/>
      <c r="U253" s="72"/>
      <c r="V253" s="72"/>
      <c r="W253" s="72"/>
      <c r="X253" s="72"/>
      <c r="Y253" s="70">
        <f>SUM(RD[[#This Row],[IS1Inv1]:[IS3Inv1]])</f>
        <v>0</v>
      </c>
      <c r="Z253" s="70">
        <f>SUM(RD[[#This Row],[IS4Inv1]:[IS4Inv2]])</f>
        <v>0</v>
      </c>
      <c r="AA253" s="70">
        <f>SUM(RD[[#This Row],[O2RE7]:[O2RE27]])</f>
        <v>0</v>
      </c>
      <c r="AB253" s="150"/>
      <c r="AC253" s="150"/>
      <c r="AD253" s="150"/>
      <c r="AE253" s="150"/>
      <c r="AF253" s="150"/>
      <c r="AG253" s="150"/>
      <c r="AH253" s="150"/>
      <c r="AI253" s="157" t="str">
        <f>IF((RD[[#This Row],[33 kV_F1_Ex]]-AB252)*225000&lt;=0,"",(RD[[#This Row],[33 kV_F1_Ex]]-AB252)*225000)</f>
        <v/>
      </c>
      <c r="AJ253" s="154">
        <f>IF((RD[[#This Row],[33kV_OG1_Ex]]-AC252)*1000&lt;=0,0,(RD[[#This Row],[33kV_OG1_Ex]]-AC252)*1000)</f>
        <v>0</v>
      </c>
      <c r="AK253" s="154">
        <f>IF((RD[[#This Row],[220kV_TL_TVM_Ex]]-AE252)*1600&lt;=0,0,(RD[[#This Row],[220kV_TL_TVM_Ex]]-AE252)*1600)</f>
        <v>0</v>
      </c>
      <c r="AL253" s="154" t="str">
        <f>IF((RD[[#This Row],[220kV_C&amp;R_PQM_Ex]]-AF252)*1000&lt;=0,"",(RD[[#This Row],[220kV_C&amp;R_PQM_Ex]]-AF252)*1000)</f>
        <v/>
      </c>
      <c r="AM253" s="154">
        <f>IF((RD[[#This Row],[33kV_Aux1_Im]]-AH252)*1000&lt;0,"",(RD[[#This Row],[33kV_Aux1_Im]]-AH252)*1000)</f>
        <v>0</v>
      </c>
      <c r="AN253" s="154">
        <f>IF((RD[[#This Row],[33kV_Aux1_Im]]-AH252)*1000&lt;0,"",(RD[[#This Row],[33kV_Aux1_Im]]-AH252)*1000)</f>
        <v>0</v>
      </c>
      <c r="AO253" s="61">
        <f>RD[[#This Row],[33kV_OG1_Energy (KWh)]]</f>
        <v>0</v>
      </c>
      <c r="AP253" s="61">
        <f>IFERROR(RD[[#This Row],[220kV_TL_TVM Energy (KWh)]]-RD[[#This Row],[220kV_C&amp;R_PQM_Imp (KWh)2]],"")</f>
        <v>0</v>
      </c>
      <c r="AQ253" s="63" t="str">
        <f>IFERROR(RD[[#This Row],[33 kV Total Export (KWH)]]/RD[[#This Row],[220 KV Net Export (KWh)]]-1,"")</f>
        <v/>
      </c>
      <c r="AR253" s="64">
        <f>IFERROR((RD[[#This Row],[Sunset Time (POA&lt;20 W/m2)]]-RD[[#This Row],[Sunrise Time (POA&gt;20 W/m2)]])*24,0)</f>
        <v>0</v>
      </c>
      <c r="AS253" s="65">
        <f>RD[[#This Row],[33kV_OG1_Energy (KWh)]]</f>
        <v>0</v>
      </c>
      <c r="AT253" s="65">
        <f>IFERROR(RD[[#This Row],[ Export (33 kV)]]*(1-RD[[#This Row],[33 kV Line Loss (%)]]),RD[[#This Row],[ Export (33 kV)]])</f>
        <v>0</v>
      </c>
      <c r="AU253" s="190"/>
      <c r="AV253" s="190"/>
      <c r="AW253" s="190"/>
      <c r="AX253" t="str">
        <f>IFERROR(RD[[#This Row],[E_AC (WPR)]]/RD[[#This Row],[E_DC (WPR)]],"")</f>
        <v/>
      </c>
    </row>
    <row r="254" spans="1:50">
      <c r="A254" s="148">
        <f t="shared" si="53"/>
        <v>45994</v>
      </c>
      <c r="B254" s="151">
        <f>YEAR(RD[[#This Row],[Date]])+IF(MONTH(RD[[#This Row],[Date]])&gt;=4,1,0)</f>
        <v>2026</v>
      </c>
      <c r="C254" s="151">
        <f>YEAR(RD[[#This Row],[Date]])</f>
        <v>2025</v>
      </c>
      <c r="D254" s="66">
        <f t="shared" si="52"/>
        <v>45992</v>
      </c>
      <c r="E254" s="151">
        <f>DAY(EOMONTH(RD[[#This Row],[Date]],0))</f>
        <v>31</v>
      </c>
      <c r="F254" s="172"/>
      <c r="G254" s="172"/>
      <c r="H254" s="138"/>
      <c r="I254" s="138"/>
      <c r="J254" s="138"/>
      <c r="K254" s="138"/>
      <c r="L254" s="138"/>
      <c r="M254" s="138"/>
      <c r="N254" s="138"/>
      <c r="O254" s="169"/>
      <c r="P254" s="169"/>
      <c r="Q254" s="72"/>
      <c r="R254" s="72"/>
      <c r="S254" s="72"/>
      <c r="T254" s="72"/>
      <c r="U254" s="72"/>
      <c r="V254" s="72"/>
      <c r="W254" s="72"/>
      <c r="X254" s="72"/>
      <c r="Y254" s="70">
        <f>SUM(RD[[#This Row],[IS1Inv1]:[IS3Inv1]])</f>
        <v>0</v>
      </c>
      <c r="Z254" s="70">
        <f>SUM(RD[[#This Row],[IS4Inv1]:[IS4Inv2]])</f>
        <v>0</v>
      </c>
      <c r="AA254" s="70">
        <f>SUM(RD[[#This Row],[O2RE7]:[O2RE27]])</f>
        <v>0</v>
      </c>
      <c r="AB254" s="150"/>
      <c r="AC254" s="150"/>
      <c r="AD254" s="150"/>
      <c r="AE254" s="150"/>
      <c r="AF254" s="150"/>
      <c r="AG254" s="150"/>
      <c r="AH254" s="150"/>
      <c r="AI254" s="157" t="str">
        <f>IF((RD[[#This Row],[33 kV_F1_Ex]]-AB253)*225000&lt;=0,"",(RD[[#This Row],[33 kV_F1_Ex]]-AB253)*225000)</f>
        <v/>
      </c>
      <c r="AJ254" s="154">
        <f>IF((RD[[#This Row],[33kV_OG1_Ex]]-AC253)*1000&lt;=0,0,(RD[[#This Row],[33kV_OG1_Ex]]-AC253)*1000)</f>
        <v>0</v>
      </c>
      <c r="AK254" s="154">
        <f>IF((RD[[#This Row],[220kV_TL_TVM_Ex]]-AE253)*1600&lt;=0,0,(RD[[#This Row],[220kV_TL_TVM_Ex]]-AE253)*1600)</f>
        <v>0</v>
      </c>
      <c r="AL254" s="154" t="str">
        <f>IF((RD[[#This Row],[220kV_C&amp;R_PQM_Ex]]-AF253)*1000&lt;=0,"",(RD[[#This Row],[220kV_C&amp;R_PQM_Ex]]-AF253)*1000)</f>
        <v/>
      </c>
      <c r="AM254" s="154">
        <f>IF((RD[[#This Row],[33kV_Aux1_Im]]-AH253)*1000&lt;0,"",(RD[[#This Row],[33kV_Aux1_Im]]-AH253)*1000)</f>
        <v>0</v>
      </c>
      <c r="AN254" s="154">
        <f>IF((RD[[#This Row],[33kV_Aux1_Im]]-AH253)*1000&lt;0,"",(RD[[#This Row],[33kV_Aux1_Im]]-AH253)*1000)</f>
        <v>0</v>
      </c>
      <c r="AO254" s="61">
        <f>RD[[#This Row],[33kV_OG1_Energy (KWh)]]</f>
        <v>0</v>
      </c>
      <c r="AP254" s="61">
        <f>IFERROR(RD[[#This Row],[220kV_TL_TVM Energy (KWh)]]-RD[[#This Row],[220kV_C&amp;R_PQM_Imp (KWh)2]],"")</f>
        <v>0</v>
      </c>
      <c r="AQ254" s="63" t="str">
        <f>IFERROR(RD[[#This Row],[33 kV Total Export (KWH)]]/RD[[#This Row],[220 KV Net Export (KWh)]]-1,"")</f>
        <v/>
      </c>
      <c r="AR254" s="64">
        <f>IFERROR((RD[[#This Row],[Sunset Time (POA&lt;20 W/m2)]]-RD[[#This Row],[Sunrise Time (POA&gt;20 W/m2)]])*24,0)</f>
        <v>0</v>
      </c>
      <c r="AS254" s="65">
        <f>RD[[#This Row],[33kV_OG1_Energy (KWh)]]</f>
        <v>0</v>
      </c>
      <c r="AT254" s="65">
        <f>IFERROR(RD[[#This Row],[ Export (33 kV)]]*(1-RD[[#This Row],[33 kV Line Loss (%)]]),RD[[#This Row],[ Export (33 kV)]])</f>
        <v>0</v>
      </c>
      <c r="AU254" s="190"/>
      <c r="AV254" s="190"/>
      <c r="AW254" s="190"/>
      <c r="AX254" t="str">
        <f>IFERROR(RD[[#This Row],[E_AC (WPR)]]/RD[[#This Row],[E_DC (WPR)]],"")</f>
        <v/>
      </c>
    </row>
    <row r="255" spans="1:50">
      <c r="A255" s="148">
        <f t="shared" si="53"/>
        <v>45995</v>
      </c>
      <c r="B255" s="151">
        <f>YEAR(RD[[#This Row],[Date]])+IF(MONTH(RD[[#This Row],[Date]])&gt;=4,1,0)</f>
        <v>2026</v>
      </c>
      <c r="C255" s="151">
        <f>YEAR(RD[[#This Row],[Date]])</f>
        <v>2025</v>
      </c>
      <c r="D255" s="66">
        <f t="shared" si="52"/>
        <v>45992</v>
      </c>
      <c r="E255" s="151">
        <f>DAY(EOMONTH(RD[[#This Row],[Date]],0))</f>
        <v>31</v>
      </c>
      <c r="F255" s="172"/>
      <c r="G255" s="172"/>
      <c r="H255" s="138"/>
      <c r="I255" s="138"/>
      <c r="J255" s="138"/>
      <c r="K255" s="138"/>
      <c r="L255" s="138"/>
      <c r="M255" s="138"/>
      <c r="N255" s="138"/>
      <c r="O255" s="169"/>
      <c r="P255" s="169"/>
      <c r="Q255" s="72"/>
      <c r="R255" s="72"/>
      <c r="S255" s="72"/>
      <c r="T255" s="72"/>
      <c r="U255" s="72"/>
      <c r="V255" s="72"/>
      <c r="W255" s="72"/>
      <c r="X255" s="72"/>
      <c r="Y255" s="70">
        <f>SUM(RD[[#This Row],[IS1Inv1]:[IS3Inv1]])</f>
        <v>0</v>
      </c>
      <c r="Z255" s="70">
        <f>SUM(RD[[#This Row],[IS4Inv1]:[IS4Inv2]])</f>
        <v>0</v>
      </c>
      <c r="AA255" s="70">
        <f>SUM(RD[[#This Row],[O2RE7]:[O2RE27]])</f>
        <v>0</v>
      </c>
      <c r="AB255" s="150"/>
      <c r="AC255" s="150"/>
      <c r="AD255" s="150"/>
      <c r="AE255" s="150"/>
      <c r="AF255" s="150"/>
      <c r="AG255" s="150"/>
      <c r="AH255" s="150"/>
      <c r="AI255" s="157" t="str">
        <f>IF((RD[[#This Row],[33 kV_F1_Ex]]-AB254)*225000&lt;=0,"",(RD[[#This Row],[33 kV_F1_Ex]]-AB254)*225000)</f>
        <v/>
      </c>
      <c r="AJ255" s="154">
        <f>IF((RD[[#This Row],[33kV_OG1_Ex]]-AC254)*1000&lt;=0,0,(RD[[#This Row],[33kV_OG1_Ex]]-AC254)*1000)</f>
        <v>0</v>
      </c>
      <c r="AK255" s="154">
        <f>IF((RD[[#This Row],[220kV_TL_TVM_Ex]]-AE254)*1600&lt;=0,0,(RD[[#This Row],[220kV_TL_TVM_Ex]]-AE254)*1600)</f>
        <v>0</v>
      </c>
      <c r="AL255" s="154" t="str">
        <f>IF((RD[[#This Row],[220kV_C&amp;R_PQM_Ex]]-AF254)*1000&lt;=0,"",(RD[[#This Row],[220kV_C&amp;R_PQM_Ex]]-AF254)*1000)</f>
        <v/>
      </c>
      <c r="AM255" s="154">
        <f>IF((RD[[#This Row],[33kV_Aux1_Im]]-AH254)*1000&lt;0,"",(RD[[#This Row],[33kV_Aux1_Im]]-AH254)*1000)</f>
        <v>0</v>
      </c>
      <c r="AN255" s="154">
        <f>IF((RD[[#This Row],[33kV_Aux1_Im]]-AH254)*1000&lt;0,"",(RD[[#This Row],[33kV_Aux1_Im]]-AH254)*1000)</f>
        <v>0</v>
      </c>
      <c r="AO255" s="61">
        <f>RD[[#This Row],[33kV_OG1_Energy (KWh)]]</f>
        <v>0</v>
      </c>
      <c r="AP255" s="61">
        <f>IFERROR(RD[[#This Row],[220kV_TL_TVM Energy (KWh)]]-RD[[#This Row],[220kV_C&amp;R_PQM_Imp (KWh)2]],"")</f>
        <v>0</v>
      </c>
      <c r="AQ255" s="63" t="str">
        <f>IFERROR(RD[[#This Row],[33 kV Total Export (KWH)]]/RD[[#This Row],[220 KV Net Export (KWh)]]-1,"")</f>
        <v/>
      </c>
      <c r="AR255" s="64">
        <f>IFERROR((RD[[#This Row],[Sunset Time (POA&lt;20 W/m2)]]-RD[[#This Row],[Sunrise Time (POA&gt;20 W/m2)]])*24,0)</f>
        <v>0</v>
      </c>
      <c r="AS255" s="65">
        <f>RD[[#This Row],[33kV_OG1_Energy (KWh)]]</f>
        <v>0</v>
      </c>
      <c r="AT255" s="65">
        <f>IFERROR(RD[[#This Row],[ Export (33 kV)]]*(1-RD[[#This Row],[33 kV Line Loss (%)]]),RD[[#This Row],[ Export (33 kV)]])</f>
        <v>0</v>
      </c>
      <c r="AU255" s="190"/>
      <c r="AV255" s="190"/>
      <c r="AW255" s="190"/>
      <c r="AX255" t="str">
        <f>IFERROR(RD[[#This Row],[E_AC (WPR)]]/RD[[#This Row],[E_DC (WPR)]],"")</f>
        <v/>
      </c>
    </row>
    <row r="256" spans="1:50">
      <c r="A256" s="148">
        <f t="shared" si="53"/>
        <v>45996</v>
      </c>
      <c r="B256" s="151">
        <f>YEAR(RD[[#This Row],[Date]])+IF(MONTH(RD[[#This Row],[Date]])&gt;=4,1,0)</f>
        <v>2026</v>
      </c>
      <c r="C256" s="151">
        <f>YEAR(RD[[#This Row],[Date]])</f>
        <v>2025</v>
      </c>
      <c r="D256" s="66">
        <f t="shared" si="52"/>
        <v>45992</v>
      </c>
      <c r="E256" s="151">
        <f>DAY(EOMONTH(RD[[#This Row],[Date]],0))</f>
        <v>31</v>
      </c>
      <c r="F256" s="172"/>
      <c r="G256" s="172"/>
      <c r="H256" s="138"/>
      <c r="I256" s="138"/>
      <c r="J256" s="138"/>
      <c r="K256" s="138"/>
      <c r="L256" s="138"/>
      <c r="M256" s="138"/>
      <c r="N256" s="138"/>
      <c r="O256" s="169"/>
      <c r="P256" s="169"/>
      <c r="Q256" s="72"/>
      <c r="R256" s="72"/>
      <c r="S256" s="72"/>
      <c r="T256" s="72"/>
      <c r="U256" s="72"/>
      <c r="V256" s="72"/>
      <c r="W256" s="72"/>
      <c r="X256" s="72"/>
      <c r="Y256" s="70">
        <f>SUM(RD[[#This Row],[IS1Inv1]:[IS3Inv1]])</f>
        <v>0</v>
      </c>
      <c r="Z256" s="70">
        <f>SUM(RD[[#This Row],[IS4Inv1]:[IS4Inv2]])</f>
        <v>0</v>
      </c>
      <c r="AA256" s="70">
        <f>SUM(RD[[#This Row],[O2RE7]:[O2RE27]])</f>
        <v>0</v>
      </c>
      <c r="AB256" s="150"/>
      <c r="AC256" s="150"/>
      <c r="AD256" s="150"/>
      <c r="AE256" s="150"/>
      <c r="AF256" s="150"/>
      <c r="AG256" s="150"/>
      <c r="AH256" s="150"/>
      <c r="AI256" s="157" t="str">
        <f>IF((RD[[#This Row],[33 kV_F1_Ex]]-AB255)*225000&lt;=0,"",(RD[[#This Row],[33 kV_F1_Ex]]-AB255)*225000)</f>
        <v/>
      </c>
      <c r="AJ256" s="154">
        <f>IF((RD[[#This Row],[33kV_OG1_Ex]]-AC255)*1000&lt;=0,0,(RD[[#This Row],[33kV_OG1_Ex]]-AC255)*1000)</f>
        <v>0</v>
      </c>
      <c r="AK256" s="154">
        <f>IF((RD[[#This Row],[220kV_TL_TVM_Ex]]-AE255)*1600&lt;=0,0,(RD[[#This Row],[220kV_TL_TVM_Ex]]-AE255)*1600)</f>
        <v>0</v>
      </c>
      <c r="AL256" s="154" t="str">
        <f>IF((RD[[#This Row],[220kV_C&amp;R_PQM_Ex]]-AF255)*1000&lt;=0,"",(RD[[#This Row],[220kV_C&amp;R_PQM_Ex]]-AF255)*1000)</f>
        <v/>
      </c>
      <c r="AM256" s="154">
        <f>IF((RD[[#This Row],[33kV_Aux1_Im]]-AH255)*1000&lt;0,"",(RD[[#This Row],[33kV_Aux1_Im]]-AH255)*1000)</f>
        <v>0</v>
      </c>
      <c r="AN256" s="154">
        <f>IF((RD[[#This Row],[33kV_Aux1_Im]]-AH255)*1000&lt;0,"",(RD[[#This Row],[33kV_Aux1_Im]]-AH255)*1000)</f>
        <v>0</v>
      </c>
      <c r="AO256" s="61">
        <f>RD[[#This Row],[33kV_OG1_Energy (KWh)]]</f>
        <v>0</v>
      </c>
      <c r="AP256" s="61">
        <f>IFERROR(RD[[#This Row],[220kV_TL_TVM Energy (KWh)]]-RD[[#This Row],[220kV_C&amp;R_PQM_Imp (KWh)2]],"")</f>
        <v>0</v>
      </c>
      <c r="AQ256" s="63" t="str">
        <f>IFERROR(RD[[#This Row],[33 kV Total Export (KWH)]]/RD[[#This Row],[220 KV Net Export (KWh)]]-1,"")</f>
        <v/>
      </c>
      <c r="AR256" s="64">
        <f>IFERROR((RD[[#This Row],[Sunset Time (POA&lt;20 W/m2)]]-RD[[#This Row],[Sunrise Time (POA&gt;20 W/m2)]])*24,0)</f>
        <v>0</v>
      </c>
      <c r="AS256" s="65">
        <f>RD[[#This Row],[33kV_OG1_Energy (KWh)]]</f>
        <v>0</v>
      </c>
      <c r="AT256" s="65">
        <f>IFERROR(RD[[#This Row],[ Export (33 kV)]]*(1-RD[[#This Row],[33 kV Line Loss (%)]]),RD[[#This Row],[ Export (33 kV)]])</f>
        <v>0</v>
      </c>
      <c r="AU256" s="190"/>
      <c r="AV256" s="190"/>
      <c r="AW256" s="190"/>
      <c r="AX256" t="str">
        <f>IFERROR(RD[[#This Row],[E_AC (WPR)]]/RD[[#This Row],[E_DC (WPR)]],"")</f>
        <v/>
      </c>
    </row>
    <row r="257" spans="1:50">
      <c r="A257" s="148">
        <f t="shared" si="53"/>
        <v>45997</v>
      </c>
      <c r="B257" s="151">
        <f>YEAR(RD[[#This Row],[Date]])+IF(MONTH(RD[[#This Row],[Date]])&gt;=4,1,0)</f>
        <v>2026</v>
      </c>
      <c r="C257" s="151">
        <f>YEAR(RD[[#This Row],[Date]])</f>
        <v>2025</v>
      </c>
      <c r="D257" s="66">
        <f t="shared" si="52"/>
        <v>45992</v>
      </c>
      <c r="E257" s="151">
        <f>DAY(EOMONTH(RD[[#This Row],[Date]],0))</f>
        <v>31</v>
      </c>
      <c r="F257" s="172"/>
      <c r="G257" s="172"/>
      <c r="H257" s="138"/>
      <c r="I257" s="138"/>
      <c r="J257" s="138"/>
      <c r="K257" s="138"/>
      <c r="L257" s="138"/>
      <c r="M257" s="138"/>
      <c r="N257" s="138"/>
      <c r="O257" s="169"/>
      <c r="P257" s="169"/>
      <c r="Q257" s="72"/>
      <c r="R257" s="72"/>
      <c r="S257" s="72"/>
      <c r="T257" s="72"/>
      <c r="U257" s="72"/>
      <c r="V257" s="72"/>
      <c r="W257" s="72"/>
      <c r="X257" s="72"/>
      <c r="Y257" s="70">
        <f>SUM(RD[[#This Row],[IS1Inv1]:[IS3Inv1]])</f>
        <v>0</v>
      </c>
      <c r="Z257" s="70">
        <f>SUM(RD[[#This Row],[IS4Inv1]:[IS4Inv2]])</f>
        <v>0</v>
      </c>
      <c r="AA257" s="70">
        <f>SUM(RD[[#This Row],[O2RE7]:[O2RE27]])</f>
        <v>0</v>
      </c>
      <c r="AB257" s="150"/>
      <c r="AC257" s="150"/>
      <c r="AD257" s="150"/>
      <c r="AE257" s="150"/>
      <c r="AF257" s="150"/>
      <c r="AG257" s="150"/>
      <c r="AH257" s="150"/>
      <c r="AI257" s="157" t="str">
        <f>IF((RD[[#This Row],[33 kV_F1_Ex]]-AB256)*225000&lt;=0,"",(RD[[#This Row],[33 kV_F1_Ex]]-AB256)*225000)</f>
        <v/>
      </c>
      <c r="AJ257" s="154">
        <f>IF((RD[[#This Row],[33kV_OG1_Ex]]-AC256)*1000&lt;=0,0,(RD[[#This Row],[33kV_OG1_Ex]]-AC256)*1000)</f>
        <v>0</v>
      </c>
      <c r="AK257" s="154">
        <f>IF((RD[[#This Row],[220kV_TL_TVM_Ex]]-AE256)*1600&lt;=0,0,(RD[[#This Row],[220kV_TL_TVM_Ex]]-AE256)*1600)</f>
        <v>0</v>
      </c>
      <c r="AL257" s="154" t="str">
        <f>IF((RD[[#This Row],[220kV_C&amp;R_PQM_Ex]]-AF256)*1000&lt;=0,"",(RD[[#This Row],[220kV_C&amp;R_PQM_Ex]]-AF256)*1000)</f>
        <v/>
      </c>
      <c r="AM257" s="154">
        <f>IF((RD[[#This Row],[33kV_Aux1_Im]]-AH256)*1000&lt;0,"",(RD[[#This Row],[33kV_Aux1_Im]]-AH256)*1000)</f>
        <v>0</v>
      </c>
      <c r="AN257" s="154">
        <f>IF((RD[[#This Row],[33kV_Aux1_Im]]-AH256)*1000&lt;0,"",(RD[[#This Row],[33kV_Aux1_Im]]-AH256)*1000)</f>
        <v>0</v>
      </c>
      <c r="AO257" s="61">
        <f>RD[[#This Row],[33kV_OG1_Energy (KWh)]]</f>
        <v>0</v>
      </c>
      <c r="AP257" s="61">
        <f>IFERROR(RD[[#This Row],[220kV_TL_TVM Energy (KWh)]]-RD[[#This Row],[220kV_C&amp;R_PQM_Imp (KWh)2]],"")</f>
        <v>0</v>
      </c>
      <c r="AQ257" s="63" t="str">
        <f>IFERROR(RD[[#This Row],[33 kV Total Export (KWH)]]/RD[[#This Row],[220 KV Net Export (KWh)]]-1,"")</f>
        <v/>
      </c>
      <c r="AR257" s="64">
        <f>IFERROR((RD[[#This Row],[Sunset Time (POA&lt;20 W/m2)]]-RD[[#This Row],[Sunrise Time (POA&gt;20 W/m2)]])*24,0)</f>
        <v>0</v>
      </c>
      <c r="AS257" s="65">
        <f>RD[[#This Row],[33kV_OG1_Energy (KWh)]]</f>
        <v>0</v>
      </c>
      <c r="AT257" s="65">
        <f>IFERROR(RD[[#This Row],[ Export (33 kV)]]*(1-RD[[#This Row],[33 kV Line Loss (%)]]),RD[[#This Row],[ Export (33 kV)]])</f>
        <v>0</v>
      </c>
      <c r="AU257" s="190"/>
      <c r="AV257" s="190"/>
      <c r="AW257" s="190"/>
      <c r="AX257" t="str">
        <f>IFERROR(RD[[#This Row],[E_AC (WPR)]]/RD[[#This Row],[E_DC (WPR)]],"")</f>
        <v/>
      </c>
    </row>
    <row r="258" spans="1:50">
      <c r="A258" s="148">
        <f t="shared" si="53"/>
        <v>45998</v>
      </c>
      <c r="B258" s="151">
        <f>YEAR(RD[[#This Row],[Date]])+IF(MONTH(RD[[#This Row],[Date]])&gt;=4,1,0)</f>
        <v>2026</v>
      </c>
      <c r="C258" s="151">
        <f>YEAR(RD[[#This Row],[Date]])</f>
        <v>2025</v>
      </c>
      <c r="D258" s="66">
        <f t="shared" si="52"/>
        <v>45992</v>
      </c>
      <c r="E258" s="151">
        <f>DAY(EOMONTH(RD[[#This Row],[Date]],0))</f>
        <v>31</v>
      </c>
      <c r="F258" s="172"/>
      <c r="G258" s="172"/>
      <c r="H258" s="138"/>
      <c r="I258" s="138"/>
      <c r="J258" s="138"/>
      <c r="K258" s="138"/>
      <c r="L258" s="138"/>
      <c r="M258" s="138"/>
      <c r="N258" s="138"/>
      <c r="O258" s="169"/>
      <c r="P258" s="169"/>
      <c r="Q258" s="72"/>
      <c r="R258" s="72"/>
      <c r="S258" s="72"/>
      <c r="T258" s="72"/>
      <c r="U258" s="72"/>
      <c r="V258" s="72"/>
      <c r="W258" s="72"/>
      <c r="X258" s="72"/>
      <c r="Y258" s="70">
        <f>SUM(RD[[#This Row],[IS1Inv1]:[IS3Inv1]])</f>
        <v>0</v>
      </c>
      <c r="Z258" s="70">
        <f>SUM(RD[[#This Row],[IS4Inv1]:[IS4Inv2]])</f>
        <v>0</v>
      </c>
      <c r="AA258" s="70">
        <f>SUM(RD[[#This Row],[O2RE7]:[O2RE27]])</f>
        <v>0</v>
      </c>
      <c r="AB258" s="150"/>
      <c r="AC258" s="150"/>
      <c r="AD258" s="150"/>
      <c r="AE258" s="150"/>
      <c r="AF258" s="150"/>
      <c r="AG258" s="150"/>
      <c r="AH258" s="150"/>
      <c r="AI258" s="157" t="str">
        <f>IF((RD[[#This Row],[33 kV_F1_Ex]]-AB257)*225000&lt;=0,"",(RD[[#This Row],[33 kV_F1_Ex]]-AB257)*225000)</f>
        <v/>
      </c>
      <c r="AJ258" s="154">
        <f>IF((RD[[#This Row],[33kV_OG1_Ex]]-AC257)*1000&lt;=0,0,(RD[[#This Row],[33kV_OG1_Ex]]-AC257)*1000)</f>
        <v>0</v>
      </c>
      <c r="AK258" s="154">
        <f>IF((RD[[#This Row],[220kV_TL_TVM_Ex]]-AE257)*1600&lt;=0,0,(RD[[#This Row],[220kV_TL_TVM_Ex]]-AE257)*1600)</f>
        <v>0</v>
      </c>
      <c r="AL258" s="154" t="str">
        <f>IF((RD[[#This Row],[220kV_C&amp;R_PQM_Ex]]-AF257)*1000&lt;=0,"",(RD[[#This Row],[220kV_C&amp;R_PQM_Ex]]-AF257)*1000)</f>
        <v/>
      </c>
      <c r="AM258" s="154">
        <f>IF((RD[[#This Row],[33kV_Aux1_Im]]-AH257)*1000&lt;0,"",(RD[[#This Row],[33kV_Aux1_Im]]-AH257)*1000)</f>
        <v>0</v>
      </c>
      <c r="AN258" s="154">
        <f>IF((RD[[#This Row],[33kV_Aux1_Im]]-AH257)*1000&lt;0,"",(RD[[#This Row],[33kV_Aux1_Im]]-AH257)*1000)</f>
        <v>0</v>
      </c>
      <c r="AO258" s="61">
        <f>RD[[#This Row],[33kV_OG1_Energy (KWh)]]</f>
        <v>0</v>
      </c>
      <c r="AP258" s="61">
        <f>IFERROR(RD[[#This Row],[220kV_TL_TVM Energy (KWh)]]-RD[[#This Row],[220kV_C&amp;R_PQM_Imp (KWh)2]],"")</f>
        <v>0</v>
      </c>
      <c r="AQ258" s="63" t="str">
        <f>IFERROR(RD[[#This Row],[33 kV Total Export (KWH)]]/RD[[#This Row],[220 KV Net Export (KWh)]]-1,"")</f>
        <v/>
      </c>
      <c r="AR258" s="64">
        <f>IFERROR((RD[[#This Row],[Sunset Time (POA&lt;20 W/m2)]]-RD[[#This Row],[Sunrise Time (POA&gt;20 W/m2)]])*24,0)</f>
        <v>0</v>
      </c>
      <c r="AS258" s="65">
        <f>RD[[#This Row],[33kV_OG1_Energy (KWh)]]</f>
        <v>0</v>
      </c>
      <c r="AT258" s="65">
        <f>IFERROR(RD[[#This Row],[ Export (33 kV)]]*(1-RD[[#This Row],[33 kV Line Loss (%)]]),RD[[#This Row],[ Export (33 kV)]])</f>
        <v>0</v>
      </c>
      <c r="AU258" s="190"/>
      <c r="AV258" s="190"/>
      <c r="AW258" s="190"/>
      <c r="AX258" t="str">
        <f>IFERROR(RD[[#This Row],[E_AC (WPR)]]/RD[[#This Row],[E_DC (WPR)]],"")</f>
        <v/>
      </c>
    </row>
    <row r="259" spans="1:50">
      <c r="A259" s="148">
        <f t="shared" si="53"/>
        <v>45999</v>
      </c>
      <c r="B259" s="151">
        <f>YEAR(RD[[#This Row],[Date]])+IF(MONTH(RD[[#This Row],[Date]])&gt;=4,1,0)</f>
        <v>2026</v>
      </c>
      <c r="C259" s="151">
        <f>YEAR(RD[[#This Row],[Date]])</f>
        <v>2025</v>
      </c>
      <c r="D259" s="66">
        <f t="shared" si="52"/>
        <v>45992</v>
      </c>
      <c r="E259" s="151">
        <f>DAY(EOMONTH(RD[[#This Row],[Date]],0))</f>
        <v>31</v>
      </c>
      <c r="F259" s="172"/>
      <c r="G259" s="172"/>
      <c r="H259" s="138"/>
      <c r="I259" s="138"/>
      <c r="J259" s="138"/>
      <c r="K259" s="138"/>
      <c r="L259" s="138"/>
      <c r="M259" s="138"/>
      <c r="N259" s="138"/>
      <c r="O259" s="169"/>
      <c r="P259" s="169"/>
      <c r="Q259" s="72"/>
      <c r="R259" s="72"/>
      <c r="S259" s="72"/>
      <c r="T259" s="72"/>
      <c r="U259" s="72"/>
      <c r="V259" s="72"/>
      <c r="W259" s="72"/>
      <c r="X259" s="72"/>
      <c r="Y259" s="70">
        <f>SUM(RD[[#This Row],[IS1Inv1]:[IS3Inv1]])</f>
        <v>0</v>
      </c>
      <c r="Z259" s="70">
        <f>SUM(RD[[#This Row],[IS4Inv1]:[IS4Inv2]])</f>
        <v>0</v>
      </c>
      <c r="AA259" s="70">
        <f>SUM(RD[[#This Row],[O2RE7]:[O2RE27]])</f>
        <v>0</v>
      </c>
      <c r="AB259" s="150"/>
      <c r="AC259" s="150"/>
      <c r="AD259" s="150"/>
      <c r="AE259" s="150"/>
      <c r="AF259" s="150"/>
      <c r="AG259" s="150"/>
      <c r="AH259" s="150"/>
      <c r="AI259" s="157" t="str">
        <f>IF((RD[[#This Row],[33 kV_F1_Ex]]-AB258)*225000&lt;=0,"",(RD[[#This Row],[33 kV_F1_Ex]]-AB258)*225000)</f>
        <v/>
      </c>
      <c r="AJ259" s="154">
        <f>IF((RD[[#This Row],[33kV_OG1_Ex]]-AC258)*1000&lt;=0,0,(RD[[#This Row],[33kV_OG1_Ex]]-AC258)*1000)</f>
        <v>0</v>
      </c>
      <c r="AK259" s="154">
        <f>IF((RD[[#This Row],[220kV_TL_TVM_Ex]]-AE258)*1600&lt;=0,0,(RD[[#This Row],[220kV_TL_TVM_Ex]]-AE258)*1600)</f>
        <v>0</v>
      </c>
      <c r="AL259" s="154" t="str">
        <f>IF((RD[[#This Row],[220kV_C&amp;R_PQM_Ex]]-AF258)*1000&lt;=0,"",(RD[[#This Row],[220kV_C&amp;R_PQM_Ex]]-AF258)*1000)</f>
        <v/>
      </c>
      <c r="AM259" s="154">
        <f>IF((RD[[#This Row],[33kV_Aux1_Im]]-AH258)*1000&lt;0,"",(RD[[#This Row],[33kV_Aux1_Im]]-AH258)*1000)</f>
        <v>0</v>
      </c>
      <c r="AN259" s="154">
        <f>IF((RD[[#This Row],[33kV_Aux1_Im]]-AH258)*1000&lt;0,"",(RD[[#This Row],[33kV_Aux1_Im]]-AH258)*1000)</f>
        <v>0</v>
      </c>
      <c r="AO259" s="61">
        <f>RD[[#This Row],[33kV_OG1_Energy (KWh)]]</f>
        <v>0</v>
      </c>
      <c r="AP259" s="61">
        <f>IFERROR(RD[[#This Row],[220kV_TL_TVM Energy (KWh)]]-RD[[#This Row],[220kV_C&amp;R_PQM_Imp (KWh)2]],"")</f>
        <v>0</v>
      </c>
      <c r="AQ259" s="63" t="str">
        <f>IFERROR(RD[[#This Row],[33 kV Total Export (KWH)]]/RD[[#This Row],[220 KV Net Export (KWh)]]-1,"")</f>
        <v/>
      </c>
      <c r="AR259" s="64">
        <f>IFERROR((RD[[#This Row],[Sunset Time (POA&lt;20 W/m2)]]-RD[[#This Row],[Sunrise Time (POA&gt;20 W/m2)]])*24,0)</f>
        <v>0</v>
      </c>
      <c r="AS259" s="65">
        <f>RD[[#This Row],[33kV_OG1_Energy (KWh)]]</f>
        <v>0</v>
      </c>
      <c r="AT259" s="65">
        <f>IFERROR(RD[[#This Row],[ Export (33 kV)]]*(1-RD[[#This Row],[33 kV Line Loss (%)]]),RD[[#This Row],[ Export (33 kV)]])</f>
        <v>0</v>
      </c>
      <c r="AU259" s="190"/>
      <c r="AV259" s="190"/>
      <c r="AW259" s="190"/>
      <c r="AX259" t="str">
        <f>IFERROR(RD[[#This Row],[E_AC (WPR)]]/RD[[#This Row],[E_DC (WPR)]],"")</f>
        <v/>
      </c>
    </row>
    <row r="260" spans="1:50">
      <c r="A260" s="148">
        <f t="shared" si="53"/>
        <v>46000</v>
      </c>
      <c r="B260" s="151">
        <f>YEAR(RD[[#This Row],[Date]])+IF(MONTH(RD[[#This Row],[Date]])&gt;=4,1,0)</f>
        <v>2026</v>
      </c>
      <c r="C260" s="151">
        <f>YEAR(RD[[#This Row],[Date]])</f>
        <v>2025</v>
      </c>
      <c r="D260" s="66">
        <f t="shared" si="52"/>
        <v>45992</v>
      </c>
      <c r="E260" s="151">
        <f>DAY(EOMONTH(RD[[#This Row],[Date]],0))</f>
        <v>31</v>
      </c>
      <c r="F260" s="172"/>
      <c r="G260" s="172"/>
      <c r="H260" s="138"/>
      <c r="I260" s="138"/>
      <c r="J260" s="138"/>
      <c r="K260" s="138"/>
      <c r="L260" s="138"/>
      <c r="M260" s="138"/>
      <c r="N260" s="138"/>
      <c r="O260" s="169"/>
      <c r="P260" s="169"/>
      <c r="Q260" s="72"/>
      <c r="R260" s="72"/>
      <c r="S260" s="72"/>
      <c r="T260" s="72"/>
      <c r="U260" s="72"/>
      <c r="V260" s="72"/>
      <c r="W260" s="72"/>
      <c r="X260" s="72"/>
      <c r="Y260" s="70">
        <f>SUM(RD[[#This Row],[IS1Inv1]:[IS3Inv1]])</f>
        <v>0</v>
      </c>
      <c r="Z260" s="70">
        <f>SUM(RD[[#This Row],[IS4Inv1]:[IS4Inv2]])</f>
        <v>0</v>
      </c>
      <c r="AA260" s="70">
        <f>SUM(RD[[#This Row],[O2RE7]:[O2RE27]])</f>
        <v>0</v>
      </c>
      <c r="AB260" s="150"/>
      <c r="AC260" s="150"/>
      <c r="AD260" s="150"/>
      <c r="AE260" s="150"/>
      <c r="AF260" s="150"/>
      <c r="AG260" s="150"/>
      <c r="AH260" s="150"/>
      <c r="AI260" s="157" t="str">
        <f>IF((RD[[#This Row],[33 kV_F1_Ex]]-AB259)*225000&lt;=0,"",(RD[[#This Row],[33 kV_F1_Ex]]-AB259)*225000)</f>
        <v/>
      </c>
      <c r="AJ260" s="154">
        <f>IF((RD[[#This Row],[33kV_OG1_Ex]]-AC259)*1000&lt;=0,0,(RD[[#This Row],[33kV_OG1_Ex]]-AC259)*1000)</f>
        <v>0</v>
      </c>
      <c r="AK260" s="154">
        <f>IF((RD[[#This Row],[220kV_TL_TVM_Ex]]-AE259)*1600&lt;=0,0,(RD[[#This Row],[220kV_TL_TVM_Ex]]-AE259)*1600)</f>
        <v>0</v>
      </c>
      <c r="AL260" s="154" t="str">
        <f>IF((RD[[#This Row],[220kV_C&amp;R_PQM_Ex]]-AF259)*1000&lt;=0,"",(RD[[#This Row],[220kV_C&amp;R_PQM_Ex]]-AF259)*1000)</f>
        <v/>
      </c>
      <c r="AM260" s="154">
        <f>IF((RD[[#This Row],[33kV_Aux1_Im]]-AH259)*1000&lt;0,"",(RD[[#This Row],[33kV_Aux1_Im]]-AH259)*1000)</f>
        <v>0</v>
      </c>
      <c r="AN260" s="154">
        <f>IF((RD[[#This Row],[33kV_Aux1_Im]]-AH259)*1000&lt;0,"",(RD[[#This Row],[33kV_Aux1_Im]]-AH259)*1000)</f>
        <v>0</v>
      </c>
      <c r="AO260" s="61">
        <f>RD[[#This Row],[33kV_OG1_Energy (KWh)]]</f>
        <v>0</v>
      </c>
      <c r="AP260" s="61">
        <f>IFERROR(RD[[#This Row],[220kV_TL_TVM Energy (KWh)]]-RD[[#This Row],[220kV_C&amp;R_PQM_Imp (KWh)2]],"")</f>
        <v>0</v>
      </c>
      <c r="AQ260" s="63" t="str">
        <f>IFERROR(RD[[#This Row],[33 kV Total Export (KWH)]]/RD[[#This Row],[220 KV Net Export (KWh)]]-1,"")</f>
        <v/>
      </c>
      <c r="AR260" s="64">
        <f>IFERROR((RD[[#This Row],[Sunset Time (POA&lt;20 W/m2)]]-RD[[#This Row],[Sunrise Time (POA&gt;20 W/m2)]])*24,0)</f>
        <v>0</v>
      </c>
      <c r="AS260" s="65">
        <f>RD[[#This Row],[33kV_OG1_Energy (KWh)]]</f>
        <v>0</v>
      </c>
      <c r="AT260" s="65">
        <f>IFERROR(RD[[#This Row],[ Export (33 kV)]]*(1-RD[[#This Row],[33 kV Line Loss (%)]]),RD[[#This Row],[ Export (33 kV)]])</f>
        <v>0</v>
      </c>
      <c r="AU260" s="190"/>
      <c r="AV260" s="190"/>
      <c r="AW260" s="190"/>
      <c r="AX260" t="str">
        <f>IFERROR(RD[[#This Row],[E_AC (WPR)]]/RD[[#This Row],[E_DC (WPR)]],"")</f>
        <v/>
      </c>
    </row>
    <row r="261" spans="1:50">
      <c r="A261" s="148">
        <f t="shared" si="53"/>
        <v>46001</v>
      </c>
      <c r="B261" s="151">
        <f>YEAR(RD[[#This Row],[Date]])+IF(MONTH(RD[[#This Row],[Date]])&gt;=4,1,0)</f>
        <v>2026</v>
      </c>
      <c r="C261" s="151">
        <f>YEAR(RD[[#This Row],[Date]])</f>
        <v>2025</v>
      </c>
      <c r="D261" s="66">
        <f t="shared" si="52"/>
        <v>45992</v>
      </c>
      <c r="E261" s="151">
        <f>DAY(EOMONTH(RD[[#This Row],[Date]],0))</f>
        <v>31</v>
      </c>
      <c r="F261" s="172"/>
      <c r="G261" s="172"/>
      <c r="H261" s="138"/>
      <c r="I261" s="138"/>
      <c r="J261" s="138"/>
      <c r="K261" s="138"/>
      <c r="L261" s="138"/>
      <c r="M261" s="138"/>
      <c r="N261" s="138"/>
      <c r="O261" s="169"/>
      <c r="P261" s="169"/>
      <c r="Q261" s="72"/>
      <c r="R261" s="72"/>
      <c r="S261" s="72"/>
      <c r="T261" s="72"/>
      <c r="U261" s="72"/>
      <c r="V261" s="72"/>
      <c r="W261" s="72"/>
      <c r="X261" s="72"/>
      <c r="Y261" s="70">
        <f>SUM(RD[[#This Row],[IS1Inv1]:[IS3Inv1]])</f>
        <v>0</v>
      </c>
      <c r="Z261" s="70">
        <f>SUM(RD[[#This Row],[IS4Inv1]:[IS4Inv2]])</f>
        <v>0</v>
      </c>
      <c r="AA261" s="70">
        <f>SUM(RD[[#This Row],[O2RE7]:[O2RE27]])</f>
        <v>0</v>
      </c>
      <c r="AB261" s="150"/>
      <c r="AC261" s="150"/>
      <c r="AD261" s="150"/>
      <c r="AE261" s="150"/>
      <c r="AF261" s="150"/>
      <c r="AG261" s="150"/>
      <c r="AH261" s="150"/>
      <c r="AI261" s="157" t="str">
        <f>IF((RD[[#This Row],[33 kV_F1_Ex]]-AB260)*225000&lt;=0,"",(RD[[#This Row],[33 kV_F1_Ex]]-AB260)*225000)</f>
        <v/>
      </c>
      <c r="AJ261" s="154">
        <f>IF((RD[[#This Row],[33kV_OG1_Ex]]-AC260)*1000&lt;=0,0,(RD[[#This Row],[33kV_OG1_Ex]]-AC260)*1000)</f>
        <v>0</v>
      </c>
      <c r="AK261" s="154">
        <f>IF((RD[[#This Row],[220kV_TL_TVM_Ex]]-AE260)*1600&lt;=0,0,(RD[[#This Row],[220kV_TL_TVM_Ex]]-AE260)*1600)</f>
        <v>0</v>
      </c>
      <c r="AL261" s="154" t="str">
        <f>IF((RD[[#This Row],[220kV_C&amp;R_PQM_Ex]]-AF260)*1000&lt;=0,"",(RD[[#This Row],[220kV_C&amp;R_PQM_Ex]]-AF260)*1000)</f>
        <v/>
      </c>
      <c r="AM261" s="154">
        <f>IF((RD[[#This Row],[33kV_Aux1_Im]]-AH260)*1000&lt;0,"",(RD[[#This Row],[33kV_Aux1_Im]]-AH260)*1000)</f>
        <v>0</v>
      </c>
      <c r="AN261" s="154">
        <f>IF((RD[[#This Row],[33kV_Aux1_Im]]-AH260)*1000&lt;0,"",(RD[[#This Row],[33kV_Aux1_Im]]-AH260)*1000)</f>
        <v>0</v>
      </c>
      <c r="AO261" s="61">
        <f>RD[[#This Row],[33kV_OG1_Energy (KWh)]]</f>
        <v>0</v>
      </c>
      <c r="AP261" s="61">
        <f>IFERROR(RD[[#This Row],[220kV_TL_TVM Energy (KWh)]]-RD[[#This Row],[220kV_C&amp;R_PQM_Imp (KWh)2]],"")</f>
        <v>0</v>
      </c>
      <c r="AQ261" s="63" t="str">
        <f>IFERROR(RD[[#This Row],[33 kV Total Export (KWH)]]/RD[[#This Row],[220 KV Net Export (KWh)]]-1,"")</f>
        <v/>
      </c>
      <c r="AR261" s="64">
        <f>IFERROR((RD[[#This Row],[Sunset Time (POA&lt;20 W/m2)]]-RD[[#This Row],[Sunrise Time (POA&gt;20 W/m2)]])*24,0)</f>
        <v>0</v>
      </c>
      <c r="AS261" s="65">
        <f>RD[[#This Row],[33kV_OG1_Energy (KWh)]]</f>
        <v>0</v>
      </c>
      <c r="AT261" s="65">
        <f>IFERROR(RD[[#This Row],[ Export (33 kV)]]*(1-RD[[#This Row],[33 kV Line Loss (%)]]),RD[[#This Row],[ Export (33 kV)]])</f>
        <v>0</v>
      </c>
      <c r="AU261" s="190"/>
      <c r="AV261" s="190"/>
      <c r="AW261" s="190"/>
      <c r="AX261" t="str">
        <f>IFERROR(RD[[#This Row],[E_AC (WPR)]]/RD[[#This Row],[E_DC (WPR)]],"")</f>
        <v/>
      </c>
    </row>
    <row r="262" spans="1:50">
      <c r="A262" s="148">
        <f t="shared" si="53"/>
        <v>46002</v>
      </c>
      <c r="B262" s="151">
        <f>YEAR(RD[[#This Row],[Date]])+IF(MONTH(RD[[#This Row],[Date]])&gt;=4,1,0)</f>
        <v>2026</v>
      </c>
      <c r="C262" s="151">
        <f>YEAR(RD[[#This Row],[Date]])</f>
        <v>2025</v>
      </c>
      <c r="D262" s="66">
        <f t="shared" si="52"/>
        <v>45992</v>
      </c>
      <c r="E262" s="151">
        <f>DAY(EOMONTH(RD[[#This Row],[Date]],0))</f>
        <v>31</v>
      </c>
      <c r="F262" s="172"/>
      <c r="G262" s="172"/>
      <c r="H262" s="138"/>
      <c r="I262" s="138"/>
      <c r="J262" s="138"/>
      <c r="K262" s="138"/>
      <c r="L262" s="138"/>
      <c r="M262" s="138"/>
      <c r="N262" s="138"/>
      <c r="O262" s="169"/>
      <c r="P262" s="169"/>
      <c r="Q262" s="72"/>
      <c r="R262" s="72"/>
      <c r="S262" s="72"/>
      <c r="T262" s="72"/>
      <c r="U262" s="72"/>
      <c r="V262" s="72"/>
      <c r="W262" s="72"/>
      <c r="X262" s="72"/>
      <c r="Y262" s="70">
        <f>SUM(RD[[#This Row],[IS1Inv1]:[IS3Inv1]])</f>
        <v>0</v>
      </c>
      <c r="Z262" s="70">
        <f>SUM(RD[[#This Row],[IS4Inv1]:[IS4Inv2]])</f>
        <v>0</v>
      </c>
      <c r="AA262" s="70">
        <f>SUM(RD[[#This Row],[O2RE7]:[O2RE27]])</f>
        <v>0</v>
      </c>
      <c r="AB262" s="150"/>
      <c r="AC262" s="150"/>
      <c r="AD262" s="150"/>
      <c r="AE262" s="150"/>
      <c r="AF262" s="150"/>
      <c r="AG262" s="150"/>
      <c r="AH262" s="150"/>
      <c r="AI262" s="157" t="str">
        <f>IF((RD[[#This Row],[33 kV_F1_Ex]]-AB261)*225000&lt;=0,"",(RD[[#This Row],[33 kV_F1_Ex]]-AB261)*225000)</f>
        <v/>
      </c>
      <c r="AJ262" s="154">
        <f>IF((RD[[#This Row],[33kV_OG1_Ex]]-AC261)*1000&lt;=0,0,(RD[[#This Row],[33kV_OG1_Ex]]-AC261)*1000)</f>
        <v>0</v>
      </c>
      <c r="AK262" s="154">
        <f>IF((RD[[#This Row],[220kV_TL_TVM_Ex]]-AE261)*1600&lt;=0,0,(RD[[#This Row],[220kV_TL_TVM_Ex]]-AE261)*1600)</f>
        <v>0</v>
      </c>
      <c r="AL262" s="154" t="str">
        <f>IF((RD[[#This Row],[220kV_C&amp;R_PQM_Ex]]-AF261)*1000&lt;=0,"",(RD[[#This Row],[220kV_C&amp;R_PQM_Ex]]-AF261)*1000)</f>
        <v/>
      </c>
      <c r="AM262" s="154">
        <f>IF((RD[[#This Row],[33kV_Aux1_Im]]-AH261)*1000&lt;0,"",(RD[[#This Row],[33kV_Aux1_Im]]-AH261)*1000)</f>
        <v>0</v>
      </c>
      <c r="AN262" s="154">
        <f>IF((RD[[#This Row],[33kV_Aux1_Im]]-AH261)*1000&lt;0,"",(RD[[#This Row],[33kV_Aux1_Im]]-AH261)*1000)</f>
        <v>0</v>
      </c>
      <c r="AO262" s="61">
        <f>RD[[#This Row],[33kV_OG1_Energy (KWh)]]</f>
        <v>0</v>
      </c>
      <c r="AP262" s="61">
        <f>IFERROR(RD[[#This Row],[220kV_TL_TVM Energy (KWh)]]-RD[[#This Row],[220kV_C&amp;R_PQM_Imp (KWh)2]],"")</f>
        <v>0</v>
      </c>
      <c r="AQ262" s="63" t="str">
        <f>IFERROR(RD[[#This Row],[33 kV Total Export (KWH)]]/RD[[#This Row],[220 KV Net Export (KWh)]]-1,"")</f>
        <v/>
      </c>
      <c r="AR262" s="64">
        <f>IFERROR((RD[[#This Row],[Sunset Time (POA&lt;20 W/m2)]]-RD[[#This Row],[Sunrise Time (POA&gt;20 W/m2)]])*24,0)</f>
        <v>0</v>
      </c>
      <c r="AS262" s="65">
        <f>RD[[#This Row],[33kV_OG1_Energy (KWh)]]</f>
        <v>0</v>
      </c>
      <c r="AT262" s="65">
        <f>IFERROR(RD[[#This Row],[ Export (33 kV)]]*(1-RD[[#This Row],[33 kV Line Loss (%)]]),RD[[#This Row],[ Export (33 kV)]])</f>
        <v>0</v>
      </c>
      <c r="AU262" s="190"/>
      <c r="AV262" s="190"/>
      <c r="AW262" s="190"/>
      <c r="AX262" t="str">
        <f>IFERROR(RD[[#This Row],[E_AC (WPR)]]/RD[[#This Row],[E_DC (WPR)]],"")</f>
        <v/>
      </c>
    </row>
    <row r="263" spans="1:50">
      <c r="A263" s="148">
        <f t="shared" si="53"/>
        <v>46003</v>
      </c>
      <c r="B263" s="151">
        <f>YEAR(RD[[#This Row],[Date]])+IF(MONTH(RD[[#This Row],[Date]])&gt;=4,1,0)</f>
        <v>2026</v>
      </c>
      <c r="C263" s="151">
        <f>YEAR(RD[[#This Row],[Date]])</f>
        <v>2025</v>
      </c>
      <c r="D263" s="66">
        <f t="shared" si="52"/>
        <v>45992</v>
      </c>
      <c r="E263" s="151">
        <f>DAY(EOMONTH(RD[[#This Row],[Date]],0))</f>
        <v>31</v>
      </c>
      <c r="F263" s="172"/>
      <c r="G263" s="172"/>
      <c r="H263" s="138"/>
      <c r="I263" s="138"/>
      <c r="J263" s="138"/>
      <c r="K263" s="138"/>
      <c r="L263" s="138"/>
      <c r="M263" s="138"/>
      <c r="N263" s="138"/>
      <c r="O263" s="169"/>
      <c r="P263" s="169"/>
      <c r="Q263" s="72"/>
      <c r="R263" s="72"/>
      <c r="S263" s="72"/>
      <c r="T263" s="72"/>
      <c r="U263" s="72"/>
      <c r="V263" s="72"/>
      <c r="W263" s="72"/>
      <c r="X263" s="72"/>
      <c r="Y263" s="70">
        <f>SUM(RD[[#This Row],[IS1Inv1]:[IS3Inv1]])</f>
        <v>0</v>
      </c>
      <c r="Z263" s="70">
        <f>SUM(RD[[#This Row],[IS4Inv1]:[IS4Inv2]])</f>
        <v>0</v>
      </c>
      <c r="AA263" s="70">
        <f>SUM(RD[[#This Row],[O2RE7]:[O2RE27]])</f>
        <v>0</v>
      </c>
      <c r="AB263" s="150"/>
      <c r="AC263" s="150"/>
      <c r="AD263" s="150"/>
      <c r="AE263" s="150"/>
      <c r="AF263" s="150"/>
      <c r="AG263" s="150"/>
      <c r="AH263" s="150"/>
      <c r="AI263" s="157" t="str">
        <f>IF((RD[[#This Row],[33 kV_F1_Ex]]-AB262)*225000&lt;=0,"",(RD[[#This Row],[33 kV_F1_Ex]]-AB262)*225000)</f>
        <v/>
      </c>
      <c r="AJ263" s="154">
        <f>IF((RD[[#This Row],[33kV_OG1_Ex]]-AC262)*1000&lt;=0,0,(RD[[#This Row],[33kV_OG1_Ex]]-AC262)*1000)</f>
        <v>0</v>
      </c>
      <c r="AK263" s="154">
        <f>IF((RD[[#This Row],[220kV_TL_TVM_Ex]]-AE262)*1600&lt;=0,0,(RD[[#This Row],[220kV_TL_TVM_Ex]]-AE262)*1600)</f>
        <v>0</v>
      </c>
      <c r="AL263" s="154" t="str">
        <f>IF((RD[[#This Row],[220kV_C&amp;R_PQM_Ex]]-AF262)*1000&lt;=0,"",(RD[[#This Row],[220kV_C&amp;R_PQM_Ex]]-AF262)*1000)</f>
        <v/>
      </c>
      <c r="AM263" s="154">
        <f>IF((RD[[#This Row],[33kV_Aux1_Im]]-AH262)*1000&lt;0,"",(RD[[#This Row],[33kV_Aux1_Im]]-AH262)*1000)</f>
        <v>0</v>
      </c>
      <c r="AN263" s="154">
        <f>IF((RD[[#This Row],[33kV_Aux1_Im]]-AH262)*1000&lt;0,"",(RD[[#This Row],[33kV_Aux1_Im]]-AH262)*1000)</f>
        <v>0</v>
      </c>
      <c r="AO263" s="61">
        <f>RD[[#This Row],[33kV_OG1_Energy (KWh)]]</f>
        <v>0</v>
      </c>
      <c r="AP263" s="61">
        <f>IFERROR(RD[[#This Row],[220kV_TL_TVM Energy (KWh)]]-RD[[#This Row],[220kV_C&amp;R_PQM_Imp (KWh)2]],"")</f>
        <v>0</v>
      </c>
      <c r="AQ263" s="63" t="str">
        <f>IFERROR(RD[[#This Row],[33 kV Total Export (KWH)]]/RD[[#This Row],[220 KV Net Export (KWh)]]-1,"")</f>
        <v/>
      </c>
      <c r="AR263" s="64">
        <f>IFERROR((RD[[#This Row],[Sunset Time (POA&lt;20 W/m2)]]-RD[[#This Row],[Sunrise Time (POA&gt;20 W/m2)]])*24,0)</f>
        <v>0</v>
      </c>
      <c r="AS263" s="65">
        <f>RD[[#This Row],[33kV_OG1_Energy (KWh)]]</f>
        <v>0</v>
      </c>
      <c r="AT263" s="65">
        <f>IFERROR(RD[[#This Row],[ Export (33 kV)]]*(1-RD[[#This Row],[33 kV Line Loss (%)]]),RD[[#This Row],[ Export (33 kV)]])</f>
        <v>0</v>
      </c>
      <c r="AU263" s="190"/>
      <c r="AV263" s="190"/>
      <c r="AW263" s="190"/>
      <c r="AX263" t="str">
        <f>IFERROR(RD[[#This Row],[E_AC (WPR)]]/RD[[#This Row],[E_DC (WPR)]],"")</f>
        <v/>
      </c>
    </row>
    <row r="264" spans="1:50">
      <c r="A264" s="148">
        <f t="shared" si="53"/>
        <v>46004</v>
      </c>
      <c r="B264" s="151">
        <f>YEAR(RD[[#This Row],[Date]])+IF(MONTH(RD[[#This Row],[Date]])&gt;=4,1,0)</f>
        <v>2026</v>
      </c>
      <c r="C264" s="151">
        <f>YEAR(RD[[#This Row],[Date]])</f>
        <v>2025</v>
      </c>
      <c r="D264" s="66">
        <f t="shared" si="52"/>
        <v>45992</v>
      </c>
      <c r="E264" s="151">
        <f>DAY(EOMONTH(RD[[#This Row],[Date]],0))</f>
        <v>31</v>
      </c>
      <c r="F264" s="172"/>
      <c r="G264" s="172"/>
      <c r="H264" s="138"/>
      <c r="I264" s="138"/>
      <c r="J264" s="138"/>
      <c r="K264" s="138"/>
      <c r="L264" s="138"/>
      <c r="M264" s="138"/>
      <c r="N264" s="138"/>
      <c r="O264" s="169"/>
      <c r="P264" s="169"/>
      <c r="Q264" s="72"/>
      <c r="R264" s="72"/>
      <c r="S264" s="72"/>
      <c r="T264" s="72"/>
      <c r="U264" s="72"/>
      <c r="V264" s="72"/>
      <c r="W264" s="72"/>
      <c r="X264" s="72"/>
      <c r="Y264" s="70">
        <f>SUM(RD[[#This Row],[IS1Inv1]:[IS3Inv1]])</f>
        <v>0</v>
      </c>
      <c r="Z264" s="70">
        <f>SUM(RD[[#This Row],[IS4Inv1]:[IS4Inv2]])</f>
        <v>0</v>
      </c>
      <c r="AA264" s="70">
        <f>SUM(RD[[#This Row],[O2RE7]:[O2RE27]])</f>
        <v>0</v>
      </c>
      <c r="AB264" s="150"/>
      <c r="AC264" s="150"/>
      <c r="AD264" s="150"/>
      <c r="AE264" s="150"/>
      <c r="AF264" s="150"/>
      <c r="AG264" s="150"/>
      <c r="AH264" s="150"/>
      <c r="AI264" s="157" t="str">
        <f>IF((RD[[#This Row],[33 kV_F1_Ex]]-AB263)*225000&lt;=0,"",(RD[[#This Row],[33 kV_F1_Ex]]-AB263)*225000)</f>
        <v/>
      </c>
      <c r="AJ264" s="154">
        <f>IF((RD[[#This Row],[33kV_OG1_Ex]]-AC263)*1000&lt;=0,0,(RD[[#This Row],[33kV_OG1_Ex]]-AC263)*1000)</f>
        <v>0</v>
      </c>
      <c r="AK264" s="154">
        <f>IF((RD[[#This Row],[220kV_TL_TVM_Ex]]-AE263)*1600&lt;=0,0,(RD[[#This Row],[220kV_TL_TVM_Ex]]-AE263)*1600)</f>
        <v>0</v>
      </c>
      <c r="AL264" s="154" t="str">
        <f>IF((RD[[#This Row],[220kV_C&amp;R_PQM_Ex]]-AF263)*1000&lt;=0,"",(RD[[#This Row],[220kV_C&amp;R_PQM_Ex]]-AF263)*1000)</f>
        <v/>
      </c>
      <c r="AM264" s="154">
        <f>IF((RD[[#This Row],[33kV_Aux1_Im]]-AH263)*1000&lt;0,"",(RD[[#This Row],[33kV_Aux1_Im]]-AH263)*1000)</f>
        <v>0</v>
      </c>
      <c r="AN264" s="154">
        <f>IF((RD[[#This Row],[33kV_Aux1_Im]]-AH263)*1000&lt;0,"",(RD[[#This Row],[33kV_Aux1_Im]]-AH263)*1000)</f>
        <v>0</v>
      </c>
      <c r="AO264" s="61">
        <f>RD[[#This Row],[33kV_OG1_Energy (KWh)]]</f>
        <v>0</v>
      </c>
      <c r="AP264" s="61">
        <f>IFERROR(RD[[#This Row],[220kV_TL_TVM Energy (KWh)]]-RD[[#This Row],[220kV_C&amp;R_PQM_Imp (KWh)2]],"")</f>
        <v>0</v>
      </c>
      <c r="AQ264" s="63" t="str">
        <f>IFERROR(RD[[#This Row],[33 kV Total Export (KWH)]]/RD[[#This Row],[220 KV Net Export (KWh)]]-1,"")</f>
        <v/>
      </c>
      <c r="AR264" s="64">
        <f>IFERROR((RD[[#This Row],[Sunset Time (POA&lt;20 W/m2)]]-RD[[#This Row],[Sunrise Time (POA&gt;20 W/m2)]])*24,0)</f>
        <v>0</v>
      </c>
      <c r="AS264" s="65">
        <f>RD[[#This Row],[33kV_OG1_Energy (KWh)]]</f>
        <v>0</v>
      </c>
      <c r="AT264" s="65">
        <f>IFERROR(RD[[#This Row],[ Export (33 kV)]]*(1-RD[[#This Row],[33 kV Line Loss (%)]]),RD[[#This Row],[ Export (33 kV)]])</f>
        <v>0</v>
      </c>
      <c r="AU264" s="190"/>
      <c r="AV264" s="190"/>
      <c r="AW264" s="190"/>
      <c r="AX264" t="str">
        <f>IFERROR(RD[[#This Row],[E_AC (WPR)]]/RD[[#This Row],[E_DC (WPR)]],"")</f>
        <v/>
      </c>
    </row>
    <row r="265" spans="1:50">
      <c r="A265" s="148">
        <f t="shared" si="53"/>
        <v>46005</v>
      </c>
      <c r="B265" s="151">
        <f>YEAR(RD[[#This Row],[Date]])+IF(MONTH(RD[[#This Row],[Date]])&gt;=4,1,0)</f>
        <v>2026</v>
      </c>
      <c r="C265" s="151">
        <f>YEAR(RD[[#This Row],[Date]])</f>
        <v>2025</v>
      </c>
      <c r="D265" s="66">
        <f t="shared" si="52"/>
        <v>45992</v>
      </c>
      <c r="E265" s="151">
        <f>DAY(EOMONTH(RD[[#This Row],[Date]],0))</f>
        <v>31</v>
      </c>
      <c r="F265" s="172"/>
      <c r="G265" s="172"/>
      <c r="H265" s="138"/>
      <c r="I265" s="138"/>
      <c r="J265" s="138"/>
      <c r="K265" s="138"/>
      <c r="L265" s="138"/>
      <c r="M265" s="138"/>
      <c r="N265" s="138"/>
      <c r="O265" s="169"/>
      <c r="P265" s="169"/>
      <c r="Q265" s="72"/>
      <c r="R265" s="72"/>
      <c r="S265" s="72"/>
      <c r="T265" s="72"/>
      <c r="U265" s="72"/>
      <c r="V265" s="72"/>
      <c r="W265" s="72"/>
      <c r="X265" s="72"/>
      <c r="Y265" s="70">
        <f>SUM(RD[[#This Row],[IS1Inv1]:[IS3Inv1]])</f>
        <v>0</v>
      </c>
      <c r="Z265" s="70">
        <f>SUM(RD[[#This Row],[IS4Inv1]:[IS4Inv2]])</f>
        <v>0</v>
      </c>
      <c r="AA265" s="70">
        <f>SUM(RD[[#This Row],[O2RE7]:[O2RE27]])</f>
        <v>0</v>
      </c>
      <c r="AB265" s="150"/>
      <c r="AC265" s="150"/>
      <c r="AD265" s="150"/>
      <c r="AE265" s="150"/>
      <c r="AF265" s="150"/>
      <c r="AG265" s="150"/>
      <c r="AH265" s="150"/>
      <c r="AI265" s="157" t="str">
        <f>IF((RD[[#This Row],[33 kV_F1_Ex]]-AB264)*225000&lt;=0,"",(RD[[#This Row],[33 kV_F1_Ex]]-AB264)*225000)</f>
        <v/>
      </c>
      <c r="AJ265" s="154">
        <f>IF((RD[[#This Row],[33kV_OG1_Ex]]-AC264)*1000&lt;=0,0,(RD[[#This Row],[33kV_OG1_Ex]]-AC264)*1000)</f>
        <v>0</v>
      </c>
      <c r="AK265" s="154">
        <f>IF((RD[[#This Row],[220kV_TL_TVM_Ex]]-AE264)*1600&lt;=0,0,(RD[[#This Row],[220kV_TL_TVM_Ex]]-AE264)*1600)</f>
        <v>0</v>
      </c>
      <c r="AL265" s="154" t="str">
        <f>IF((RD[[#This Row],[220kV_C&amp;R_PQM_Ex]]-AF264)*1000&lt;=0,"",(RD[[#This Row],[220kV_C&amp;R_PQM_Ex]]-AF264)*1000)</f>
        <v/>
      </c>
      <c r="AM265" s="154">
        <f>IF((RD[[#This Row],[33kV_Aux1_Im]]-AH264)*1000&lt;0,"",(RD[[#This Row],[33kV_Aux1_Im]]-AH264)*1000)</f>
        <v>0</v>
      </c>
      <c r="AN265" s="154">
        <f>IF((RD[[#This Row],[33kV_Aux1_Im]]-AH264)*1000&lt;0,"",(RD[[#This Row],[33kV_Aux1_Im]]-AH264)*1000)</f>
        <v>0</v>
      </c>
      <c r="AO265" s="61">
        <f>RD[[#This Row],[33kV_OG1_Energy (KWh)]]</f>
        <v>0</v>
      </c>
      <c r="AP265" s="61">
        <f>IFERROR(RD[[#This Row],[220kV_TL_TVM Energy (KWh)]]-RD[[#This Row],[220kV_C&amp;R_PQM_Imp (KWh)2]],"")</f>
        <v>0</v>
      </c>
      <c r="AQ265" s="63" t="str">
        <f>IFERROR(RD[[#This Row],[33 kV Total Export (KWH)]]/RD[[#This Row],[220 KV Net Export (KWh)]]-1,"")</f>
        <v/>
      </c>
      <c r="AR265" s="64">
        <f>IFERROR((RD[[#This Row],[Sunset Time (POA&lt;20 W/m2)]]-RD[[#This Row],[Sunrise Time (POA&gt;20 W/m2)]])*24,0)</f>
        <v>0</v>
      </c>
      <c r="AS265" s="65">
        <f>RD[[#This Row],[33kV_OG1_Energy (KWh)]]</f>
        <v>0</v>
      </c>
      <c r="AT265" s="65">
        <f>IFERROR(RD[[#This Row],[ Export (33 kV)]]*(1-RD[[#This Row],[33 kV Line Loss (%)]]),RD[[#This Row],[ Export (33 kV)]])</f>
        <v>0</v>
      </c>
      <c r="AU265" s="190"/>
      <c r="AV265" s="190"/>
      <c r="AW265" s="190"/>
      <c r="AX265" t="str">
        <f>IFERROR(RD[[#This Row],[E_AC (WPR)]]/RD[[#This Row],[E_DC (WPR)]],"")</f>
        <v/>
      </c>
    </row>
    <row r="266" spans="1:50">
      <c r="A266" s="148">
        <f t="shared" si="53"/>
        <v>46006</v>
      </c>
      <c r="B266" s="151">
        <f>YEAR(RD[[#This Row],[Date]])+IF(MONTH(RD[[#This Row],[Date]])&gt;=4,1,0)</f>
        <v>2026</v>
      </c>
      <c r="C266" s="151">
        <f>YEAR(RD[[#This Row],[Date]])</f>
        <v>2025</v>
      </c>
      <c r="D266" s="66">
        <f t="shared" si="52"/>
        <v>45992</v>
      </c>
      <c r="E266" s="151">
        <f>DAY(EOMONTH(RD[[#This Row],[Date]],0))</f>
        <v>31</v>
      </c>
      <c r="F266" s="172"/>
      <c r="G266" s="172"/>
      <c r="H266" s="138"/>
      <c r="I266" s="138"/>
      <c r="J266" s="138"/>
      <c r="K266" s="138"/>
      <c r="L266" s="138"/>
      <c r="M266" s="138"/>
      <c r="N266" s="138"/>
      <c r="O266" s="169"/>
      <c r="P266" s="169"/>
      <c r="Q266" s="72"/>
      <c r="R266" s="72"/>
      <c r="S266" s="72"/>
      <c r="T266" s="72"/>
      <c r="U266" s="72"/>
      <c r="V266" s="72"/>
      <c r="W266" s="72"/>
      <c r="X266" s="72"/>
      <c r="Y266" s="70">
        <f>SUM(RD[[#This Row],[IS1Inv1]:[IS3Inv1]])</f>
        <v>0</v>
      </c>
      <c r="Z266" s="70">
        <f>SUM(RD[[#This Row],[IS4Inv1]:[IS4Inv2]])</f>
        <v>0</v>
      </c>
      <c r="AA266" s="70">
        <f>SUM(RD[[#This Row],[O2RE7]:[O2RE27]])</f>
        <v>0</v>
      </c>
      <c r="AB266" s="150"/>
      <c r="AC266" s="150"/>
      <c r="AD266" s="150"/>
      <c r="AE266" s="150"/>
      <c r="AF266" s="150"/>
      <c r="AG266" s="150"/>
      <c r="AH266" s="150"/>
      <c r="AI266" s="157" t="str">
        <f>IF((RD[[#This Row],[33 kV_F1_Ex]]-AB265)*225000&lt;=0,"",(RD[[#This Row],[33 kV_F1_Ex]]-AB265)*225000)</f>
        <v/>
      </c>
      <c r="AJ266" s="154">
        <f>IF((RD[[#This Row],[33kV_OG1_Ex]]-AC265)*1000&lt;=0,0,(RD[[#This Row],[33kV_OG1_Ex]]-AC265)*1000)</f>
        <v>0</v>
      </c>
      <c r="AK266" s="154">
        <f>IF((RD[[#This Row],[220kV_TL_TVM_Ex]]-AE265)*1600&lt;=0,0,(RD[[#This Row],[220kV_TL_TVM_Ex]]-AE265)*1600)</f>
        <v>0</v>
      </c>
      <c r="AL266" s="154" t="str">
        <f>IF((RD[[#This Row],[220kV_C&amp;R_PQM_Ex]]-AF265)*1000&lt;=0,"",(RD[[#This Row],[220kV_C&amp;R_PQM_Ex]]-AF265)*1000)</f>
        <v/>
      </c>
      <c r="AM266" s="154">
        <f>IF((RD[[#This Row],[33kV_Aux1_Im]]-AH265)*1000&lt;0,"",(RD[[#This Row],[33kV_Aux1_Im]]-AH265)*1000)</f>
        <v>0</v>
      </c>
      <c r="AN266" s="154">
        <f>IF((RD[[#This Row],[33kV_Aux1_Im]]-AH265)*1000&lt;0,"",(RD[[#This Row],[33kV_Aux1_Im]]-AH265)*1000)</f>
        <v>0</v>
      </c>
      <c r="AO266" s="61">
        <f>RD[[#This Row],[33kV_OG1_Energy (KWh)]]</f>
        <v>0</v>
      </c>
      <c r="AP266" s="61">
        <f>IFERROR(RD[[#This Row],[220kV_TL_TVM Energy (KWh)]]-RD[[#This Row],[220kV_C&amp;R_PQM_Imp (KWh)2]],"")</f>
        <v>0</v>
      </c>
      <c r="AQ266" s="63" t="str">
        <f>IFERROR(RD[[#This Row],[33 kV Total Export (KWH)]]/RD[[#This Row],[220 KV Net Export (KWh)]]-1,"")</f>
        <v/>
      </c>
      <c r="AR266" s="64">
        <f>IFERROR((RD[[#This Row],[Sunset Time (POA&lt;20 W/m2)]]-RD[[#This Row],[Sunrise Time (POA&gt;20 W/m2)]])*24,0)</f>
        <v>0</v>
      </c>
      <c r="AS266" s="65">
        <f>RD[[#This Row],[33kV_OG1_Energy (KWh)]]</f>
        <v>0</v>
      </c>
      <c r="AT266" s="65">
        <f>IFERROR(RD[[#This Row],[ Export (33 kV)]]*(1-RD[[#This Row],[33 kV Line Loss (%)]]),RD[[#This Row],[ Export (33 kV)]])</f>
        <v>0</v>
      </c>
      <c r="AU266" s="190"/>
      <c r="AV266" s="190"/>
      <c r="AW266" s="190"/>
      <c r="AX266" t="str">
        <f>IFERROR(RD[[#This Row],[E_AC (WPR)]]/RD[[#This Row],[E_DC (WPR)]],"")</f>
        <v/>
      </c>
    </row>
    <row r="267" spans="1:50">
      <c r="A267" s="148">
        <f t="shared" si="53"/>
        <v>46007</v>
      </c>
      <c r="B267" s="151">
        <f>YEAR(RD[[#This Row],[Date]])+IF(MONTH(RD[[#This Row],[Date]])&gt;=4,1,0)</f>
        <v>2026</v>
      </c>
      <c r="C267" s="151">
        <f>YEAR(RD[[#This Row],[Date]])</f>
        <v>2025</v>
      </c>
      <c r="D267" s="66">
        <f t="shared" si="52"/>
        <v>45992</v>
      </c>
      <c r="E267" s="151">
        <f>DAY(EOMONTH(RD[[#This Row],[Date]],0))</f>
        <v>31</v>
      </c>
      <c r="F267" s="172"/>
      <c r="G267" s="172"/>
      <c r="H267" s="138"/>
      <c r="I267" s="138"/>
      <c r="J267" s="138"/>
      <c r="K267" s="138"/>
      <c r="L267" s="138"/>
      <c r="M267" s="138"/>
      <c r="N267" s="138"/>
      <c r="O267" s="169"/>
      <c r="P267" s="169"/>
      <c r="Q267" s="72"/>
      <c r="R267" s="72"/>
      <c r="S267" s="72"/>
      <c r="T267" s="72"/>
      <c r="U267" s="72"/>
      <c r="V267" s="72"/>
      <c r="W267" s="72"/>
      <c r="X267" s="72"/>
      <c r="Y267" s="70">
        <f>SUM(RD[[#This Row],[IS1Inv1]:[IS3Inv1]])</f>
        <v>0</v>
      </c>
      <c r="Z267" s="70">
        <f>SUM(RD[[#This Row],[IS4Inv1]:[IS4Inv2]])</f>
        <v>0</v>
      </c>
      <c r="AA267" s="70">
        <f>SUM(RD[[#This Row],[O2RE7]:[O2RE27]])</f>
        <v>0</v>
      </c>
      <c r="AB267" s="150"/>
      <c r="AC267" s="150"/>
      <c r="AD267" s="150"/>
      <c r="AE267" s="150"/>
      <c r="AF267" s="150"/>
      <c r="AG267" s="150"/>
      <c r="AH267" s="150"/>
      <c r="AI267" s="157" t="str">
        <f>IF((RD[[#This Row],[33 kV_F1_Ex]]-AB266)*225000&lt;=0,"",(RD[[#This Row],[33 kV_F1_Ex]]-AB266)*225000)</f>
        <v/>
      </c>
      <c r="AJ267" s="154">
        <f>IF((RD[[#This Row],[33kV_OG1_Ex]]-AC266)*1000&lt;=0,0,(RD[[#This Row],[33kV_OG1_Ex]]-AC266)*1000)</f>
        <v>0</v>
      </c>
      <c r="AK267" s="154">
        <f>IF((RD[[#This Row],[220kV_TL_TVM_Ex]]-AE266)*1600&lt;=0,0,(RD[[#This Row],[220kV_TL_TVM_Ex]]-AE266)*1600)</f>
        <v>0</v>
      </c>
      <c r="AL267" s="154" t="str">
        <f>IF((RD[[#This Row],[220kV_C&amp;R_PQM_Ex]]-AF266)*1000&lt;=0,"",(RD[[#This Row],[220kV_C&amp;R_PQM_Ex]]-AF266)*1000)</f>
        <v/>
      </c>
      <c r="AM267" s="154">
        <f>IF((RD[[#This Row],[33kV_Aux1_Im]]-AH266)*1000&lt;0,"",(RD[[#This Row],[33kV_Aux1_Im]]-AH266)*1000)</f>
        <v>0</v>
      </c>
      <c r="AN267" s="154">
        <f>IF((RD[[#This Row],[33kV_Aux1_Im]]-AH266)*1000&lt;0,"",(RD[[#This Row],[33kV_Aux1_Im]]-AH266)*1000)</f>
        <v>0</v>
      </c>
      <c r="AO267" s="61">
        <f>RD[[#This Row],[33kV_OG1_Energy (KWh)]]</f>
        <v>0</v>
      </c>
      <c r="AP267" s="61">
        <f>IFERROR(RD[[#This Row],[220kV_TL_TVM Energy (KWh)]]-RD[[#This Row],[220kV_C&amp;R_PQM_Imp (KWh)2]],"")</f>
        <v>0</v>
      </c>
      <c r="AQ267" s="63" t="str">
        <f>IFERROR(RD[[#This Row],[33 kV Total Export (KWH)]]/RD[[#This Row],[220 KV Net Export (KWh)]]-1,"")</f>
        <v/>
      </c>
      <c r="AR267" s="64">
        <f>IFERROR((RD[[#This Row],[Sunset Time (POA&lt;20 W/m2)]]-RD[[#This Row],[Sunrise Time (POA&gt;20 W/m2)]])*24,0)</f>
        <v>0</v>
      </c>
      <c r="AS267" s="65">
        <f>RD[[#This Row],[33kV_OG1_Energy (KWh)]]</f>
        <v>0</v>
      </c>
      <c r="AT267" s="65">
        <f>IFERROR(RD[[#This Row],[ Export (33 kV)]]*(1-RD[[#This Row],[33 kV Line Loss (%)]]),RD[[#This Row],[ Export (33 kV)]])</f>
        <v>0</v>
      </c>
      <c r="AU267" s="190"/>
      <c r="AV267" s="190"/>
      <c r="AW267" s="190"/>
      <c r="AX267" t="str">
        <f>IFERROR(RD[[#This Row],[E_AC (WPR)]]/RD[[#This Row],[E_DC (WPR)]],"")</f>
        <v/>
      </c>
    </row>
    <row r="268" spans="1:50">
      <c r="A268" s="148">
        <f t="shared" si="53"/>
        <v>46008</v>
      </c>
      <c r="B268" s="151">
        <f>YEAR(RD[[#This Row],[Date]])+IF(MONTH(RD[[#This Row],[Date]])&gt;=4,1,0)</f>
        <v>2026</v>
      </c>
      <c r="C268" s="151">
        <f>YEAR(RD[[#This Row],[Date]])</f>
        <v>2025</v>
      </c>
      <c r="D268" s="66">
        <f t="shared" si="52"/>
        <v>45992</v>
      </c>
      <c r="E268" s="151">
        <f>DAY(EOMONTH(RD[[#This Row],[Date]],0))</f>
        <v>31</v>
      </c>
      <c r="F268" s="172"/>
      <c r="G268" s="172"/>
      <c r="H268" s="138"/>
      <c r="I268" s="138"/>
      <c r="J268" s="138"/>
      <c r="K268" s="138"/>
      <c r="L268" s="138"/>
      <c r="M268" s="138"/>
      <c r="N268" s="138"/>
      <c r="O268" s="169"/>
      <c r="P268" s="169"/>
      <c r="Q268" s="72"/>
      <c r="R268" s="72"/>
      <c r="S268" s="72"/>
      <c r="T268" s="72"/>
      <c r="U268" s="72"/>
      <c r="V268" s="72"/>
      <c r="W268" s="72"/>
      <c r="X268" s="72"/>
      <c r="Y268" s="70">
        <f>SUM(RD[[#This Row],[IS1Inv1]:[IS3Inv1]])</f>
        <v>0</v>
      </c>
      <c r="Z268" s="70">
        <f>SUM(RD[[#This Row],[IS4Inv1]:[IS4Inv2]])</f>
        <v>0</v>
      </c>
      <c r="AA268" s="70">
        <f>SUM(RD[[#This Row],[O2RE7]:[O2RE27]])</f>
        <v>0</v>
      </c>
      <c r="AB268" s="150"/>
      <c r="AC268" s="150"/>
      <c r="AD268" s="150"/>
      <c r="AE268" s="150"/>
      <c r="AF268" s="150"/>
      <c r="AG268" s="150"/>
      <c r="AH268" s="150"/>
      <c r="AI268" s="157" t="str">
        <f>IF((RD[[#This Row],[33 kV_F1_Ex]]-AB267)*225000&lt;=0,"",(RD[[#This Row],[33 kV_F1_Ex]]-AB267)*225000)</f>
        <v/>
      </c>
      <c r="AJ268" s="154">
        <f>IF((RD[[#This Row],[33kV_OG1_Ex]]-AC267)*1000&lt;=0,0,(RD[[#This Row],[33kV_OG1_Ex]]-AC267)*1000)</f>
        <v>0</v>
      </c>
      <c r="AK268" s="154">
        <f>IF((RD[[#This Row],[220kV_TL_TVM_Ex]]-AE267)*1600&lt;=0,0,(RD[[#This Row],[220kV_TL_TVM_Ex]]-AE267)*1600)</f>
        <v>0</v>
      </c>
      <c r="AL268" s="154" t="str">
        <f>IF((RD[[#This Row],[220kV_C&amp;R_PQM_Ex]]-AF267)*1000&lt;=0,"",(RD[[#This Row],[220kV_C&amp;R_PQM_Ex]]-AF267)*1000)</f>
        <v/>
      </c>
      <c r="AM268" s="154">
        <f>IF((RD[[#This Row],[33kV_Aux1_Im]]-AH267)*1000&lt;0,"",(RD[[#This Row],[33kV_Aux1_Im]]-AH267)*1000)</f>
        <v>0</v>
      </c>
      <c r="AN268" s="154">
        <f>IF((RD[[#This Row],[33kV_Aux1_Im]]-AH267)*1000&lt;0,"",(RD[[#This Row],[33kV_Aux1_Im]]-AH267)*1000)</f>
        <v>0</v>
      </c>
      <c r="AO268" s="61">
        <f>RD[[#This Row],[33kV_OG1_Energy (KWh)]]</f>
        <v>0</v>
      </c>
      <c r="AP268" s="61">
        <f>IFERROR(RD[[#This Row],[220kV_TL_TVM Energy (KWh)]]-RD[[#This Row],[220kV_C&amp;R_PQM_Imp (KWh)2]],"")</f>
        <v>0</v>
      </c>
      <c r="AQ268" s="63" t="str">
        <f>IFERROR(RD[[#This Row],[33 kV Total Export (KWH)]]/RD[[#This Row],[220 KV Net Export (KWh)]]-1,"")</f>
        <v/>
      </c>
      <c r="AR268" s="64">
        <f>IFERROR((RD[[#This Row],[Sunset Time (POA&lt;20 W/m2)]]-RD[[#This Row],[Sunrise Time (POA&gt;20 W/m2)]])*24,0)</f>
        <v>0</v>
      </c>
      <c r="AS268" s="65">
        <f>RD[[#This Row],[33kV_OG1_Energy (KWh)]]</f>
        <v>0</v>
      </c>
      <c r="AT268" s="65">
        <f>IFERROR(RD[[#This Row],[ Export (33 kV)]]*(1-RD[[#This Row],[33 kV Line Loss (%)]]),RD[[#This Row],[ Export (33 kV)]])</f>
        <v>0</v>
      </c>
      <c r="AU268" s="190"/>
      <c r="AV268" s="190"/>
      <c r="AW268" s="190"/>
      <c r="AX268" t="str">
        <f>IFERROR(RD[[#This Row],[E_AC (WPR)]]/RD[[#This Row],[E_DC (WPR)]],"")</f>
        <v/>
      </c>
    </row>
    <row r="269" spans="1:50">
      <c r="A269" s="148">
        <f t="shared" si="53"/>
        <v>46009</v>
      </c>
      <c r="B269" s="151">
        <f>YEAR(RD[[#This Row],[Date]])+IF(MONTH(RD[[#This Row],[Date]])&gt;=4,1,0)</f>
        <v>2026</v>
      </c>
      <c r="C269" s="151">
        <f>YEAR(RD[[#This Row],[Date]])</f>
        <v>2025</v>
      </c>
      <c r="D269" s="66">
        <f t="shared" ref="D269:D282" si="54">A269-DAY(A269)+1</f>
        <v>45992</v>
      </c>
      <c r="E269" s="151">
        <f>DAY(EOMONTH(RD[[#This Row],[Date]],0))</f>
        <v>31</v>
      </c>
      <c r="F269" s="172"/>
      <c r="G269" s="172"/>
      <c r="H269" s="138"/>
      <c r="I269" s="138"/>
      <c r="J269" s="138"/>
      <c r="K269" s="138"/>
      <c r="L269" s="138"/>
      <c r="M269" s="138"/>
      <c r="N269" s="138"/>
      <c r="O269" s="169"/>
      <c r="P269" s="169"/>
      <c r="Q269" s="72"/>
      <c r="R269" s="72"/>
      <c r="S269" s="72"/>
      <c r="T269" s="72"/>
      <c r="U269" s="72"/>
      <c r="V269" s="72"/>
      <c r="W269" s="72"/>
      <c r="X269" s="72"/>
      <c r="Y269" s="70">
        <f>SUM(RD[[#This Row],[IS1Inv1]:[IS3Inv1]])</f>
        <v>0</v>
      </c>
      <c r="Z269" s="70">
        <f>SUM(RD[[#This Row],[IS4Inv1]:[IS4Inv2]])</f>
        <v>0</v>
      </c>
      <c r="AA269" s="70">
        <f>SUM(RD[[#This Row],[O2RE7]:[O2RE27]])</f>
        <v>0</v>
      </c>
      <c r="AB269" s="123"/>
      <c r="AC269" s="123"/>
      <c r="AD269" s="150"/>
      <c r="AE269" s="123"/>
      <c r="AF269" s="123"/>
      <c r="AG269" s="123"/>
      <c r="AH269" s="123"/>
      <c r="AI269" s="157" t="str">
        <f>IF((RD[[#This Row],[33 kV_F1_Ex]]-AB268)*225000&lt;=0,"",(RD[[#This Row],[33 kV_F1_Ex]]-AB268)*225000)</f>
        <v/>
      </c>
      <c r="AJ269" s="154">
        <f>IF((RD[[#This Row],[33kV_OG1_Ex]]-AC268)*1000&lt;=0,0,(RD[[#This Row],[33kV_OG1_Ex]]-AC268)*1000)</f>
        <v>0</v>
      </c>
      <c r="AK269" s="154">
        <f>IF((RD[[#This Row],[220kV_TL_TVM_Ex]]-AE268)*1600&lt;=0,0,(RD[[#This Row],[220kV_TL_TVM_Ex]]-AE268)*1600)</f>
        <v>0</v>
      </c>
      <c r="AL269" s="154" t="str">
        <f>IF((RD[[#This Row],[220kV_C&amp;R_PQM_Ex]]-AF268)*1000&lt;=0,"",(RD[[#This Row],[220kV_C&amp;R_PQM_Ex]]-AF268)*1000)</f>
        <v/>
      </c>
      <c r="AM269" s="154">
        <f>IF((RD[[#This Row],[33kV_Aux1_Im]]-AH268)*1000&lt;0,"",(RD[[#This Row],[33kV_Aux1_Im]]-AH268)*1000)</f>
        <v>0</v>
      </c>
      <c r="AN269" s="154">
        <f>IF((RD[[#This Row],[33kV_Aux1_Im]]-AH268)*1000&lt;0,"",(RD[[#This Row],[33kV_Aux1_Im]]-AH268)*1000)</f>
        <v>0</v>
      </c>
      <c r="AO269" s="61">
        <f>RD[[#This Row],[33kV_OG1_Energy (KWh)]]</f>
        <v>0</v>
      </c>
      <c r="AP269" s="61">
        <f>IFERROR(RD[[#This Row],[220kV_TL_TVM Energy (KWh)]]-RD[[#This Row],[220kV_C&amp;R_PQM_Imp (KWh)2]],"")</f>
        <v>0</v>
      </c>
      <c r="AQ269" s="63" t="str">
        <f>IFERROR(RD[[#This Row],[33 kV Total Export (KWH)]]/RD[[#This Row],[220 KV Net Export (KWh)]]-1,"")</f>
        <v/>
      </c>
      <c r="AR269" s="64">
        <f>IFERROR((RD[[#This Row],[Sunset Time (POA&lt;20 W/m2)]]-RD[[#This Row],[Sunrise Time (POA&gt;20 W/m2)]])*24,0)</f>
        <v>0</v>
      </c>
      <c r="AS269" s="65">
        <f>RD[[#This Row],[33kV_OG1_Energy (KWh)]]</f>
        <v>0</v>
      </c>
      <c r="AT269" s="65">
        <f>IFERROR(RD[[#This Row],[ Export (33 kV)]]*(1-RD[[#This Row],[33 kV Line Loss (%)]]),RD[[#This Row],[ Export (33 kV)]])</f>
        <v>0</v>
      </c>
      <c r="AU269" s="190"/>
      <c r="AV269" s="190"/>
      <c r="AW269" s="190"/>
      <c r="AX269" t="str">
        <f>IFERROR(RD[[#This Row],[E_AC (WPR)]]/RD[[#This Row],[E_DC (WPR)]],"")</f>
        <v/>
      </c>
    </row>
    <row r="270" spans="1:50">
      <c r="A270" s="148">
        <f t="shared" si="53"/>
        <v>46010</v>
      </c>
      <c r="B270" s="151">
        <f>YEAR(RD[[#This Row],[Date]])+IF(MONTH(RD[[#This Row],[Date]])&gt;=4,1,0)</f>
        <v>2026</v>
      </c>
      <c r="C270" s="151">
        <f>YEAR(RD[[#This Row],[Date]])</f>
        <v>2025</v>
      </c>
      <c r="D270" s="66">
        <f t="shared" si="54"/>
        <v>45992</v>
      </c>
      <c r="E270" s="151">
        <f>DAY(EOMONTH(RD[[#This Row],[Date]],0))</f>
        <v>31</v>
      </c>
      <c r="F270" s="172"/>
      <c r="G270" s="172"/>
      <c r="H270" s="138"/>
      <c r="I270" s="138"/>
      <c r="J270" s="138"/>
      <c r="K270" s="138"/>
      <c r="L270" s="138"/>
      <c r="M270" s="138"/>
      <c r="N270" s="138"/>
      <c r="O270" s="169"/>
      <c r="P270" s="169"/>
      <c r="Q270" s="72"/>
      <c r="R270" s="72"/>
      <c r="S270" s="72"/>
      <c r="T270" s="72"/>
      <c r="U270" s="72"/>
      <c r="V270" s="72"/>
      <c r="W270" s="72"/>
      <c r="X270" s="72"/>
      <c r="Y270" s="70">
        <f>SUM(RD[[#This Row],[IS1Inv1]:[IS3Inv1]])</f>
        <v>0</v>
      </c>
      <c r="Z270" s="70">
        <f>SUM(RD[[#This Row],[IS4Inv1]:[IS4Inv2]])</f>
        <v>0</v>
      </c>
      <c r="AA270" s="70">
        <f>SUM(RD[[#This Row],[O2RE7]:[O2RE27]])</f>
        <v>0</v>
      </c>
      <c r="AB270" s="150"/>
      <c r="AC270" s="150"/>
      <c r="AD270" s="150"/>
      <c r="AE270" s="150"/>
      <c r="AF270" s="150"/>
      <c r="AG270" s="150"/>
      <c r="AH270" s="150"/>
      <c r="AI270" s="157" t="str">
        <f>IF((RD[[#This Row],[33 kV_F1_Ex]]-AB269)*225000&lt;=0,"",(RD[[#This Row],[33 kV_F1_Ex]]-AB269)*225000)</f>
        <v/>
      </c>
      <c r="AJ270" s="154">
        <f>IF((RD[[#This Row],[33kV_OG1_Ex]]-AC269)*1000&lt;=0,0,(RD[[#This Row],[33kV_OG1_Ex]]-AC269)*1000)</f>
        <v>0</v>
      </c>
      <c r="AK270" s="154">
        <f>IF((RD[[#This Row],[220kV_TL_TVM_Ex]]-AE269)*1600&lt;=0,0,(RD[[#This Row],[220kV_TL_TVM_Ex]]-AE269)*1600)</f>
        <v>0</v>
      </c>
      <c r="AL270" s="154" t="str">
        <f>IF((RD[[#This Row],[220kV_C&amp;R_PQM_Ex]]-AF269)*1000&lt;=0,"",(RD[[#This Row],[220kV_C&amp;R_PQM_Ex]]-AF269)*1000)</f>
        <v/>
      </c>
      <c r="AM270" s="154">
        <f>IF((RD[[#This Row],[33kV_Aux1_Im]]-AH269)*1000&lt;0,"",(RD[[#This Row],[33kV_Aux1_Im]]-AH269)*1000)</f>
        <v>0</v>
      </c>
      <c r="AN270" s="154">
        <f>IF((RD[[#This Row],[33kV_Aux1_Im]]-AH269)*1000&lt;0,"",(RD[[#This Row],[33kV_Aux1_Im]]-AH269)*1000)</f>
        <v>0</v>
      </c>
      <c r="AO270" s="61">
        <f>RD[[#This Row],[33kV_OG1_Energy (KWh)]]</f>
        <v>0</v>
      </c>
      <c r="AP270" s="61">
        <f>IFERROR(RD[[#This Row],[220kV_TL_TVM Energy (KWh)]]-RD[[#This Row],[220kV_C&amp;R_PQM_Imp (KWh)2]],"")</f>
        <v>0</v>
      </c>
      <c r="AQ270" s="63" t="str">
        <f>IFERROR(RD[[#This Row],[33 kV Total Export (KWH)]]/RD[[#This Row],[220 KV Net Export (KWh)]]-1,"")</f>
        <v/>
      </c>
      <c r="AR270" s="64">
        <f>IFERROR((RD[[#This Row],[Sunset Time (POA&lt;20 W/m2)]]-RD[[#This Row],[Sunrise Time (POA&gt;20 W/m2)]])*24,0)</f>
        <v>0</v>
      </c>
      <c r="AS270" s="65">
        <f>RD[[#This Row],[33kV_OG1_Energy (KWh)]]</f>
        <v>0</v>
      </c>
      <c r="AT270" s="65">
        <f>IFERROR(RD[[#This Row],[ Export (33 kV)]]*(1-RD[[#This Row],[33 kV Line Loss (%)]]),RD[[#This Row],[ Export (33 kV)]])</f>
        <v>0</v>
      </c>
      <c r="AU270" s="190"/>
      <c r="AV270" s="190"/>
      <c r="AW270" s="190"/>
      <c r="AX270" t="str">
        <f>IFERROR(RD[[#This Row],[E_AC (WPR)]]/RD[[#This Row],[E_DC (WPR)]],"")</f>
        <v/>
      </c>
    </row>
    <row r="271" spans="1:50">
      <c r="A271" s="148">
        <f t="shared" ref="A271:A282" si="55">A270+1</f>
        <v>46011</v>
      </c>
      <c r="B271" s="151">
        <f>YEAR(RD[[#This Row],[Date]])+IF(MONTH(RD[[#This Row],[Date]])&gt;=4,1,0)</f>
        <v>2026</v>
      </c>
      <c r="C271" s="151">
        <f>YEAR(RD[[#This Row],[Date]])</f>
        <v>2025</v>
      </c>
      <c r="D271" s="66">
        <f t="shared" si="54"/>
        <v>45992</v>
      </c>
      <c r="E271" s="151">
        <f>DAY(EOMONTH(RD[[#This Row],[Date]],0))</f>
        <v>31</v>
      </c>
      <c r="F271" s="172"/>
      <c r="G271" s="172"/>
      <c r="H271" s="138"/>
      <c r="I271" s="138"/>
      <c r="J271" s="138"/>
      <c r="K271" s="138"/>
      <c r="L271" s="138"/>
      <c r="M271" s="138"/>
      <c r="N271" s="138"/>
      <c r="O271" s="169"/>
      <c r="P271" s="169"/>
      <c r="Q271" s="72"/>
      <c r="R271" s="72"/>
      <c r="S271" s="72"/>
      <c r="T271" s="72"/>
      <c r="U271" s="72"/>
      <c r="V271" s="72"/>
      <c r="W271" s="72"/>
      <c r="X271" s="72"/>
      <c r="Y271" s="70">
        <f>SUM(RD[[#This Row],[IS1Inv1]:[IS3Inv1]])</f>
        <v>0</v>
      </c>
      <c r="Z271" s="70">
        <f>SUM(RD[[#This Row],[IS4Inv1]:[IS4Inv2]])</f>
        <v>0</v>
      </c>
      <c r="AA271" s="70">
        <f>SUM(RD[[#This Row],[O2RE7]:[O2RE27]])</f>
        <v>0</v>
      </c>
      <c r="AB271" s="150"/>
      <c r="AC271" s="150"/>
      <c r="AD271" s="150"/>
      <c r="AE271" s="150"/>
      <c r="AF271" s="150"/>
      <c r="AG271" s="150"/>
      <c r="AH271" s="150"/>
      <c r="AI271" s="157" t="str">
        <f>IF((RD[[#This Row],[33 kV_F1_Ex]]-AB270)*225000&lt;=0,"",(RD[[#This Row],[33 kV_F1_Ex]]-AB270)*225000)</f>
        <v/>
      </c>
      <c r="AJ271" s="154">
        <f>IF((RD[[#This Row],[33kV_OG1_Ex]]-AC270)*1000&lt;=0,0,(RD[[#This Row],[33kV_OG1_Ex]]-AC270)*1000)</f>
        <v>0</v>
      </c>
      <c r="AK271" s="154">
        <f>IF((RD[[#This Row],[220kV_TL_TVM_Ex]]-AE270)*1600&lt;=0,0,(RD[[#This Row],[220kV_TL_TVM_Ex]]-AE270)*1600)</f>
        <v>0</v>
      </c>
      <c r="AL271" s="154" t="str">
        <f>IF((RD[[#This Row],[220kV_C&amp;R_PQM_Ex]]-AF270)*1000&lt;=0,"",(RD[[#This Row],[220kV_C&amp;R_PQM_Ex]]-AF270)*1000)</f>
        <v/>
      </c>
      <c r="AM271" s="154">
        <f>IF((RD[[#This Row],[33kV_Aux1_Im]]-AH270)*1000&lt;0,"",(RD[[#This Row],[33kV_Aux1_Im]]-AH270)*1000)</f>
        <v>0</v>
      </c>
      <c r="AN271" s="154">
        <f>IF((RD[[#This Row],[33kV_Aux1_Im]]-AH270)*1000&lt;0,"",(RD[[#This Row],[33kV_Aux1_Im]]-AH270)*1000)</f>
        <v>0</v>
      </c>
      <c r="AO271" s="61">
        <f>RD[[#This Row],[33kV_OG1_Energy (KWh)]]</f>
        <v>0</v>
      </c>
      <c r="AP271" s="61">
        <f>IFERROR(RD[[#This Row],[220kV_TL_TVM Energy (KWh)]]-RD[[#This Row],[220kV_C&amp;R_PQM_Imp (KWh)2]],"")</f>
        <v>0</v>
      </c>
      <c r="AQ271" s="63" t="str">
        <f>IFERROR(RD[[#This Row],[33 kV Total Export (KWH)]]/RD[[#This Row],[220 KV Net Export (KWh)]]-1,"")</f>
        <v/>
      </c>
      <c r="AR271" s="64">
        <f>IFERROR((RD[[#This Row],[Sunset Time (POA&lt;20 W/m2)]]-RD[[#This Row],[Sunrise Time (POA&gt;20 W/m2)]])*24,0)</f>
        <v>0</v>
      </c>
      <c r="AS271" s="65">
        <f>RD[[#This Row],[33kV_OG1_Energy (KWh)]]</f>
        <v>0</v>
      </c>
      <c r="AT271" s="65">
        <f>IFERROR(RD[[#This Row],[ Export (33 kV)]]*(1-RD[[#This Row],[33 kV Line Loss (%)]]),RD[[#This Row],[ Export (33 kV)]])</f>
        <v>0</v>
      </c>
      <c r="AU271" s="190"/>
      <c r="AV271" s="190"/>
      <c r="AW271" s="190"/>
      <c r="AX271" t="str">
        <f>IFERROR(RD[[#This Row],[E_AC (WPR)]]/RD[[#This Row],[E_DC (WPR)]],"")</f>
        <v/>
      </c>
    </row>
    <row r="272" spans="1:50">
      <c r="A272" s="148">
        <f t="shared" si="55"/>
        <v>46012</v>
      </c>
      <c r="B272" s="151">
        <f>YEAR(RD[[#This Row],[Date]])+IF(MONTH(RD[[#This Row],[Date]])&gt;=4,1,0)</f>
        <v>2026</v>
      </c>
      <c r="C272" s="151">
        <f>YEAR(RD[[#This Row],[Date]])</f>
        <v>2025</v>
      </c>
      <c r="D272" s="66">
        <f t="shared" si="54"/>
        <v>45992</v>
      </c>
      <c r="E272" s="151">
        <f>DAY(EOMONTH(RD[[#This Row],[Date]],0))</f>
        <v>31</v>
      </c>
      <c r="F272" s="172"/>
      <c r="G272" s="172"/>
      <c r="H272" s="138"/>
      <c r="I272" s="138"/>
      <c r="J272" s="138"/>
      <c r="K272" s="138"/>
      <c r="L272" s="138"/>
      <c r="M272" s="138"/>
      <c r="N272" s="138"/>
      <c r="O272" s="169"/>
      <c r="P272" s="169"/>
      <c r="Q272" s="72"/>
      <c r="R272" s="72"/>
      <c r="S272" s="72"/>
      <c r="T272" s="72"/>
      <c r="U272" s="72"/>
      <c r="V272" s="72"/>
      <c r="W272" s="72"/>
      <c r="X272" s="72"/>
      <c r="Y272" s="70">
        <f>SUM(RD[[#This Row],[IS1Inv1]:[IS3Inv1]])</f>
        <v>0</v>
      </c>
      <c r="Z272" s="70">
        <f>SUM(RD[[#This Row],[IS4Inv1]:[IS4Inv2]])</f>
        <v>0</v>
      </c>
      <c r="AA272" s="70">
        <f>SUM(RD[[#This Row],[O2RE7]:[O2RE27]])</f>
        <v>0</v>
      </c>
      <c r="AB272" s="150"/>
      <c r="AC272" s="150"/>
      <c r="AD272" s="150"/>
      <c r="AE272" s="150"/>
      <c r="AF272" s="150"/>
      <c r="AG272" s="150"/>
      <c r="AH272" s="150"/>
      <c r="AI272" s="157" t="str">
        <f>IF((RD[[#This Row],[33 kV_F1_Ex]]-AB271)*225000&lt;=0,"",(RD[[#This Row],[33 kV_F1_Ex]]-AB271)*225000)</f>
        <v/>
      </c>
      <c r="AJ272" s="154">
        <f>IF((RD[[#This Row],[33kV_OG1_Ex]]-AC271)*1000&lt;=0,0,(RD[[#This Row],[33kV_OG1_Ex]]-AC271)*1000)</f>
        <v>0</v>
      </c>
      <c r="AK272" s="154">
        <f>IF((RD[[#This Row],[220kV_TL_TVM_Ex]]-AE271)*1600&lt;=0,0,(RD[[#This Row],[220kV_TL_TVM_Ex]]-AE271)*1600)</f>
        <v>0</v>
      </c>
      <c r="AL272" s="154" t="str">
        <f>IF((RD[[#This Row],[220kV_C&amp;R_PQM_Ex]]-AF271)*1000&lt;=0,"",(RD[[#This Row],[220kV_C&amp;R_PQM_Ex]]-AF271)*1000)</f>
        <v/>
      </c>
      <c r="AM272" s="154">
        <f>IF((RD[[#This Row],[33kV_Aux1_Im]]-AH271)*1000&lt;0,"",(RD[[#This Row],[33kV_Aux1_Im]]-AH271)*1000)</f>
        <v>0</v>
      </c>
      <c r="AN272" s="154">
        <f>IF((RD[[#This Row],[33kV_Aux1_Im]]-AH271)*1000&lt;0,"",(RD[[#This Row],[33kV_Aux1_Im]]-AH271)*1000)</f>
        <v>0</v>
      </c>
      <c r="AO272" s="61">
        <f>RD[[#This Row],[33kV_OG1_Energy (KWh)]]</f>
        <v>0</v>
      </c>
      <c r="AP272" s="61">
        <f>IFERROR(RD[[#This Row],[220kV_TL_TVM Energy (KWh)]]-RD[[#This Row],[220kV_C&amp;R_PQM_Imp (KWh)2]],"")</f>
        <v>0</v>
      </c>
      <c r="AQ272" s="63" t="str">
        <f>IFERROR(RD[[#This Row],[33 kV Total Export (KWH)]]/RD[[#This Row],[220 KV Net Export (KWh)]]-1,"")</f>
        <v/>
      </c>
      <c r="AR272" s="64">
        <f>IFERROR((RD[[#This Row],[Sunset Time (POA&lt;20 W/m2)]]-RD[[#This Row],[Sunrise Time (POA&gt;20 W/m2)]])*24,0)</f>
        <v>0</v>
      </c>
      <c r="AS272" s="65">
        <f>RD[[#This Row],[33kV_OG1_Energy (KWh)]]</f>
        <v>0</v>
      </c>
      <c r="AT272" s="65">
        <f>IFERROR(RD[[#This Row],[ Export (33 kV)]]*(1-RD[[#This Row],[33 kV Line Loss (%)]]),RD[[#This Row],[ Export (33 kV)]])</f>
        <v>0</v>
      </c>
      <c r="AU272" s="190"/>
      <c r="AV272" s="190"/>
      <c r="AW272" s="190"/>
      <c r="AX272" t="str">
        <f>IFERROR(RD[[#This Row],[E_AC (WPR)]]/RD[[#This Row],[E_DC (WPR)]],"")</f>
        <v/>
      </c>
    </row>
    <row r="273" spans="1:50">
      <c r="A273" s="148">
        <f t="shared" si="55"/>
        <v>46013</v>
      </c>
      <c r="B273" s="151">
        <f>YEAR(RD[[#This Row],[Date]])+IF(MONTH(RD[[#This Row],[Date]])&gt;=4,1,0)</f>
        <v>2026</v>
      </c>
      <c r="C273" s="151">
        <f>YEAR(RD[[#This Row],[Date]])</f>
        <v>2025</v>
      </c>
      <c r="D273" s="66">
        <f t="shared" si="54"/>
        <v>45992</v>
      </c>
      <c r="E273" s="151">
        <f>DAY(EOMONTH(RD[[#This Row],[Date]],0))</f>
        <v>31</v>
      </c>
      <c r="F273" s="172"/>
      <c r="G273" s="172"/>
      <c r="H273" s="138"/>
      <c r="I273" s="138"/>
      <c r="J273" s="138"/>
      <c r="K273" s="138"/>
      <c r="L273" s="138"/>
      <c r="M273" s="138"/>
      <c r="N273" s="138"/>
      <c r="O273" s="169"/>
      <c r="P273" s="169"/>
      <c r="Q273" s="72"/>
      <c r="R273" s="72"/>
      <c r="S273" s="72"/>
      <c r="T273" s="72"/>
      <c r="U273" s="72"/>
      <c r="V273" s="72"/>
      <c r="W273" s="72"/>
      <c r="X273" s="72"/>
      <c r="Y273" s="70">
        <f>SUM(RD[[#This Row],[IS1Inv1]:[IS3Inv1]])</f>
        <v>0</v>
      </c>
      <c r="Z273" s="70">
        <f>SUM(RD[[#This Row],[IS4Inv1]:[IS4Inv2]])</f>
        <v>0</v>
      </c>
      <c r="AA273" s="70">
        <f>SUM(RD[[#This Row],[O2RE7]:[O2RE27]])</f>
        <v>0</v>
      </c>
      <c r="AB273" s="150"/>
      <c r="AC273" s="150"/>
      <c r="AD273" s="150"/>
      <c r="AE273" s="150"/>
      <c r="AF273" s="150"/>
      <c r="AG273" s="150"/>
      <c r="AH273" s="150"/>
      <c r="AI273" s="157" t="str">
        <f>IF((RD[[#This Row],[33 kV_F1_Ex]]-AB272)*225000&lt;=0,"",(RD[[#This Row],[33 kV_F1_Ex]]-AB272)*225000)</f>
        <v/>
      </c>
      <c r="AJ273" s="154">
        <f>IF((RD[[#This Row],[33kV_OG1_Ex]]-AC272)*1000&lt;=0,0,(RD[[#This Row],[33kV_OG1_Ex]]-AC272)*1000)</f>
        <v>0</v>
      </c>
      <c r="AK273" s="154">
        <f>IF((RD[[#This Row],[220kV_TL_TVM_Ex]]-AE272)*1600&lt;=0,0,(RD[[#This Row],[220kV_TL_TVM_Ex]]-AE272)*1600)</f>
        <v>0</v>
      </c>
      <c r="AL273" s="154" t="str">
        <f>IF((RD[[#This Row],[220kV_C&amp;R_PQM_Ex]]-AF272)*1000&lt;=0,"",(RD[[#This Row],[220kV_C&amp;R_PQM_Ex]]-AF272)*1000)</f>
        <v/>
      </c>
      <c r="AM273" s="154">
        <f>IF((RD[[#This Row],[33kV_Aux1_Im]]-AH272)*1000&lt;0,"",(RD[[#This Row],[33kV_Aux1_Im]]-AH272)*1000)</f>
        <v>0</v>
      </c>
      <c r="AN273" s="154">
        <f>IF((RD[[#This Row],[33kV_Aux1_Im]]-AH272)*1000&lt;0,"",(RD[[#This Row],[33kV_Aux1_Im]]-AH272)*1000)</f>
        <v>0</v>
      </c>
      <c r="AO273" s="61">
        <f>RD[[#This Row],[33kV_OG1_Energy (KWh)]]</f>
        <v>0</v>
      </c>
      <c r="AP273" s="61">
        <f>IFERROR(RD[[#This Row],[220kV_TL_TVM Energy (KWh)]]-RD[[#This Row],[220kV_C&amp;R_PQM_Imp (KWh)2]],"")</f>
        <v>0</v>
      </c>
      <c r="AQ273" s="63" t="str">
        <f>IFERROR(RD[[#This Row],[33 kV Total Export (KWH)]]/RD[[#This Row],[220 KV Net Export (KWh)]]-1,"")</f>
        <v/>
      </c>
      <c r="AR273" s="64">
        <f>IFERROR((RD[[#This Row],[Sunset Time (POA&lt;20 W/m2)]]-RD[[#This Row],[Sunrise Time (POA&gt;20 W/m2)]])*24,0)</f>
        <v>0</v>
      </c>
      <c r="AS273" s="65">
        <f>RD[[#This Row],[33kV_OG1_Energy (KWh)]]</f>
        <v>0</v>
      </c>
      <c r="AT273" s="65">
        <f>IFERROR(RD[[#This Row],[ Export (33 kV)]]*(1-RD[[#This Row],[33 kV Line Loss (%)]]),RD[[#This Row],[ Export (33 kV)]])</f>
        <v>0</v>
      </c>
      <c r="AU273" s="190"/>
      <c r="AV273" s="190"/>
      <c r="AW273" s="190"/>
      <c r="AX273" t="str">
        <f>IFERROR(RD[[#This Row],[E_AC (WPR)]]/RD[[#This Row],[E_DC (WPR)]],"")</f>
        <v/>
      </c>
    </row>
    <row r="274" spans="1:50">
      <c r="A274" s="148">
        <f t="shared" si="55"/>
        <v>46014</v>
      </c>
      <c r="B274" s="151">
        <f>YEAR(RD[[#This Row],[Date]])+IF(MONTH(RD[[#This Row],[Date]])&gt;=4,1,0)</f>
        <v>2026</v>
      </c>
      <c r="C274" s="151">
        <f>YEAR(RD[[#This Row],[Date]])</f>
        <v>2025</v>
      </c>
      <c r="D274" s="66">
        <f t="shared" si="54"/>
        <v>45992</v>
      </c>
      <c r="E274" s="151">
        <f>DAY(EOMONTH(RD[[#This Row],[Date]],0))</f>
        <v>31</v>
      </c>
      <c r="F274" s="172"/>
      <c r="G274" s="172"/>
      <c r="H274" s="138"/>
      <c r="I274" s="138"/>
      <c r="J274" s="138"/>
      <c r="K274" s="138"/>
      <c r="L274" s="138"/>
      <c r="M274" s="138"/>
      <c r="N274" s="138"/>
      <c r="O274" s="169"/>
      <c r="P274" s="169"/>
      <c r="Q274" s="72"/>
      <c r="R274" s="72"/>
      <c r="S274" s="72"/>
      <c r="T274" s="72"/>
      <c r="U274" s="72"/>
      <c r="V274" s="72"/>
      <c r="W274" s="72"/>
      <c r="X274" s="72"/>
      <c r="Y274" s="70">
        <f>SUM(RD[[#This Row],[IS1Inv1]:[IS3Inv1]])</f>
        <v>0</v>
      </c>
      <c r="Z274" s="70">
        <f>SUM(RD[[#This Row],[IS4Inv1]:[IS4Inv2]])</f>
        <v>0</v>
      </c>
      <c r="AA274" s="70">
        <f>SUM(RD[[#This Row],[O2RE7]:[O2RE27]])</f>
        <v>0</v>
      </c>
      <c r="AB274" s="150"/>
      <c r="AC274" s="150"/>
      <c r="AD274" s="150"/>
      <c r="AE274" s="150"/>
      <c r="AF274" s="150"/>
      <c r="AG274" s="150"/>
      <c r="AH274" s="150"/>
      <c r="AI274" s="157" t="str">
        <f>IF((RD[[#This Row],[33 kV_F1_Ex]]-AB273)*225000&lt;=0,"",(RD[[#This Row],[33 kV_F1_Ex]]-AB273)*225000)</f>
        <v/>
      </c>
      <c r="AJ274" s="154">
        <f>IF((RD[[#This Row],[33kV_OG1_Ex]]-AC273)*1000&lt;=0,0,(RD[[#This Row],[33kV_OG1_Ex]]-AC273)*1000)</f>
        <v>0</v>
      </c>
      <c r="AK274" s="154">
        <f>IF((RD[[#This Row],[220kV_TL_TVM_Ex]]-AE273)*1600&lt;=0,0,(RD[[#This Row],[220kV_TL_TVM_Ex]]-AE273)*1600)</f>
        <v>0</v>
      </c>
      <c r="AL274" s="154" t="str">
        <f>IF((RD[[#This Row],[220kV_C&amp;R_PQM_Ex]]-AF273)*1000&lt;=0,"",(RD[[#This Row],[220kV_C&amp;R_PQM_Ex]]-AF273)*1000)</f>
        <v/>
      </c>
      <c r="AM274" s="154">
        <f>IF((RD[[#This Row],[33kV_Aux1_Im]]-AH273)*1000&lt;0,"",(RD[[#This Row],[33kV_Aux1_Im]]-AH273)*1000)</f>
        <v>0</v>
      </c>
      <c r="AN274" s="154">
        <f>IF((RD[[#This Row],[33kV_Aux1_Im]]-AH273)*1000&lt;0,"",(RD[[#This Row],[33kV_Aux1_Im]]-AH273)*1000)</f>
        <v>0</v>
      </c>
      <c r="AO274" s="61">
        <f>RD[[#This Row],[33kV_OG1_Energy (KWh)]]</f>
        <v>0</v>
      </c>
      <c r="AP274" s="61">
        <f>IFERROR(RD[[#This Row],[220kV_TL_TVM Energy (KWh)]]-RD[[#This Row],[220kV_C&amp;R_PQM_Imp (KWh)2]],"")</f>
        <v>0</v>
      </c>
      <c r="AQ274" s="63" t="str">
        <f>IFERROR(RD[[#This Row],[33 kV Total Export (KWH)]]/RD[[#This Row],[220 KV Net Export (KWh)]]-1,"")</f>
        <v/>
      </c>
      <c r="AR274" s="64">
        <f>IFERROR((RD[[#This Row],[Sunset Time (POA&lt;20 W/m2)]]-RD[[#This Row],[Sunrise Time (POA&gt;20 W/m2)]])*24,0)</f>
        <v>0</v>
      </c>
      <c r="AS274" s="65">
        <f>RD[[#This Row],[33kV_OG1_Energy (KWh)]]</f>
        <v>0</v>
      </c>
      <c r="AT274" s="65">
        <f>IFERROR(RD[[#This Row],[ Export (33 kV)]]*(1-RD[[#This Row],[33 kV Line Loss (%)]]),RD[[#This Row],[ Export (33 kV)]])</f>
        <v>0</v>
      </c>
      <c r="AU274" s="190"/>
      <c r="AV274" s="190"/>
      <c r="AW274" s="190"/>
      <c r="AX274" t="str">
        <f>IFERROR(RD[[#This Row],[E_AC (WPR)]]/RD[[#This Row],[E_DC (WPR)]],"")</f>
        <v/>
      </c>
    </row>
    <row r="275" spans="1:50">
      <c r="A275" s="148">
        <f t="shared" si="55"/>
        <v>46015</v>
      </c>
      <c r="B275" s="151">
        <f>YEAR(RD[[#This Row],[Date]])+IF(MONTH(RD[[#This Row],[Date]])&gt;=4,1,0)</f>
        <v>2026</v>
      </c>
      <c r="C275" s="151">
        <f>YEAR(RD[[#This Row],[Date]])</f>
        <v>2025</v>
      </c>
      <c r="D275" s="66">
        <f t="shared" si="54"/>
        <v>45992</v>
      </c>
      <c r="E275" s="151">
        <f>DAY(EOMONTH(RD[[#This Row],[Date]],0))</f>
        <v>31</v>
      </c>
      <c r="F275" s="172"/>
      <c r="G275" s="172"/>
      <c r="H275" s="138"/>
      <c r="I275" s="138"/>
      <c r="J275" s="138"/>
      <c r="K275" s="138"/>
      <c r="L275" s="138"/>
      <c r="M275" s="138"/>
      <c r="N275" s="138"/>
      <c r="O275" s="169"/>
      <c r="P275" s="169"/>
      <c r="Q275" s="72"/>
      <c r="R275" s="72"/>
      <c r="S275" s="72"/>
      <c r="T275" s="72"/>
      <c r="U275" s="72"/>
      <c r="V275" s="72"/>
      <c r="W275" s="72"/>
      <c r="X275" s="72"/>
      <c r="Y275" s="70">
        <f>SUM(RD[[#This Row],[IS1Inv1]:[IS3Inv1]])</f>
        <v>0</v>
      </c>
      <c r="Z275" s="70">
        <f>SUM(RD[[#This Row],[IS4Inv1]:[IS4Inv2]])</f>
        <v>0</v>
      </c>
      <c r="AA275" s="70">
        <f>SUM(RD[[#This Row],[O2RE7]:[O2RE27]])</f>
        <v>0</v>
      </c>
      <c r="AB275" s="150"/>
      <c r="AC275" s="150"/>
      <c r="AD275" s="150"/>
      <c r="AE275" s="150"/>
      <c r="AF275" s="150"/>
      <c r="AG275" s="150"/>
      <c r="AH275" s="150"/>
      <c r="AI275" s="157" t="str">
        <f>IF((RD[[#This Row],[33 kV_F1_Ex]]-AB274)*225000&lt;=0,"",(RD[[#This Row],[33 kV_F1_Ex]]-AB274)*225000)</f>
        <v/>
      </c>
      <c r="AJ275" s="154">
        <f>IF((RD[[#This Row],[33kV_OG1_Ex]]-AC274)*1000&lt;=0,0,(RD[[#This Row],[33kV_OG1_Ex]]-AC274)*1000)</f>
        <v>0</v>
      </c>
      <c r="AK275" s="154">
        <f>IF((RD[[#This Row],[220kV_TL_TVM_Ex]]-AE274)*1600&lt;=0,0,(RD[[#This Row],[220kV_TL_TVM_Ex]]-AE274)*1600)</f>
        <v>0</v>
      </c>
      <c r="AL275" s="154" t="str">
        <f>IF((RD[[#This Row],[220kV_C&amp;R_PQM_Ex]]-AF274)*1000&lt;=0,"",(RD[[#This Row],[220kV_C&amp;R_PQM_Ex]]-AF274)*1000)</f>
        <v/>
      </c>
      <c r="AM275" s="154">
        <f>IF((RD[[#This Row],[33kV_Aux1_Im]]-AH274)*1000&lt;0,"",(RD[[#This Row],[33kV_Aux1_Im]]-AH274)*1000)</f>
        <v>0</v>
      </c>
      <c r="AN275" s="154">
        <f>IF((RD[[#This Row],[33kV_Aux1_Im]]-AH274)*1000&lt;0,"",(RD[[#This Row],[33kV_Aux1_Im]]-AH274)*1000)</f>
        <v>0</v>
      </c>
      <c r="AO275" s="61">
        <f>RD[[#This Row],[33kV_OG1_Energy (KWh)]]</f>
        <v>0</v>
      </c>
      <c r="AP275" s="61">
        <f>IFERROR(RD[[#This Row],[220kV_TL_TVM Energy (KWh)]]-RD[[#This Row],[220kV_C&amp;R_PQM_Imp (KWh)2]],"")</f>
        <v>0</v>
      </c>
      <c r="AQ275" s="63" t="str">
        <f>IFERROR(RD[[#This Row],[33 kV Total Export (KWH)]]/RD[[#This Row],[220 KV Net Export (KWh)]]-1,"")</f>
        <v/>
      </c>
      <c r="AR275" s="64">
        <f>IFERROR((RD[[#This Row],[Sunset Time (POA&lt;20 W/m2)]]-RD[[#This Row],[Sunrise Time (POA&gt;20 W/m2)]])*24,0)</f>
        <v>0</v>
      </c>
      <c r="AS275" s="65">
        <f>RD[[#This Row],[33kV_OG1_Energy (KWh)]]</f>
        <v>0</v>
      </c>
      <c r="AT275" s="65">
        <f>IFERROR(RD[[#This Row],[ Export (33 kV)]]*(1-RD[[#This Row],[33 kV Line Loss (%)]]),RD[[#This Row],[ Export (33 kV)]])</f>
        <v>0</v>
      </c>
      <c r="AU275" s="190"/>
      <c r="AV275" s="190"/>
      <c r="AW275" s="190"/>
      <c r="AX275" t="str">
        <f>IFERROR(RD[[#This Row],[E_AC (WPR)]]/RD[[#This Row],[E_DC (WPR)]],"")</f>
        <v/>
      </c>
    </row>
    <row r="276" spans="1:50">
      <c r="A276" s="148">
        <f t="shared" si="55"/>
        <v>46016</v>
      </c>
      <c r="B276" s="151">
        <f>YEAR(RD[[#This Row],[Date]])+IF(MONTH(RD[[#This Row],[Date]])&gt;=4,1,0)</f>
        <v>2026</v>
      </c>
      <c r="C276" s="151">
        <f>YEAR(RD[[#This Row],[Date]])</f>
        <v>2025</v>
      </c>
      <c r="D276" s="66">
        <f t="shared" si="54"/>
        <v>45992</v>
      </c>
      <c r="E276" s="151">
        <f>DAY(EOMONTH(RD[[#This Row],[Date]],0))</f>
        <v>31</v>
      </c>
      <c r="F276" s="172"/>
      <c r="G276" s="172"/>
      <c r="H276" s="138"/>
      <c r="I276" s="138"/>
      <c r="J276" s="138"/>
      <c r="K276" s="138"/>
      <c r="L276" s="138"/>
      <c r="M276" s="138"/>
      <c r="N276" s="138"/>
      <c r="O276" s="169"/>
      <c r="P276" s="169"/>
      <c r="Q276" s="72"/>
      <c r="R276" s="72"/>
      <c r="S276" s="72"/>
      <c r="T276" s="72"/>
      <c r="U276" s="72"/>
      <c r="V276" s="72"/>
      <c r="W276" s="72"/>
      <c r="X276" s="72"/>
      <c r="Y276" s="70">
        <f>SUM(RD[[#This Row],[IS1Inv1]:[IS3Inv1]])</f>
        <v>0</v>
      </c>
      <c r="Z276" s="70">
        <f>SUM(RD[[#This Row],[IS4Inv1]:[IS4Inv2]])</f>
        <v>0</v>
      </c>
      <c r="AA276" s="70">
        <f>SUM(RD[[#This Row],[O2RE7]:[O2RE27]])</f>
        <v>0</v>
      </c>
      <c r="AB276" s="150"/>
      <c r="AC276" s="150"/>
      <c r="AD276" s="150"/>
      <c r="AE276" s="150"/>
      <c r="AF276" s="150"/>
      <c r="AG276" s="150"/>
      <c r="AH276" s="150"/>
      <c r="AI276" s="157" t="str">
        <f>IF((RD[[#This Row],[33 kV_F1_Ex]]-AB275)*225000&lt;=0,"",(RD[[#This Row],[33 kV_F1_Ex]]-AB275)*225000)</f>
        <v/>
      </c>
      <c r="AJ276" s="154">
        <f>IF((RD[[#This Row],[33kV_OG1_Ex]]-AC275)*1000&lt;=0,0,(RD[[#This Row],[33kV_OG1_Ex]]-AC275)*1000)</f>
        <v>0</v>
      </c>
      <c r="AK276" s="154">
        <f>IF((RD[[#This Row],[220kV_TL_TVM_Ex]]-AE275)*1600&lt;=0,0,(RD[[#This Row],[220kV_TL_TVM_Ex]]-AE275)*1600)</f>
        <v>0</v>
      </c>
      <c r="AL276" s="154" t="str">
        <f>IF((RD[[#This Row],[220kV_C&amp;R_PQM_Ex]]-AF275)*1000&lt;=0,"",(RD[[#This Row],[220kV_C&amp;R_PQM_Ex]]-AF275)*1000)</f>
        <v/>
      </c>
      <c r="AM276" s="154">
        <f>IF((RD[[#This Row],[33kV_Aux1_Im]]-AH275)*1000&lt;0,"",(RD[[#This Row],[33kV_Aux1_Im]]-AH275)*1000)</f>
        <v>0</v>
      </c>
      <c r="AN276" s="154">
        <f>IF((RD[[#This Row],[33kV_Aux1_Im]]-AH275)*1000&lt;0,"",(RD[[#This Row],[33kV_Aux1_Im]]-AH275)*1000)</f>
        <v>0</v>
      </c>
      <c r="AO276" s="61">
        <f>RD[[#This Row],[33kV_OG1_Energy (KWh)]]</f>
        <v>0</v>
      </c>
      <c r="AP276" s="61">
        <f>IFERROR(RD[[#This Row],[220kV_TL_TVM Energy (KWh)]]-RD[[#This Row],[220kV_C&amp;R_PQM_Imp (KWh)2]],"")</f>
        <v>0</v>
      </c>
      <c r="AQ276" s="63" t="str">
        <f>IFERROR(RD[[#This Row],[33 kV Total Export (KWH)]]/RD[[#This Row],[220 KV Net Export (KWh)]]-1,"")</f>
        <v/>
      </c>
      <c r="AR276" s="64">
        <f>IFERROR((RD[[#This Row],[Sunset Time (POA&lt;20 W/m2)]]-RD[[#This Row],[Sunrise Time (POA&gt;20 W/m2)]])*24,0)</f>
        <v>0</v>
      </c>
      <c r="AS276" s="65">
        <f>RD[[#This Row],[33kV_OG1_Energy (KWh)]]</f>
        <v>0</v>
      </c>
      <c r="AT276" s="65">
        <f>IFERROR(RD[[#This Row],[ Export (33 kV)]]*(1-RD[[#This Row],[33 kV Line Loss (%)]]),RD[[#This Row],[ Export (33 kV)]])</f>
        <v>0</v>
      </c>
      <c r="AU276" s="190"/>
      <c r="AV276" s="190"/>
      <c r="AW276" s="190"/>
      <c r="AX276" t="str">
        <f>IFERROR(RD[[#This Row],[E_AC (WPR)]]/RD[[#This Row],[E_DC (WPR)]],"")</f>
        <v/>
      </c>
    </row>
    <row r="277" spans="1:50">
      <c r="A277" s="148">
        <f t="shared" si="55"/>
        <v>46017</v>
      </c>
      <c r="B277" s="151">
        <f>YEAR(RD[[#This Row],[Date]])+IF(MONTH(RD[[#This Row],[Date]])&gt;=4,1,0)</f>
        <v>2026</v>
      </c>
      <c r="C277" s="151">
        <f>YEAR(RD[[#This Row],[Date]])</f>
        <v>2025</v>
      </c>
      <c r="D277" s="66">
        <f t="shared" si="54"/>
        <v>45992</v>
      </c>
      <c r="E277" s="151">
        <f>DAY(EOMONTH(RD[[#This Row],[Date]],0))</f>
        <v>31</v>
      </c>
      <c r="F277" s="172"/>
      <c r="G277" s="172"/>
      <c r="H277" s="138"/>
      <c r="I277" s="138"/>
      <c r="J277" s="138"/>
      <c r="K277" s="138"/>
      <c r="L277" s="138"/>
      <c r="M277" s="138"/>
      <c r="N277" s="138"/>
      <c r="O277" s="169"/>
      <c r="P277" s="169"/>
      <c r="Q277" s="72"/>
      <c r="R277" s="72"/>
      <c r="S277" s="72"/>
      <c r="T277" s="72"/>
      <c r="U277" s="72"/>
      <c r="V277" s="72"/>
      <c r="W277" s="72"/>
      <c r="X277" s="72"/>
      <c r="Y277" s="70">
        <f>SUM(RD[[#This Row],[IS1Inv1]:[IS3Inv1]])</f>
        <v>0</v>
      </c>
      <c r="Z277" s="70">
        <f>SUM(RD[[#This Row],[IS4Inv1]:[IS4Inv2]])</f>
        <v>0</v>
      </c>
      <c r="AA277" s="70">
        <f>SUM(RD[[#This Row],[O2RE7]:[O2RE27]])</f>
        <v>0</v>
      </c>
      <c r="AB277" s="150"/>
      <c r="AC277" s="150"/>
      <c r="AD277" s="150"/>
      <c r="AE277" s="150"/>
      <c r="AF277" s="150"/>
      <c r="AG277" s="150"/>
      <c r="AH277" s="150"/>
      <c r="AI277" s="157" t="str">
        <f>IF((RD[[#This Row],[33 kV_F1_Ex]]-AB276)*225000&lt;=0,"",(RD[[#This Row],[33 kV_F1_Ex]]-AB276)*225000)</f>
        <v/>
      </c>
      <c r="AJ277" s="154">
        <f>IF((RD[[#This Row],[33kV_OG1_Ex]]-AC276)*1000&lt;=0,0,(RD[[#This Row],[33kV_OG1_Ex]]-AC276)*1000)</f>
        <v>0</v>
      </c>
      <c r="AK277" s="154">
        <f>IF((RD[[#This Row],[220kV_TL_TVM_Ex]]-AE276)*1600&lt;=0,0,(RD[[#This Row],[220kV_TL_TVM_Ex]]-AE276)*1600)</f>
        <v>0</v>
      </c>
      <c r="AL277" s="154" t="str">
        <f>IF((RD[[#This Row],[220kV_C&amp;R_PQM_Ex]]-AF276)*1000&lt;=0,"",(RD[[#This Row],[220kV_C&amp;R_PQM_Ex]]-AF276)*1000)</f>
        <v/>
      </c>
      <c r="AM277" s="154">
        <f>IF((RD[[#This Row],[33kV_Aux1_Im]]-AH276)*1000&lt;0,"",(RD[[#This Row],[33kV_Aux1_Im]]-AH276)*1000)</f>
        <v>0</v>
      </c>
      <c r="AN277" s="154">
        <f>IF((RD[[#This Row],[33kV_Aux1_Im]]-AH276)*1000&lt;0,"",(RD[[#This Row],[33kV_Aux1_Im]]-AH276)*1000)</f>
        <v>0</v>
      </c>
      <c r="AO277" s="61">
        <f>RD[[#This Row],[33kV_OG1_Energy (KWh)]]</f>
        <v>0</v>
      </c>
      <c r="AP277" s="61">
        <f>IFERROR(RD[[#This Row],[220kV_TL_TVM Energy (KWh)]]-RD[[#This Row],[220kV_C&amp;R_PQM_Imp (KWh)2]],"")</f>
        <v>0</v>
      </c>
      <c r="AQ277" s="63" t="str">
        <f>IFERROR(RD[[#This Row],[33 kV Total Export (KWH)]]/RD[[#This Row],[220 KV Net Export (KWh)]]-1,"")</f>
        <v/>
      </c>
      <c r="AR277" s="64">
        <f>IFERROR((RD[[#This Row],[Sunset Time (POA&lt;20 W/m2)]]-RD[[#This Row],[Sunrise Time (POA&gt;20 W/m2)]])*24,0)</f>
        <v>0</v>
      </c>
      <c r="AS277" s="65">
        <f>RD[[#This Row],[33kV_OG1_Energy (KWh)]]</f>
        <v>0</v>
      </c>
      <c r="AT277" s="65">
        <f>IFERROR(RD[[#This Row],[ Export (33 kV)]]*(1-RD[[#This Row],[33 kV Line Loss (%)]]),RD[[#This Row],[ Export (33 kV)]])</f>
        <v>0</v>
      </c>
      <c r="AU277" s="190"/>
      <c r="AV277" s="190"/>
      <c r="AW277" s="190"/>
      <c r="AX277" t="str">
        <f>IFERROR(RD[[#This Row],[E_AC (WPR)]]/RD[[#This Row],[E_DC (WPR)]],"")</f>
        <v/>
      </c>
    </row>
    <row r="278" spans="1:50">
      <c r="A278" s="148">
        <f t="shared" si="55"/>
        <v>46018</v>
      </c>
      <c r="B278" s="151">
        <f>YEAR(RD[[#This Row],[Date]])+IF(MONTH(RD[[#This Row],[Date]])&gt;=4,1,0)</f>
        <v>2026</v>
      </c>
      <c r="C278" s="151">
        <f>YEAR(RD[[#This Row],[Date]])</f>
        <v>2025</v>
      </c>
      <c r="D278" s="66">
        <f t="shared" si="54"/>
        <v>45992</v>
      </c>
      <c r="E278" s="151">
        <f>DAY(EOMONTH(RD[[#This Row],[Date]],0))</f>
        <v>31</v>
      </c>
      <c r="F278" s="172"/>
      <c r="G278" s="172"/>
      <c r="H278" s="138"/>
      <c r="I278" s="138"/>
      <c r="J278" s="138"/>
      <c r="K278" s="138"/>
      <c r="L278" s="138"/>
      <c r="M278" s="138"/>
      <c r="N278" s="138"/>
      <c r="O278" s="169"/>
      <c r="P278" s="169"/>
      <c r="Q278" s="72"/>
      <c r="R278" s="72"/>
      <c r="S278" s="72"/>
      <c r="T278" s="72"/>
      <c r="U278" s="72"/>
      <c r="V278" s="72"/>
      <c r="W278" s="72"/>
      <c r="X278" s="72"/>
      <c r="Y278" s="70">
        <f>SUM(RD[[#This Row],[IS1Inv1]:[IS3Inv1]])</f>
        <v>0</v>
      </c>
      <c r="Z278" s="70">
        <f>SUM(RD[[#This Row],[IS4Inv1]:[IS4Inv2]])</f>
        <v>0</v>
      </c>
      <c r="AA278" s="70">
        <f>SUM(RD[[#This Row],[O2RE7]:[O2RE27]])</f>
        <v>0</v>
      </c>
      <c r="AB278" s="150"/>
      <c r="AC278" s="150"/>
      <c r="AD278" s="150"/>
      <c r="AE278" s="150"/>
      <c r="AF278" s="150"/>
      <c r="AG278" s="150"/>
      <c r="AH278" s="150"/>
      <c r="AI278" s="157" t="str">
        <f>IF((RD[[#This Row],[33 kV_F1_Ex]]-AB277)*225000&lt;=0,"",(RD[[#This Row],[33 kV_F1_Ex]]-AB277)*225000)</f>
        <v/>
      </c>
      <c r="AJ278" s="154">
        <f>IF((RD[[#This Row],[33kV_OG1_Ex]]-AC277)*1000&lt;=0,0,(RD[[#This Row],[33kV_OG1_Ex]]-AC277)*1000)</f>
        <v>0</v>
      </c>
      <c r="AK278" s="154">
        <f>IF((RD[[#This Row],[220kV_TL_TVM_Ex]]-AE277)*1600&lt;=0,0,(RD[[#This Row],[220kV_TL_TVM_Ex]]-AE277)*1600)</f>
        <v>0</v>
      </c>
      <c r="AL278" s="154" t="str">
        <f>IF((RD[[#This Row],[220kV_C&amp;R_PQM_Ex]]-AF277)*1000&lt;=0,"",(RD[[#This Row],[220kV_C&amp;R_PQM_Ex]]-AF277)*1000)</f>
        <v/>
      </c>
      <c r="AM278" s="154">
        <f>IF((RD[[#This Row],[33kV_Aux1_Im]]-AH277)*1000&lt;0,"",(RD[[#This Row],[33kV_Aux1_Im]]-AH277)*1000)</f>
        <v>0</v>
      </c>
      <c r="AN278" s="154">
        <f>IF((RD[[#This Row],[33kV_Aux1_Im]]-AH277)*1000&lt;0,"",(RD[[#This Row],[33kV_Aux1_Im]]-AH277)*1000)</f>
        <v>0</v>
      </c>
      <c r="AO278" s="61">
        <f>RD[[#This Row],[33kV_OG1_Energy (KWh)]]</f>
        <v>0</v>
      </c>
      <c r="AP278" s="61">
        <f>IFERROR(RD[[#This Row],[220kV_TL_TVM Energy (KWh)]]-RD[[#This Row],[220kV_C&amp;R_PQM_Imp (KWh)2]],"")</f>
        <v>0</v>
      </c>
      <c r="AQ278" s="63" t="str">
        <f>IFERROR(RD[[#This Row],[33 kV Total Export (KWH)]]/RD[[#This Row],[220 KV Net Export (KWh)]]-1,"")</f>
        <v/>
      </c>
      <c r="AR278" s="64">
        <f>IFERROR((RD[[#This Row],[Sunset Time (POA&lt;20 W/m2)]]-RD[[#This Row],[Sunrise Time (POA&gt;20 W/m2)]])*24,0)</f>
        <v>0</v>
      </c>
      <c r="AS278" s="65">
        <f>RD[[#This Row],[33kV_OG1_Energy (KWh)]]</f>
        <v>0</v>
      </c>
      <c r="AT278" s="65">
        <f>IFERROR(RD[[#This Row],[ Export (33 kV)]]*(1-RD[[#This Row],[33 kV Line Loss (%)]]),RD[[#This Row],[ Export (33 kV)]])</f>
        <v>0</v>
      </c>
      <c r="AU278" s="190"/>
      <c r="AV278" s="190"/>
      <c r="AW278" s="190"/>
      <c r="AX278" t="str">
        <f>IFERROR(RD[[#This Row],[E_AC (WPR)]]/RD[[#This Row],[E_DC (WPR)]],"")</f>
        <v/>
      </c>
    </row>
    <row r="279" spans="1:50">
      <c r="A279" s="148">
        <f t="shared" si="55"/>
        <v>46019</v>
      </c>
      <c r="B279" s="151">
        <f>YEAR(RD[[#This Row],[Date]])+IF(MONTH(RD[[#This Row],[Date]])&gt;=4,1,0)</f>
        <v>2026</v>
      </c>
      <c r="C279" s="151">
        <f>YEAR(RD[[#This Row],[Date]])</f>
        <v>2025</v>
      </c>
      <c r="D279" s="66">
        <f t="shared" si="54"/>
        <v>45992</v>
      </c>
      <c r="E279" s="151">
        <f>DAY(EOMONTH(RD[[#This Row],[Date]],0))</f>
        <v>31</v>
      </c>
      <c r="F279" s="172"/>
      <c r="G279" s="172"/>
      <c r="H279" s="138"/>
      <c r="I279" s="138"/>
      <c r="J279" s="138"/>
      <c r="K279" s="138"/>
      <c r="L279" s="138"/>
      <c r="M279" s="138"/>
      <c r="N279" s="138"/>
      <c r="O279" s="169"/>
      <c r="P279" s="169"/>
      <c r="Q279" s="72"/>
      <c r="R279" s="72"/>
      <c r="S279" s="72"/>
      <c r="T279" s="72"/>
      <c r="U279" s="72"/>
      <c r="V279" s="72"/>
      <c r="W279" s="72"/>
      <c r="X279" s="72"/>
      <c r="Y279" s="70">
        <f>SUM(RD[[#This Row],[IS1Inv1]:[IS3Inv1]])</f>
        <v>0</v>
      </c>
      <c r="Z279" s="70">
        <f>SUM(RD[[#This Row],[IS4Inv1]:[IS4Inv2]])</f>
        <v>0</v>
      </c>
      <c r="AA279" s="70">
        <f>SUM(RD[[#This Row],[O2RE7]:[O2RE27]])</f>
        <v>0</v>
      </c>
      <c r="AB279" s="150"/>
      <c r="AC279" s="150"/>
      <c r="AD279" s="150"/>
      <c r="AE279" s="150"/>
      <c r="AF279" s="150"/>
      <c r="AG279" s="150"/>
      <c r="AH279" s="150"/>
      <c r="AI279" s="157" t="str">
        <f>IF((RD[[#This Row],[33 kV_F1_Ex]]-AB278)*225000&lt;=0,"",(RD[[#This Row],[33 kV_F1_Ex]]-AB278)*225000)</f>
        <v/>
      </c>
      <c r="AJ279" s="154">
        <f>IF((RD[[#This Row],[33kV_OG1_Ex]]-AC278)*1000&lt;=0,0,(RD[[#This Row],[33kV_OG1_Ex]]-AC278)*1000)</f>
        <v>0</v>
      </c>
      <c r="AK279" s="154">
        <f>IF((RD[[#This Row],[220kV_TL_TVM_Ex]]-AE278)*1600&lt;=0,0,(RD[[#This Row],[220kV_TL_TVM_Ex]]-AE278)*1600)</f>
        <v>0</v>
      </c>
      <c r="AL279" s="154" t="str">
        <f>IF((RD[[#This Row],[220kV_C&amp;R_PQM_Ex]]-AF278)*1000&lt;=0,"",(RD[[#This Row],[220kV_C&amp;R_PQM_Ex]]-AF278)*1000)</f>
        <v/>
      </c>
      <c r="AM279" s="154">
        <f>IF((RD[[#This Row],[33kV_Aux1_Im]]-AH278)*1000&lt;0,"",(RD[[#This Row],[33kV_Aux1_Im]]-AH278)*1000)</f>
        <v>0</v>
      </c>
      <c r="AN279" s="154">
        <f>IF((RD[[#This Row],[33kV_Aux1_Im]]-AH278)*1000&lt;0,"",(RD[[#This Row],[33kV_Aux1_Im]]-AH278)*1000)</f>
        <v>0</v>
      </c>
      <c r="AO279" s="61">
        <f>RD[[#This Row],[33kV_OG1_Energy (KWh)]]</f>
        <v>0</v>
      </c>
      <c r="AP279" s="61">
        <f>IFERROR(RD[[#This Row],[220kV_TL_TVM Energy (KWh)]]-RD[[#This Row],[220kV_C&amp;R_PQM_Imp (KWh)2]],"")</f>
        <v>0</v>
      </c>
      <c r="AQ279" s="63" t="str">
        <f>IFERROR(RD[[#This Row],[33 kV Total Export (KWH)]]/RD[[#This Row],[220 KV Net Export (KWh)]]-1,"")</f>
        <v/>
      </c>
      <c r="AR279" s="64">
        <f>IFERROR((RD[[#This Row],[Sunset Time (POA&lt;20 W/m2)]]-RD[[#This Row],[Sunrise Time (POA&gt;20 W/m2)]])*24,0)</f>
        <v>0</v>
      </c>
      <c r="AS279" s="65">
        <f>RD[[#This Row],[33kV_OG1_Energy (KWh)]]</f>
        <v>0</v>
      </c>
      <c r="AT279" s="65">
        <f>IFERROR(RD[[#This Row],[ Export (33 kV)]]*(1-RD[[#This Row],[33 kV Line Loss (%)]]),RD[[#This Row],[ Export (33 kV)]])</f>
        <v>0</v>
      </c>
      <c r="AU279" s="190"/>
      <c r="AV279" s="190"/>
      <c r="AW279" s="190"/>
      <c r="AX279" t="str">
        <f>IFERROR(RD[[#This Row],[E_AC (WPR)]]/RD[[#This Row],[E_DC (WPR)]],"")</f>
        <v/>
      </c>
    </row>
    <row r="280" spans="1:50">
      <c r="A280" s="148">
        <f t="shared" si="55"/>
        <v>46020</v>
      </c>
      <c r="B280" s="151">
        <f>YEAR(RD[[#This Row],[Date]])+IF(MONTH(RD[[#This Row],[Date]])&gt;=4,1,0)</f>
        <v>2026</v>
      </c>
      <c r="C280" s="151">
        <f>YEAR(RD[[#This Row],[Date]])</f>
        <v>2025</v>
      </c>
      <c r="D280" s="66">
        <f t="shared" si="54"/>
        <v>45992</v>
      </c>
      <c r="E280" s="151">
        <f>DAY(EOMONTH(RD[[#This Row],[Date]],0))</f>
        <v>31</v>
      </c>
      <c r="F280" s="172"/>
      <c r="G280" s="172"/>
      <c r="H280" s="138"/>
      <c r="I280" s="138"/>
      <c r="J280" s="138"/>
      <c r="K280" s="138"/>
      <c r="L280" s="138"/>
      <c r="M280" s="138"/>
      <c r="N280" s="138"/>
      <c r="O280" s="169"/>
      <c r="P280" s="169"/>
      <c r="Q280" s="72"/>
      <c r="R280" s="72"/>
      <c r="S280" s="72"/>
      <c r="T280" s="72"/>
      <c r="U280" s="72"/>
      <c r="V280" s="72"/>
      <c r="W280" s="72"/>
      <c r="X280" s="72"/>
      <c r="Y280" s="70">
        <f>SUM(RD[[#This Row],[IS1Inv1]:[IS3Inv1]])</f>
        <v>0</v>
      </c>
      <c r="Z280" s="70">
        <f>SUM(RD[[#This Row],[IS4Inv1]:[IS4Inv2]])</f>
        <v>0</v>
      </c>
      <c r="AA280" s="70">
        <f>SUM(RD[[#This Row],[O2RE7]:[O2RE27]])</f>
        <v>0</v>
      </c>
      <c r="AB280" s="150"/>
      <c r="AC280" s="150"/>
      <c r="AD280" s="150"/>
      <c r="AE280" s="150"/>
      <c r="AF280" s="150"/>
      <c r="AG280" s="150"/>
      <c r="AH280" s="150"/>
      <c r="AI280" s="157" t="str">
        <f>IF((RD[[#This Row],[33 kV_F1_Ex]]-AB279)*225000&lt;=0,"",(RD[[#This Row],[33 kV_F1_Ex]]-AB279)*225000)</f>
        <v/>
      </c>
      <c r="AJ280" s="154">
        <f>IF((RD[[#This Row],[33kV_OG1_Ex]]-AC279)*1000&lt;=0,0,(RD[[#This Row],[33kV_OG1_Ex]]-AC279)*1000)</f>
        <v>0</v>
      </c>
      <c r="AK280" s="154">
        <f>IF((RD[[#This Row],[220kV_TL_TVM_Ex]]-AE279)*1600&lt;=0,0,(RD[[#This Row],[220kV_TL_TVM_Ex]]-AE279)*1600)</f>
        <v>0</v>
      </c>
      <c r="AL280" s="154" t="str">
        <f>IF((RD[[#This Row],[220kV_C&amp;R_PQM_Ex]]-AF279)*1000&lt;=0,"",(RD[[#This Row],[220kV_C&amp;R_PQM_Ex]]-AF279)*1000)</f>
        <v/>
      </c>
      <c r="AM280" s="154">
        <f>IF((RD[[#This Row],[33kV_Aux1_Im]]-AH279)*1000&lt;0,"",(RD[[#This Row],[33kV_Aux1_Im]]-AH279)*1000)</f>
        <v>0</v>
      </c>
      <c r="AN280" s="154">
        <f>IF((RD[[#This Row],[33kV_Aux1_Im]]-AH279)*1000&lt;0,"",(RD[[#This Row],[33kV_Aux1_Im]]-AH279)*1000)</f>
        <v>0</v>
      </c>
      <c r="AO280" s="61">
        <f>RD[[#This Row],[33kV_OG1_Energy (KWh)]]</f>
        <v>0</v>
      </c>
      <c r="AP280" s="61">
        <f>IFERROR(RD[[#This Row],[220kV_TL_TVM Energy (KWh)]]-RD[[#This Row],[220kV_C&amp;R_PQM_Imp (KWh)2]],"")</f>
        <v>0</v>
      </c>
      <c r="AQ280" s="63" t="str">
        <f>IFERROR(RD[[#This Row],[33 kV Total Export (KWH)]]/RD[[#This Row],[220 KV Net Export (KWh)]]-1,"")</f>
        <v/>
      </c>
      <c r="AR280" s="64">
        <f>IFERROR((RD[[#This Row],[Sunset Time (POA&lt;20 W/m2)]]-RD[[#This Row],[Sunrise Time (POA&gt;20 W/m2)]])*24,0)</f>
        <v>0</v>
      </c>
      <c r="AS280" s="65">
        <f>RD[[#This Row],[33kV_OG1_Energy (KWh)]]</f>
        <v>0</v>
      </c>
      <c r="AT280" s="65">
        <f>IFERROR(RD[[#This Row],[ Export (33 kV)]]*(1-RD[[#This Row],[33 kV Line Loss (%)]]),RD[[#This Row],[ Export (33 kV)]])</f>
        <v>0</v>
      </c>
      <c r="AU280" s="190"/>
      <c r="AV280" s="190"/>
      <c r="AW280" s="190"/>
      <c r="AX280" t="str">
        <f>IFERROR(RD[[#This Row],[E_AC (WPR)]]/RD[[#This Row],[E_DC (WPR)]],"")</f>
        <v/>
      </c>
    </row>
    <row r="281" spans="1:50">
      <c r="A281" s="148">
        <f t="shared" si="55"/>
        <v>46021</v>
      </c>
      <c r="B281" s="151">
        <f>YEAR(RD[[#This Row],[Date]])+IF(MONTH(RD[[#This Row],[Date]])&gt;=4,1,0)</f>
        <v>2026</v>
      </c>
      <c r="C281" s="151">
        <f>YEAR(RD[[#This Row],[Date]])</f>
        <v>2025</v>
      </c>
      <c r="D281" s="66">
        <f t="shared" si="54"/>
        <v>45992</v>
      </c>
      <c r="E281" s="151">
        <f>DAY(EOMONTH(RD[[#This Row],[Date]],0))</f>
        <v>31</v>
      </c>
      <c r="F281" s="172"/>
      <c r="G281" s="172"/>
      <c r="H281" s="138"/>
      <c r="I281" s="138"/>
      <c r="J281" s="138"/>
      <c r="K281" s="138"/>
      <c r="L281" s="138"/>
      <c r="M281" s="138"/>
      <c r="N281" s="138"/>
      <c r="O281" s="169"/>
      <c r="P281" s="169"/>
      <c r="Q281" s="72"/>
      <c r="R281" s="72"/>
      <c r="S281" s="72"/>
      <c r="T281" s="72"/>
      <c r="U281" s="72"/>
      <c r="V281" s="72"/>
      <c r="W281" s="72"/>
      <c r="X281" s="72"/>
      <c r="Y281" s="70">
        <f>SUM(RD[[#This Row],[IS1Inv1]:[IS3Inv1]])</f>
        <v>0</v>
      </c>
      <c r="Z281" s="70">
        <f>SUM(RD[[#This Row],[IS4Inv1]:[IS4Inv2]])</f>
        <v>0</v>
      </c>
      <c r="AA281" s="70">
        <f>SUM(RD[[#This Row],[O2RE7]:[O2RE27]])</f>
        <v>0</v>
      </c>
      <c r="AB281" s="150"/>
      <c r="AC281" s="150"/>
      <c r="AD281" s="150"/>
      <c r="AE281" s="150"/>
      <c r="AF281" s="150"/>
      <c r="AG281" s="150"/>
      <c r="AH281" s="150"/>
      <c r="AI281" s="157" t="str">
        <f>IF((RD[[#This Row],[33 kV_F1_Ex]]-AB280)*225000&lt;=0,"",(RD[[#This Row],[33 kV_F1_Ex]]-AB280)*225000)</f>
        <v/>
      </c>
      <c r="AJ281" s="154">
        <f>IF((RD[[#This Row],[33kV_OG1_Ex]]-AC280)*1000&lt;=0,0,(RD[[#This Row],[33kV_OG1_Ex]]-AC280)*1000)</f>
        <v>0</v>
      </c>
      <c r="AK281" s="154">
        <f>IF((RD[[#This Row],[220kV_TL_TVM_Ex]]-AE280)*1600&lt;=0,0,(RD[[#This Row],[220kV_TL_TVM_Ex]]-AE280)*1600)</f>
        <v>0</v>
      </c>
      <c r="AL281" s="154" t="str">
        <f>IF((RD[[#This Row],[220kV_C&amp;R_PQM_Ex]]-AF280)*1000&lt;=0,"",(RD[[#This Row],[220kV_C&amp;R_PQM_Ex]]-AF280)*1000)</f>
        <v/>
      </c>
      <c r="AM281" s="154">
        <f>IF((RD[[#This Row],[33kV_Aux1_Im]]-AH280)*1000&lt;0,"",(RD[[#This Row],[33kV_Aux1_Im]]-AH280)*1000)</f>
        <v>0</v>
      </c>
      <c r="AN281" s="154">
        <f>IF((RD[[#This Row],[33kV_Aux1_Im]]-AH280)*1000&lt;0,"",(RD[[#This Row],[33kV_Aux1_Im]]-AH280)*1000)</f>
        <v>0</v>
      </c>
      <c r="AO281" s="61">
        <f>RD[[#This Row],[33kV_OG1_Energy (KWh)]]</f>
        <v>0</v>
      </c>
      <c r="AP281" s="61">
        <f>IFERROR(RD[[#This Row],[220kV_TL_TVM Energy (KWh)]]-RD[[#This Row],[220kV_C&amp;R_PQM_Imp (KWh)2]],"")</f>
        <v>0</v>
      </c>
      <c r="AQ281" s="63" t="str">
        <f>IFERROR(RD[[#This Row],[33 kV Total Export (KWH)]]/RD[[#This Row],[220 KV Net Export (KWh)]]-1,"")</f>
        <v/>
      </c>
      <c r="AR281" s="64">
        <f>IFERROR((RD[[#This Row],[Sunset Time (POA&lt;20 W/m2)]]-RD[[#This Row],[Sunrise Time (POA&gt;20 W/m2)]])*24,0)</f>
        <v>0</v>
      </c>
      <c r="AS281" s="65">
        <f>RD[[#This Row],[33kV_OG1_Energy (KWh)]]</f>
        <v>0</v>
      </c>
      <c r="AT281" s="65">
        <f>IFERROR(RD[[#This Row],[ Export (33 kV)]]*(1-RD[[#This Row],[33 kV Line Loss (%)]]),RD[[#This Row],[ Export (33 kV)]])</f>
        <v>0</v>
      </c>
      <c r="AU281" s="190"/>
      <c r="AV281" s="190"/>
      <c r="AW281" s="190"/>
      <c r="AX281" t="str">
        <f>IFERROR(RD[[#This Row],[E_AC (WPR)]]/RD[[#This Row],[E_DC (WPR)]],"")</f>
        <v/>
      </c>
    </row>
    <row r="282" spans="1:50">
      <c r="A282" s="148">
        <f t="shared" si="55"/>
        <v>46022</v>
      </c>
      <c r="B282" s="151">
        <f>YEAR(RD[[#This Row],[Date]])+IF(MONTH(RD[[#This Row],[Date]])&gt;=4,1,0)</f>
        <v>2026</v>
      </c>
      <c r="C282" s="151">
        <f>YEAR(RD[[#This Row],[Date]])</f>
        <v>2025</v>
      </c>
      <c r="D282" s="66">
        <f t="shared" si="54"/>
        <v>45992</v>
      </c>
      <c r="E282" s="151">
        <f>DAY(EOMONTH(RD[[#This Row],[Date]],0))</f>
        <v>31</v>
      </c>
      <c r="F282" s="172"/>
      <c r="G282" s="172"/>
      <c r="H282" s="138"/>
      <c r="I282" s="138"/>
      <c r="J282" s="138"/>
      <c r="K282" s="138"/>
      <c r="L282" s="138"/>
      <c r="M282" s="138"/>
      <c r="N282" s="138"/>
      <c r="O282" s="169"/>
      <c r="P282" s="169"/>
      <c r="Q282" s="72"/>
      <c r="R282" s="72"/>
      <c r="S282" s="72"/>
      <c r="T282" s="72"/>
      <c r="U282" s="72"/>
      <c r="V282" s="72"/>
      <c r="W282" s="72"/>
      <c r="X282" s="72"/>
      <c r="Y282" s="70">
        <f>SUM(RD[[#This Row],[IS1Inv1]:[IS3Inv1]])</f>
        <v>0</v>
      </c>
      <c r="Z282" s="70">
        <f>SUM(RD[[#This Row],[IS4Inv1]:[IS4Inv2]])</f>
        <v>0</v>
      </c>
      <c r="AA282" s="70">
        <f>SUM(RD[[#This Row],[O2RE7]:[O2RE27]])</f>
        <v>0</v>
      </c>
      <c r="AB282" s="150"/>
      <c r="AC282" s="150"/>
      <c r="AD282" s="150"/>
      <c r="AE282" s="150"/>
      <c r="AF282" s="150"/>
      <c r="AG282" s="150"/>
      <c r="AH282" s="150"/>
      <c r="AI282" s="157" t="str">
        <f>IF((RD[[#This Row],[33 kV_F1_Ex]]-AB281)*225000&lt;=0,"",(RD[[#This Row],[33 kV_F1_Ex]]-AB281)*225000)</f>
        <v/>
      </c>
      <c r="AJ282" s="154">
        <f>IF((RD[[#This Row],[33kV_OG1_Ex]]-AC281)*1000&lt;=0,0,(RD[[#This Row],[33kV_OG1_Ex]]-AC281)*1000)</f>
        <v>0</v>
      </c>
      <c r="AK282" s="154">
        <f>IF((RD[[#This Row],[220kV_TL_TVM_Ex]]-AE281)*1600&lt;=0,0,(RD[[#This Row],[220kV_TL_TVM_Ex]]-AE281)*1600)</f>
        <v>0</v>
      </c>
      <c r="AL282" s="154" t="str">
        <f>IF((RD[[#This Row],[220kV_C&amp;R_PQM_Ex]]-AF281)*1000&lt;=0,"",(RD[[#This Row],[220kV_C&amp;R_PQM_Ex]]-AF281)*1000)</f>
        <v/>
      </c>
      <c r="AM282" s="154">
        <f>IF((RD[[#This Row],[33kV_Aux1_Im]]-AH281)*1000&lt;0,"",(RD[[#This Row],[33kV_Aux1_Im]]-AH281)*1000)</f>
        <v>0</v>
      </c>
      <c r="AN282" s="154">
        <f>IF((RD[[#This Row],[33kV_Aux1_Im]]-AH281)*1000&lt;0,"",(RD[[#This Row],[33kV_Aux1_Im]]-AH281)*1000)</f>
        <v>0</v>
      </c>
      <c r="AO282" s="61">
        <f>RD[[#This Row],[33kV_OG1_Energy (KWh)]]</f>
        <v>0</v>
      </c>
      <c r="AP282" s="61">
        <f>IFERROR(RD[[#This Row],[220kV_TL_TVM Energy (KWh)]]-RD[[#This Row],[220kV_C&amp;R_PQM_Imp (KWh)2]],"")</f>
        <v>0</v>
      </c>
      <c r="AQ282" s="63" t="str">
        <f>IFERROR(RD[[#This Row],[33 kV Total Export (KWH)]]/RD[[#This Row],[220 KV Net Export (KWh)]]-1,"")</f>
        <v/>
      </c>
      <c r="AR282" s="64">
        <f>IFERROR((RD[[#This Row],[Sunset Time (POA&lt;20 W/m2)]]-RD[[#This Row],[Sunrise Time (POA&gt;20 W/m2)]])*24,0)</f>
        <v>0</v>
      </c>
      <c r="AS282" s="65">
        <f>RD[[#This Row],[33kV_OG1_Energy (KWh)]]</f>
        <v>0</v>
      </c>
      <c r="AT282" s="65">
        <f>IFERROR(RD[[#This Row],[ Export (33 kV)]]*(1-RD[[#This Row],[33 kV Line Loss (%)]]),RD[[#This Row],[ Export (33 kV)]])</f>
        <v>0</v>
      </c>
      <c r="AU282" s="190"/>
      <c r="AV282" s="190"/>
      <c r="AW282" s="190"/>
      <c r="AX282" t="str">
        <f>IFERROR(RD[[#This Row],[E_AC (WPR)]]/RD[[#This Row],[E_DC (WPR)]],"")</f>
        <v/>
      </c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94" customWidth="1"/>
    <col min="2" max="2" width="10.1796875" style="219" customWidth="1"/>
    <col min="3" max="3" width="12.1796875" style="194" customWidth="1"/>
    <col min="4" max="4" width="12.81640625" style="194" customWidth="1"/>
    <col min="5" max="6" width="10.1796875" style="219" customWidth="1"/>
    <col min="7" max="7" width="16" style="219" customWidth="1"/>
    <col min="8" max="8" width="8.1796875" style="194" customWidth="1"/>
    <col min="9" max="9" width="9.453125" style="193" customWidth="1"/>
    <col min="10" max="10" width="10" style="193" customWidth="1"/>
    <col min="11" max="11" width="62.453125" style="219" customWidth="1"/>
    <col min="12" max="12" width="9.453125" style="194" customWidth="1"/>
    <col min="13" max="14" width="8.81640625" style="194"/>
    <col min="15" max="15" width="12" style="194" customWidth="1"/>
    <col min="16" max="16" width="8.453125" style="194" customWidth="1"/>
    <col min="17" max="17" width="8" style="194" customWidth="1"/>
    <col min="18" max="18" width="74.453125" style="219" bestFit="1" customWidth="1"/>
    <col min="19" max="19" width="8.453125" style="193" customWidth="1"/>
    <col min="20" max="20" width="11.453125" style="193" customWidth="1"/>
    <col min="21" max="21" width="11.453125" style="194" customWidth="1"/>
    <col min="22" max="22" width="11.81640625" style="194" customWidth="1"/>
    <col min="23" max="23" width="15.1796875" style="194" customWidth="1"/>
    <col min="24" max="16384" width="8.81640625" style="194"/>
  </cols>
  <sheetData>
    <row r="1" spans="1:22" ht="42" customHeight="1">
      <c r="A1" s="197" t="s">
        <v>6</v>
      </c>
      <c r="B1" s="198" t="s">
        <v>110</v>
      </c>
      <c r="C1" s="198" t="s">
        <v>156</v>
      </c>
      <c r="D1" s="198" t="s">
        <v>157</v>
      </c>
      <c r="E1" s="198" t="s">
        <v>200</v>
      </c>
      <c r="F1" s="198" t="s">
        <v>201</v>
      </c>
      <c r="G1" s="198" t="s">
        <v>202</v>
      </c>
      <c r="H1" s="198" t="s">
        <v>34</v>
      </c>
      <c r="I1" s="198" t="s">
        <v>203</v>
      </c>
      <c r="J1" s="198" t="s">
        <v>204</v>
      </c>
      <c r="K1" s="198" t="s">
        <v>205</v>
      </c>
      <c r="L1" s="198" t="s">
        <v>206</v>
      </c>
      <c r="M1" s="198" t="s">
        <v>207</v>
      </c>
      <c r="N1" s="198" t="s">
        <v>208</v>
      </c>
      <c r="O1" s="198" t="s">
        <v>209</v>
      </c>
      <c r="P1" s="198" t="s">
        <v>210</v>
      </c>
      <c r="Q1" s="198" t="s">
        <v>211</v>
      </c>
      <c r="R1" s="198" t="s">
        <v>212</v>
      </c>
      <c r="S1" s="198" t="s">
        <v>213</v>
      </c>
      <c r="T1" s="198" t="s">
        <v>214</v>
      </c>
      <c r="U1" s="198" t="s">
        <v>215</v>
      </c>
      <c r="V1" s="199" t="s">
        <v>216</v>
      </c>
    </row>
    <row r="2" spans="1:22">
      <c r="A2" s="200">
        <v>1</v>
      </c>
      <c r="B2" s="31"/>
      <c r="C2" s="201">
        <f>YEAR(IGA_BD[[#This Row],[Date]])+IF(MONTH(IGA_BD[[#This Row],[Date]])&gt;=4,1,0)</f>
        <v>1900</v>
      </c>
      <c r="D2" s="202">
        <f>YEAR(IGA_BD[[#This Row],[Date]])</f>
        <v>1900</v>
      </c>
      <c r="E2" s="31" t="s">
        <v>217</v>
      </c>
      <c r="F2" s="31" t="s">
        <v>218</v>
      </c>
      <c r="G2" s="31"/>
      <c r="H2" s="203" t="e">
        <f>_xlfn.XLOOKUP(IGA_BD[[#This Row],[Affected Feeder ]],'Basic Data'!N:N,'Basic Data'!O:O)</f>
        <v>#N/A</v>
      </c>
      <c r="I2" s="203" t="e">
        <f>_xlfn.XLOOKUP(IGA_BD[[#This Row],[Affected Feeder ]],'Basic Data'!N:N,'Basic Data'!P:P)</f>
        <v>#N/A</v>
      </c>
      <c r="J2" s="204" t="str">
        <f>IFERROR(_xlfn.XLOOKUP(IGA_BD[[#This Row],[Affected Feeder ]],'Basic Data'!N:N,'Basic Data'!R:R),"")</f>
        <v/>
      </c>
      <c r="K2" s="31"/>
      <c r="L2" s="214"/>
      <c r="M2" s="215"/>
      <c r="N2" s="215"/>
      <c r="O2" s="205">
        <f>(IGA_BD[[#This Row],[Work Start TimeStamp]]-IGA_BD[[#This Row],[Fault Start TimeStamp]])*24</f>
        <v>0</v>
      </c>
      <c r="P2" s="205">
        <f>(IGA_BD[[#This Row],[Fault Clearance time]]-IGA_BD[[#This Row],[Work Start TimeStamp]])*24</f>
        <v>0</v>
      </c>
      <c r="Q2" s="205">
        <f>(IGA_BD[[#This Row],[Fault Clearance time]]-IGA_BD[[#This Row],[Fault Start TimeStamp]])*24</f>
        <v>0</v>
      </c>
      <c r="R2" s="31"/>
      <c r="S2" s="220"/>
      <c r="T2" s="206" t="str">
        <f>IFERROR(IGA_BD[[#This Row],[Breakdown Time]]*IGA_BD[[#This Row],[Plant Equivalent Weightage]],"")</f>
        <v/>
      </c>
      <c r="U2" s="217"/>
      <c r="V2" s="207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200">
        <f>A2+1</f>
        <v>2</v>
      </c>
      <c r="B3" s="31"/>
      <c r="C3" s="201">
        <v>2024</v>
      </c>
      <c r="D3" s="202">
        <v>2023</v>
      </c>
      <c r="E3" s="31" t="s">
        <v>217</v>
      </c>
      <c r="F3" s="31" t="s">
        <v>218</v>
      </c>
      <c r="G3" s="31"/>
      <c r="H3" s="203" t="e">
        <f>_xlfn.XLOOKUP(IGA_BD[[#This Row],[Affected Feeder ]],'Basic Data'!N:N,'Basic Data'!O:O)</f>
        <v>#N/A</v>
      </c>
      <c r="I3" s="203" t="e">
        <f>_xlfn.XLOOKUP(IGA_BD[[#This Row],[Affected Feeder ]],'Basic Data'!N:N,'Basic Data'!P:P)</f>
        <v>#N/A</v>
      </c>
      <c r="J3" s="204" t="str">
        <f>IFERROR(_xlfn.XLOOKUP(IGA_BD[[#This Row],[Affected Feeder ]],'Basic Data'!N:N,'Basic Data'!R:R),"")</f>
        <v/>
      </c>
      <c r="K3" s="31"/>
      <c r="L3" s="214"/>
      <c r="M3" s="215"/>
      <c r="N3" s="215"/>
      <c r="O3" s="205">
        <f>(IGA_BD[[#This Row],[Work Start TimeStamp]]-IGA_BD[[#This Row],[Fault Start TimeStamp]])*24</f>
        <v>0</v>
      </c>
      <c r="P3" s="205">
        <f>(IGA_BD[[#This Row],[Fault Clearance time]]-IGA_BD[[#This Row],[Work Start TimeStamp]])*24</f>
        <v>0</v>
      </c>
      <c r="Q3" s="205">
        <f>(IGA_BD[[#This Row],[Fault Clearance time]]-IGA_BD[[#This Row],[Fault Start TimeStamp]])*24</f>
        <v>0</v>
      </c>
      <c r="R3" s="31"/>
      <c r="S3" s="220"/>
      <c r="T3" s="206" t="str">
        <f>IFERROR(IGA_BD[[#This Row],[Breakdown Time]]*IGA_BD[[#This Row],[Plant Equivalent Weightage]],"")</f>
        <v/>
      </c>
      <c r="U3" s="217"/>
      <c r="V3" s="207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200">
        <f t="shared" ref="A4:A32" si="0">A3+1</f>
        <v>3</v>
      </c>
      <c r="B4" s="31"/>
      <c r="C4" s="201">
        <v>2024</v>
      </c>
      <c r="D4" s="202">
        <v>2023</v>
      </c>
      <c r="E4" s="31" t="s">
        <v>217</v>
      </c>
      <c r="F4" s="31" t="s">
        <v>218</v>
      </c>
      <c r="G4" s="31"/>
      <c r="H4" s="203" t="e">
        <f>_xlfn.XLOOKUP(IGA_BD[[#This Row],[Affected Feeder ]],'Basic Data'!N:N,'Basic Data'!O:O)</f>
        <v>#N/A</v>
      </c>
      <c r="I4" s="203" t="e">
        <f>_xlfn.XLOOKUP(IGA_BD[[#This Row],[Affected Feeder ]],'Basic Data'!N:N,'Basic Data'!P:P)</f>
        <v>#N/A</v>
      </c>
      <c r="J4" s="204" t="str">
        <f>IFERROR(_xlfn.XLOOKUP(IGA_BD[[#This Row],[Affected Feeder ]],'Basic Data'!N:N,'Basic Data'!R:R),"")</f>
        <v/>
      </c>
      <c r="K4" s="31"/>
      <c r="L4" s="214"/>
      <c r="M4" s="214"/>
      <c r="N4" s="214"/>
      <c r="O4" s="205">
        <f>(IGA_BD[[#This Row],[Work Start TimeStamp]]-IGA_BD[[#This Row],[Fault Start TimeStamp]])*24</f>
        <v>0</v>
      </c>
      <c r="P4" s="205">
        <f>(IGA_BD[[#This Row],[Fault Clearance time]]-IGA_BD[[#This Row],[Work Start TimeStamp]])*24</f>
        <v>0</v>
      </c>
      <c r="Q4" s="205">
        <f>(IGA_BD[[#This Row],[Fault Clearance time]]-IGA_BD[[#This Row],[Fault Start TimeStamp]])*24</f>
        <v>0</v>
      </c>
      <c r="R4" s="31"/>
      <c r="S4" s="220"/>
      <c r="T4" s="206" t="str">
        <f>IFERROR(IGA_BD[[#This Row],[Breakdown Time]]*IGA_BD[[#This Row],[Plant Equivalent Weightage]],"")</f>
        <v/>
      </c>
      <c r="U4" s="217"/>
      <c r="V4" s="207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200">
        <f t="shared" si="0"/>
        <v>4</v>
      </c>
      <c r="B5" s="31"/>
      <c r="C5" s="201">
        <v>2024</v>
      </c>
      <c r="D5" s="202">
        <v>2023</v>
      </c>
      <c r="E5" s="31" t="s">
        <v>217</v>
      </c>
      <c r="F5" s="31" t="s">
        <v>218</v>
      </c>
      <c r="G5" s="31"/>
      <c r="H5" s="203" t="e">
        <f>_xlfn.XLOOKUP(IGA_BD[[#This Row],[Affected Feeder ]],'Basic Data'!N:N,'Basic Data'!O:O)</f>
        <v>#N/A</v>
      </c>
      <c r="I5" s="203" t="e">
        <f>_xlfn.XLOOKUP(IGA_BD[[#This Row],[Affected Feeder ]],'Basic Data'!N:N,'Basic Data'!P:P)</f>
        <v>#N/A</v>
      </c>
      <c r="J5" s="204" t="str">
        <f>IFERROR(_xlfn.XLOOKUP(IGA_BD[[#This Row],[Affected Feeder ]],'Basic Data'!N:N,'Basic Data'!R:R),"")</f>
        <v/>
      </c>
      <c r="K5" s="31"/>
      <c r="L5" s="214"/>
      <c r="M5" s="214"/>
      <c r="N5" s="214"/>
      <c r="O5" s="205">
        <f>(IGA_BD[[#This Row],[Work Start TimeStamp]]-IGA_BD[[#This Row],[Fault Start TimeStamp]])*24</f>
        <v>0</v>
      </c>
      <c r="P5" s="205">
        <f>(IGA_BD[[#This Row],[Fault Clearance time]]-IGA_BD[[#This Row],[Work Start TimeStamp]])*24</f>
        <v>0</v>
      </c>
      <c r="Q5" s="205">
        <f>(IGA_BD[[#This Row],[Fault Clearance time]]-IGA_BD[[#This Row],[Fault Start TimeStamp]])*24</f>
        <v>0</v>
      </c>
      <c r="R5" s="31"/>
      <c r="S5" s="220"/>
      <c r="T5" s="206" t="str">
        <f>IFERROR(IGA_BD[[#This Row],[Breakdown Time]]*IGA_BD[[#This Row],[Plant Equivalent Weightage]],"")</f>
        <v/>
      </c>
      <c r="U5" s="217"/>
      <c r="V5" s="207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200">
        <f t="shared" si="0"/>
        <v>5</v>
      </c>
      <c r="B6" s="31"/>
      <c r="C6" s="201">
        <v>2024</v>
      </c>
      <c r="D6" s="202">
        <v>2023</v>
      </c>
      <c r="E6" s="31" t="s">
        <v>217</v>
      </c>
      <c r="F6" s="31" t="s">
        <v>218</v>
      </c>
      <c r="G6" s="31"/>
      <c r="H6" s="203" t="e">
        <f>_xlfn.XLOOKUP(IGA_BD[[#This Row],[Affected Feeder ]],'Basic Data'!N:N,'Basic Data'!O:O)</f>
        <v>#N/A</v>
      </c>
      <c r="I6" s="203" t="e">
        <f>_xlfn.XLOOKUP(IGA_BD[[#This Row],[Affected Feeder ]],'Basic Data'!N:N,'Basic Data'!P:P)</f>
        <v>#N/A</v>
      </c>
      <c r="J6" s="204" t="str">
        <f>IFERROR(_xlfn.XLOOKUP(IGA_BD[[#This Row],[Affected Feeder ]],'Basic Data'!N:N,'Basic Data'!R:R),"")</f>
        <v/>
      </c>
      <c r="K6" s="31"/>
      <c r="L6" s="214"/>
      <c r="M6" s="215"/>
      <c r="N6" s="215"/>
      <c r="O6" s="205">
        <f>(IGA_BD[[#This Row],[Work Start TimeStamp]]-IGA_BD[[#This Row],[Fault Start TimeStamp]])*24</f>
        <v>0</v>
      </c>
      <c r="P6" s="205">
        <f>(IGA_BD[[#This Row],[Fault Clearance time]]-IGA_BD[[#This Row],[Work Start TimeStamp]])*24</f>
        <v>0</v>
      </c>
      <c r="Q6" s="205">
        <f>(IGA_BD[[#This Row],[Fault Clearance time]]-IGA_BD[[#This Row],[Fault Start TimeStamp]])*24</f>
        <v>0</v>
      </c>
      <c r="R6" s="31"/>
      <c r="S6" s="220"/>
      <c r="T6" s="206" t="str">
        <f>IFERROR(IGA_BD[[#This Row],[Breakdown Time]]*IGA_BD[[#This Row],[Plant Equivalent Weightage]],"")</f>
        <v/>
      </c>
      <c r="U6" s="217"/>
      <c r="V6" s="207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200">
        <f t="shared" si="0"/>
        <v>6</v>
      </c>
      <c r="B7" s="31"/>
      <c r="C7" s="201">
        <v>2024</v>
      </c>
      <c r="D7" s="202">
        <v>2023</v>
      </c>
      <c r="E7" s="31" t="s">
        <v>217</v>
      </c>
      <c r="F7" s="31" t="s">
        <v>218</v>
      </c>
      <c r="G7" s="31"/>
      <c r="H7" s="203" t="e">
        <f>_xlfn.XLOOKUP(IGA_BD[[#This Row],[Affected Feeder ]],'Basic Data'!N:N,'Basic Data'!O:O)</f>
        <v>#N/A</v>
      </c>
      <c r="I7" s="203" t="e">
        <f>_xlfn.XLOOKUP(IGA_BD[[#This Row],[Affected Feeder ]],'Basic Data'!N:N,'Basic Data'!P:P)</f>
        <v>#N/A</v>
      </c>
      <c r="J7" s="204" t="str">
        <f>IFERROR(_xlfn.XLOOKUP(IGA_BD[[#This Row],[Affected Feeder ]],'Basic Data'!N:N,'Basic Data'!R:R),"")</f>
        <v/>
      </c>
      <c r="K7" s="31"/>
      <c r="L7" s="214"/>
      <c r="M7" s="214"/>
      <c r="N7" s="214"/>
      <c r="O7" s="205">
        <f>(IGA_BD[[#This Row],[Work Start TimeStamp]]-IGA_BD[[#This Row],[Fault Start TimeStamp]])*24</f>
        <v>0</v>
      </c>
      <c r="P7" s="205">
        <f>(IGA_BD[[#This Row],[Fault Clearance time]]-IGA_BD[[#This Row],[Work Start TimeStamp]])*24</f>
        <v>0</v>
      </c>
      <c r="Q7" s="205">
        <f>(IGA_BD[[#This Row],[Fault Clearance time]]-IGA_BD[[#This Row],[Fault Start TimeStamp]])*24</f>
        <v>0</v>
      </c>
      <c r="R7" s="31"/>
      <c r="S7" s="220"/>
      <c r="T7" s="206" t="str">
        <f>IFERROR(IGA_BD[[#This Row],[Breakdown Time]]*IGA_BD[[#This Row],[Plant Equivalent Weightage]],"")</f>
        <v/>
      </c>
      <c r="U7" s="217"/>
      <c r="V7" s="207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200">
        <f t="shared" si="0"/>
        <v>7</v>
      </c>
      <c r="B8" s="31"/>
      <c r="C8" s="201">
        <v>2024</v>
      </c>
      <c r="D8" s="202">
        <v>2024</v>
      </c>
      <c r="E8" s="31" t="s">
        <v>217</v>
      </c>
      <c r="F8" s="31" t="s">
        <v>218</v>
      </c>
      <c r="G8" s="31"/>
      <c r="H8" s="203" t="e">
        <f>_xlfn.XLOOKUP(IGA_BD[[#This Row],[Affected Feeder ]],'Basic Data'!N:N,'Basic Data'!O:O)</f>
        <v>#N/A</v>
      </c>
      <c r="I8" s="203" t="e">
        <f>_xlfn.XLOOKUP(IGA_BD[[#This Row],[Affected Feeder ]],'Basic Data'!N:N,'Basic Data'!P:P)</f>
        <v>#N/A</v>
      </c>
      <c r="J8" s="204" t="str">
        <f>IFERROR(_xlfn.XLOOKUP(IGA_BD[[#This Row],[Affected Feeder ]],'Basic Data'!N:N,'Basic Data'!R:R),"")</f>
        <v/>
      </c>
      <c r="K8" s="31"/>
      <c r="L8" s="214"/>
      <c r="M8" s="214"/>
      <c r="N8" s="214"/>
      <c r="O8" s="205">
        <f>(IGA_BD[[#This Row],[Work Start TimeStamp]]-IGA_BD[[#This Row],[Fault Start TimeStamp]])*24</f>
        <v>0</v>
      </c>
      <c r="P8" s="205">
        <f>(IGA_BD[[#This Row],[Fault Clearance time]]-IGA_BD[[#This Row],[Work Start TimeStamp]])*24</f>
        <v>0</v>
      </c>
      <c r="Q8" s="205">
        <f>(IGA_BD[[#This Row],[Fault Clearance time]]-IGA_BD[[#This Row],[Fault Start TimeStamp]])*24</f>
        <v>0</v>
      </c>
      <c r="R8" s="31"/>
      <c r="S8" s="220"/>
      <c r="T8" s="206" t="str">
        <f>IFERROR(IGA_BD[[#This Row],[Breakdown Time]]*IGA_BD[[#This Row],[Plant Equivalent Weightage]],"")</f>
        <v/>
      </c>
      <c r="U8" s="217"/>
      <c r="V8" s="207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200">
        <f t="shared" si="0"/>
        <v>8</v>
      </c>
      <c r="B9" s="31"/>
      <c r="C9" s="201">
        <v>2024</v>
      </c>
      <c r="D9" s="202">
        <v>2024</v>
      </c>
      <c r="E9" s="31" t="s">
        <v>217</v>
      </c>
      <c r="F9" s="31" t="s">
        <v>218</v>
      </c>
      <c r="G9" s="31"/>
      <c r="H9" s="203" t="e">
        <f>_xlfn.XLOOKUP(IGA_BD[[#This Row],[Affected Feeder ]],'Basic Data'!N:N,'Basic Data'!O:O)</f>
        <v>#N/A</v>
      </c>
      <c r="I9" s="203" t="e">
        <f>_xlfn.XLOOKUP(IGA_BD[[#This Row],[Affected Feeder ]],'Basic Data'!N:N,'Basic Data'!P:P)</f>
        <v>#N/A</v>
      </c>
      <c r="J9" s="204" t="str">
        <f>IFERROR(_xlfn.XLOOKUP(IGA_BD[[#This Row],[Affected Feeder ]],'Basic Data'!N:N,'Basic Data'!R:R),"")</f>
        <v/>
      </c>
      <c r="K9" s="31"/>
      <c r="L9" s="214"/>
      <c r="M9" s="214"/>
      <c r="N9" s="214"/>
      <c r="O9" s="205">
        <f>(IGA_BD[[#This Row],[Work Start TimeStamp]]-IGA_BD[[#This Row],[Fault Start TimeStamp]])*24</f>
        <v>0</v>
      </c>
      <c r="P9" s="205">
        <f>(IGA_BD[[#This Row],[Fault Clearance time]]-IGA_BD[[#This Row],[Work Start TimeStamp]])*24</f>
        <v>0</v>
      </c>
      <c r="Q9" s="205">
        <f>(IGA_BD[[#This Row],[Fault Clearance time]]-IGA_BD[[#This Row],[Fault Start TimeStamp]])*24</f>
        <v>0</v>
      </c>
      <c r="R9" s="31"/>
      <c r="S9" s="220"/>
      <c r="T9" s="206" t="str">
        <f>IFERROR(IGA_BD[[#This Row],[Breakdown Time]]*IGA_BD[[#This Row],[Plant Equivalent Weightage]],"")</f>
        <v/>
      </c>
      <c r="U9" s="217"/>
      <c r="V9" s="207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200">
        <f t="shared" si="0"/>
        <v>9</v>
      </c>
      <c r="B10" s="31"/>
      <c r="C10" s="201">
        <v>2024</v>
      </c>
      <c r="D10" s="202">
        <v>2024</v>
      </c>
      <c r="E10" s="31" t="s">
        <v>217</v>
      </c>
      <c r="F10" s="31" t="s">
        <v>218</v>
      </c>
      <c r="G10" s="31"/>
      <c r="H10" s="203" t="e">
        <f>_xlfn.XLOOKUP(IGA_BD[[#This Row],[Affected Feeder ]],'Basic Data'!N:N,'Basic Data'!O:O)</f>
        <v>#N/A</v>
      </c>
      <c r="I10" s="203" t="e">
        <f>_xlfn.XLOOKUP(IGA_BD[[#This Row],[Affected Feeder ]],'Basic Data'!N:N,'Basic Data'!P:P)</f>
        <v>#N/A</v>
      </c>
      <c r="J10" s="204" t="str">
        <f>IFERROR(_xlfn.XLOOKUP(IGA_BD[[#This Row],[Affected Feeder ]],'Basic Data'!N:N,'Basic Data'!R:R),"")</f>
        <v/>
      </c>
      <c r="K10" s="31"/>
      <c r="L10" s="214"/>
      <c r="M10" s="214"/>
      <c r="N10" s="214"/>
      <c r="O10" s="205">
        <f>(IGA_BD[[#This Row],[Work Start TimeStamp]]-IGA_BD[[#This Row],[Fault Start TimeStamp]])*24</f>
        <v>0</v>
      </c>
      <c r="P10" s="205">
        <f>(IGA_BD[[#This Row],[Fault Clearance time]]-IGA_BD[[#This Row],[Work Start TimeStamp]])*24</f>
        <v>0</v>
      </c>
      <c r="Q10" s="205">
        <f>(IGA_BD[[#This Row],[Fault Clearance time]]-IGA_BD[[#This Row],[Fault Start TimeStamp]])*24</f>
        <v>0</v>
      </c>
      <c r="R10" s="31"/>
      <c r="S10" s="220"/>
      <c r="T10" s="206" t="str">
        <f>IFERROR(IGA_BD[[#This Row],[Breakdown Time]]*IGA_BD[[#This Row],[Plant Equivalent Weightage]],"")</f>
        <v/>
      </c>
      <c r="U10" s="217"/>
      <c r="V10" s="207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200">
        <f t="shared" si="0"/>
        <v>10</v>
      </c>
      <c r="B11" s="31"/>
      <c r="C11" s="201">
        <v>2024</v>
      </c>
      <c r="D11" s="202">
        <v>2024</v>
      </c>
      <c r="E11" s="31" t="s">
        <v>217</v>
      </c>
      <c r="F11" s="31" t="s">
        <v>218</v>
      </c>
      <c r="G11" s="31"/>
      <c r="H11" s="203" t="e">
        <f>_xlfn.XLOOKUP(IGA_BD[[#This Row],[Affected Feeder ]],'Basic Data'!N:N,'Basic Data'!O:O)</f>
        <v>#N/A</v>
      </c>
      <c r="I11" s="203" t="e">
        <f>_xlfn.XLOOKUP(IGA_BD[[#This Row],[Affected Feeder ]],'Basic Data'!N:N,'Basic Data'!P:P)</f>
        <v>#N/A</v>
      </c>
      <c r="J11" s="204" t="str">
        <f>IFERROR(_xlfn.XLOOKUP(IGA_BD[[#This Row],[Affected Feeder ]],'Basic Data'!N:N,'Basic Data'!R:R),"")</f>
        <v/>
      </c>
      <c r="K11" s="31"/>
      <c r="L11" s="214"/>
      <c r="M11" s="214"/>
      <c r="N11" s="214"/>
      <c r="O11" s="205">
        <f>(IGA_BD[[#This Row],[Work Start TimeStamp]]-IGA_BD[[#This Row],[Fault Start TimeStamp]])*24</f>
        <v>0</v>
      </c>
      <c r="P11" s="205">
        <f>(IGA_BD[[#This Row],[Fault Clearance time]]-IGA_BD[[#This Row],[Work Start TimeStamp]])*24</f>
        <v>0</v>
      </c>
      <c r="Q11" s="205">
        <f>(IGA_BD[[#This Row],[Fault Clearance time]]-IGA_BD[[#This Row],[Fault Start TimeStamp]])*24</f>
        <v>0</v>
      </c>
      <c r="R11" s="31"/>
      <c r="S11" s="220"/>
      <c r="T11" s="206" t="str">
        <f>IFERROR(IGA_BD[[#This Row],[Breakdown Time]]*IGA_BD[[#This Row],[Plant Equivalent Weightage]],"")</f>
        <v/>
      </c>
      <c r="U11" s="217"/>
      <c r="V11" s="207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200">
        <f t="shared" si="0"/>
        <v>11</v>
      </c>
      <c r="B12" s="31"/>
      <c r="C12" s="201">
        <v>2024</v>
      </c>
      <c r="D12" s="202">
        <v>2024</v>
      </c>
      <c r="E12" s="31" t="s">
        <v>217</v>
      </c>
      <c r="F12" s="31" t="s">
        <v>218</v>
      </c>
      <c r="G12" s="31"/>
      <c r="H12" s="203" t="e">
        <f>_xlfn.XLOOKUP(IGA_BD[[#This Row],[Affected Feeder ]],'Basic Data'!N:N,'Basic Data'!O:O)</f>
        <v>#N/A</v>
      </c>
      <c r="I12" s="203" t="e">
        <f>_xlfn.XLOOKUP(IGA_BD[[#This Row],[Affected Feeder ]],'Basic Data'!N:N,'Basic Data'!P:P)</f>
        <v>#N/A</v>
      </c>
      <c r="J12" s="204" t="str">
        <f>IFERROR(_xlfn.XLOOKUP(IGA_BD[[#This Row],[Affected Feeder ]],'Basic Data'!N:N,'Basic Data'!R:R),"")</f>
        <v/>
      </c>
      <c r="K12" s="31"/>
      <c r="L12" s="214"/>
      <c r="M12" s="214"/>
      <c r="N12" s="214"/>
      <c r="O12" s="205">
        <f>(IGA_BD[[#This Row],[Work Start TimeStamp]]-IGA_BD[[#This Row],[Fault Start TimeStamp]])*24</f>
        <v>0</v>
      </c>
      <c r="P12" s="205">
        <f>(IGA_BD[[#This Row],[Fault Clearance time]]-IGA_BD[[#This Row],[Work Start TimeStamp]])*24</f>
        <v>0</v>
      </c>
      <c r="Q12" s="205">
        <f>(IGA_BD[[#This Row],[Fault Clearance time]]-IGA_BD[[#This Row],[Fault Start TimeStamp]])*24</f>
        <v>0</v>
      </c>
      <c r="R12" s="31"/>
      <c r="S12" s="220"/>
      <c r="T12" s="206" t="str">
        <f>IFERROR(IGA_BD[[#This Row],[Breakdown Time]]*IGA_BD[[#This Row],[Plant Equivalent Weightage]],"")</f>
        <v/>
      </c>
      <c r="U12" s="217"/>
      <c r="V12" s="207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200">
        <f t="shared" si="0"/>
        <v>12</v>
      </c>
      <c r="B13" s="31"/>
      <c r="C13" s="201">
        <v>2025</v>
      </c>
      <c r="D13" s="202">
        <v>2024</v>
      </c>
      <c r="E13" s="31" t="s">
        <v>217</v>
      </c>
      <c r="F13" s="31" t="s">
        <v>219</v>
      </c>
      <c r="G13" s="31"/>
      <c r="H13" s="203" t="e">
        <f>_xlfn.XLOOKUP(IGA_BD[[#This Row],[Affected Feeder ]],'Basic Data'!N:N,'Basic Data'!O:O)</f>
        <v>#N/A</v>
      </c>
      <c r="I13" s="203" t="e">
        <f>_xlfn.XLOOKUP(IGA_BD[[#This Row],[Affected Feeder ]],'Basic Data'!N:N,'Basic Data'!P:P)</f>
        <v>#N/A</v>
      </c>
      <c r="J13" s="204" t="str">
        <f>IFERROR(_xlfn.XLOOKUP(IGA_BD[[#This Row],[Affected Feeder ]],'Basic Data'!N:N,'Basic Data'!R:R),"")</f>
        <v/>
      </c>
      <c r="K13" s="31"/>
      <c r="L13" s="214"/>
      <c r="M13" s="214"/>
      <c r="N13" s="214"/>
      <c r="O13" s="205">
        <f>(IGA_BD[[#This Row],[Work Start TimeStamp]]-IGA_BD[[#This Row],[Fault Start TimeStamp]])*24</f>
        <v>0</v>
      </c>
      <c r="P13" s="205">
        <f>(IGA_BD[[#This Row],[Fault Clearance time]]-IGA_BD[[#This Row],[Work Start TimeStamp]])*24</f>
        <v>0</v>
      </c>
      <c r="Q13" s="205">
        <f>(IGA_BD[[#This Row],[Fault Clearance time]]-IGA_BD[[#This Row],[Fault Start TimeStamp]])*24</f>
        <v>0</v>
      </c>
      <c r="R13" s="31"/>
      <c r="S13" s="220"/>
      <c r="T13" s="206" t="str">
        <f>IFERROR(IGA_BD[[#This Row],[Breakdown Time]]*IGA_BD[[#This Row],[Plant Equivalent Weightage]],"")</f>
        <v/>
      </c>
      <c r="U13" s="217"/>
      <c r="V13" s="207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200">
        <f t="shared" si="0"/>
        <v>13</v>
      </c>
      <c r="B14" s="31"/>
      <c r="C14" s="201">
        <v>2025</v>
      </c>
      <c r="D14" s="202">
        <v>2024</v>
      </c>
      <c r="E14" s="31" t="s">
        <v>217</v>
      </c>
      <c r="F14" s="31" t="s">
        <v>219</v>
      </c>
      <c r="G14" s="31"/>
      <c r="H14" s="203" t="e">
        <f>_xlfn.XLOOKUP(IGA_BD[[#This Row],[Affected Feeder ]],'Basic Data'!N:N,'Basic Data'!O:O)</f>
        <v>#N/A</v>
      </c>
      <c r="I14" s="203" t="e">
        <f>_xlfn.XLOOKUP(IGA_BD[[#This Row],[Affected Feeder ]],'Basic Data'!N:N,'Basic Data'!P:P)</f>
        <v>#N/A</v>
      </c>
      <c r="J14" s="204" t="str">
        <f>IFERROR(_xlfn.XLOOKUP(IGA_BD[[#This Row],[Affected Feeder ]],'Basic Data'!N:N,'Basic Data'!R:R),"")</f>
        <v/>
      </c>
      <c r="K14" s="31"/>
      <c r="L14" s="214"/>
      <c r="M14" s="214"/>
      <c r="N14" s="214"/>
      <c r="O14" s="205">
        <f>(IGA_BD[[#This Row],[Work Start TimeStamp]]-IGA_BD[[#This Row],[Fault Start TimeStamp]])*24</f>
        <v>0</v>
      </c>
      <c r="P14" s="205">
        <f>(IGA_BD[[#This Row],[Fault Clearance time]]-IGA_BD[[#This Row],[Work Start TimeStamp]])*24</f>
        <v>0</v>
      </c>
      <c r="Q14" s="205">
        <f>(IGA_BD[[#This Row],[Fault Clearance time]]-IGA_BD[[#This Row],[Fault Start TimeStamp]])*24</f>
        <v>0</v>
      </c>
      <c r="R14" s="31"/>
      <c r="S14" s="220"/>
      <c r="T14" s="206" t="str">
        <f>IFERROR(IGA_BD[[#This Row],[Breakdown Time]]*IGA_BD[[#This Row],[Plant Equivalent Weightage]],"")</f>
        <v/>
      </c>
      <c r="U14" s="217"/>
      <c r="V14" s="207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200">
        <f t="shared" si="0"/>
        <v>14</v>
      </c>
      <c r="B15" s="31"/>
      <c r="C15" s="201">
        <v>2025</v>
      </c>
      <c r="D15" s="202">
        <v>2024</v>
      </c>
      <c r="E15" s="31" t="s">
        <v>217</v>
      </c>
      <c r="F15" s="31" t="s">
        <v>219</v>
      </c>
      <c r="G15" s="31"/>
      <c r="H15" s="203" t="e">
        <f>_xlfn.XLOOKUP(IGA_BD[[#This Row],[Affected Feeder ]],'Basic Data'!N:N,'Basic Data'!O:O)</f>
        <v>#N/A</v>
      </c>
      <c r="I15" s="203" t="e">
        <f>_xlfn.XLOOKUP(IGA_BD[[#This Row],[Affected Feeder ]],'Basic Data'!N:N,'Basic Data'!P:P)</f>
        <v>#N/A</v>
      </c>
      <c r="J15" s="204" t="str">
        <f>IFERROR(_xlfn.XLOOKUP(IGA_BD[[#This Row],[Affected Feeder ]],'Basic Data'!N:N,'Basic Data'!R:R),"")</f>
        <v/>
      </c>
      <c r="K15" s="31"/>
      <c r="L15" s="214"/>
      <c r="M15" s="214"/>
      <c r="N15" s="214"/>
      <c r="O15" s="205">
        <f>(IGA_BD[[#This Row],[Work Start TimeStamp]]-IGA_BD[[#This Row],[Fault Start TimeStamp]])*24</f>
        <v>0</v>
      </c>
      <c r="P15" s="205">
        <f>(IGA_BD[[#This Row],[Fault Clearance time]]-IGA_BD[[#This Row],[Work Start TimeStamp]])*24</f>
        <v>0</v>
      </c>
      <c r="Q15" s="205">
        <f>(IGA_BD[[#This Row],[Fault Clearance time]]-IGA_BD[[#This Row],[Fault Start TimeStamp]])*24</f>
        <v>0</v>
      </c>
      <c r="R15" s="31"/>
      <c r="S15" s="220"/>
      <c r="T15" s="206" t="str">
        <f>IFERROR(IGA_BD[[#This Row],[Breakdown Time]]*IGA_BD[[#This Row],[Plant Equivalent Weightage]],"")</f>
        <v/>
      </c>
      <c r="U15" s="217"/>
      <c r="V15" s="207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200">
        <f t="shared" si="0"/>
        <v>15</v>
      </c>
      <c r="B16" s="31"/>
      <c r="C16" s="201">
        <v>2025</v>
      </c>
      <c r="D16" s="202">
        <v>2024</v>
      </c>
      <c r="E16" s="31" t="s">
        <v>217</v>
      </c>
      <c r="F16" s="31" t="s">
        <v>219</v>
      </c>
      <c r="G16" s="31"/>
      <c r="H16" s="203" t="e">
        <f>_xlfn.XLOOKUP(IGA_BD[[#This Row],[Affected Feeder ]],'Basic Data'!N:N,'Basic Data'!O:O)</f>
        <v>#N/A</v>
      </c>
      <c r="I16" s="203" t="e">
        <f>_xlfn.XLOOKUP(IGA_BD[[#This Row],[Affected Feeder ]],'Basic Data'!N:N,'Basic Data'!P:P)</f>
        <v>#N/A</v>
      </c>
      <c r="J16" s="204" t="str">
        <f>IFERROR(_xlfn.XLOOKUP(IGA_BD[[#This Row],[Affected Feeder ]],'Basic Data'!N:N,'Basic Data'!R:R),"")</f>
        <v/>
      </c>
      <c r="K16" s="31"/>
      <c r="L16" s="214"/>
      <c r="M16" s="214"/>
      <c r="N16" s="214"/>
      <c r="O16" s="205">
        <f>(IGA_BD[[#This Row],[Work Start TimeStamp]]-IGA_BD[[#This Row],[Fault Start TimeStamp]])*24</f>
        <v>0</v>
      </c>
      <c r="P16" s="205">
        <f>(IGA_BD[[#This Row],[Fault Clearance time]]-IGA_BD[[#This Row],[Work Start TimeStamp]])*24</f>
        <v>0</v>
      </c>
      <c r="Q16" s="205">
        <f>(IGA_BD[[#This Row],[Fault Clearance time]]-IGA_BD[[#This Row],[Fault Start TimeStamp]])*24</f>
        <v>0</v>
      </c>
      <c r="R16" s="31"/>
      <c r="S16" s="203"/>
      <c r="T16" s="206" t="str">
        <f>IFERROR(IGA_BD[[#This Row],[Breakdown Time]]*IGA_BD[[#This Row],[Plant Equivalent Weightage]],"")</f>
        <v/>
      </c>
      <c r="U16" s="217"/>
      <c r="V16" s="207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200">
        <f t="shared" si="0"/>
        <v>16</v>
      </c>
      <c r="B17" s="31"/>
      <c r="C17" s="201">
        <v>2025</v>
      </c>
      <c r="D17" s="202">
        <v>2024</v>
      </c>
      <c r="E17" s="31" t="s">
        <v>217</v>
      </c>
      <c r="F17" s="31" t="s">
        <v>219</v>
      </c>
      <c r="G17" s="31"/>
      <c r="H17" s="203" t="e">
        <f>_xlfn.XLOOKUP(IGA_BD[[#This Row],[Affected Feeder ]],'Basic Data'!N:N,'Basic Data'!O:O)</f>
        <v>#N/A</v>
      </c>
      <c r="I17" s="203" t="e">
        <f>_xlfn.XLOOKUP(IGA_BD[[#This Row],[Affected Feeder ]],'Basic Data'!N:N,'Basic Data'!P:P)</f>
        <v>#N/A</v>
      </c>
      <c r="J17" s="204" t="str">
        <f>IFERROR(_xlfn.XLOOKUP(IGA_BD[[#This Row],[Affected Feeder ]],'Basic Data'!N:N,'Basic Data'!R:R),"")</f>
        <v/>
      </c>
      <c r="K17" s="31"/>
      <c r="L17" s="214"/>
      <c r="M17" s="214"/>
      <c r="N17" s="214"/>
      <c r="O17" s="205">
        <f>(IGA_BD[[#This Row],[Work Start TimeStamp]]-IGA_BD[[#This Row],[Fault Start TimeStamp]])*24</f>
        <v>0</v>
      </c>
      <c r="P17" s="205">
        <f>(IGA_BD[[#This Row],[Fault Clearance time]]-IGA_BD[[#This Row],[Work Start TimeStamp]])*24</f>
        <v>0</v>
      </c>
      <c r="Q17" s="205">
        <f>(IGA_BD[[#This Row],[Fault Clearance time]]-IGA_BD[[#This Row],[Fault Start TimeStamp]])*24</f>
        <v>0</v>
      </c>
      <c r="R17" s="31"/>
      <c r="S17" s="203"/>
      <c r="T17" s="206" t="str">
        <f>IFERROR(IGA_BD[[#This Row],[Breakdown Time]]*IGA_BD[[#This Row],[Plant Equivalent Weightage]],"")</f>
        <v/>
      </c>
      <c r="U17" s="217"/>
      <c r="V17" s="207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200">
        <f t="shared" si="0"/>
        <v>17</v>
      </c>
      <c r="B18" s="31"/>
      <c r="C18" s="201">
        <v>2025</v>
      </c>
      <c r="D18" s="202">
        <v>2024</v>
      </c>
      <c r="E18" s="31" t="s">
        <v>217</v>
      </c>
      <c r="F18" s="31" t="s">
        <v>219</v>
      </c>
      <c r="G18" s="31"/>
      <c r="H18" s="203" t="e">
        <f>_xlfn.XLOOKUP(IGA_BD[[#This Row],[Affected Feeder ]],'Basic Data'!N:N,'Basic Data'!O:O)</f>
        <v>#N/A</v>
      </c>
      <c r="I18" s="203" t="e">
        <f>_xlfn.XLOOKUP(IGA_BD[[#This Row],[Affected Feeder ]],'Basic Data'!N:N,'Basic Data'!P:P)</f>
        <v>#N/A</v>
      </c>
      <c r="J18" s="204" t="str">
        <f>IFERROR(_xlfn.XLOOKUP(IGA_BD[[#This Row],[Affected Feeder ]],'Basic Data'!N:N,'Basic Data'!R:R),"")</f>
        <v/>
      </c>
      <c r="K18" s="31"/>
      <c r="L18" s="215"/>
      <c r="M18" s="214"/>
      <c r="N18" s="214"/>
      <c r="O18" s="205">
        <f>(IGA_BD[[#This Row],[Work Start TimeStamp]]-IGA_BD[[#This Row],[Fault Start TimeStamp]])*24</f>
        <v>0</v>
      </c>
      <c r="P18" s="205">
        <f>(IGA_BD[[#This Row],[Fault Clearance time]]-IGA_BD[[#This Row],[Work Start TimeStamp]])*24</f>
        <v>0</v>
      </c>
      <c r="Q18" s="205">
        <f>(IGA_BD[[#This Row],[Fault Clearance time]]-IGA_BD[[#This Row],[Fault Start TimeStamp]])*24</f>
        <v>0</v>
      </c>
      <c r="R18" s="31"/>
      <c r="S18" s="220"/>
      <c r="T18" s="208" t="str">
        <f>IFERROR(IGA_BD[[#This Row],[Breakdown Time]]*IGA_BD[[#This Row],[Plant Equivalent Weightage]],"")</f>
        <v/>
      </c>
      <c r="U18" s="217"/>
      <c r="V18" s="207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200">
        <f t="shared" si="0"/>
        <v>18</v>
      </c>
      <c r="B19" s="31"/>
      <c r="C19" s="201">
        <v>2025</v>
      </c>
      <c r="D19" s="202">
        <v>2024</v>
      </c>
      <c r="E19" s="31" t="s">
        <v>217</v>
      </c>
      <c r="F19" s="31" t="s">
        <v>219</v>
      </c>
      <c r="G19" s="31"/>
      <c r="H19" s="203" t="e">
        <f>_xlfn.XLOOKUP(IGA_BD[[#This Row],[Affected Feeder ]],'Basic Data'!N:N,'Basic Data'!O:O)</f>
        <v>#N/A</v>
      </c>
      <c r="I19" s="203" t="e">
        <f>_xlfn.XLOOKUP(IGA_BD[[#This Row],[Affected Feeder ]],'Basic Data'!N:N,'Basic Data'!P:P)</f>
        <v>#N/A</v>
      </c>
      <c r="J19" s="204" t="str">
        <f>IFERROR(_xlfn.XLOOKUP(IGA_BD[[#This Row],[Affected Feeder ]],'Basic Data'!N:N,'Basic Data'!R:R),"")</f>
        <v/>
      </c>
      <c r="K19" s="31"/>
      <c r="L19" s="215"/>
      <c r="M19" s="215"/>
      <c r="N19" s="215"/>
      <c r="O19" s="205">
        <f>(IGA_BD[[#This Row],[Work Start TimeStamp]]-IGA_BD[[#This Row],[Fault Start TimeStamp]])*24</f>
        <v>0</v>
      </c>
      <c r="P19" s="205">
        <f>(IGA_BD[[#This Row],[Fault Clearance time]]-IGA_BD[[#This Row],[Work Start TimeStamp]])*24</f>
        <v>0</v>
      </c>
      <c r="Q19" s="205">
        <f>(IGA_BD[[#This Row],[Fault Clearance time]]-IGA_BD[[#This Row],[Fault Start TimeStamp]])*24</f>
        <v>0</v>
      </c>
      <c r="R19" s="31"/>
      <c r="S19" s="220"/>
      <c r="T19" s="208" t="str">
        <f>IFERROR(IGA_BD[[#This Row],[Breakdown Time]]*IGA_BD[[#This Row],[Plant Equivalent Weightage]],"")</f>
        <v/>
      </c>
      <c r="U19" s="217"/>
      <c r="V19" s="207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200">
        <f t="shared" si="0"/>
        <v>19</v>
      </c>
      <c r="B20" s="31"/>
      <c r="C20" s="201">
        <v>2025</v>
      </c>
      <c r="D20" s="202">
        <v>2024</v>
      </c>
      <c r="E20" s="31" t="s">
        <v>217</v>
      </c>
      <c r="F20" s="31" t="s">
        <v>219</v>
      </c>
      <c r="G20" s="31"/>
      <c r="H20" s="203" t="e">
        <f>_xlfn.XLOOKUP(IGA_BD[[#This Row],[Affected Feeder ]],'Basic Data'!N:N,'Basic Data'!O:O)</f>
        <v>#N/A</v>
      </c>
      <c r="I20" s="203" t="e">
        <f>_xlfn.XLOOKUP(IGA_BD[[#This Row],[Affected Feeder ]],'Basic Data'!N:N,'Basic Data'!P:P)</f>
        <v>#N/A</v>
      </c>
      <c r="J20" s="204" t="str">
        <f>IFERROR(_xlfn.XLOOKUP(IGA_BD[[#This Row],[Affected Feeder ]],'Basic Data'!N:N,'Basic Data'!R:R),"")</f>
        <v/>
      </c>
      <c r="K20" s="31"/>
      <c r="L20" s="215"/>
      <c r="M20" s="215"/>
      <c r="N20" s="215"/>
      <c r="O20" s="205">
        <f>(IGA_BD[[#This Row],[Work Start TimeStamp]]-IGA_BD[[#This Row],[Fault Start TimeStamp]])*24</f>
        <v>0</v>
      </c>
      <c r="P20" s="205">
        <f>(IGA_BD[[#This Row],[Fault Clearance time]]-IGA_BD[[#This Row],[Work Start TimeStamp]])*24</f>
        <v>0</v>
      </c>
      <c r="Q20" s="205">
        <f>(IGA_BD[[#This Row],[Fault Clearance time]]-IGA_BD[[#This Row],[Fault Start TimeStamp]])*24</f>
        <v>0</v>
      </c>
      <c r="R20" s="31"/>
      <c r="S20" s="220"/>
      <c r="T20" s="208" t="str">
        <f>IFERROR(IGA_BD[[#This Row],[Breakdown Time]]*IGA_BD[[#This Row],[Plant Equivalent Weightage]],"")</f>
        <v/>
      </c>
      <c r="U20" s="217"/>
      <c r="V20" s="207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200">
        <f t="shared" si="0"/>
        <v>20</v>
      </c>
      <c r="B21" s="31"/>
      <c r="C21" s="201">
        <v>2025</v>
      </c>
      <c r="D21" s="202">
        <v>2024</v>
      </c>
      <c r="E21" s="31" t="s">
        <v>217</v>
      </c>
      <c r="F21" s="31" t="s">
        <v>219</v>
      </c>
      <c r="G21" s="31"/>
      <c r="H21" s="203" t="e">
        <f>_xlfn.XLOOKUP(IGA_BD[[#This Row],[Affected Feeder ]],'Basic Data'!N:N,'Basic Data'!O:O)</f>
        <v>#N/A</v>
      </c>
      <c r="I21" s="203" t="e">
        <f>_xlfn.XLOOKUP(IGA_BD[[#This Row],[Affected Feeder ]],'Basic Data'!N:N,'Basic Data'!P:P)</f>
        <v>#N/A</v>
      </c>
      <c r="J21" s="204" t="str">
        <f>IFERROR(_xlfn.XLOOKUP(IGA_BD[[#This Row],[Affected Feeder ]],'Basic Data'!N:N,'Basic Data'!R:R),"")</f>
        <v/>
      </c>
      <c r="K21" s="31"/>
      <c r="L21" s="215"/>
      <c r="M21" s="214"/>
      <c r="N21" s="214"/>
      <c r="O21" s="205">
        <f>(IGA_BD[[#This Row],[Work Start TimeStamp]]-IGA_BD[[#This Row],[Fault Start TimeStamp]])*24</f>
        <v>0</v>
      </c>
      <c r="P21" s="205">
        <f>(IGA_BD[[#This Row],[Fault Clearance time]]-IGA_BD[[#This Row],[Work Start TimeStamp]])*24</f>
        <v>0</v>
      </c>
      <c r="Q21" s="205">
        <f>(IGA_BD[[#This Row],[Fault Clearance time]]-IGA_BD[[#This Row],[Fault Start TimeStamp]])*24</f>
        <v>0</v>
      </c>
      <c r="R21" s="31"/>
      <c r="S21" s="220"/>
      <c r="T21" s="208" t="str">
        <f>IFERROR(IGA_BD[[#This Row],[Breakdown Time]]*IGA_BD[[#This Row],[Plant Equivalent Weightage]],"")</f>
        <v/>
      </c>
      <c r="U21" s="217"/>
      <c r="V21" s="207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200">
        <f t="shared" si="0"/>
        <v>21</v>
      </c>
      <c r="B22" s="31"/>
      <c r="C22" s="201">
        <v>2025</v>
      </c>
      <c r="D22" s="202">
        <v>2024</v>
      </c>
      <c r="E22" s="31" t="s">
        <v>217</v>
      </c>
      <c r="F22" s="31" t="s">
        <v>219</v>
      </c>
      <c r="G22" s="31"/>
      <c r="H22" s="203" t="e">
        <f>_xlfn.XLOOKUP(IGA_BD[[#This Row],[Affected Feeder ]],'Basic Data'!N:N,'Basic Data'!O:O)</f>
        <v>#N/A</v>
      </c>
      <c r="I22" s="203" t="e">
        <f>_xlfn.XLOOKUP(IGA_BD[[#This Row],[Affected Feeder ]],'Basic Data'!N:N,'Basic Data'!P:P)</f>
        <v>#N/A</v>
      </c>
      <c r="J22" s="204" t="str">
        <f>IFERROR(_xlfn.XLOOKUP(IGA_BD[[#This Row],[Affected Feeder ]],'Basic Data'!N:N,'Basic Data'!R:R),"")</f>
        <v/>
      </c>
      <c r="K22" s="31"/>
      <c r="L22" s="215"/>
      <c r="M22" s="214"/>
      <c r="N22" s="214"/>
      <c r="O22" s="205">
        <f>(IGA_BD[[#This Row],[Work Start TimeStamp]]-IGA_BD[[#This Row],[Fault Start TimeStamp]])*24</f>
        <v>0</v>
      </c>
      <c r="P22" s="205">
        <f>(IGA_BD[[#This Row],[Fault Clearance time]]-IGA_BD[[#This Row],[Work Start TimeStamp]])*24</f>
        <v>0</v>
      </c>
      <c r="Q22" s="205">
        <f>(IGA_BD[[#This Row],[Fault Clearance time]]-IGA_BD[[#This Row],[Fault Start TimeStamp]])*24</f>
        <v>0</v>
      </c>
      <c r="R22" s="31"/>
      <c r="S22" s="220"/>
      <c r="T22" s="208" t="str">
        <f>IFERROR(IGA_BD[[#This Row],[Breakdown Time]]*IGA_BD[[#This Row],[Plant Equivalent Weightage]],"")</f>
        <v/>
      </c>
      <c r="U22" s="217"/>
      <c r="V22" s="207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200">
        <f t="shared" si="0"/>
        <v>22</v>
      </c>
      <c r="B23" s="31"/>
      <c r="C23" s="201">
        <v>2025</v>
      </c>
      <c r="D23" s="202">
        <v>2024</v>
      </c>
      <c r="E23" s="31" t="s">
        <v>217</v>
      </c>
      <c r="F23" s="31" t="s">
        <v>219</v>
      </c>
      <c r="G23" s="31"/>
      <c r="H23" s="203" t="e">
        <f>_xlfn.XLOOKUP(IGA_BD[[#This Row],[Affected Feeder ]],'Basic Data'!N:N,'Basic Data'!O:O)</f>
        <v>#N/A</v>
      </c>
      <c r="I23" s="203" t="e">
        <f>_xlfn.XLOOKUP(IGA_BD[[#This Row],[Affected Feeder ]],'Basic Data'!N:N,'Basic Data'!P:P)</f>
        <v>#N/A</v>
      </c>
      <c r="J23" s="204" t="str">
        <f>IFERROR(_xlfn.XLOOKUP(IGA_BD[[#This Row],[Affected Feeder ]],'Basic Data'!N:N,'Basic Data'!R:R),"")</f>
        <v/>
      </c>
      <c r="K23" s="31"/>
      <c r="L23" s="215"/>
      <c r="M23" s="214"/>
      <c r="N23" s="214"/>
      <c r="O23" s="205">
        <f>(IGA_BD[[#This Row],[Work Start TimeStamp]]-IGA_BD[[#This Row],[Fault Start TimeStamp]])*24</f>
        <v>0</v>
      </c>
      <c r="P23" s="205">
        <f>(IGA_BD[[#This Row],[Fault Clearance time]]-IGA_BD[[#This Row],[Work Start TimeStamp]])*24</f>
        <v>0</v>
      </c>
      <c r="Q23" s="205">
        <f>(IGA_BD[[#This Row],[Fault Clearance time]]-IGA_BD[[#This Row],[Fault Start TimeStamp]])*24</f>
        <v>0</v>
      </c>
      <c r="R23" s="31"/>
      <c r="S23" s="220"/>
      <c r="T23" s="208" t="str">
        <f>IFERROR(IGA_BD[[#This Row],[Breakdown Time]]*IGA_BD[[#This Row],[Plant Equivalent Weightage]],"")</f>
        <v/>
      </c>
      <c r="U23" s="217"/>
      <c r="V23" s="207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200">
        <f t="shared" si="0"/>
        <v>23</v>
      </c>
      <c r="B24" s="31"/>
      <c r="C24" s="201">
        <v>2025</v>
      </c>
      <c r="D24" s="202">
        <v>2024</v>
      </c>
      <c r="E24" s="31" t="s">
        <v>217</v>
      </c>
      <c r="F24" s="31" t="s">
        <v>219</v>
      </c>
      <c r="G24" s="31"/>
      <c r="H24" s="203" t="e">
        <f>_xlfn.XLOOKUP(IGA_BD[[#This Row],[Affected Feeder ]],'Basic Data'!N:N,'Basic Data'!O:O)</f>
        <v>#N/A</v>
      </c>
      <c r="I24" s="203" t="e">
        <f>_xlfn.XLOOKUP(IGA_BD[[#This Row],[Affected Feeder ]],'Basic Data'!N:N,'Basic Data'!P:P)</f>
        <v>#N/A</v>
      </c>
      <c r="J24" s="204" t="str">
        <f>IFERROR(_xlfn.XLOOKUP(IGA_BD[[#This Row],[Affected Feeder ]],'Basic Data'!N:N,'Basic Data'!R:R),"")</f>
        <v/>
      </c>
      <c r="K24" s="31"/>
      <c r="L24" s="215"/>
      <c r="M24" s="214"/>
      <c r="N24" s="214"/>
      <c r="O24" s="205">
        <f>(IGA_BD[[#This Row],[Work Start TimeStamp]]-IGA_BD[[#This Row],[Fault Start TimeStamp]])*24</f>
        <v>0</v>
      </c>
      <c r="P24" s="205">
        <f>(IGA_BD[[#This Row],[Fault Clearance time]]-IGA_BD[[#This Row],[Work Start TimeStamp]])*24</f>
        <v>0</v>
      </c>
      <c r="Q24" s="205">
        <f>(IGA_BD[[#This Row],[Fault Clearance time]]-IGA_BD[[#This Row],[Fault Start TimeStamp]])*24</f>
        <v>0</v>
      </c>
      <c r="R24" s="31"/>
      <c r="S24" s="220"/>
      <c r="T24" s="208" t="str">
        <f>IFERROR(IGA_BD[[#This Row],[Breakdown Time]]*IGA_BD[[#This Row],[Plant Equivalent Weightage]],"")</f>
        <v/>
      </c>
      <c r="U24" s="217"/>
      <c r="V24" s="207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200">
        <f t="shared" si="0"/>
        <v>24</v>
      </c>
      <c r="B25" s="31"/>
      <c r="C25" s="201">
        <v>2025</v>
      </c>
      <c r="D25" s="202">
        <v>2024</v>
      </c>
      <c r="E25" s="31" t="s">
        <v>217</v>
      </c>
      <c r="F25" s="31" t="s">
        <v>219</v>
      </c>
      <c r="G25" s="31"/>
      <c r="H25" s="203" t="e">
        <f>_xlfn.XLOOKUP(IGA_BD[[#This Row],[Affected Feeder ]],'Basic Data'!N:N,'Basic Data'!O:O)</f>
        <v>#N/A</v>
      </c>
      <c r="I25" s="203" t="e">
        <f>_xlfn.XLOOKUP(IGA_BD[[#This Row],[Affected Feeder ]],'Basic Data'!N:N,'Basic Data'!P:P)</f>
        <v>#N/A</v>
      </c>
      <c r="J25" s="204" t="str">
        <f>IFERROR(_xlfn.XLOOKUP(IGA_BD[[#This Row],[Affected Feeder ]],'Basic Data'!N:N,'Basic Data'!R:R),"")</f>
        <v/>
      </c>
      <c r="K25" s="31"/>
      <c r="L25" s="215"/>
      <c r="M25" s="214"/>
      <c r="N25" s="214"/>
      <c r="O25" s="205">
        <f>(IGA_BD[[#This Row],[Work Start TimeStamp]]-IGA_BD[[#This Row],[Fault Start TimeStamp]])*24</f>
        <v>0</v>
      </c>
      <c r="P25" s="205">
        <f>(IGA_BD[[#This Row],[Fault Clearance time]]-IGA_BD[[#This Row],[Work Start TimeStamp]])*24</f>
        <v>0</v>
      </c>
      <c r="Q25" s="205">
        <f>(IGA_BD[[#This Row],[Fault Clearance time]]-IGA_BD[[#This Row],[Fault Start TimeStamp]])*24</f>
        <v>0</v>
      </c>
      <c r="R25" s="31"/>
      <c r="S25" s="220"/>
      <c r="T25" s="208" t="str">
        <f>IFERROR(IGA_BD[[#This Row],[Breakdown Time]]*IGA_BD[[#This Row],[Plant Equivalent Weightage]],"")</f>
        <v/>
      </c>
      <c r="U25" s="217"/>
      <c r="V25" s="207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200">
        <f t="shared" si="0"/>
        <v>25</v>
      </c>
      <c r="B26" s="31"/>
      <c r="C26" s="201">
        <v>2025</v>
      </c>
      <c r="D26" s="202">
        <v>2024</v>
      </c>
      <c r="E26" s="31" t="s">
        <v>217</v>
      </c>
      <c r="F26" s="31" t="s">
        <v>219</v>
      </c>
      <c r="G26" s="31"/>
      <c r="H26" s="203" t="e">
        <f>_xlfn.XLOOKUP(IGA_BD[[#This Row],[Affected Feeder ]],'Basic Data'!N:N,'Basic Data'!O:O)</f>
        <v>#N/A</v>
      </c>
      <c r="I26" s="203" t="e">
        <f>_xlfn.XLOOKUP(IGA_BD[[#This Row],[Affected Feeder ]],'Basic Data'!N:N,'Basic Data'!P:P)</f>
        <v>#N/A</v>
      </c>
      <c r="J26" s="204" t="str">
        <f>IFERROR(_xlfn.XLOOKUP(IGA_BD[[#This Row],[Affected Feeder ]],'Basic Data'!N:N,'Basic Data'!R:R),"")</f>
        <v/>
      </c>
      <c r="K26" s="31"/>
      <c r="L26" s="215"/>
      <c r="M26" s="215"/>
      <c r="N26" s="215"/>
      <c r="O26" s="205">
        <f>(IGA_BD[[#This Row],[Work Start TimeStamp]]-IGA_BD[[#This Row],[Fault Start TimeStamp]])*24</f>
        <v>0</v>
      </c>
      <c r="P26" s="205">
        <f>(IGA_BD[[#This Row],[Fault Clearance time]]-IGA_BD[[#This Row],[Work Start TimeStamp]])*24</f>
        <v>0</v>
      </c>
      <c r="Q26" s="205">
        <f>(IGA_BD[[#This Row],[Fault Clearance time]]-IGA_BD[[#This Row],[Fault Start TimeStamp]])*24</f>
        <v>0</v>
      </c>
      <c r="R26" s="31"/>
      <c r="S26" s="220"/>
      <c r="T26" s="208" t="str">
        <f>IFERROR(IGA_BD[[#This Row],[Breakdown Time]]*IGA_BD[[#This Row],[Plant Equivalent Weightage]],"")</f>
        <v/>
      </c>
      <c r="U26" s="217"/>
      <c r="V26" s="207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200">
        <f t="shared" si="0"/>
        <v>26</v>
      </c>
      <c r="B27" s="31"/>
      <c r="C27" s="201">
        <v>2025</v>
      </c>
      <c r="D27" s="202">
        <v>2024</v>
      </c>
      <c r="E27" s="31" t="s">
        <v>217</v>
      </c>
      <c r="F27" s="31" t="s">
        <v>219</v>
      </c>
      <c r="G27" s="31"/>
      <c r="H27" s="203" t="e">
        <f>_xlfn.XLOOKUP(IGA_BD[[#This Row],[Affected Feeder ]],'Basic Data'!N:N,'Basic Data'!O:O)</f>
        <v>#N/A</v>
      </c>
      <c r="I27" s="203" t="e">
        <f>_xlfn.XLOOKUP(IGA_BD[[#This Row],[Affected Feeder ]],'Basic Data'!N:N,'Basic Data'!P:P)</f>
        <v>#N/A</v>
      </c>
      <c r="J27" s="204" t="str">
        <f>IFERROR(_xlfn.XLOOKUP(IGA_BD[[#This Row],[Affected Feeder ]],'Basic Data'!N:N,'Basic Data'!R:R),"")</f>
        <v/>
      </c>
      <c r="K27" s="31"/>
      <c r="L27" s="215"/>
      <c r="M27" s="215"/>
      <c r="N27" s="215"/>
      <c r="O27" s="205">
        <f>(IGA_BD[[#This Row],[Work Start TimeStamp]]-IGA_BD[[#This Row],[Fault Start TimeStamp]])*24</f>
        <v>0</v>
      </c>
      <c r="P27" s="205">
        <f>(IGA_BD[[#This Row],[Fault Clearance time]]-IGA_BD[[#This Row],[Work Start TimeStamp]])*24</f>
        <v>0</v>
      </c>
      <c r="Q27" s="205">
        <f>(IGA_BD[[#This Row],[Fault Clearance time]]-IGA_BD[[#This Row],[Fault Start TimeStamp]])*24</f>
        <v>0</v>
      </c>
      <c r="R27" s="31"/>
      <c r="S27" s="220"/>
      <c r="T27" s="208" t="str">
        <f>IFERROR(IGA_BD[[#This Row],[Breakdown Time]]*IGA_BD[[#This Row],[Plant Equivalent Weightage]],"")</f>
        <v/>
      </c>
      <c r="U27" s="217"/>
      <c r="V27" s="207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200">
        <f t="shared" si="0"/>
        <v>27</v>
      </c>
      <c r="B28" s="166"/>
      <c r="C28" s="209">
        <v>2025</v>
      </c>
      <c r="D28" s="210">
        <v>2024</v>
      </c>
      <c r="E28" s="166" t="s">
        <v>217</v>
      </c>
      <c r="F28" s="166" t="s">
        <v>219</v>
      </c>
      <c r="G28" s="166"/>
      <c r="H28" s="203" t="e">
        <f>_xlfn.XLOOKUP(IGA_BD[[#This Row],[Affected Feeder ]],'Basic Data'!N:N,'Basic Data'!O:O)</f>
        <v>#N/A</v>
      </c>
      <c r="I28" s="203" t="e">
        <f>_xlfn.XLOOKUP(IGA_BD[[#This Row],[Affected Feeder ]],'Basic Data'!N:N,'Basic Data'!P:P)</f>
        <v>#N/A</v>
      </c>
      <c r="J28" s="204" t="str">
        <f>IFERROR(_xlfn.XLOOKUP(IGA_BD[[#This Row],[Affected Feeder ]],'Basic Data'!N:N,'Basic Data'!R:R),"")</f>
        <v/>
      </c>
      <c r="K28" s="166"/>
      <c r="L28" s="216"/>
      <c r="M28" s="216"/>
      <c r="N28" s="216"/>
      <c r="O28" s="211">
        <f>(IGA_BD[[#This Row],[Work Start TimeStamp]]-IGA_BD[[#This Row],[Fault Start TimeStamp]])*24</f>
        <v>0</v>
      </c>
      <c r="P28" s="211">
        <f>(IGA_BD[[#This Row],[Fault Clearance time]]-IGA_BD[[#This Row],[Work Start TimeStamp]])*24</f>
        <v>0</v>
      </c>
      <c r="Q28" s="211">
        <f>(IGA_BD[[#This Row],[Fault Clearance time]]-IGA_BD[[#This Row],[Fault Start TimeStamp]])*24</f>
        <v>0</v>
      </c>
      <c r="R28" s="166"/>
      <c r="S28" s="212"/>
      <c r="T28" s="213" t="str">
        <f>IFERROR(IGA_BD[[#This Row],[Breakdown Time]]*IGA_BD[[#This Row],[Plant Equivalent Weightage]],"")</f>
        <v/>
      </c>
      <c r="U28" s="218"/>
      <c r="V28" s="207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200">
        <f t="shared" si="0"/>
        <v>28</v>
      </c>
      <c r="B29" s="166"/>
      <c r="C29" s="209">
        <v>2025</v>
      </c>
      <c r="D29" s="210">
        <v>2024</v>
      </c>
      <c r="E29" s="166" t="s">
        <v>217</v>
      </c>
      <c r="F29" s="166" t="s">
        <v>219</v>
      </c>
      <c r="G29" s="166"/>
      <c r="H29" s="203" t="e">
        <f>_xlfn.XLOOKUP(IGA_BD[[#This Row],[Affected Feeder ]],'Basic Data'!N:N,'Basic Data'!O:O)</f>
        <v>#N/A</v>
      </c>
      <c r="I29" s="203" t="e">
        <f>_xlfn.XLOOKUP(IGA_BD[[#This Row],[Affected Feeder ]],'Basic Data'!N:N,'Basic Data'!P:P)</f>
        <v>#N/A</v>
      </c>
      <c r="J29" s="204" t="str">
        <f>IFERROR(_xlfn.XLOOKUP(IGA_BD[[#This Row],[Affected Feeder ]],'Basic Data'!N:N,'Basic Data'!R:R),"")</f>
        <v/>
      </c>
      <c r="K29" s="346"/>
      <c r="L29" s="227"/>
      <c r="M29" s="227"/>
      <c r="N29" s="227"/>
      <c r="O29" s="228">
        <f>(IGA_BD[[#This Row],[Work Start TimeStamp]]-IGA_BD[[#This Row],[Fault Start TimeStamp]])*24</f>
        <v>0</v>
      </c>
      <c r="P29" s="228">
        <f>(IGA_BD[[#This Row],[Fault Clearance time]]-IGA_BD[[#This Row],[Work Start TimeStamp]])*24</f>
        <v>0</v>
      </c>
      <c r="Q29" s="228">
        <f>(IGA_BD[[#This Row],[Fault Clearance time]]-IGA_BD[[#This Row],[Fault Start TimeStamp]])*24</f>
        <v>0</v>
      </c>
      <c r="R29" s="346"/>
      <c r="S29" s="212"/>
      <c r="T29" s="229" t="str">
        <f>IFERROR(IGA_BD[[#This Row],[Breakdown Time]]*IGA_BD[[#This Row],[Plant Equivalent Weightage]],"")</f>
        <v/>
      </c>
      <c r="U29" s="217"/>
      <c r="V29" s="207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200">
        <f t="shared" si="0"/>
        <v>29</v>
      </c>
      <c r="B30" s="166"/>
      <c r="C30" s="209">
        <v>2025</v>
      </c>
      <c r="D30" s="210">
        <v>2024</v>
      </c>
      <c r="E30" s="166" t="s">
        <v>217</v>
      </c>
      <c r="F30" s="166" t="s">
        <v>219</v>
      </c>
      <c r="G30" s="166"/>
      <c r="H30" s="203" t="e">
        <f>_xlfn.XLOOKUP(IGA_BD[[#This Row],[Affected Feeder ]],'Basic Data'!N:N,'Basic Data'!O:O)</f>
        <v>#N/A</v>
      </c>
      <c r="I30" s="203" t="e">
        <f>_xlfn.XLOOKUP(IGA_BD[[#This Row],[Affected Feeder ]],'Basic Data'!N:N,'Basic Data'!P:P)</f>
        <v>#N/A</v>
      </c>
      <c r="J30" s="204" t="str">
        <f>IFERROR(_xlfn.XLOOKUP(IGA_BD[[#This Row],[Affected Feeder ]],'Basic Data'!N:N,'Basic Data'!R:R),"")</f>
        <v/>
      </c>
      <c r="K30" s="346"/>
      <c r="L30" s="215"/>
      <c r="M30" s="215"/>
      <c r="N30" s="215"/>
      <c r="O30" s="230">
        <f>(IGA_BD[[#This Row],[Work Start TimeStamp]]-IGA_BD[[#This Row],[Fault Start TimeStamp]])*24</f>
        <v>0</v>
      </c>
      <c r="P30" s="230">
        <f>(IGA_BD[[#This Row],[Fault Clearance time]]-IGA_BD[[#This Row],[Work Start TimeStamp]])*24</f>
        <v>0</v>
      </c>
      <c r="Q30" s="230">
        <f>(IGA_BD[[#This Row],[Fault Clearance time]]-IGA_BD[[#This Row],[Fault Start TimeStamp]])*24</f>
        <v>0</v>
      </c>
      <c r="R30" s="31"/>
      <c r="S30" s="212"/>
      <c r="T30" s="229" t="str">
        <f>IFERROR(IGA_BD[[#This Row],[Breakdown Time]]*IGA_BD[[#This Row],[Plant Equivalent Weightage]],"")</f>
        <v/>
      </c>
      <c r="U30" s="217"/>
      <c r="V30" s="207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200">
        <f t="shared" si="0"/>
        <v>30</v>
      </c>
      <c r="B31" s="166"/>
      <c r="C31" s="209">
        <v>2025</v>
      </c>
      <c r="D31" s="210">
        <v>2024</v>
      </c>
      <c r="E31" s="166" t="s">
        <v>217</v>
      </c>
      <c r="F31" s="166" t="s">
        <v>219</v>
      </c>
      <c r="G31" s="166"/>
      <c r="H31" s="203" t="e">
        <f>_xlfn.XLOOKUP(IGA_BD[[#This Row],[Affected Feeder ]],'Basic Data'!N:N,'Basic Data'!O:O)</f>
        <v>#N/A</v>
      </c>
      <c r="I31" s="203" t="e">
        <f>_xlfn.XLOOKUP(IGA_BD[[#This Row],[Affected Feeder ]],'Basic Data'!N:N,'Basic Data'!P:P)</f>
        <v>#N/A</v>
      </c>
      <c r="J31" s="204" t="str">
        <f>IFERROR(_xlfn.XLOOKUP(IGA_BD[[#This Row],[Affected Feeder ]],'Basic Data'!N:N,'Basic Data'!R:R),"")</f>
        <v/>
      </c>
      <c r="K31" s="346"/>
      <c r="L31" s="215"/>
      <c r="M31" s="215"/>
      <c r="N31" s="215"/>
      <c r="O31" s="230">
        <f>(IGA_BD[[#This Row],[Work Start TimeStamp]]-IGA_BD[[#This Row],[Fault Start TimeStamp]])*24</f>
        <v>0</v>
      </c>
      <c r="P31" s="230">
        <f>(IGA_BD[[#This Row],[Fault Clearance time]]-IGA_BD[[#This Row],[Work Start TimeStamp]])*24</f>
        <v>0</v>
      </c>
      <c r="Q31" s="230">
        <f>(IGA_BD[[#This Row],[Fault Clearance time]]-IGA_BD[[#This Row],[Fault Start TimeStamp]])*24</f>
        <v>0</v>
      </c>
      <c r="R31" s="31"/>
      <c r="S31" s="203"/>
      <c r="T31" s="229" t="str">
        <f>IFERROR(IGA_BD[[#This Row],[Breakdown Time]]*IGA_BD[[#This Row],[Plant Equivalent Weightage]],"")</f>
        <v/>
      </c>
      <c r="U31" s="217"/>
      <c r="V31" s="207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200">
        <f t="shared" si="0"/>
        <v>31</v>
      </c>
      <c r="B32" s="166"/>
      <c r="C32" s="209">
        <v>2025</v>
      </c>
      <c r="D32" s="210">
        <v>2024</v>
      </c>
      <c r="E32" s="166" t="s">
        <v>217</v>
      </c>
      <c r="F32" s="166" t="s">
        <v>219</v>
      </c>
      <c r="G32" s="166"/>
      <c r="H32" s="203" t="e">
        <f>_xlfn.XLOOKUP(IGA_BD[[#This Row],[Affected Feeder ]],'Basic Data'!N:N,'Basic Data'!O:O)</f>
        <v>#N/A</v>
      </c>
      <c r="I32" s="203" t="e">
        <f>_xlfn.XLOOKUP(IGA_BD[[#This Row],[Affected Feeder ]],'Basic Data'!N:N,'Basic Data'!P:P)</f>
        <v>#N/A</v>
      </c>
      <c r="J32" s="204" t="str">
        <f>IFERROR(_xlfn.XLOOKUP(IGA_BD[[#This Row],[Affected Feeder ]],'Basic Data'!N:N,'Basic Data'!R:R),"")</f>
        <v/>
      </c>
      <c r="K32" s="346"/>
      <c r="L32" s="215"/>
      <c r="M32" s="215"/>
      <c r="N32" s="215"/>
      <c r="O32" s="230">
        <f>(IGA_BD[[#This Row],[Work Start TimeStamp]]-IGA_BD[[#This Row],[Fault Start TimeStamp]])*24</f>
        <v>0</v>
      </c>
      <c r="P32" s="230">
        <f>(IGA_BD[[#This Row],[Fault Clearance time]]-IGA_BD[[#This Row],[Work Start TimeStamp]])*24</f>
        <v>0</v>
      </c>
      <c r="Q32" s="230">
        <f>(IGA_BD[[#This Row],[Fault Clearance time]]-IGA_BD[[#This Row],[Fault Start TimeStamp]])*24</f>
        <v>0</v>
      </c>
      <c r="R32" s="31"/>
      <c r="S32" s="203"/>
      <c r="T32" s="229" t="str">
        <f>IFERROR(IGA_BD[[#This Row],[Breakdown Time]]*IGA_BD[[#This Row],[Plant Equivalent Weightage]],"")</f>
        <v/>
      </c>
      <c r="U32" s="217"/>
      <c r="V32" s="207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Q10" activePane="bottomRight" state="frozen"/>
      <selection pane="topRight" activeCell="E1" sqref="E1"/>
      <selection pane="bottomLeft" activeCell="A2" sqref="A2"/>
      <selection pane="bottomRight" activeCell="W17" sqref="W17"/>
    </sheetView>
  </sheetViews>
  <sheetFormatPr defaultColWidth="8.453125" defaultRowHeight="14.5"/>
  <cols>
    <col min="1" max="2" width="9.453125" style="295" customWidth="1"/>
    <col min="3" max="3" width="15.81640625" style="295" customWidth="1"/>
    <col min="4" max="6" width="8.453125" style="295"/>
    <col min="7" max="7" width="20.453125" style="295" customWidth="1"/>
    <col min="8" max="8" width="8.453125" style="295"/>
    <col min="9" max="9" width="9.453125" style="295" bestFit="1" customWidth="1"/>
    <col min="10" max="14" width="8.453125" style="295"/>
    <col min="15" max="15" width="9.81640625" style="295" bestFit="1" customWidth="1"/>
    <col min="16" max="16" width="11" style="295" customWidth="1"/>
    <col min="17" max="17" width="15.453125" style="295" customWidth="1"/>
    <col min="18" max="19" width="10.81640625" style="295" customWidth="1"/>
    <col min="20" max="20" width="13" style="295" customWidth="1"/>
    <col min="21" max="25" width="12.81640625" style="295" customWidth="1"/>
    <col min="26" max="27" width="14.453125" style="295" customWidth="1"/>
    <col min="28" max="29" width="15.453125" style="295" customWidth="1"/>
    <col min="30" max="38" width="9.81640625" style="295" customWidth="1"/>
    <col min="39" max="39" width="11.453125" style="295" customWidth="1"/>
    <col min="40" max="40" width="12.453125" style="295" bestFit="1" customWidth="1"/>
    <col min="41" max="16384" width="8.453125" style="295"/>
  </cols>
  <sheetData>
    <row r="1" spans="1:43" ht="43.5">
      <c r="A1" s="307" t="s">
        <v>6</v>
      </c>
      <c r="B1" s="307" t="s">
        <v>220</v>
      </c>
      <c r="C1" s="307" t="s">
        <v>221</v>
      </c>
      <c r="D1" s="307" t="s">
        <v>86</v>
      </c>
      <c r="E1" s="307" t="s">
        <v>222</v>
      </c>
      <c r="F1" s="307" t="s">
        <v>223</v>
      </c>
      <c r="G1" s="307" t="s">
        <v>224</v>
      </c>
      <c r="H1" s="307" t="s">
        <v>225</v>
      </c>
      <c r="I1" s="307" t="s">
        <v>226</v>
      </c>
      <c r="J1" s="307" t="s">
        <v>227</v>
      </c>
      <c r="K1" s="307" t="s">
        <v>228</v>
      </c>
      <c r="L1" s="307" t="s">
        <v>229</v>
      </c>
      <c r="M1" s="307" t="s">
        <v>230</v>
      </c>
      <c r="N1" s="307" t="s">
        <v>231</v>
      </c>
      <c r="O1" s="307" t="s">
        <v>232</v>
      </c>
      <c r="P1" s="307" t="s">
        <v>233</v>
      </c>
      <c r="Q1" s="307" t="s">
        <v>234</v>
      </c>
      <c r="R1" s="307" t="s">
        <v>235</v>
      </c>
      <c r="S1" s="307" t="s">
        <v>236</v>
      </c>
      <c r="T1" s="307" t="s">
        <v>237</v>
      </c>
      <c r="U1" s="307" t="s">
        <v>238</v>
      </c>
      <c r="V1" s="307" t="s">
        <v>239</v>
      </c>
      <c r="W1" s="307" t="s">
        <v>240</v>
      </c>
      <c r="X1" s="307" t="s">
        <v>241</v>
      </c>
      <c r="Y1" s="307" t="s">
        <v>242</v>
      </c>
      <c r="Z1" s="307" t="s">
        <v>243</v>
      </c>
      <c r="AA1" s="307" t="s">
        <v>244</v>
      </c>
      <c r="AB1" s="307" t="s">
        <v>245</v>
      </c>
      <c r="AC1" s="307" t="s">
        <v>246</v>
      </c>
      <c r="AD1" s="307" t="s">
        <v>247</v>
      </c>
      <c r="AE1" s="307" t="s">
        <v>248</v>
      </c>
      <c r="AF1" s="307" t="s">
        <v>249</v>
      </c>
      <c r="AG1" s="307" t="s">
        <v>250</v>
      </c>
      <c r="AH1" s="307" t="s">
        <v>251</v>
      </c>
      <c r="AI1" s="307" t="s">
        <v>252</v>
      </c>
      <c r="AJ1" s="307" t="s">
        <v>253</v>
      </c>
      <c r="AK1" s="307" t="s">
        <v>254</v>
      </c>
      <c r="AL1" s="307" t="s">
        <v>255</v>
      </c>
      <c r="AM1" s="308" t="s">
        <v>13</v>
      </c>
      <c r="AN1" s="308" t="s">
        <v>14</v>
      </c>
      <c r="AP1" s="295" t="s">
        <v>256</v>
      </c>
      <c r="AQ1" s="309">
        <v>39.21</v>
      </c>
    </row>
    <row r="2" spans="1:43">
      <c r="A2" s="310">
        <v>1</v>
      </c>
      <c r="B2" s="311" t="s">
        <v>257</v>
      </c>
      <c r="C2" s="310">
        <v>4</v>
      </c>
      <c r="D2" s="312">
        <v>45383</v>
      </c>
      <c r="E2" s="313">
        <f t="shared" ref="E2:E3" si="0">YEAR(D2)</f>
        <v>2024</v>
      </c>
      <c r="F2" s="313" t="s">
        <v>258</v>
      </c>
      <c r="G2" s="314">
        <f t="shared" ref="G2:G3" si="1">DAY(EOMONTH(D2,0))</f>
        <v>30</v>
      </c>
      <c r="H2" s="315">
        <v>205.8</v>
      </c>
      <c r="I2" s="315">
        <v>208</v>
      </c>
      <c r="J2" s="316"/>
      <c r="K2" s="315">
        <v>32.9</v>
      </c>
      <c r="L2" s="314"/>
      <c r="M2" s="317"/>
      <c r="N2" s="317"/>
      <c r="O2" s="318" t="str">
        <f t="shared" ref="O2:O3" si="2">IFERROR(M2/I2/N2,"")</f>
        <v/>
      </c>
      <c r="P2" s="316">
        <f t="shared" ref="P2:P3" si="3">IFERROR(I2/G2,"")</f>
        <v>6.9333333333333336</v>
      </c>
      <c r="Q2" s="314">
        <f>COUNTIFS('Daily KPI'!$D:$D,D2,'Daily KPI'!$K:$K,"&gt;0")</f>
        <v>0</v>
      </c>
      <c r="R2" s="317">
        <f t="shared" ref="R2:R3" si="4">I2/G2*Q2</f>
        <v>0</v>
      </c>
      <c r="S2" s="317">
        <f>SUMIF($F$2:F2,F2,$R$2:R2)</f>
        <v>0</v>
      </c>
      <c r="T2" s="316">
        <f t="shared" ref="T2:T3" si="5">M2/G2</f>
        <v>0</v>
      </c>
      <c r="U2" s="317">
        <f t="shared" ref="U2:U3" si="6">M2/G2*Q2</f>
        <v>0</v>
      </c>
      <c r="V2" s="317">
        <f>SUMIF($F$2:F2,F2,$U$2:U2)</f>
        <v>0</v>
      </c>
      <c r="W2" s="318" t="str">
        <f t="shared" ref="W2:W3" si="7">IFERROR(T2/(24*N2),"")</f>
        <v/>
      </c>
      <c r="X2" s="318" t="str">
        <f t="shared" ref="X2:X25" si="8">IFERROR(U2/(24*N2*Q2),"")</f>
        <v/>
      </c>
      <c r="Y2" s="318" t="str">
        <f t="shared" ref="Y2:Y25" si="9">IFERROR(V2/(24*N2*SUMIFS($Q:$Q,$F:$F,$F2,$D:$D,"&lt;="&amp;D2)),"")</f>
        <v/>
      </c>
      <c r="Z2" s="316" t="str">
        <f>IFERROR(AVERAGEIF('Daily KPI'!D:D,Mod[[#This Row],[Month]],'Daily KPI'!AB:AB),"")</f>
        <v/>
      </c>
      <c r="AA2" s="319" t="str">
        <f>IFERROR(AVERAGEIF($F$2:F2,F2,$Z$2:Z2),"")</f>
        <v/>
      </c>
      <c r="AB2" s="317"/>
      <c r="AC2" s="316"/>
      <c r="AD2" s="316"/>
      <c r="AE2" s="318">
        <v>0.995</v>
      </c>
      <c r="AF2" s="318">
        <v>0.995</v>
      </c>
      <c r="AG2" s="318"/>
      <c r="AH2" s="318"/>
      <c r="AI2" s="318"/>
      <c r="AJ2" s="318"/>
      <c r="AK2" s="318"/>
      <c r="AL2" s="318"/>
      <c r="AM2" s="320">
        <f>SUMIF('Daily KPI'!$D:$D,$D2,'Daily KPI'!$AS:$AS)</f>
        <v>0</v>
      </c>
      <c r="AN2" s="320">
        <f>SUMIF($F$2:F2,F2,$AM$2:AM2)</f>
        <v>0</v>
      </c>
    </row>
    <row r="3" spans="1:43">
      <c r="A3" s="311">
        <f t="shared" ref="A3:A25" si="10">A2+1</f>
        <v>2</v>
      </c>
      <c r="B3" s="311" t="s">
        <v>101</v>
      </c>
      <c r="C3" s="310">
        <v>5</v>
      </c>
      <c r="D3" s="312">
        <v>45413</v>
      </c>
      <c r="E3" s="321">
        <f t="shared" si="0"/>
        <v>2024</v>
      </c>
      <c r="F3" s="313" t="s">
        <v>258</v>
      </c>
      <c r="G3" s="322">
        <f t="shared" si="1"/>
        <v>31</v>
      </c>
      <c r="H3" s="319">
        <v>209.8</v>
      </c>
      <c r="I3" s="319">
        <v>203.8</v>
      </c>
      <c r="J3" s="323"/>
      <c r="K3" s="319">
        <v>34.6</v>
      </c>
      <c r="L3" s="322"/>
      <c r="M3" s="324"/>
      <c r="N3" s="317"/>
      <c r="O3" s="325" t="str">
        <f t="shared" si="2"/>
        <v/>
      </c>
      <c r="P3" s="323">
        <f t="shared" si="3"/>
        <v>6.5741935483870968</v>
      </c>
      <c r="Q3" s="322">
        <f>COUNTIFS('Daily KPI'!$D:$D,D3,'Daily KPI'!$K:$K,"&gt;0")</f>
        <v>0</v>
      </c>
      <c r="R3" s="324">
        <f t="shared" si="4"/>
        <v>0</v>
      </c>
      <c r="S3" s="317">
        <f>SUMIF($F$2:F3,F3,$R$2:R3)</f>
        <v>0</v>
      </c>
      <c r="T3" s="323">
        <f t="shared" si="5"/>
        <v>0</v>
      </c>
      <c r="U3" s="324">
        <f t="shared" si="6"/>
        <v>0</v>
      </c>
      <c r="V3" s="317">
        <f>SUMIF($F$2:F3,F3,$U$2:U3)</f>
        <v>0</v>
      </c>
      <c r="W3" s="325" t="str">
        <f t="shared" si="7"/>
        <v/>
      </c>
      <c r="X3" s="325" t="str">
        <f t="shared" si="8"/>
        <v/>
      </c>
      <c r="Y3" s="325" t="str">
        <f t="shared" si="9"/>
        <v/>
      </c>
      <c r="Z3" s="323" t="str">
        <f>IFERROR(AVERAGEIF('Daily KPI'!D:D,Mod[[#This Row],[Month]],'Daily KPI'!AB:AB),"")</f>
        <v/>
      </c>
      <c r="AA3" s="319" t="str">
        <f>IFERROR(AVERAGEIF($F$2:F3,F3,$Z$2:Z3),"")</f>
        <v/>
      </c>
      <c r="AB3" s="324"/>
      <c r="AC3" s="323"/>
      <c r="AD3" s="323"/>
      <c r="AE3" s="318">
        <v>0.995</v>
      </c>
      <c r="AF3" s="318">
        <v>0.995</v>
      </c>
      <c r="AG3" s="318"/>
      <c r="AH3" s="325"/>
      <c r="AI3" s="325"/>
      <c r="AJ3" s="325"/>
      <c r="AK3" s="325"/>
      <c r="AL3" s="325"/>
      <c r="AM3" s="320">
        <f>SUMIF('Daily KPI'!$D:$D,$D3,'Daily KPI'!$AS:$AS)</f>
        <v>0</v>
      </c>
      <c r="AN3" s="320">
        <f>SUMIF($F$2:F3,F3,$AM$2:AM3)</f>
        <v>0</v>
      </c>
    </row>
    <row r="4" spans="1:43">
      <c r="A4" s="310">
        <f t="shared" si="10"/>
        <v>3</v>
      </c>
      <c r="B4" s="311" t="s">
        <v>259</v>
      </c>
      <c r="C4" s="310">
        <v>6</v>
      </c>
      <c r="D4" s="312">
        <v>45444</v>
      </c>
      <c r="E4" s="313">
        <f>YEAR(D4)</f>
        <v>2024</v>
      </c>
      <c r="F4" s="313" t="s">
        <v>258</v>
      </c>
      <c r="G4" s="314">
        <f>DAY(EOMONTH(D4,0))</f>
        <v>30</v>
      </c>
      <c r="H4" s="319">
        <v>149.5</v>
      </c>
      <c r="I4" s="319">
        <v>143.4</v>
      </c>
      <c r="J4" s="316"/>
      <c r="K4" s="319">
        <v>30.5</v>
      </c>
      <c r="L4" s="314"/>
      <c r="M4" s="317"/>
      <c r="N4" s="317"/>
      <c r="O4" s="318" t="str">
        <f>IFERROR(M4/I4/N4,"")</f>
        <v/>
      </c>
      <c r="P4" s="316">
        <f>IFERROR(I4/G4,"")</f>
        <v>4.78</v>
      </c>
      <c r="Q4" s="314">
        <f>COUNTIFS('Daily KPI'!$D:$D,D4,'Daily KPI'!$K:$K,"&gt;0")</f>
        <v>0</v>
      </c>
      <c r="R4" s="317">
        <f>I4/G4*Q4</f>
        <v>0</v>
      </c>
      <c r="S4" s="317">
        <f>SUMIF($F$2:F4,F4,$R$2:R4)</f>
        <v>0</v>
      </c>
      <c r="T4" s="316">
        <f>M4/G4</f>
        <v>0</v>
      </c>
      <c r="U4" s="317">
        <f>M4/G4*Q4</f>
        <v>0</v>
      </c>
      <c r="V4" s="317">
        <f>SUMIF($F$2:F4,F4,$U$2:U4)</f>
        <v>0</v>
      </c>
      <c r="W4" s="318" t="str">
        <f>IFERROR(T4/(24*N4),"")</f>
        <v/>
      </c>
      <c r="X4" s="318" t="str">
        <f t="shared" si="8"/>
        <v/>
      </c>
      <c r="Y4" s="318" t="str">
        <f t="shared" si="9"/>
        <v/>
      </c>
      <c r="Z4" s="316" t="str">
        <f>IFERROR(AVERAGEIF('Daily KPI'!D:D,Mod[[#This Row],[Month]],'Daily KPI'!AB:AB),"")</f>
        <v/>
      </c>
      <c r="AA4" s="319" t="str">
        <f>IFERROR(AVERAGEIF($F$2:F4,F4,$Z$2:Z4),"")</f>
        <v/>
      </c>
      <c r="AB4" s="317"/>
      <c r="AC4" s="316"/>
      <c r="AD4" s="316"/>
      <c r="AE4" s="318">
        <v>0.995</v>
      </c>
      <c r="AF4" s="318">
        <v>0.995</v>
      </c>
      <c r="AG4" s="318"/>
      <c r="AH4" s="318"/>
      <c r="AI4" s="318"/>
      <c r="AJ4" s="318"/>
      <c r="AK4" s="318"/>
      <c r="AL4" s="318"/>
      <c r="AM4" s="320">
        <f>SUMIF('Daily KPI'!$D:$D,$D4,'Daily KPI'!$AS:$AS)</f>
        <v>0</v>
      </c>
      <c r="AN4" s="320">
        <f>SUMIF($F$2:F4,F4,$AM$2:AM4)</f>
        <v>0</v>
      </c>
    </row>
    <row r="5" spans="1:43">
      <c r="A5" s="311">
        <f t="shared" si="10"/>
        <v>4</v>
      </c>
      <c r="B5" s="311" t="s">
        <v>260</v>
      </c>
      <c r="C5" s="310">
        <v>7</v>
      </c>
      <c r="D5" s="312">
        <v>45474</v>
      </c>
      <c r="E5" s="321">
        <f>YEAR(D5)</f>
        <v>2024</v>
      </c>
      <c r="F5" s="313" t="s">
        <v>258</v>
      </c>
      <c r="G5" s="322">
        <f>DAY(EOMONTH(D5,0))</f>
        <v>31</v>
      </c>
      <c r="H5" s="319">
        <v>122.2</v>
      </c>
      <c r="I5" s="319">
        <v>118.1</v>
      </c>
      <c r="J5" s="323"/>
      <c r="K5" s="319">
        <v>27.1</v>
      </c>
      <c r="L5" s="322"/>
      <c r="M5" s="324"/>
      <c r="N5" s="317"/>
      <c r="O5" s="325" t="str">
        <f>IFERROR(M5/I5/N5,"")</f>
        <v/>
      </c>
      <c r="P5" s="323">
        <f>IFERROR(I5/G5,"")</f>
        <v>3.8096774193548386</v>
      </c>
      <c r="Q5" s="322">
        <f>COUNTIFS('Daily KPI'!$D:$D,D5,'Daily KPI'!$K:$K,"&gt;0")</f>
        <v>0</v>
      </c>
      <c r="R5" s="324">
        <f>I5/G5*Q5</f>
        <v>0</v>
      </c>
      <c r="S5" s="317">
        <f>SUMIF($F$2:F5,F5,$R$2:R5)</f>
        <v>0</v>
      </c>
      <c r="T5" s="323">
        <f>M5/G5</f>
        <v>0</v>
      </c>
      <c r="U5" s="324">
        <f>M5/G5*Q5</f>
        <v>0</v>
      </c>
      <c r="V5" s="317">
        <f>SUMIF($F$2:F5,F5,$U$2:U5)</f>
        <v>0</v>
      </c>
      <c r="W5" s="325" t="str">
        <f>IFERROR(T5/(24*N5),"")</f>
        <v/>
      </c>
      <c r="X5" s="325" t="str">
        <f t="shared" si="8"/>
        <v/>
      </c>
      <c r="Y5" s="325" t="str">
        <f t="shared" si="9"/>
        <v/>
      </c>
      <c r="Z5" s="323" t="str">
        <f>IFERROR(AVERAGEIF('Daily KPI'!D:D,Mod[[#This Row],[Month]],'Daily KPI'!AB:AB),"")</f>
        <v/>
      </c>
      <c r="AA5" s="319" t="str">
        <f>IFERROR(AVERAGEIF($F$2:F5,F5,$Z$2:Z5),"")</f>
        <v/>
      </c>
      <c r="AB5" s="324"/>
      <c r="AC5" s="323"/>
      <c r="AD5" s="323"/>
      <c r="AE5" s="318">
        <v>0.995</v>
      </c>
      <c r="AF5" s="318">
        <v>0.995</v>
      </c>
      <c r="AG5" s="318"/>
      <c r="AH5" s="325"/>
      <c r="AI5" s="325"/>
      <c r="AJ5" s="325"/>
      <c r="AK5" s="325"/>
      <c r="AL5" s="325"/>
      <c r="AM5" s="320">
        <f>SUMIF('Daily KPI'!$D:$D,$D5,'Daily KPI'!$AS:$AS)</f>
        <v>0</v>
      </c>
      <c r="AN5" s="320">
        <f>SUMIF($F$2:F5,F5,$AM$2:AM5)</f>
        <v>0</v>
      </c>
    </row>
    <row r="6" spans="1:43">
      <c r="A6" s="310">
        <f t="shared" si="10"/>
        <v>5</v>
      </c>
      <c r="B6" s="311" t="s">
        <v>261</v>
      </c>
      <c r="C6" s="310">
        <v>8</v>
      </c>
      <c r="D6" s="312">
        <v>45505</v>
      </c>
      <c r="E6" s="313">
        <f t="shared" ref="E6:E13" si="11">YEAR(D6)</f>
        <v>2024</v>
      </c>
      <c r="F6" s="313" t="s">
        <v>258</v>
      </c>
      <c r="G6" s="314">
        <f t="shared" ref="G6:G13" si="12">DAY(EOMONTH(D6,0))</f>
        <v>31</v>
      </c>
      <c r="H6" s="319">
        <v>123.1</v>
      </c>
      <c r="I6" s="319">
        <v>121.2</v>
      </c>
      <c r="J6" s="316"/>
      <c r="K6" s="319">
        <v>26.2</v>
      </c>
      <c r="L6" s="314"/>
      <c r="M6" s="317"/>
      <c r="N6" s="317"/>
      <c r="O6" s="318" t="str">
        <f t="shared" ref="O6:O25" si="13">IFERROR(M6/I6/N6,"")</f>
        <v/>
      </c>
      <c r="P6" s="316">
        <f t="shared" ref="P6:P25" si="14">IFERROR(I6/G6,"")</f>
        <v>3.9096774193548387</v>
      </c>
      <c r="Q6" s="314">
        <f>COUNTIFS('Daily KPI'!$D:$D,D6,'Daily KPI'!$K:$K,"&gt;0")</f>
        <v>0</v>
      </c>
      <c r="R6" s="317">
        <f t="shared" ref="R6:R25" si="15">I6/G6*Q6</f>
        <v>0</v>
      </c>
      <c r="S6" s="317">
        <f>SUMIF($F$2:F6,F6,$R$2:R6)</f>
        <v>0</v>
      </c>
      <c r="T6" s="316">
        <f t="shared" ref="T6:T25" si="16">M6/G6</f>
        <v>0</v>
      </c>
      <c r="U6" s="317">
        <f t="shared" ref="U6:U25" si="17">M6/G6*Q6</f>
        <v>0</v>
      </c>
      <c r="V6" s="317">
        <f>SUMIF($F$2:F6,F6,$U$2:U6)</f>
        <v>0</v>
      </c>
      <c r="W6" s="318" t="str">
        <f t="shared" ref="W6:W25" si="18">IFERROR(T6/(24*N6),"")</f>
        <v/>
      </c>
      <c r="X6" s="318" t="str">
        <f t="shared" si="8"/>
        <v/>
      </c>
      <c r="Y6" s="318" t="str">
        <f t="shared" si="9"/>
        <v/>
      </c>
      <c r="Z6" s="316" t="str">
        <f>IFERROR(AVERAGEIF('Daily KPI'!D:D,Mod[[#This Row],[Month]],'Daily KPI'!AB:AB),"")</f>
        <v/>
      </c>
      <c r="AA6" s="319" t="str">
        <f>IFERROR(AVERAGEIF($F$2:F6,F6,$Z$2:Z6),"")</f>
        <v/>
      </c>
      <c r="AB6" s="317"/>
      <c r="AC6" s="316"/>
      <c r="AD6" s="316"/>
      <c r="AE6" s="318">
        <v>0.995</v>
      </c>
      <c r="AF6" s="318">
        <v>0.995</v>
      </c>
      <c r="AG6" s="318"/>
      <c r="AH6" s="318"/>
      <c r="AI6" s="318"/>
      <c r="AJ6" s="318"/>
      <c r="AK6" s="318"/>
      <c r="AL6" s="318"/>
      <c r="AM6" s="320">
        <f>SUMIF('Daily KPI'!$D:$D,$D6,'Daily KPI'!$AS:$AS)</f>
        <v>0</v>
      </c>
      <c r="AN6" s="320">
        <f>SUMIF($F$2:F6,F6,$AM$2:AM6)</f>
        <v>0</v>
      </c>
    </row>
    <row r="7" spans="1:43">
      <c r="A7" s="310">
        <f t="shared" si="10"/>
        <v>6</v>
      </c>
      <c r="B7" s="311" t="s">
        <v>262</v>
      </c>
      <c r="C7" s="310">
        <v>9</v>
      </c>
      <c r="D7" s="312">
        <v>45536</v>
      </c>
      <c r="E7" s="313">
        <f t="shared" si="11"/>
        <v>2024</v>
      </c>
      <c r="F7" s="313" t="s">
        <v>258</v>
      </c>
      <c r="G7" s="322">
        <f t="shared" si="12"/>
        <v>30</v>
      </c>
      <c r="H7" s="319">
        <v>143.69999999999999</v>
      </c>
      <c r="I7" s="319">
        <v>147.30000000000001</v>
      </c>
      <c r="J7" s="316"/>
      <c r="K7" s="319">
        <v>26.5</v>
      </c>
      <c r="L7" s="314"/>
      <c r="M7" s="317"/>
      <c r="N7" s="317"/>
      <c r="O7" s="318" t="str">
        <f t="shared" si="13"/>
        <v/>
      </c>
      <c r="P7" s="316">
        <f t="shared" si="14"/>
        <v>4.91</v>
      </c>
      <c r="Q7" s="314">
        <f>COUNTIFS('Daily KPI'!$D:$D,D7,'Daily KPI'!$K:$K,"&gt;0")</f>
        <v>0</v>
      </c>
      <c r="R7" s="317">
        <f t="shared" si="15"/>
        <v>0</v>
      </c>
      <c r="S7" s="317">
        <f>SUMIF($F$2:F7,F7,$R$2:R7)</f>
        <v>0</v>
      </c>
      <c r="T7" s="316">
        <f t="shared" si="16"/>
        <v>0</v>
      </c>
      <c r="U7" s="317">
        <f t="shared" si="17"/>
        <v>0</v>
      </c>
      <c r="V7" s="317">
        <f>SUMIF($F$2:F7,F7,$U$2:U7)</f>
        <v>0</v>
      </c>
      <c r="W7" s="318" t="str">
        <f t="shared" si="18"/>
        <v/>
      </c>
      <c r="X7" s="318" t="str">
        <f t="shared" si="8"/>
        <v/>
      </c>
      <c r="Y7" s="318" t="str">
        <f t="shared" si="9"/>
        <v/>
      </c>
      <c r="Z7" s="316" t="str">
        <f>IFERROR(AVERAGEIF('Daily KPI'!D:D,Mod[[#This Row],[Month]],'Daily KPI'!AB:AB),"")</f>
        <v/>
      </c>
      <c r="AA7" s="319" t="str">
        <f>IFERROR(AVERAGEIF($F$2:F7,F7,$Z$2:Z7),"")</f>
        <v/>
      </c>
      <c r="AB7" s="317"/>
      <c r="AC7" s="316"/>
      <c r="AD7" s="316"/>
      <c r="AE7" s="318">
        <v>0.995</v>
      </c>
      <c r="AF7" s="318">
        <v>0.995</v>
      </c>
      <c r="AG7" s="318"/>
      <c r="AH7" s="318"/>
      <c r="AI7" s="318"/>
      <c r="AJ7" s="318"/>
      <c r="AK7" s="318"/>
      <c r="AL7" s="318"/>
      <c r="AM7" s="320">
        <f>SUMIF('Daily KPI'!$D:$D,$D7,'Daily KPI'!$AS:$AS)</f>
        <v>0</v>
      </c>
      <c r="AN7" s="320">
        <f>SUMIF($F$2:F7,F7,$AM$2:AM7)</f>
        <v>0</v>
      </c>
    </row>
    <row r="8" spans="1:43">
      <c r="A8" s="311">
        <f t="shared" si="10"/>
        <v>7</v>
      </c>
      <c r="B8" s="311" t="s">
        <v>263</v>
      </c>
      <c r="C8" s="310">
        <v>10</v>
      </c>
      <c r="D8" s="312">
        <v>45566</v>
      </c>
      <c r="E8" s="321">
        <f t="shared" si="11"/>
        <v>2024</v>
      </c>
      <c r="F8" s="313" t="s">
        <v>258</v>
      </c>
      <c r="G8" s="314">
        <f t="shared" si="12"/>
        <v>31</v>
      </c>
      <c r="H8" s="319">
        <v>164.1</v>
      </c>
      <c r="I8" s="319">
        <v>178.8</v>
      </c>
      <c r="J8" s="323"/>
      <c r="K8" s="315">
        <v>26</v>
      </c>
      <c r="L8" s="322"/>
      <c r="M8" s="324"/>
      <c r="N8" s="324"/>
      <c r="O8" s="325" t="str">
        <f t="shared" si="13"/>
        <v/>
      </c>
      <c r="P8" s="323">
        <f t="shared" si="14"/>
        <v>5.7677419354838717</v>
      </c>
      <c r="Q8" s="322">
        <f>COUNTIFS('Daily KPI'!$D:$D,D8,'Daily KPI'!$K:$K,"&gt;0")</f>
        <v>0</v>
      </c>
      <c r="R8" s="324">
        <f t="shared" si="15"/>
        <v>0</v>
      </c>
      <c r="S8" s="317">
        <f>SUMIF($F$2:F8,F8,$R$2:R8)</f>
        <v>0</v>
      </c>
      <c r="T8" s="323">
        <f t="shared" si="16"/>
        <v>0</v>
      </c>
      <c r="U8" s="324">
        <f t="shared" si="17"/>
        <v>0</v>
      </c>
      <c r="V8" s="317">
        <f>SUMIF($F$2:F8,F8,$U$2:U8)</f>
        <v>0</v>
      </c>
      <c r="W8" s="325" t="str">
        <f t="shared" si="18"/>
        <v/>
      </c>
      <c r="X8" s="325" t="str">
        <f t="shared" si="8"/>
        <v/>
      </c>
      <c r="Y8" s="325" t="str">
        <f t="shared" si="9"/>
        <v/>
      </c>
      <c r="Z8" s="323" t="str">
        <f>IFERROR(AVERAGEIF('Daily KPI'!D:D,Mod[[#This Row],[Month]],'Daily KPI'!AB:AB),"")</f>
        <v/>
      </c>
      <c r="AA8" s="319" t="str">
        <f>IFERROR(AVERAGEIF($F$2:F8,F8,$Z$2:Z8),"")</f>
        <v/>
      </c>
      <c r="AB8" s="324"/>
      <c r="AC8" s="323"/>
      <c r="AD8" s="323"/>
      <c r="AE8" s="318">
        <v>0.995</v>
      </c>
      <c r="AF8" s="318">
        <v>0.995</v>
      </c>
      <c r="AG8" s="318"/>
      <c r="AH8" s="325"/>
      <c r="AI8" s="325"/>
      <c r="AJ8" s="325"/>
      <c r="AK8" s="325"/>
      <c r="AL8" s="325"/>
      <c r="AM8" s="320">
        <f>SUMIF('Daily KPI'!$D:$D,$D8,'Daily KPI'!$AS:$AS)</f>
        <v>0</v>
      </c>
      <c r="AN8" s="320">
        <f>SUMIF($F$2:F8,F8,$AM$2:AM8)</f>
        <v>0</v>
      </c>
    </row>
    <row r="9" spans="1:43">
      <c r="A9" s="310">
        <f t="shared" si="10"/>
        <v>8</v>
      </c>
      <c r="B9" s="311" t="s">
        <v>264</v>
      </c>
      <c r="C9" s="310">
        <v>11</v>
      </c>
      <c r="D9" s="312">
        <v>45597</v>
      </c>
      <c r="E9" s="313">
        <f t="shared" si="11"/>
        <v>2024</v>
      </c>
      <c r="F9" s="313" t="s">
        <v>258</v>
      </c>
      <c r="G9" s="314">
        <f t="shared" si="12"/>
        <v>30</v>
      </c>
      <c r="H9" s="319">
        <v>147.69999999999999</v>
      </c>
      <c r="I9" s="319">
        <v>169.4</v>
      </c>
      <c r="J9" s="316"/>
      <c r="K9" s="319">
        <v>23.7</v>
      </c>
      <c r="L9" s="314"/>
      <c r="M9" s="317"/>
      <c r="N9" s="317"/>
      <c r="O9" s="318" t="str">
        <f t="shared" si="13"/>
        <v/>
      </c>
      <c r="P9" s="316">
        <f t="shared" si="14"/>
        <v>5.6466666666666665</v>
      </c>
      <c r="Q9" s="314">
        <f>COUNTIFS('Daily KPI'!$D:$D,D9,'Daily KPI'!$K:$K,"&gt;0")</f>
        <v>0</v>
      </c>
      <c r="R9" s="317">
        <f t="shared" si="15"/>
        <v>0</v>
      </c>
      <c r="S9" s="317">
        <f>SUMIF($F$2:F9,F9,$R$2:R9)</f>
        <v>0</v>
      </c>
      <c r="T9" s="316">
        <f t="shared" si="16"/>
        <v>0</v>
      </c>
      <c r="U9" s="317">
        <f t="shared" si="17"/>
        <v>0</v>
      </c>
      <c r="V9" s="317">
        <f>SUMIF($F$2:F9,F9,$U$2:U9)</f>
        <v>0</v>
      </c>
      <c r="W9" s="318" t="str">
        <f t="shared" si="18"/>
        <v/>
      </c>
      <c r="X9" s="318" t="str">
        <f t="shared" si="8"/>
        <v/>
      </c>
      <c r="Y9" s="318" t="str">
        <f t="shared" si="9"/>
        <v/>
      </c>
      <c r="Z9" s="316" t="str">
        <f>IFERROR(AVERAGEIF('Daily KPI'!D:D,Mod[[#This Row],[Month]],'Daily KPI'!AB:AB),"")</f>
        <v/>
      </c>
      <c r="AA9" s="319" t="str">
        <f>IFERROR(AVERAGEIF($F$2:F9,F9,$Z$2:Z9),"")</f>
        <v/>
      </c>
      <c r="AB9" s="317"/>
      <c r="AC9" s="316"/>
      <c r="AD9" s="316"/>
      <c r="AE9" s="318">
        <v>0.995</v>
      </c>
      <c r="AF9" s="318">
        <v>0.995</v>
      </c>
      <c r="AG9" s="318"/>
      <c r="AH9" s="318"/>
      <c r="AI9" s="318"/>
      <c r="AJ9" s="318"/>
      <c r="AK9" s="318"/>
      <c r="AL9" s="318"/>
      <c r="AM9" s="320">
        <f>SUMIF('Daily KPI'!$D:$D,$D9,'Daily KPI'!$AS:$AS)</f>
        <v>0</v>
      </c>
      <c r="AN9" s="320">
        <f>SUMIF($F$2:F9,F9,$AM$2:AM9)</f>
        <v>0</v>
      </c>
    </row>
    <row r="10" spans="1:43">
      <c r="A10" s="311">
        <f t="shared" si="10"/>
        <v>9</v>
      </c>
      <c r="B10" s="311" t="s">
        <v>265</v>
      </c>
      <c r="C10" s="310">
        <v>12</v>
      </c>
      <c r="D10" s="312">
        <v>45627</v>
      </c>
      <c r="E10" s="321">
        <f t="shared" si="11"/>
        <v>2024</v>
      </c>
      <c r="F10" s="313" t="s">
        <v>258</v>
      </c>
      <c r="G10" s="322">
        <f t="shared" si="12"/>
        <v>31</v>
      </c>
      <c r="H10" s="319">
        <v>144.9</v>
      </c>
      <c r="I10" s="319">
        <v>171.3</v>
      </c>
      <c r="J10" s="323"/>
      <c r="K10" s="315">
        <v>21.59</v>
      </c>
      <c r="L10" s="322"/>
      <c r="M10" s="324"/>
      <c r="N10" s="324"/>
      <c r="O10" s="325" t="str">
        <f t="shared" si="13"/>
        <v/>
      </c>
      <c r="P10" s="323">
        <f t="shared" si="14"/>
        <v>5.5258064516129037</v>
      </c>
      <c r="Q10" s="322">
        <f>COUNTIFS('Daily KPI'!$D:$D,D10,'Daily KPI'!$K:$K,"&gt;0")</f>
        <v>0</v>
      </c>
      <c r="R10" s="324">
        <f t="shared" si="15"/>
        <v>0</v>
      </c>
      <c r="S10" s="317">
        <f>SUMIF($F$2:F10,F10,$R$2:R10)</f>
        <v>0</v>
      </c>
      <c r="T10" s="323">
        <f t="shared" si="16"/>
        <v>0</v>
      </c>
      <c r="U10" s="324">
        <f t="shared" si="17"/>
        <v>0</v>
      </c>
      <c r="V10" s="317">
        <f>SUMIF($F$2:F10,F10,$U$2:U10)</f>
        <v>0</v>
      </c>
      <c r="W10" s="325" t="str">
        <f t="shared" si="18"/>
        <v/>
      </c>
      <c r="X10" s="325" t="str">
        <f t="shared" si="8"/>
        <v/>
      </c>
      <c r="Y10" s="325" t="str">
        <f t="shared" si="9"/>
        <v/>
      </c>
      <c r="Z10" s="323" t="str">
        <f>IFERROR(AVERAGEIF('Daily KPI'!D:D,Mod[[#This Row],[Month]],'Daily KPI'!AB:AB),"")</f>
        <v/>
      </c>
      <c r="AA10" s="319" t="str">
        <f>IFERROR(AVERAGEIF($F$2:F10,F10,$Z$2:Z10),"")</f>
        <v/>
      </c>
      <c r="AB10" s="324"/>
      <c r="AC10" s="323"/>
      <c r="AD10" s="323"/>
      <c r="AE10" s="318">
        <v>0.995</v>
      </c>
      <c r="AF10" s="318">
        <v>0.995</v>
      </c>
      <c r="AG10" s="318"/>
      <c r="AH10" s="325"/>
      <c r="AI10" s="325"/>
      <c r="AJ10" s="325"/>
      <c r="AK10" s="325"/>
      <c r="AL10" s="325"/>
      <c r="AM10" s="320">
        <f>SUMIF('Daily KPI'!$D:$D,$D10,'Daily KPI'!$AS:$AS)</f>
        <v>0</v>
      </c>
      <c r="AN10" s="320">
        <f>SUMIF($F$2:F10,F10,$AM$2:AM10)</f>
        <v>0</v>
      </c>
    </row>
    <row r="11" spans="1:43">
      <c r="A11" s="310">
        <f t="shared" si="10"/>
        <v>10</v>
      </c>
      <c r="B11" s="311" t="s">
        <v>266</v>
      </c>
      <c r="C11" s="310">
        <v>1</v>
      </c>
      <c r="D11" s="312">
        <v>45658</v>
      </c>
      <c r="E11" s="313">
        <f t="shared" si="11"/>
        <v>2025</v>
      </c>
      <c r="F11" s="313" t="s">
        <v>258</v>
      </c>
      <c r="G11" s="314">
        <f t="shared" si="12"/>
        <v>31</v>
      </c>
      <c r="H11" s="319">
        <v>150.6</v>
      </c>
      <c r="I11" s="319">
        <v>174.6</v>
      </c>
      <c r="J11" s="316"/>
      <c r="K11" s="319">
        <v>21.9</v>
      </c>
      <c r="L11" s="314"/>
      <c r="M11" s="317"/>
      <c r="N11" s="317"/>
      <c r="O11" s="318" t="str">
        <f t="shared" si="13"/>
        <v/>
      </c>
      <c r="P11" s="316">
        <f t="shared" si="14"/>
        <v>5.6322580645161286</v>
      </c>
      <c r="Q11" s="314">
        <f>COUNTIFS('Daily KPI'!$D:$D,D11,'Daily KPI'!$K:$K,"&gt;0")</f>
        <v>0</v>
      </c>
      <c r="R11" s="317">
        <f t="shared" si="15"/>
        <v>0</v>
      </c>
      <c r="S11" s="317">
        <f>SUMIF($F$2:F11,F11,$R$2:R11)</f>
        <v>0</v>
      </c>
      <c r="T11" s="316">
        <f t="shared" si="16"/>
        <v>0</v>
      </c>
      <c r="U11" s="317">
        <f t="shared" si="17"/>
        <v>0</v>
      </c>
      <c r="V11" s="317">
        <f>SUMIF($F$2:F11,F11,$U$2:U11)</f>
        <v>0</v>
      </c>
      <c r="W11" s="318" t="str">
        <f t="shared" si="18"/>
        <v/>
      </c>
      <c r="X11" s="318" t="str">
        <f t="shared" si="8"/>
        <v/>
      </c>
      <c r="Y11" s="318" t="str">
        <f t="shared" si="9"/>
        <v/>
      </c>
      <c r="Z11" s="316" t="str">
        <f>IFERROR(AVERAGEIF('Daily KPI'!D:D,Mod[[#This Row],[Month]],'Daily KPI'!AB:AB),"")</f>
        <v/>
      </c>
      <c r="AA11" s="319" t="str">
        <f>IFERROR(AVERAGEIF($F$2:F11,F11,$Z$2:Z11),"")</f>
        <v/>
      </c>
      <c r="AB11" s="317"/>
      <c r="AC11" s="316"/>
      <c r="AD11" s="316"/>
      <c r="AE11" s="318">
        <v>0.995</v>
      </c>
      <c r="AF11" s="318">
        <v>0.995</v>
      </c>
      <c r="AG11" s="318"/>
      <c r="AH11" s="318"/>
      <c r="AI11" s="318"/>
      <c r="AJ11" s="318"/>
      <c r="AK11" s="318"/>
      <c r="AL11" s="318"/>
      <c r="AM11" s="320">
        <f>SUMIF('Daily KPI'!$D:$D,$D11,'Daily KPI'!$AS:$AS)</f>
        <v>0</v>
      </c>
      <c r="AN11" s="320">
        <f>SUMIF($F$2:F11,F11,$AM$2:AM11)</f>
        <v>0</v>
      </c>
    </row>
    <row r="12" spans="1:43">
      <c r="A12" s="311">
        <f t="shared" si="10"/>
        <v>11</v>
      </c>
      <c r="B12" s="311" t="s">
        <v>267</v>
      </c>
      <c r="C12" s="310">
        <v>2</v>
      </c>
      <c r="D12" s="312">
        <v>45689</v>
      </c>
      <c r="E12" s="321">
        <f t="shared" si="11"/>
        <v>2025</v>
      </c>
      <c r="F12" s="313" t="s">
        <v>258</v>
      </c>
      <c r="G12" s="322">
        <f t="shared" si="12"/>
        <v>28</v>
      </c>
      <c r="H12" s="319">
        <v>159</v>
      </c>
      <c r="I12" s="319">
        <v>178.1</v>
      </c>
      <c r="J12" s="323"/>
      <c r="K12" s="315">
        <v>25.1</v>
      </c>
      <c r="L12" s="322"/>
      <c r="M12" s="324">
        <v>5728</v>
      </c>
      <c r="N12" s="324">
        <v>39.21</v>
      </c>
      <c r="O12" s="325">
        <f t="shared" si="13"/>
        <v>0.82024246126581113</v>
      </c>
      <c r="P12" s="323">
        <f t="shared" si="14"/>
        <v>6.3607142857142858</v>
      </c>
      <c r="Q12" s="322">
        <f>COUNTIFS('Daily KPI'!$D:$D,D12,'Daily KPI'!$K:$K,"&gt;0")</f>
        <v>0</v>
      </c>
      <c r="R12" s="324">
        <f>I12/G12*Q12</f>
        <v>0</v>
      </c>
      <c r="S12" s="317">
        <f>SUMIF($F$2:F12,F12,$R$2:R12)</f>
        <v>0</v>
      </c>
      <c r="T12" s="323">
        <f t="shared" si="16"/>
        <v>204.57142857142858</v>
      </c>
      <c r="U12" s="324">
        <f t="shared" si="17"/>
        <v>0</v>
      </c>
      <c r="V12" s="317">
        <f>SUMIF($F$2:F12,F12,$U$2:U12)</f>
        <v>0</v>
      </c>
      <c r="W12" s="325">
        <f t="shared" si="18"/>
        <v>0.21738866421345382</v>
      </c>
      <c r="X12" s="325" t="str">
        <f t="shared" si="8"/>
        <v/>
      </c>
      <c r="Y12" s="325" t="str">
        <f t="shared" si="9"/>
        <v/>
      </c>
      <c r="Z12" s="323" t="str">
        <f>IFERROR(AVERAGEIF('Daily KPI'!D:D,Mod[[#This Row],[Month]],'Daily KPI'!AB:AB),"")</f>
        <v/>
      </c>
      <c r="AA12" s="319" t="str">
        <f>IFERROR(AVERAGEIF($F$2:F12,F12,$Z$2:Z12),"")</f>
        <v/>
      </c>
      <c r="AB12" s="324"/>
      <c r="AC12" s="323"/>
      <c r="AD12" s="323"/>
      <c r="AE12" s="318">
        <v>0.995</v>
      </c>
      <c r="AF12" s="318">
        <v>0.995</v>
      </c>
      <c r="AG12" s="318"/>
      <c r="AH12" s="325"/>
      <c r="AI12" s="325"/>
      <c r="AJ12" s="325"/>
      <c r="AK12" s="325"/>
      <c r="AL12" s="325"/>
      <c r="AM12" s="326">
        <f>SUMIF('Daily KPI'!$D:$D,$D12,'Daily KPI'!$AS:$AS)</f>
        <v>0</v>
      </c>
      <c r="AN12" s="326">
        <f>SUMIF($F$2:F12,F12,$AM$2:AM12)</f>
        <v>0</v>
      </c>
    </row>
    <row r="13" spans="1:43">
      <c r="A13" s="310">
        <f t="shared" si="10"/>
        <v>12</v>
      </c>
      <c r="B13" s="311" t="s">
        <v>268</v>
      </c>
      <c r="C13" s="310">
        <v>3</v>
      </c>
      <c r="D13" s="312">
        <v>45717</v>
      </c>
      <c r="E13" s="313">
        <f t="shared" si="11"/>
        <v>2025</v>
      </c>
      <c r="F13" s="313" t="s">
        <v>258</v>
      </c>
      <c r="G13" s="314">
        <f t="shared" si="12"/>
        <v>31</v>
      </c>
      <c r="H13" s="319">
        <v>200.8</v>
      </c>
      <c r="I13" s="319">
        <v>213</v>
      </c>
      <c r="J13" s="316"/>
      <c r="K13" s="319">
        <v>29</v>
      </c>
      <c r="L13" s="314"/>
      <c r="M13" s="317">
        <v>6642</v>
      </c>
      <c r="N13" s="324">
        <v>39.21</v>
      </c>
      <c r="O13" s="318">
        <f t="shared" si="13"/>
        <v>0.79528433031240231</v>
      </c>
      <c r="P13" s="316">
        <f t="shared" si="14"/>
        <v>6.870967741935484</v>
      </c>
      <c r="Q13" s="314">
        <f>COUNTIFS('Daily KPI'!$D:$D,D13,'Daily KPI'!$K:$K,"&gt;0")</f>
        <v>3</v>
      </c>
      <c r="R13" s="317">
        <f t="shared" si="15"/>
        <v>20.612903225806452</v>
      </c>
      <c r="S13" s="317">
        <f>SUMIF($F$2:F13,F13,$R$2:R13)</f>
        <v>20.612903225806452</v>
      </c>
      <c r="T13" s="316">
        <f t="shared" si="16"/>
        <v>214.25806451612902</v>
      </c>
      <c r="U13" s="317">
        <f t="shared" si="17"/>
        <v>642.77419354838707</v>
      </c>
      <c r="V13" s="317">
        <f>SUMIF($F$2:F13,F13,$U$2:U13)</f>
        <v>642.77419354838707</v>
      </c>
      <c r="W13" s="318">
        <f t="shared" si="18"/>
        <v>0.22768220746847004</v>
      </c>
      <c r="X13" s="318">
        <f t="shared" si="8"/>
        <v>0.22768220746847004</v>
      </c>
      <c r="Y13" s="318">
        <f t="shared" si="9"/>
        <v>0.22768220746847004</v>
      </c>
      <c r="Z13" s="316">
        <f>IFERROR(AVERAGEIF('Daily KPI'!D:D,Mod[[#This Row],[Month]],'Daily KPI'!AB:AB),"")</f>
        <v>30.72</v>
      </c>
      <c r="AA13" s="319">
        <f>IFERROR(AVERAGEIF($F$2:F13,F13,$Z$2:Z13),"")</f>
        <v>30.72</v>
      </c>
      <c r="AB13" s="317"/>
      <c r="AC13" s="316"/>
      <c r="AD13" s="316"/>
      <c r="AE13" s="318">
        <v>0.995</v>
      </c>
      <c r="AF13" s="318">
        <v>0.995</v>
      </c>
      <c r="AG13" s="318"/>
      <c r="AH13" s="318"/>
      <c r="AI13" s="318"/>
      <c r="AJ13" s="318"/>
      <c r="AK13" s="318"/>
      <c r="AL13" s="318"/>
      <c r="AM13" s="326">
        <f>SUMIF('Daily KPI'!$D:$D,$D13,'Daily KPI'!$AS:$AS)</f>
        <v>503596.61376706068</v>
      </c>
      <c r="AN13" s="326">
        <f>SUMIF($F$2:F13,F13,$AM$2:AM13)</f>
        <v>503596.61376706068</v>
      </c>
    </row>
    <row r="14" spans="1:43">
      <c r="A14" s="311">
        <f t="shared" si="10"/>
        <v>13</v>
      </c>
      <c r="B14" s="311" t="str">
        <f>B2</f>
        <v>April</v>
      </c>
      <c r="C14" s="311">
        <f>C2</f>
        <v>4</v>
      </c>
      <c r="D14" s="312">
        <v>45748</v>
      </c>
      <c r="E14" s="321">
        <f>YEAR(D14)</f>
        <v>2025</v>
      </c>
      <c r="F14" s="313" t="s">
        <v>269</v>
      </c>
      <c r="G14" s="322">
        <f>DAY(EOMONTH(D14,0))</f>
        <v>30</v>
      </c>
      <c r="H14" s="319">
        <v>167.2996761</v>
      </c>
      <c r="I14" s="319">
        <v>181.90631099999999</v>
      </c>
      <c r="J14" s="323"/>
      <c r="K14" s="315">
        <f>K2</f>
        <v>32.9</v>
      </c>
      <c r="L14" s="322"/>
      <c r="M14" s="324">
        <v>4997.8694178144333</v>
      </c>
      <c r="N14" s="324">
        <v>39.183750000000003</v>
      </c>
      <c r="O14" s="325">
        <f t="shared" si="13"/>
        <v>0.70118261764763101</v>
      </c>
      <c r="P14" s="323">
        <f t="shared" si="14"/>
        <v>6.0635436999999994</v>
      </c>
      <c r="Q14" s="322">
        <f>COUNTIFS('Daily KPI'!$D:$D,D14,'Daily KPI'!$K:$K,"&gt;0")</f>
        <v>30</v>
      </c>
      <c r="R14" s="324">
        <f t="shared" si="15"/>
        <v>181.90631099999999</v>
      </c>
      <c r="S14" s="317">
        <f>SUMIF($F$2:F14,F14,$R$2:R14)</f>
        <v>181.90631099999999</v>
      </c>
      <c r="T14" s="323">
        <f t="shared" si="16"/>
        <v>166.59564726048112</v>
      </c>
      <c r="U14" s="324">
        <f t="shared" si="17"/>
        <v>4997.8694178144333</v>
      </c>
      <c r="V14" s="317">
        <f>SUMIF($F$2:F14,F14,$U$2:U14)</f>
        <v>4997.8694178144333</v>
      </c>
      <c r="W14" s="325">
        <f t="shared" si="18"/>
        <v>0.17715214349111674</v>
      </c>
      <c r="X14" s="325">
        <f t="shared" si="8"/>
        <v>0.17715214349111674</v>
      </c>
      <c r="Y14" s="325">
        <f t="shared" si="9"/>
        <v>0.17715214349111674</v>
      </c>
      <c r="Z14" s="323">
        <f>IFERROR(AVERAGEIF('Daily KPI'!D:D,Mod[[#This Row],[Month]],'Daily KPI'!AB:AB),"")</f>
        <v>35.904666666666664</v>
      </c>
      <c r="AA14" s="319">
        <f>IFERROR(AVERAGEIF($F$2:F14,F14,$Z$2:Z14),"")</f>
        <v>35.904666666666664</v>
      </c>
      <c r="AB14" s="324"/>
      <c r="AC14" s="323"/>
      <c r="AD14" s="323"/>
      <c r="AE14" s="318">
        <v>0.995</v>
      </c>
      <c r="AF14" s="318">
        <v>0.995</v>
      </c>
      <c r="AG14" s="318"/>
      <c r="AH14" s="325"/>
      <c r="AI14" s="325"/>
      <c r="AJ14" s="325"/>
      <c r="AK14" s="325"/>
      <c r="AL14" s="325"/>
      <c r="AM14" s="326">
        <f>SUMIF('Daily KPI'!$D:$D,$D14,'Daily KPI'!$AS:$AS)</f>
        <v>4579623.8361605164</v>
      </c>
      <c r="AN14" s="326">
        <f>SUMIF($F$2:F14,F14,$AM$2:AM14)</f>
        <v>4579623.8361605164</v>
      </c>
    </row>
    <row r="15" spans="1:43">
      <c r="A15" s="310">
        <f t="shared" si="10"/>
        <v>14</v>
      </c>
      <c r="B15" s="311" t="str">
        <f t="shared" ref="B15:C25" si="19">B3</f>
        <v>May</v>
      </c>
      <c r="C15" s="311">
        <f t="shared" si="19"/>
        <v>5</v>
      </c>
      <c r="D15" s="312">
        <v>45778</v>
      </c>
      <c r="E15" s="313">
        <f>YEAR(D15)</f>
        <v>2025</v>
      </c>
      <c r="F15" s="313" t="s">
        <v>269</v>
      </c>
      <c r="G15" s="314">
        <f>DAY(EOMONTH(D15,0))</f>
        <v>31</v>
      </c>
      <c r="H15" s="319">
        <v>203.10123010000001</v>
      </c>
      <c r="I15" s="319">
        <v>211.8017231</v>
      </c>
      <c r="J15" s="316"/>
      <c r="K15" s="315">
        <f t="shared" ref="K15:K25" si="20">K3</f>
        <v>34.6</v>
      </c>
      <c r="L15" s="314"/>
      <c r="M15" s="317">
        <v>6221.6559254320746</v>
      </c>
      <c r="N15" s="317">
        <v>45.933750000000003</v>
      </c>
      <c r="O15" s="318">
        <f t="shared" si="13"/>
        <v>0.63950596310378405</v>
      </c>
      <c r="P15" s="316">
        <f t="shared" si="14"/>
        <v>6.832313648387097</v>
      </c>
      <c r="Q15" s="314">
        <f>COUNTIFS('Daily KPI'!$D:$D,D15,'Daily KPI'!$K:$K,"&gt;0")</f>
        <v>31</v>
      </c>
      <c r="R15" s="317">
        <f t="shared" si="15"/>
        <v>211.8017231</v>
      </c>
      <c r="S15" s="317">
        <f>SUMIF($F$2:F15,F15,$R$2:R15)</f>
        <v>393.70803409999996</v>
      </c>
      <c r="T15" s="316">
        <f t="shared" si="16"/>
        <v>200.69857823974434</v>
      </c>
      <c r="U15" s="317">
        <f t="shared" si="17"/>
        <v>6221.6559254320746</v>
      </c>
      <c r="V15" s="317">
        <f>SUMIF($F$2:F15,F15,$U$2:U15)</f>
        <v>11219.525343246507</v>
      </c>
      <c r="W15" s="318">
        <f t="shared" si="18"/>
        <v>0.1820543883307883</v>
      </c>
      <c r="X15" s="318">
        <f t="shared" si="8"/>
        <v>0.18205438833078832</v>
      </c>
      <c r="Y15" s="318">
        <f t="shared" si="9"/>
        <v>0.16684050849616222</v>
      </c>
      <c r="Z15" s="316">
        <f>IFERROR(AVERAGEIF('Daily KPI'!D:D,Mod[[#This Row],[Month]],'Daily KPI'!AB:AB),"")</f>
        <v>39.210000000000015</v>
      </c>
      <c r="AA15" s="319">
        <f>IFERROR(AVERAGEIF($F$2:F15,F15,$Z$2:Z15),"")</f>
        <v>37.557333333333339</v>
      </c>
      <c r="AB15" s="317"/>
      <c r="AC15" s="316"/>
      <c r="AD15" s="316"/>
      <c r="AE15" s="318">
        <v>0.995</v>
      </c>
      <c r="AF15" s="318">
        <v>0.995</v>
      </c>
      <c r="AG15" s="318"/>
      <c r="AH15" s="318"/>
      <c r="AI15" s="318"/>
      <c r="AJ15" s="318"/>
      <c r="AK15" s="318"/>
      <c r="AL15" s="318"/>
      <c r="AM15" s="326">
        <f>SUMIF('Daily KPI'!$D:$D,$D15,'Daily KPI'!$AS:$AS)</f>
        <v>5310934.3094389578</v>
      </c>
      <c r="AN15" s="326">
        <f>SUMIF($F$2:F15,F15,$AM$2:AM15)</f>
        <v>9890558.1455994733</v>
      </c>
    </row>
    <row r="16" spans="1:43">
      <c r="A16" s="310">
        <f t="shared" si="10"/>
        <v>15</v>
      </c>
      <c r="B16" s="311" t="str">
        <f t="shared" si="19"/>
        <v>June</v>
      </c>
      <c r="C16" s="311">
        <f t="shared" si="19"/>
        <v>6</v>
      </c>
      <c r="D16" s="312">
        <v>45809</v>
      </c>
      <c r="E16" s="313">
        <f t="shared" ref="E16:E25" si="21">YEAR(D16)</f>
        <v>2025</v>
      </c>
      <c r="F16" s="313" t="s">
        <v>269</v>
      </c>
      <c r="G16" s="314">
        <f t="shared" ref="G16:G25" si="22">DAY(EOMONTH(D16,0))</f>
        <v>30</v>
      </c>
      <c r="H16" s="319">
        <f t="shared" ref="H16:I25" si="23">H4</f>
        <v>149.5</v>
      </c>
      <c r="I16" s="319">
        <f t="shared" si="23"/>
        <v>143.4</v>
      </c>
      <c r="J16" s="316"/>
      <c r="K16" s="315">
        <f t="shared" si="20"/>
        <v>30.5</v>
      </c>
      <c r="L16" s="314"/>
      <c r="M16" s="317">
        <v>5047.4883313972814</v>
      </c>
      <c r="N16" s="317">
        <v>45.933750000000003</v>
      </c>
      <c r="O16" s="318">
        <f t="shared" si="13"/>
        <v>0.76629196176809589</v>
      </c>
      <c r="P16" s="316">
        <f t="shared" si="14"/>
        <v>4.78</v>
      </c>
      <c r="Q16" s="314">
        <f>COUNTIFS('Daily KPI'!$D:$D,D16,'Daily KPI'!$K:$K,"&gt;0")</f>
        <v>30</v>
      </c>
      <c r="R16" s="317">
        <f t="shared" si="15"/>
        <v>143.4</v>
      </c>
      <c r="S16" s="317">
        <f>SUMIF($F$2:F16,F16,$R$2:R16)</f>
        <v>537.10803409999994</v>
      </c>
      <c r="T16" s="316">
        <f t="shared" si="16"/>
        <v>168.24961104657604</v>
      </c>
      <c r="U16" s="317">
        <f t="shared" si="17"/>
        <v>5047.4883313972814</v>
      </c>
      <c r="V16" s="317">
        <f>SUMIF($F$2:F16,F16,$U$2:U16)</f>
        <v>16267.013674643789</v>
      </c>
      <c r="W16" s="318">
        <f t="shared" si="18"/>
        <v>0.15261981571881245</v>
      </c>
      <c r="X16" s="318">
        <f t="shared" si="8"/>
        <v>0.15261981571881245</v>
      </c>
      <c r="Y16" s="318">
        <f t="shared" si="9"/>
        <v>0.16215236802011285</v>
      </c>
      <c r="Z16" s="316">
        <f>IFERROR(AVERAGEIF('Daily KPI'!D:D,Mod[[#This Row],[Month]],'Daily KPI'!AB:AB),"")</f>
        <v>39.210000000000015</v>
      </c>
      <c r="AA16" s="319">
        <f>IFERROR(AVERAGEIF($F$2:F16,F16,$Z$2:Z16),"")</f>
        <v>38.108222222222231</v>
      </c>
      <c r="AB16" s="317"/>
      <c r="AC16" s="316"/>
      <c r="AD16" s="316"/>
      <c r="AE16" s="318">
        <v>0.995</v>
      </c>
      <c r="AF16" s="318">
        <v>0.995</v>
      </c>
      <c r="AG16" s="318"/>
      <c r="AH16" s="318"/>
      <c r="AI16" s="318"/>
      <c r="AJ16" s="318"/>
      <c r="AK16" s="318"/>
      <c r="AL16" s="318"/>
      <c r="AM16" s="326">
        <f>SUMIF('Daily KPI'!$D:$D,$D16,'Daily KPI'!$AS:$AS)</f>
        <v>4308640.5415209346</v>
      </c>
      <c r="AN16" s="326">
        <f>SUMIF($F$2:F16,F16,$AM$2:AM16)</f>
        <v>14199198.687120408</v>
      </c>
    </row>
    <row r="17" spans="1:40">
      <c r="A17" s="310">
        <f t="shared" si="10"/>
        <v>16</v>
      </c>
      <c r="B17" s="311" t="str">
        <f t="shared" si="19"/>
        <v>July</v>
      </c>
      <c r="C17" s="311">
        <f t="shared" si="19"/>
        <v>7</v>
      </c>
      <c r="D17" s="312">
        <v>45839</v>
      </c>
      <c r="E17" s="313">
        <f t="shared" si="21"/>
        <v>2025</v>
      </c>
      <c r="F17" s="313" t="s">
        <v>269</v>
      </c>
      <c r="G17" s="314">
        <f t="shared" si="22"/>
        <v>31</v>
      </c>
      <c r="H17" s="319">
        <f t="shared" si="23"/>
        <v>122.2</v>
      </c>
      <c r="I17" s="319">
        <f t="shared" si="23"/>
        <v>118.1</v>
      </c>
      <c r="J17" s="316"/>
      <c r="K17" s="315">
        <f t="shared" si="20"/>
        <v>27.1</v>
      </c>
      <c r="L17" s="314"/>
      <c r="M17" s="317">
        <v>5310.5158127527266</v>
      </c>
      <c r="N17" s="317">
        <v>54.371250000000003</v>
      </c>
      <c r="O17" s="318">
        <f t="shared" si="13"/>
        <v>0.82702281611841366</v>
      </c>
      <c r="P17" s="316">
        <f t="shared" si="14"/>
        <v>3.8096774193548386</v>
      </c>
      <c r="Q17" s="314">
        <f>COUNTIFS('Daily KPI'!$D:$D,D17,'Daily KPI'!$K:$K,"&gt;0")</f>
        <v>27</v>
      </c>
      <c r="R17" s="317">
        <f t="shared" si="15"/>
        <v>102.86129032258064</v>
      </c>
      <c r="S17" s="317">
        <f>SUMIF($F$2:F17,F17,$R$2:R17)</f>
        <v>639.9693244225806</v>
      </c>
      <c r="T17" s="316">
        <f t="shared" si="16"/>
        <v>171.30696170170086</v>
      </c>
      <c r="U17" s="317">
        <f t="shared" si="17"/>
        <v>4625.2879659459231</v>
      </c>
      <c r="V17" s="317">
        <f>SUMIF($F$2:F17,F17,$U$2:U17)</f>
        <v>20892.301640589714</v>
      </c>
      <c r="W17" s="318">
        <f t="shared" si="18"/>
        <v>0.13127875616073204</v>
      </c>
      <c r="X17" s="318">
        <f t="shared" si="8"/>
        <v>0.13127875616073204</v>
      </c>
      <c r="Y17" s="318">
        <f t="shared" si="9"/>
        <v>0.1356824637207249</v>
      </c>
      <c r="Z17" s="316">
        <f>IFERROR(AVERAGEIF('Daily KPI'!D:D,Mod[[#This Row],[Month]],'Daily KPI'!AB:AB),"")</f>
        <v>39.210000000000015</v>
      </c>
      <c r="AA17" s="319">
        <f>IFERROR(AVERAGEIF($F$2:F17,F17,$Z$2:Z17),"")</f>
        <v>38.383666666666677</v>
      </c>
      <c r="AB17" s="317"/>
      <c r="AC17" s="316"/>
      <c r="AD17" s="327"/>
      <c r="AE17" s="318">
        <v>0.995</v>
      </c>
      <c r="AF17" s="318">
        <v>0.995</v>
      </c>
      <c r="AG17" s="318"/>
      <c r="AH17" s="318"/>
      <c r="AI17" s="318"/>
      <c r="AJ17" s="318"/>
      <c r="AK17" s="318"/>
      <c r="AL17" s="318"/>
      <c r="AM17" s="326">
        <f>SUMIF('Daily KPI'!$D:$D,$D17,'Daily KPI'!$AS:$AS)</f>
        <v>3829695.3816223559</v>
      </c>
      <c r="AN17" s="326">
        <f>SUMIF($F$2:F17,F17,$AM$2:AM17)</f>
        <v>18028894.068742763</v>
      </c>
    </row>
    <row r="18" spans="1:40">
      <c r="A18" s="310">
        <f t="shared" si="10"/>
        <v>17</v>
      </c>
      <c r="B18" s="311" t="str">
        <f t="shared" si="19"/>
        <v>August</v>
      </c>
      <c r="C18" s="311">
        <f t="shared" si="19"/>
        <v>8</v>
      </c>
      <c r="D18" s="312">
        <v>45870</v>
      </c>
      <c r="E18" s="313">
        <f t="shared" si="21"/>
        <v>2025</v>
      </c>
      <c r="F18" s="313" t="s">
        <v>269</v>
      </c>
      <c r="G18" s="314">
        <f t="shared" si="22"/>
        <v>31</v>
      </c>
      <c r="H18" s="319">
        <f t="shared" si="23"/>
        <v>123.1</v>
      </c>
      <c r="I18" s="319">
        <f t="shared" si="23"/>
        <v>121.2</v>
      </c>
      <c r="J18" s="316"/>
      <c r="K18" s="315">
        <f t="shared" si="20"/>
        <v>26.2</v>
      </c>
      <c r="L18" s="314"/>
      <c r="M18" s="317">
        <v>5749.7767563044699</v>
      </c>
      <c r="N18" s="317">
        <v>54.371250000000003</v>
      </c>
      <c r="O18" s="318">
        <f t="shared" si="13"/>
        <v>0.87252734266252563</v>
      </c>
      <c r="P18" s="316">
        <f t="shared" si="14"/>
        <v>3.9096774193548387</v>
      </c>
      <c r="Q18" s="314">
        <f>COUNTIFS('Daily KPI'!$D:$D,D18,'Daily KPI'!$K:$K,"&gt;0")</f>
        <v>0</v>
      </c>
      <c r="R18" s="317">
        <f t="shared" si="15"/>
        <v>0</v>
      </c>
      <c r="S18" s="317">
        <f>SUMIF($F$2:F18,F18,$R$2:R18)</f>
        <v>639.9693244225806</v>
      </c>
      <c r="T18" s="316">
        <f t="shared" si="16"/>
        <v>185.4766695582087</v>
      </c>
      <c r="U18" s="317">
        <f t="shared" si="17"/>
        <v>0</v>
      </c>
      <c r="V18" s="317">
        <f>SUMIF($F$2:F18,F18,$U$2:U18)</f>
        <v>20892.301640589714</v>
      </c>
      <c r="W18" s="318">
        <f t="shared" si="18"/>
        <v>0.14213751872405658</v>
      </c>
      <c r="X18" s="318" t="str">
        <f t="shared" si="8"/>
        <v/>
      </c>
      <c r="Y18" s="318">
        <f t="shared" si="9"/>
        <v>0.1356824637207249</v>
      </c>
      <c r="Z18" s="316">
        <f>IFERROR(AVERAGEIF('Daily KPI'!D:D,Mod[[#This Row],[Month]],'Daily KPI'!AB:AB),"")</f>
        <v>0</v>
      </c>
      <c r="AA18" s="319">
        <f>IFERROR(AVERAGEIF($F$2:F18,F18,$Z$2:Z18),"")</f>
        <v>30.706933333333343</v>
      </c>
      <c r="AB18" s="317"/>
      <c r="AC18" s="316"/>
      <c r="AD18" s="316"/>
      <c r="AE18" s="318">
        <v>0.995</v>
      </c>
      <c r="AF18" s="318">
        <v>0.995</v>
      </c>
      <c r="AG18" s="318"/>
      <c r="AH18" s="318"/>
      <c r="AI18" s="318"/>
      <c r="AJ18" s="318"/>
      <c r="AK18" s="318"/>
      <c r="AL18" s="318"/>
      <c r="AM18" s="326">
        <f>SUMIF('Daily KPI'!$D:$D,$D18,'Daily KPI'!$AS:$AS)</f>
        <v>0</v>
      </c>
      <c r="AN18" s="326">
        <f>SUMIF($F$2:F18,F18,$AM$2:AM18)</f>
        <v>18028894.068742763</v>
      </c>
    </row>
    <row r="19" spans="1:40">
      <c r="A19" s="310">
        <f t="shared" si="10"/>
        <v>18</v>
      </c>
      <c r="B19" s="311" t="str">
        <f t="shared" si="19"/>
        <v>September</v>
      </c>
      <c r="C19" s="311">
        <f t="shared" si="19"/>
        <v>9</v>
      </c>
      <c r="D19" s="312">
        <v>45901</v>
      </c>
      <c r="E19" s="313">
        <f t="shared" si="21"/>
        <v>2025</v>
      </c>
      <c r="F19" s="313" t="s">
        <v>269</v>
      </c>
      <c r="G19" s="314">
        <f t="shared" si="22"/>
        <v>30</v>
      </c>
      <c r="H19" s="319">
        <f t="shared" si="23"/>
        <v>143.69999999999999</v>
      </c>
      <c r="I19" s="319">
        <f t="shared" si="23"/>
        <v>147.30000000000001</v>
      </c>
      <c r="J19" s="316"/>
      <c r="K19" s="315">
        <f t="shared" si="20"/>
        <v>26.5</v>
      </c>
      <c r="L19" s="314"/>
      <c r="M19" s="317">
        <v>6736.6823836226504</v>
      </c>
      <c r="N19" s="317">
        <v>54.371250000000003</v>
      </c>
      <c r="O19" s="318">
        <f t="shared" si="13"/>
        <v>0.84115108139007666</v>
      </c>
      <c r="P19" s="316">
        <f t="shared" si="14"/>
        <v>4.91</v>
      </c>
      <c r="Q19" s="314">
        <f>COUNTIFS('Daily KPI'!$D:$D,D19,'Daily KPI'!$K:$K,"&gt;0")</f>
        <v>0</v>
      </c>
      <c r="R19" s="317">
        <f t="shared" si="15"/>
        <v>0</v>
      </c>
      <c r="S19" s="317">
        <f>SUMIF($F$2:F19,F19,$R$2:R19)</f>
        <v>639.9693244225806</v>
      </c>
      <c r="T19" s="316">
        <f t="shared" si="16"/>
        <v>224.55607945408835</v>
      </c>
      <c r="U19" s="317">
        <f t="shared" si="17"/>
        <v>0</v>
      </c>
      <c r="V19" s="317">
        <f>SUMIF($F$2:F19,F19,$U$2:U19)</f>
        <v>20892.301640589714</v>
      </c>
      <c r="W19" s="318">
        <f t="shared" si="18"/>
        <v>0.17208549206771986</v>
      </c>
      <c r="X19" s="318" t="str">
        <f t="shared" si="8"/>
        <v/>
      </c>
      <c r="Y19" s="318">
        <f t="shared" si="9"/>
        <v>0.1356824637207249</v>
      </c>
      <c r="Z19" s="316">
        <f>IFERROR(AVERAGEIF('Daily KPI'!D:D,Mod[[#This Row],[Month]],'Daily KPI'!AB:AB),"")</f>
        <v>0</v>
      </c>
      <c r="AA19" s="319">
        <f>IFERROR(AVERAGEIF($F$2:F19,F19,$Z$2:Z19),"")</f>
        <v>25.589111111111119</v>
      </c>
      <c r="AB19" s="317"/>
      <c r="AC19" s="316"/>
      <c r="AD19" s="327"/>
      <c r="AE19" s="318">
        <v>0.995</v>
      </c>
      <c r="AF19" s="318">
        <v>0.995</v>
      </c>
      <c r="AG19" s="318"/>
      <c r="AH19" s="318"/>
      <c r="AI19" s="318"/>
      <c r="AJ19" s="318"/>
      <c r="AK19" s="318"/>
      <c r="AL19" s="318"/>
      <c r="AM19" s="326">
        <f>SUMIF('Daily KPI'!$D:$D,$D19,'Daily KPI'!$AS:$AS)</f>
        <v>0</v>
      </c>
      <c r="AN19" s="326">
        <f>SUMIF($F$2:F19,F19,$AM$2:AM19)</f>
        <v>18028894.068742763</v>
      </c>
    </row>
    <row r="20" spans="1:40">
      <c r="A20" s="310">
        <f t="shared" si="10"/>
        <v>19</v>
      </c>
      <c r="B20" s="311" t="str">
        <f t="shared" si="19"/>
        <v>October</v>
      </c>
      <c r="C20" s="311">
        <f t="shared" si="19"/>
        <v>10</v>
      </c>
      <c r="D20" s="312">
        <v>45931</v>
      </c>
      <c r="E20" s="313">
        <f t="shared" si="21"/>
        <v>2025</v>
      </c>
      <c r="F20" s="313" t="s">
        <v>269</v>
      </c>
      <c r="G20" s="314">
        <f t="shared" si="22"/>
        <v>31</v>
      </c>
      <c r="H20" s="319">
        <f t="shared" si="23"/>
        <v>164.1</v>
      </c>
      <c r="I20" s="319">
        <f t="shared" si="23"/>
        <v>178.8</v>
      </c>
      <c r="J20" s="316"/>
      <c r="K20" s="315">
        <f t="shared" si="20"/>
        <v>26</v>
      </c>
      <c r="L20" s="314"/>
      <c r="M20" s="317">
        <v>17088.394725721479</v>
      </c>
      <c r="N20" s="317">
        <v>135</v>
      </c>
      <c r="O20" s="318">
        <f t="shared" si="13"/>
        <v>0.7079457587920075</v>
      </c>
      <c r="P20" s="316">
        <f t="shared" si="14"/>
        <v>5.7677419354838717</v>
      </c>
      <c r="Q20" s="314">
        <f>COUNTIFS('Daily KPI'!$D:$D,D20,'Daily KPI'!$K:$K,"&gt;0")</f>
        <v>0</v>
      </c>
      <c r="R20" s="317">
        <f t="shared" si="15"/>
        <v>0</v>
      </c>
      <c r="S20" s="317">
        <f>SUMIF($F$2:F20,F20,$R$2:R20)</f>
        <v>639.9693244225806</v>
      </c>
      <c r="T20" s="316">
        <f t="shared" si="16"/>
        <v>551.2385395394025</v>
      </c>
      <c r="U20" s="317">
        <f t="shared" si="17"/>
        <v>0</v>
      </c>
      <c r="V20" s="317">
        <f>SUMIF($F$2:F20,F20,$U$2:U20)</f>
        <v>20892.301640589714</v>
      </c>
      <c r="W20" s="318">
        <f t="shared" si="18"/>
        <v>0.17013535170969213</v>
      </c>
      <c r="X20" s="318" t="str">
        <f t="shared" si="8"/>
        <v/>
      </c>
      <c r="Y20" s="318">
        <f t="shared" si="9"/>
        <v>5.4646112263521958E-2</v>
      </c>
      <c r="Z20" s="316">
        <f>IFERROR(AVERAGEIF('Daily KPI'!D:D,Mod[[#This Row],[Month]],'Daily KPI'!AB:AB),"")</f>
        <v>0</v>
      </c>
      <c r="AA20" s="319">
        <f>IFERROR(AVERAGEIF($F$2:F20,F20,$Z$2:Z20),"")</f>
        <v>21.933523809523816</v>
      </c>
      <c r="AB20" s="317"/>
      <c r="AC20" s="316"/>
      <c r="AD20" s="316"/>
      <c r="AE20" s="318">
        <v>0.995</v>
      </c>
      <c r="AF20" s="318">
        <v>0.995</v>
      </c>
      <c r="AG20" s="318"/>
      <c r="AH20" s="318"/>
      <c r="AI20" s="318"/>
      <c r="AJ20" s="318"/>
      <c r="AK20" s="318"/>
      <c r="AL20" s="318"/>
      <c r="AM20" s="326">
        <f>SUMIF('Daily KPI'!$D:$D,$D20,'Daily KPI'!$AS:$AS)</f>
        <v>0</v>
      </c>
      <c r="AN20" s="326">
        <f>SUMIF($F$2:F20,F20,$AM$2:AM20)</f>
        <v>18028894.068742763</v>
      </c>
    </row>
    <row r="21" spans="1:40">
      <c r="A21" s="310">
        <f t="shared" si="10"/>
        <v>20</v>
      </c>
      <c r="B21" s="311" t="str">
        <f t="shared" si="19"/>
        <v>November</v>
      </c>
      <c r="C21" s="311">
        <f t="shared" si="19"/>
        <v>11</v>
      </c>
      <c r="D21" s="312">
        <v>45962</v>
      </c>
      <c r="E21" s="313">
        <f t="shared" si="21"/>
        <v>2025</v>
      </c>
      <c r="F21" s="313" t="s">
        <v>269</v>
      </c>
      <c r="G21" s="314">
        <f t="shared" si="22"/>
        <v>30</v>
      </c>
      <c r="H21" s="319">
        <f t="shared" si="23"/>
        <v>147.69999999999999</v>
      </c>
      <c r="I21" s="319">
        <f t="shared" si="23"/>
        <v>169.4</v>
      </c>
      <c r="J21" s="316"/>
      <c r="K21" s="315">
        <f t="shared" si="20"/>
        <v>23.7</v>
      </c>
      <c r="L21" s="314"/>
      <c r="M21" s="317">
        <v>17210.831545392419</v>
      </c>
      <c r="N21" s="317">
        <v>135</v>
      </c>
      <c r="O21" s="318">
        <f t="shared" si="13"/>
        <v>0.75258347743200049</v>
      </c>
      <c r="P21" s="316">
        <f t="shared" si="14"/>
        <v>5.6466666666666665</v>
      </c>
      <c r="Q21" s="314">
        <f>COUNTIFS('Daily KPI'!$D:$D,D21,'Daily KPI'!$K:$K,"&gt;0")</f>
        <v>0</v>
      </c>
      <c r="R21" s="317">
        <f t="shared" si="15"/>
        <v>0</v>
      </c>
      <c r="S21" s="317">
        <f>SUMIF($F$2:F21,F21,$R$2:R21)</f>
        <v>639.9693244225806</v>
      </c>
      <c r="T21" s="316">
        <f t="shared" si="16"/>
        <v>573.69438484641398</v>
      </c>
      <c r="U21" s="317">
        <f t="shared" si="17"/>
        <v>0</v>
      </c>
      <c r="V21" s="317">
        <f>SUMIF($F$2:F21,F21,$U$2:U21)</f>
        <v>20892.301640589714</v>
      </c>
      <c r="W21" s="318">
        <f t="shared" si="18"/>
        <v>0.17706616816247345</v>
      </c>
      <c r="X21" s="318" t="str">
        <f t="shared" si="8"/>
        <v/>
      </c>
      <c r="Y21" s="318">
        <f t="shared" si="9"/>
        <v>5.4646112263521958E-2</v>
      </c>
      <c r="Z21" s="316">
        <f>IFERROR(AVERAGEIF('Daily KPI'!D:D,Mod[[#This Row],[Month]],'Daily KPI'!AB:AB),"")</f>
        <v>0</v>
      </c>
      <c r="AA21" s="319">
        <f>IFERROR(AVERAGEIF($F$2:F21,F21,$Z$2:Z21),"")</f>
        <v>19.191833333333339</v>
      </c>
      <c r="AB21" s="317"/>
      <c r="AC21" s="316"/>
      <c r="AD21" s="327"/>
      <c r="AE21" s="318">
        <v>0.995</v>
      </c>
      <c r="AF21" s="318">
        <v>0.995</v>
      </c>
      <c r="AG21" s="318"/>
      <c r="AH21" s="318"/>
      <c r="AI21" s="318"/>
      <c r="AJ21" s="318"/>
      <c r="AK21" s="318"/>
      <c r="AL21" s="318"/>
      <c r="AM21" s="326">
        <f>SUMIF('Daily KPI'!$D:$D,$D21,'Daily KPI'!$AS:$AS)</f>
        <v>0</v>
      </c>
      <c r="AN21" s="326">
        <f>SUMIF($F$2:F21,F21,$AM$2:AM21)</f>
        <v>18028894.068742763</v>
      </c>
    </row>
    <row r="22" spans="1:40">
      <c r="A22" s="310">
        <f t="shared" si="10"/>
        <v>21</v>
      </c>
      <c r="B22" s="311" t="str">
        <f t="shared" si="19"/>
        <v>December</v>
      </c>
      <c r="C22" s="311">
        <f t="shared" si="19"/>
        <v>12</v>
      </c>
      <c r="D22" s="312">
        <v>45992</v>
      </c>
      <c r="E22" s="313">
        <f t="shared" si="21"/>
        <v>2025</v>
      </c>
      <c r="F22" s="313" t="s">
        <v>269</v>
      </c>
      <c r="G22" s="314">
        <f t="shared" si="22"/>
        <v>31</v>
      </c>
      <c r="H22" s="319">
        <f t="shared" si="23"/>
        <v>144.9</v>
      </c>
      <c r="I22" s="319">
        <f t="shared" si="23"/>
        <v>171.3</v>
      </c>
      <c r="J22" s="316"/>
      <c r="K22" s="315">
        <f t="shared" si="20"/>
        <v>21.59</v>
      </c>
      <c r="L22" s="314"/>
      <c r="M22" s="317">
        <v>18288.248265623839</v>
      </c>
      <c r="N22" s="317">
        <v>135</v>
      </c>
      <c r="O22" s="318">
        <f t="shared" si="13"/>
        <v>0.79082606930115407</v>
      </c>
      <c r="P22" s="316">
        <f t="shared" si="14"/>
        <v>5.5258064516129037</v>
      </c>
      <c r="Q22" s="314">
        <f>COUNTIFS('Daily KPI'!$D:$D,D22,'Daily KPI'!$K:$K,"&gt;0")</f>
        <v>0</v>
      </c>
      <c r="R22" s="317">
        <f t="shared" si="15"/>
        <v>0</v>
      </c>
      <c r="S22" s="317">
        <f>SUMIF($F$2:F22,F22,$R$2:R22)</f>
        <v>639.9693244225806</v>
      </c>
      <c r="T22" s="316">
        <f t="shared" si="16"/>
        <v>589.94349243947863</v>
      </c>
      <c r="U22" s="317">
        <f t="shared" si="17"/>
        <v>0</v>
      </c>
      <c r="V22" s="317">
        <f>SUMIF($F$2:F22,F22,$U$2:U22)</f>
        <v>20892.301640589714</v>
      </c>
      <c r="W22" s="318">
        <f t="shared" si="18"/>
        <v>0.18208132482699957</v>
      </c>
      <c r="X22" s="318" t="str">
        <f t="shared" si="8"/>
        <v/>
      </c>
      <c r="Y22" s="318">
        <f t="shared" si="9"/>
        <v>5.4646112263521958E-2</v>
      </c>
      <c r="Z22" s="316">
        <f>IFERROR(AVERAGEIF('Daily KPI'!D:D,Mod[[#This Row],[Month]],'Daily KPI'!AB:AB),"")</f>
        <v>0</v>
      </c>
      <c r="AA22" s="319">
        <f>IFERROR(AVERAGEIF($F$2:F22,F22,$Z$2:Z22),"")</f>
        <v>17.059407407407413</v>
      </c>
      <c r="AB22" s="317"/>
      <c r="AC22" s="316"/>
      <c r="AD22" s="316"/>
      <c r="AE22" s="318">
        <v>0.995</v>
      </c>
      <c r="AF22" s="318">
        <v>0.995</v>
      </c>
      <c r="AG22" s="318"/>
      <c r="AH22" s="318"/>
      <c r="AI22" s="318"/>
      <c r="AJ22" s="318"/>
      <c r="AK22" s="318"/>
      <c r="AL22" s="318"/>
      <c r="AM22" s="326">
        <f>SUMIF('Daily KPI'!$D:$D,$D22,'Daily KPI'!$AS:$AS)</f>
        <v>0</v>
      </c>
      <c r="AN22" s="326">
        <f>SUMIF($F$2:F22,F22,$AM$2:AM22)</f>
        <v>18028894.068742763</v>
      </c>
    </row>
    <row r="23" spans="1:40">
      <c r="A23" s="310">
        <f t="shared" si="10"/>
        <v>22</v>
      </c>
      <c r="B23" s="311" t="str">
        <f t="shared" si="19"/>
        <v>January</v>
      </c>
      <c r="C23" s="311">
        <f t="shared" si="19"/>
        <v>1</v>
      </c>
      <c r="D23" s="312">
        <v>46023</v>
      </c>
      <c r="E23" s="313">
        <f t="shared" si="21"/>
        <v>2026</v>
      </c>
      <c r="F23" s="313" t="s">
        <v>269</v>
      </c>
      <c r="G23" s="314">
        <f t="shared" si="22"/>
        <v>31</v>
      </c>
      <c r="H23" s="319">
        <f t="shared" si="23"/>
        <v>150.6</v>
      </c>
      <c r="I23" s="319">
        <f t="shared" si="23"/>
        <v>174.6</v>
      </c>
      <c r="J23" s="316"/>
      <c r="K23" s="315">
        <f t="shared" si="20"/>
        <v>21.9</v>
      </c>
      <c r="L23" s="314"/>
      <c r="M23" s="317">
        <v>20510.850732486593</v>
      </c>
      <c r="N23" s="317">
        <v>135</v>
      </c>
      <c r="O23" s="318">
        <f t="shared" si="13"/>
        <v>0.87017312513200951</v>
      </c>
      <c r="P23" s="316">
        <f t="shared" si="14"/>
        <v>5.6322580645161286</v>
      </c>
      <c r="Q23" s="314">
        <f>COUNTIFS('Daily KPI'!$D:$D,D23,'Daily KPI'!$K:$K,"&gt;0")</f>
        <v>0</v>
      </c>
      <c r="R23" s="317">
        <f t="shared" si="15"/>
        <v>0</v>
      </c>
      <c r="S23" s="317">
        <f>SUMIF($F$2:F23,F23,$R$2:R23)</f>
        <v>639.9693244225806</v>
      </c>
      <c r="T23" s="316">
        <f t="shared" si="16"/>
        <v>661.64034620924497</v>
      </c>
      <c r="U23" s="317">
        <f t="shared" si="17"/>
        <v>0</v>
      </c>
      <c r="V23" s="317">
        <f>SUMIF($F$2:F23,F23,$U$2:U23)</f>
        <v>20892.301640589714</v>
      </c>
      <c r="W23" s="318">
        <f t="shared" si="18"/>
        <v>0.2042099833979151</v>
      </c>
      <c r="X23" s="318" t="str">
        <f t="shared" si="8"/>
        <v/>
      </c>
      <c r="Y23" s="318">
        <f t="shared" si="9"/>
        <v>5.4646112263521958E-2</v>
      </c>
      <c r="Z23" s="316" t="str">
        <f>IFERROR(AVERAGEIF('Daily KPI'!D:D,Mod[[#This Row],[Month]],'Daily KPI'!AB:AB),"")</f>
        <v/>
      </c>
      <c r="AA23" s="319">
        <f>IFERROR(AVERAGEIF($F$2:F23,F23,$Z$2:Z23),"")</f>
        <v>17.059407407407413</v>
      </c>
      <c r="AB23" s="317"/>
      <c r="AC23" s="316"/>
      <c r="AD23" s="327"/>
      <c r="AE23" s="318">
        <v>0.995</v>
      </c>
      <c r="AF23" s="318">
        <v>0.995</v>
      </c>
      <c r="AG23" s="318"/>
      <c r="AH23" s="318"/>
      <c r="AI23" s="318"/>
      <c r="AJ23" s="318"/>
      <c r="AK23" s="318"/>
      <c r="AL23" s="318"/>
      <c r="AM23" s="326">
        <f>SUMIF('Daily KPI'!$D:$D,$D23,'Daily KPI'!$AS:$AS)</f>
        <v>0</v>
      </c>
      <c r="AN23" s="326">
        <f>SUMIF($F$2:F23,F23,$AM$2:AM23)</f>
        <v>18028894.068742763</v>
      </c>
    </row>
    <row r="24" spans="1:40">
      <c r="A24" s="310">
        <f t="shared" si="10"/>
        <v>23</v>
      </c>
      <c r="B24" s="311" t="str">
        <f t="shared" si="19"/>
        <v>February</v>
      </c>
      <c r="C24" s="311">
        <f t="shared" si="19"/>
        <v>2</v>
      </c>
      <c r="D24" s="312">
        <v>46054</v>
      </c>
      <c r="E24" s="313">
        <f t="shared" si="21"/>
        <v>2026</v>
      </c>
      <c r="F24" s="313" t="s">
        <v>269</v>
      </c>
      <c r="G24" s="314">
        <f t="shared" si="22"/>
        <v>28</v>
      </c>
      <c r="H24" s="319">
        <f t="shared" si="23"/>
        <v>159</v>
      </c>
      <c r="I24" s="319">
        <f t="shared" si="23"/>
        <v>178.1</v>
      </c>
      <c r="J24" s="316"/>
      <c r="K24" s="315">
        <f t="shared" si="20"/>
        <v>25.1</v>
      </c>
      <c r="L24" s="314"/>
      <c r="M24" s="317">
        <v>20639.397742820336</v>
      </c>
      <c r="N24" s="317">
        <v>135</v>
      </c>
      <c r="O24" s="318">
        <f t="shared" si="13"/>
        <v>0.85841902147442506</v>
      </c>
      <c r="P24" s="316">
        <f t="shared" si="14"/>
        <v>6.3607142857142858</v>
      </c>
      <c r="Q24" s="314">
        <f>COUNTIFS('Daily KPI'!$D:$D,D24,'Daily KPI'!$K:$K,"&gt;0")</f>
        <v>0</v>
      </c>
      <c r="R24" s="317">
        <f t="shared" si="15"/>
        <v>0</v>
      </c>
      <c r="S24" s="317">
        <f>SUMIF($F$2:F24,F24,$R$2:R24)</f>
        <v>639.9693244225806</v>
      </c>
      <c r="T24" s="316">
        <f t="shared" si="16"/>
        <v>737.12134795786915</v>
      </c>
      <c r="U24" s="317">
        <f t="shared" si="17"/>
        <v>0</v>
      </c>
      <c r="V24" s="317">
        <f>SUMIF($F$2:F24,F24,$U$2:U24)</f>
        <v>20892.301640589714</v>
      </c>
      <c r="W24" s="318">
        <f t="shared" si="18"/>
        <v>0.22750658887588554</v>
      </c>
      <c r="X24" s="318" t="str">
        <f t="shared" si="8"/>
        <v/>
      </c>
      <c r="Y24" s="318">
        <f t="shared" si="9"/>
        <v>5.4646112263521958E-2</v>
      </c>
      <c r="Z24" s="316" t="str">
        <f>IFERROR(AVERAGEIF('Daily KPI'!D:D,Mod[[#This Row],[Month]],'Daily KPI'!AB:AB),"")</f>
        <v/>
      </c>
      <c r="AA24" s="319">
        <f>IFERROR(AVERAGEIF($F$2:F24,F24,$Z$2:Z24),"")</f>
        <v>17.059407407407413</v>
      </c>
      <c r="AB24" s="317"/>
      <c r="AC24" s="316"/>
      <c r="AD24" s="316"/>
      <c r="AE24" s="318">
        <v>0.995</v>
      </c>
      <c r="AF24" s="318">
        <v>0.995</v>
      </c>
      <c r="AG24" s="318"/>
      <c r="AH24" s="318"/>
      <c r="AI24" s="318"/>
      <c r="AJ24" s="318"/>
      <c r="AK24" s="318"/>
      <c r="AL24" s="318"/>
      <c r="AM24" s="326">
        <f>SUMIF('Daily KPI'!$D:$D,$D24,'Daily KPI'!$AS:$AS)</f>
        <v>0</v>
      </c>
      <c r="AN24" s="326">
        <f>SUMIF($F$2:F24,F24,$AM$2:AM24)</f>
        <v>18028894.068742763</v>
      </c>
    </row>
    <row r="25" spans="1:40">
      <c r="A25" s="310">
        <f t="shared" si="10"/>
        <v>24</v>
      </c>
      <c r="B25" s="311" t="str">
        <f t="shared" si="19"/>
        <v>March</v>
      </c>
      <c r="C25" s="311">
        <f t="shared" si="19"/>
        <v>3</v>
      </c>
      <c r="D25" s="312">
        <v>46082</v>
      </c>
      <c r="E25" s="313">
        <f t="shared" si="21"/>
        <v>2026</v>
      </c>
      <c r="F25" s="313" t="s">
        <v>269</v>
      </c>
      <c r="G25" s="314">
        <f t="shared" si="22"/>
        <v>31</v>
      </c>
      <c r="H25" s="319">
        <f t="shared" si="23"/>
        <v>200.8</v>
      </c>
      <c r="I25" s="319">
        <f t="shared" si="23"/>
        <v>213</v>
      </c>
      <c r="J25" s="316"/>
      <c r="K25" s="315">
        <f t="shared" si="20"/>
        <v>29</v>
      </c>
      <c r="L25" s="314"/>
      <c r="M25" s="317">
        <v>23626.576294819453</v>
      </c>
      <c r="N25" s="317">
        <v>135</v>
      </c>
      <c r="O25" s="318">
        <f t="shared" si="13"/>
        <v>0.82165106224376472</v>
      </c>
      <c r="P25" s="316">
        <f t="shared" si="14"/>
        <v>6.870967741935484</v>
      </c>
      <c r="Q25" s="314">
        <f>COUNTIFS('Daily KPI'!$D:$D,D25,'Daily KPI'!$K:$K,"&gt;0")</f>
        <v>0</v>
      </c>
      <c r="R25" s="317">
        <f t="shared" si="15"/>
        <v>0</v>
      </c>
      <c r="S25" s="317">
        <f>SUMIF($F$2:F25,F25,$R$2:R25)</f>
        <v>639.9693244225806</v>
      </c>
      <c r="T25" s="316">
        <f t="shared" si="16"/>
        <v>762.14762241353071</v>
      </c>
      <c r="U25" s="317">
        <f t="shared" si="17"/>
        <v>0</v>
      </c>
      <c r="V25" s="317">
        <f>SUMIF($F$2:F25,F25,$U$2:U25)</f>
        <v>20892.301640589714</v>
      </c>
      <c r="W25" s="318">
        <f t="shared" si="18"/>
        <v>0.23523074765849714</v>
      </c>
      <c r="X25" s="318" t="str">
        <f t="shared" si="8"/>
        <v/>
      </c>
      <c r="Y25" s="318">
        <f t="shared" si="9"/>
        <v>5.4646112263521958E-2</v>
      </c>
      <c r="Z25" s="316" t="str">
        <f>IFERROR(AVERAGEIF('Daily KPI'!D:D,Mod[[#This Row],[Month]],'Daily KPI'!AB:AB),"")</f>
        <v/>
      </c>
      <c r="AA25" s="319">
        <f>IFERROR(AVERAGEIF($F$2:F25,F25,$Z$2:Z25),"")</f>
        <v>17.059407407407413</v>
      </c>
      <c r="AB25" s="317"/>
      <c r="AC25" s="316"/>
      <c r="AD25" s="327"/>
      <c r="AE25" s="318">
        <v>0.995</v>
      </c>
      <c r="AF25" s="318">
        <v>0.995</v>
      </c>
      <c r="AG25" s="318"/>
      <c r="AH25" s="318"/>
      <c r="AI25" s="318"/>
      <c r="AJ25" s="318"/>
      <c r="AK25" s="318"/>
      <c r="AL25" s="318"/>
      <c r="AM25" s="326">
        <f>SUMIF('Daily KPI'!$D:$D,$D25,'Daily KPI'!$AS:$AS)</f>
        <v>0</v>
      </c>
      <c r="AN25" s="326">
        <f>SUMIF($F$2:F25,F25,$AM$2:AM25)</f>
        <v>18028894.068742763</v>
      </c>
    </row>
  </sheetData>
  <phoneticPr fontId="66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AI192" activePane="bottomRight" state="frozen"/>
      <selection pane="topRight" activeCell="C1" sqref="C1"/>
      <selection pane="bottomLeft" activeCell="A4" sqref="A4"/>
      <selection pane="bottomRight" activeCell="AO194" sqref="AO194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7265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6</v>
      </c>
      <c r="B1" s="28" t="s">
        <v>110</v>
      </c>
      <c r="C1" s="29" t="s">
        <v>111</v>
      </c>
      <c r="D1" s="29" t="s">
        <v>112</v>
      </c>
      <c r="E1" s="29" t="s">
        <v>270</v>
      </c>
      <c r="F1" s="29" t="s">
        <v>201</v>
      </c>
      <c r="G1" s="29" t="s">
        <v>113</v>
      </c>
      <c r="H1" s="29" t="s">
        <v>72</v>
      </c>
      <c r="I1" s="29" t="s">
        <v>158</v>
      </c>
      <c r="J1" s="29" t="s">
        <v>159</v>
      </c>
      <c r="K1" s="29" t="s">
        <v>271</v>
      </c>
      <c r="L1" s="29" t="s">
        <v>272</v>
      </c>
      <c r="M1" s="29" t="s">
        <v>273</v>
      </c>
      <c r="N1" s="29" t="s">
        <v>274</v>
      </c>
      <c r="O1" s="29" t="s">
        <v>275</v>
      </c>
      <c r="P1" s="29" t="s">
        <v>276</v>
      </c>
      <c r="Q1" s="29" t="s">
        <v>277</v>
      </c>
      <c r="R1" s="29" t="s">
        <v>278</v>
      </c>
      <c r="S1" s="29" t="s">
        <v>279</v>
      </c>
      <c r="T1" s="29" t="s">
        <v>280</v>
      </c>
      <c r="U1" s="29" t="s">
        <v>281</v>
      </c>
      <c r="V1" s="29" t="s">
        <v>204</v>
      </c>
      <c r="W1" s="29" t="s">
        <v>282</v>
      </c>
      <c r="X1" s="29" t="s">
        <v>283</v>
      </c>
      <c r="Y1" s="29" t="s">
        <v>205</v>
      </c>
      <c r="Z1" s="29" t="s">
        <v>284</v>
      </c>
      <c r="AA1" s="29" t="s">
        <v>285</v>
      </c>
      <c r="AB1" s="29" t="s">
        <v>286</v>
      </c>
      <c r="AC1" s="29" t="s">
        <v>287</v>
      </c>
      <c r="AD1" s="29" t="s">
        <v>288</v>
      </c>
      <c r="AE1" s="29" t="s">
        <v>209</v>
      </c>
      <c r="AF1" s="29" t="s">
        <v>210</v>
      </c>
      <c r="AG1" s="29" t="s">
        <v>211</v>
      </c>
      <c r="AH1" s="29" t="s">
        <v>212</v>
      </c>
      <c r="AI1" s="29" t="s">
        <v>213</v>
      </c>
      <c r="AJ1" s="29" t="s">
        <v>214</v>
      </c>
      <c r="AK1" s="29" t="s">
        <v>289</v>
      </c>
      <c r="AL1" s="50" t="s">
        <v>290</v>
      </c>
      <c r="AM1" s="29" t="s">
        <v>152</v>
      </c>
      <c r="AN1" s="29" t="s">
        <v>153</v>
      </c>
      <c r="AO1" s="29" t="s">
        <v>291</v>
      </c>
      <c r="AP1" s="29" t="s">
        <v>292</v>
      </c>
    </row>
    <row r="2" spans="1:42">
      <c r="A2" s="30">
        <v>1</v>
      </c>
      <c r="B2" s="31">
        <v>45753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218</v>
      </c>
      <c r="F2" s="33" t="s">
        <v>218</v>
      </c>
      <c r="G2" s="196">
        <f>PA[[#This Row],[Date]]-DAY(PA[[#This Row],[Date]])+1</f>
        <v>45748</v>
      </c>
      <c r="H2" s="32">
        <f>DAY(EOMONTH(PA[[#This Row],[Month Year]],0))</f>
        <v>30</v>
      </c>
      <c r="I2" s="122">
        <v>0.26874999999999999</v>
      </c>
      <c r="J2" s="122">
        <v>0.76041666666666663</v>
      </c>
      <c r="K2" s="35">
        <f>IFERROR((PA[[#This Row],[Sunset Time (POA&lt;20 W/m2)]]-PA[[#This Row],[Sunrise Time (POA&gt;20 W/m2)]])*24,"")</f>
        <v>11.799999999999999</v>
      </c>
      <c r="L2" s="33" t="s">
        <v>293</v>
      </c>
      <c r="M2" s="33" t="s">
        <v>294</v>
      </c>
      <c r="N2" s="33"/>
      <c r="O2" s="36"/>
      <c r="P2" s="36"/>
      <c r="Q2" s="33"/>
      <c r="R2" s="32">
        <f>IF((PA[[#This Row],[String Type(If String BD)]]&amp;PA[[#This Row],[Equipment (If any BD other than PV  array and inv)]])="",1,0)</f>
        <v>1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" s="35">
        <f>IFERROR(_xlfn.XLOOKUP(PA[[#This Row],[Affected Equipment ]],'Basic Data'!N:N,'Basic Data'!Q:Q),"")</f>
        <v>6511.66</v>
      </c>
      <c r="V2" s="39">
        <f ca="1">IFERROR(_xlfn.XLOOKUP(PA[[#This Row],[Affected Equipment ]],'Basic Data'!N:N,'Basic Data'!R:R),"")</f>
        <v>0.1660714103545014</v>
      </c>
      <c r="W2" s="36" t="s">
        <v>295</v>
      </c>
      <c r="X2" s="40"/>
      <c r="Y2" s="40" t="s">
        <v>296</v>
      </c>
      <c r="Z2" s="46">
        <v>0.53819444444444442</v>
      </c>
      <c r="AA2" s="46">
        <v>0.53819444444444442</v>
      </c>
      <c r="AB2" s="46">
        <v>0.53819444444444442</v>
      </c>
      <c r="AC2" s="46">
        <v>0.72916666666666663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</v>
      </c>
      <c r="AF2" s="45">
        <f>IF(PA[[#This Row],[Status]]="Open","",(PA[[#This Row],[Work Completion time on fault]]-PA[[#This Row],[Fault Time]])*24)</f>
        <v>4.583333333333333</v>
      </c>
      <c r="AG2" s="44">
        <f>IFERROR((PA[[#This Row],[Work Completion time on fault]]-PA[[#This Row],[Fault Time]])*24,"")</f>
        <v>4.583333333333333</v>
      </c>
      <c r="AH2" s="36" t="s">
        <v>297</v>
      </c>
      <c r="AI2" s="33" t="s">
        <v>298</v>
      </c>
      <c r="AJ2" s="35">
        <f ca="1">IFERROR(PA[[#This Row],[Breakdown Time]]*PA[[#This Row],[Plant Equivalent Weightage]],"")</f>
        <v>0.76116063079146468</v>
      </c>
      <c r="AK2" s="36">
        <v>3.0036148333333337</v>
      </c>
      <c r="AL2" s="51">
        <f>IFERROR((_xlfn.XLOOKUP($G2,'Modelling New'!D:D,'Modelling New'!$O:$O)*PA[[#This Row],[Lost PoA(kWh/m2)]]*PA[[#This Row],[DC Capacity Affected (kW)]]),"")</f>
        <v>13714.093245153559</v>
      </c>
      <c r="AM2" s="33"/>
      <c r="AN2" s="33"/>
      <c r="AO2" s="33"/>
      <c r="AP2" s="33"/>
    </row>
    <row r="3" spans="1:42">
      <c r="A3" s="30">
        <v>2</v>
      </c>
      <c r="B3" s="31">
        <v>45753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218</v>
      </c>
      <c r="F3" s="33" t="s">
        <v>218</v>
      </c>
      <c r="G3" s="196">
        <f>PA[[#This Row],[Date]]-DAY(PA[[#This Row],[Date]])+1</f>
        <v>45748</v>
      </c>
      <c r="H3" s="32">
        <f>DAY(EOMONTH(PA[[#This Row],[Month Year]],0))</f>
        <v>30</v>
      </c>
      <c r="I3" s="122">
        <v>0.26874999999999999</v>
      </c>
      <c r="J3" s="122">
        <v>0.76041666666666663</v>
      </c>
      <c r="K3" s="35">
        <f>IFERROR((PA[[#This Row],[Sunset Time (POA&lt;20 W/m2)]]-PA[[#This Row],[Sunrise Time (POA&gt;20 W/m2)]])*24,"")</f>
        <v>11.799999999999999</v>
      </c>
      <c r="L3" s="33" t="s">
        <v>293</v>
      </c>
      <c r="M3" s="33" t="s">
        <v>299</v>
      </c>
      <c r="N3" s="33"/>
      <c r="O3" s="36"/>
      <c r="P3" s="36"/>
      <c r="Q3" s="33"/>
      <c r="R3" s="32">
        <f>IF((PA[[#This Row],[String Type(If String BD)]]&amp;PA[[#This Row],[Equipment (If any BD other than PV  array and inv)]])="",1,0)</f>
        <v>1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3" s="35">
        <f>IFERROR(_xlfn.XLOOKUP(PA[[#This Row],[Affected Equipment ]],'Basic Data'!N:N,'Basic Data'!Q:Q),"")</f>
        <v>6495.8549999999996</v>
      </c>
      <c r="V3" s="39">
        <f ca="1">IFERROR(_xlfn.XLOOKUP(PA[[#This Row],[Affected Equipment ]],'Basic Data'!N:N,'Basic Data'!R:R),"")</f>
        <v>0.16566832440703902</v>
      </c>
      <c r="W3" s="36" t="s">
        <v>295</v>
      </c>
      <c r="X3" s="40"/>
      <c r="Y3" s="40" t="s">
        <v>296</v>
      </c>
      <c r="Z3" s="46">
        <v>0.53819444444444442</v>
      </c>
      <c r="AA3" s="46">
        <v>0.53819444444444442</v>
      </c>
      <c r="AB3" s="46">
        <v>0.53819444444444442</v>
      </c>
      <c r="AC3" s="46">
        <v>0.72916666666666663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</v>
      </c>
      <c r="AF3" s="45">
        <f>IF(PA[[#This Row],[Status]]="Open","",(PA[[#This Row],[Work Completion time on fault]]-PA[[#This Row],[Fault Time]])*24)</f>
        <v>4.583333333333333</v>
      </c>
      <c r="AG3" s="44">
        <f>IFERROR((PA[[#This Row],[Work Completion time on fault]]-PA[[#This Row],[Fault Time]])*24,"")</f>
        <v>4.583333333333333</v>
      </c>
      <c r="AH3" s="36" t="s">
        <v>297</v>
      </c>
      <c r="AI3" s="33" t="s">
        <v>298</v>
      </c>
      <c r="AJ3" s="35">
        <f ca="1">IFERROR(PA[[#This Row],[Breakdown Time]]*PA[[#This Row],[Plant Equivalent Weightage]],"")</f>
        <v>0.75931315353226214</v>
      </c>
      <c r="AK3" s="36">
        <v>3.0036148333333337</v>
      </c>
      <c r="AL3" s="51">
        <f>IFERROR((_xlfn.XLOOKUP($G3,'Modelling New'!D:D,'Modelling New'!$O:$O)*PA[[#This Row],[Lost PoA(kWh/m2)]]*PA[[#This Row],[DC Capacity Affected (kW)]]),"")</f>
        <v>13680.806611063379</v>
      </c>
      <c r="AM3" s="33"/>
      <c r="AN3" s="33"/>
      <c r="AO3" s="33"/>
      <c r="AP3" s="33"/>
    </row>
    <row r="4" spans="1:42">
      <c r="A4" s="30">
        <v>3</v>
      </c>
      <c r="B4" s="31">
        <v>45754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218</v>
      </c>
      <c r="F4" s="33" t="s">
        <v>218</v>
      </c>
      <c r="G4" s="196">
        <f>PA[[#This Row],[Date]]-DAY(PA[[#This Row],[Date]])+1</f>
        <v>45748</v>
      </c>
      <c r="H4" s="32">
        <f>DAY(EOMONTH(PA[[#This Row],[Month Year]],0))</f>
        <v>30</v>
      </c>
      <c r="I4" s="122">
        <v>0.26874999999999999</v>
      </c>
      <c r="J4" s="122">
        <v>0.76041666666666663</v>
      </c>
      <c r="K4" s="35">
        <f>IFERROR((PA[[#This Row],[Sunset Time (POA&lt;20 W/m2)]]-PA[[#This Row],[Sunrise Time (POA&gt;20 W/m2)]])*24,"")</f>
        <v>11.799999999999999</v>
      </c>
      <c r="L4" s="33" t="s">
        <v>293</v>
      </c>
      <c r="M4" s="33" t="s">
        <v>294</v>
      </c>
      <c r="N4" s="33"/>
      <c r="O4" s="36"/>
      <c r="P4" s="36"/>
      <c r="Q4" s="33"/>
      <c r="R4" s="32">
        <f>IF((PA[[#This Row],[String Type(If String BD)]]&amp;PA[[#This Row],[Equipment (If any BD other than PV  array and inv)]])="",1,0)</f>
        <v>1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4" s="35">
        <f>IFERROR(_xlfn.XLOOKUP(PA[[#This Row],[Affected Equipment ]],'Basic Data'!N:N,'Basic Data'!Q:Q),"")</f>
        <v>6511.66</v>
      </c>
      <c r="V4" s="39">
        <f ca="1">IFERROR(_xlfn.XLOOKUP(PA[[#This Row],[Affected Equipment ]],'Basic Data'!N:N,'Basic Data'!R:R),"")</f>
        <v>0.1660714103545014</v>
      </c>
      <c r="W4" s="36" t="s">
        <v>295</v>
      </c>
      <c r="X4" s="40"/>
      <c r="Y4" s="40" t="s">
        <v>296</v>
      </c>
      <c r="Z4" s="46">
        <v>0.52777777777777779</v>
      </c>
      <c r="AA4" s="46">
        <v>0.52777777777777779</v>
      </c>
      <c r="AB4" s="46">
        <v>0.52777777777777779</v>
      </c>
      <c r="AC4" s="46">
        <v>0.5541666666666667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0</v>
      </c>
      <c r="AF4" s="45">
        <f>IF(PA[[#This Row],[Status]]="Open","",(PA[[#This Row],[Work Completion time on fault]]-PA[[#This Row],[Fault Time]])*24)</f>
        <v>0.63333333333333375</v>
      </c>
      <c r="AG4" s="44">
        <f>IFERROR((PA[[#This Row],[Work Completion time on fault]]-PA[[#This Row],[Fault Time]])*24,"")</f>
        <v>0.63333333333333375</v>
      </c>
      <c r="AH4" s="36" t="s">
        <v>297</v>
      </c>
      <c r="AI4" s="33" t="s">
        <v>298</v>
      </c>
      <c r="AJ4" s="35">
        <f ca="1">IFERROR(PA[[#This Row],[Breakdown Time]]*PA[[#This Row],[Plant Equivalent Weightage]],"")</f>
        <v>0.10517855989118428</v>
      </c>
      <c r="AK4" s="36">
        <v>0.60555307300000005</v>
      </c>
      <c r="AL4" s="51">
        <f>IFERROR((_xlfn.XLOOKUP($G4,'Modelling New'!D:D,'Modelling New'!$O:$O)*PA[[#This Row],[Lost PoA(kWh/m2)]]*PA[[#This Row],[DC Capacity Affected (kW)]]),"")</f>
        <v>2764.8722518775949</v>
      </c>
      <c r="AM4" s="33"/>
      <c r="AN4" s="33"/>
      <c r="AO4" s="33"/>
      <c r="AP4" s="33"/>
    </row>
    <row r="5" spans="1:42">
      <c r="A5" s="30">
        <v>4</v>
      </c>
      <c r="B5" s="31">
        <v>45754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219</v>
      </c>
      <c r="F5" s="33" t="s">
        <v>219</v>
      </c>
      <c r="G5" s="196">
        <f>PA[[#This Row],[Date]]-DAY(PA[[#This Row],[Date]])+1</f>
        <v>45748</v>
      </c>
      <c r="H5" s="32">
        <f>DAY(EOMONTH(PA[[#This Row],[Month Year]],0))</f>
        <v>30</v>
      </c>
      <c r="I5" s="122">
        <v>0.26874999999999999</v>
      </c>
      <c r="J5" s="122">
        <v>0.76041666666666663</v>
      </c>
      <c r="K5" s="35">
        <f>IFERROR((PA[[#This Row],[Sunset Time (POA&lt;20 W/m2)]]-PA[[#This Row],[Sunrise Time (POA&gt;20 W/m2)]])*24,"")</f>
        <v>11.799999999999999</v>
      </c>
      <c r="L5" s="33" t="s">
        <v>293</v>
      </c>
      <c r="M5" s="33" t="s">
        <v>299</v>
      </c>
      <c r="N5" s="33"/>
      <c r="O5" s="36"/>
      <c r="P5" s="36"/>
      <c r="Q5" s="33"/>
      <c r="R5" s="32">
        <f>IF((PA[[#This Row],[String Type(If String BD)]]&amp;PA[[#This Row],[Equipment (If any BD other than PV  array and inv)]])="",1,0)</f>
        <v>1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5" s="35">
        <f>IFERROR(_xlfn.XLOOKUP(PA[[#This Row],[Affected Equipment ]],'Basic Data'!N:N,'Basic Data'!Q:Q),"")</f>
        <v>6495.8549999999996</v>
      </c>
      <c r="V5" s="39">
        <f ca="1">IFERROR(_xlfn.XLOOKUP(PA[[#This Row],[Affected Equipment ]],'Basic Data'!N:N,'Basic Data'!R:R),"")</f>
        <v>0.16566832440703902</v>
      </c>
      <c r="W5" s="36" t="s">
        <v>295</v>
      </c>
      <c r="X5" s="40"/>
      <c r="Y5" s="40" t="s">
        <v>296</v>
      </c>
      <c r="Z5" s="46">
        <v>0.52777777777777779</v>
      </c>
      <c r="AA5" s="46">
        <v>0.52777777777777779</v>
      </c>
      <c r="AB5" s="46">
        <v>0.52777777777777779</v>
      </c>
      <c r="AC5" s="46">
        <v>0.5541666666666667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</v>
      </c>
      <c r="AF5" s="45">
        <f>IF(PA[[#This Row],[Status]]="Open","",(PA[[#This Row],[Work Completion time on fault]]-PA[[#This Row],[Fault Time]])*24)</f>
        <v>0.63333333333333375</v>
      </c>
      <c r="AG5" s="44">
        <f>IFERROR((PA[[#This Row],[Work Completion time on fault]]-PA[[#This Row],[Fault Time]])*24,"")</f>
        <v>0.63333333333333375</v>
      </c>
      <c r="AH5" s="36" t="s">
        <v>297</v>
      </c>
      <c r="AI5" s="33" t="s">
        <v>298</v>
      </c>
      <c r="AJ5" s="35">
        <f ca="1">IFERROR(PA[[#This Row],[Breakdown Time]]*PA[[#This Row],[Plant Equivalent Weightage]],"")</f>
        <v>0.10492327212445811</v>
      </c>
      <c r="AK5" s="36">
        <v>0.60555307300000005</v>
      </c>
      <c r="AL5" s="51">
        <f>IFERROR((_xlfn.XLOOKUP($G5,'Modelling New'!D:D,'Modelling New'!$O:$O)*PA[[#This Row],[Lost PoA(kWh/m2)]]*PA[[#This Row],[DC Capacity Affected (kW)]]),"")</f>
        <v>2758.1613968973093</v>
      </c>
      <c r="AM5" s="33"/>
      <c r="AN5" s="33"/>
      <c r="AO5" s="33"/>
      <c r="AP5" s="33"/>
    </row>
    <row r="6" spans="1:42">
      <c r="A6" s="30">
        <v>5</v>
      </c>
      <c r="B6" s="31">
        <v>45758</v>
      </c>
      <c r="C6" s="32">
        <f>YEAR(PA[[#This Row],[Date]])+IF(MONTH(PA[[#This Row],[Date]])&gt;=4,1,0)</f>
        <v>2026</v>
      </c>
      <c r="D6" s="32">
        <v>2025</v>
      </c>
      <c r="E6" s="33" t="s">
        <v>219</v>
      </c>
      <c r="F6" s="33" t="s">
        <v>219</v>
      </c>
      <c r="G6" s="196">
        <f>PA[[#This Row],[Date]]-DAY(PA[[#This Row],[Date]])+1</f>
        <v>45748</v>
      </c>
      <c r="H6" s="32">
        <f>DAY(EOMONTH(PA[[#This Row],[Month Year]],0))</f>
        <v>30</v>
      </c>
      <c r="I6" s="122">
        <v>0.26805555555555555</v>
      </c>
      <c r="J6" s="122">
        <v>0.75555555555555554</v>
      </c>
      <c r="K6" s="35">
        <f>IFERROR((PA[[#This Row],[Sunset Time (POA&lt;20 W/m2)]]-PA[[#This Row],[Sunrise Time (POA&gt;20 W/m2)]])*24,"")</f>
        <v>11.7</v>
      </c>
      <c r="L6" s="33" t="s">
        <v>300</v>
      </c>
      <c r="M6" s="33" t="s">
        <v>294</v>
      </c>
      <c r="N6" s="33"/>
      <c r="O6" s="36"/>
      <c r="P6" s="36"/>
      <c r="Q6" s="33"/>
      <c r="R6" s="32">
        <f>IF((PA[[#This Row],[String Type(If String BD)]]&amp;PA[[#This Row],[Equipment (If any BD other than PV  array and inv)]])="",1,0)</f>
        <v>1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6" s="35">
        <f>IFERROR(_xlfn.XLOOKUP(PA[[#This Row],[Affected Equipment ]],'Basic Data'!N:N,'Basic Data'!Q:Q),"")</f>
        <v>4662.4750000000004</v>
      </c>
      <c r="V6" s="39">
        <f ca="1">IFERROR(_xlfn.XLOOKUP(PA[[#This Row],[Affected Equipment ]],'Basic Data'!N:N,'Basic Data'!R:R),"")</f>
        <v>0.11891035450140271</v>
      </c>
      <c r="W6" s="36" t="s">
        <v>295</v>
      </c>
      <c r="X6" s="40"/>
      <c r="Y6" s="40" t="s">
        <v>301</v>
      </c>
      <c r="Z6" s="46">
        <v>0.61875000000000002</v>
      </c>
      <c r="AA6" s="46">
        <v>0.61875000000000002</v>
      </c>
      <c r="AB6" s="46">
        <v>0.61875000000000002</v>
      </c>
      <c r="AC6" s="46">
        <v>0.65138888888888891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0.78333333333333321</v>
      </c>
      <c r="AG6" s="44">
        <f>IFERROR((PA[[#This Row],[Work Completion time on fault]]-PA[[#This Row],[Fault Time]])*24,"")</f>
        <v>0.78333333333333321</v>
      </c>
      <c r="AH6" s="36" t="s">
        <v>297</v>
      </c>
      <c r="AI6" s="33" t="s">
        <v>298</v>
      </c>
      <c r="AJ6" s="35">
        <f ca="1">IFERROR(PA[[#This Row],[Breakdown Time]]*PA[[#This Row],[Plant Equivalent Weightage]],"")</f>
        <v>9.3146444359432104E-2</v>
      </c>
      <c r="AK6" s="36">
        <v>0.39825504500000003</v>
      </c>
      <c r="AL6" s="51">
        <f>IFERROR((_xlfn.XLOOKUP($G6,'Modelling New'!D:D,'Modelling New'!$O:$O)*PA[[#This Row],[Lost PoA(kWh/m2)]]*PA[[#This Row],[DC Capacity Affected (kW)]]),"")</f>
        <v>1301.9938821907415</v>
      </c>
      <c r="AM6" s="33"/>
      <c r="AN6" s="33"/>
      <c r="AO6" s="33"/>
      <c r="AP6" s="33"/>
    </row>
    <row r="7" spans="1:42">
      <c r="A7" s="30">
        <v>6</v>
      </c>
      <c r="B7" s="31">
        <v>45758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219</v>
      </c>
      <c r="F7" s="33" t="s">
        <v>219</v>
      </c>
      <c r="G7" s="196">
        <f>PA[[#This Row],[Date]]-DAY(PA[[#This Row],[Date]])+1</f>
        <v>45748</v>
      </c>
      <c r="H7" s="32">
        <f>DAY(EOMONTH(PA[[#This Row],[Month Year]],0))</f>
        <v>30</v>
      </c>
      <c r="I7" s="122">
        <v>0.26805555555555555</v>
      </c>
      <c r="J7" s="122">
        <v>0.75555555555555554</v>
      </c>
      <c r="K7" s="35">
        <f>IFERROR((PA[[#This Row],[Sunset Time (POA&lt;20 W/m2)]]-PA[[#This Row],[Sunrise Time (POA&gt;20 W/m2)]])*24,"")</f>
        <v>11.7</v>
      </c>
      <c r="L7" s="33" t="s">
        <v>300</v>
      </c>
      <c r="M7" s="33" t="s">
        <v>299</v>
      </c>
      <c r="N7" s="33"/>
      <c r="O7" s="36"/>
      <c r="P7" s="36"/>
      <c r="Q7" s="33"/>
      <c r="R7" s="32">
        <f>IF((PA[[#This Row],[String Type(If String BD)]]&amp;PA[[#This Row],[Equipment (If any BD other than PV  array and inv)]])="",1,0)</f>
        <v>1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7" s="35">
        <f>IFERROR(_xlfn.XLOOKUP(PA[[#This Row],[Affected Equipment ]],'Basic Data'!N:N,'Basic Data'!Q:Q),"")</f>
        <v>4662.4750000000004</v>
      </c>
      <c r="V7" s="39">
        <f ca="1">IFERROR(_xlfn.XLOOKUP(PA[[#This Row],[Affected Equipment ]],'Basic Data'!N:N,'Basic Data'!R:R),"")</f>
        <v>0.11891035450140271</v>
      </c>
      <c r="W7" s="36" t="s">
        <v>295</v>
      </c>
      <c r="X7" s="40"/>
      <c r="Y7" s="40" t="s">
        <v>301</v>
      </c>
      <c r="Z7" s="46">
        <v>0.61875000000000002</v>
      </c>
      <c r="AA7" s="46">
        <v>0.61875000000000002</v>
      </c>
      <c r="AB7" s="46">
        <v>0.61875000000000002</v>
      </c>
      <c r="AC7" s="46">
        <v>0.65138888888888891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0.78333333333333321</v>
      </c>
      <c r="AG7" s="44">
        <f>IFERROR((PA[[#This Row],[Work Completion time on fault]]-PA[[#This Row],[Fault Time]])*24,"")</f>
        <v>0.78333333333333321</v>
      </c>
      <c r="AH7" s="36" t="s">
        <v>297</v>
      </c>
      <c r="AI7" s="33" t="s">
        <v>298</v>
      </c>
      <c r="AJ7" s="35">
        <f ca="1">IFERROR(PA[[#This Row],[Breakdown Time]]*PA[[#This Row],[Plant Equivalent Weightage]],"")</f>
        <v>9.3146444359432104E-2</v>
      </c>
      <c r="AK7" s="36">
        <v>0.39825504500000003</v>
      </c>
      <c r="AL7" s="51">
        <f>IFERROR((_xlfn.XLOOKUP($G7,'Modelling New'!D:D,'Modelling New'!$O:$O)*PA[[#This Row],[Lost PoA(kWh/m2)]]*PA[[#This Row],[DC Capacity Affected (kW)]]),"")</f>
        <v>1301.9938821907415</v>
      </c>
      <c r="AM7" s="33"/>
      <c r="AN7" s="33"/>
      <c r="AO7" s="33"/>
      <c r="AP7" s="33"/>
    </row>
    <row r="8" spans="1:42">
      <c r="A8" s="30">
        <v>7</v>
      </c>
      <c r="B8" s="31">
        <v>45758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219</v>
      </c>
      <c r="F8" s="33" t="s">
        <v>219</v>
      </c>
      <c r="G8" s="196">
        <f>PA[[#This Row],[Date]]-DAY(PA[[#This Row],[Date]])+1</f>
        <v>45748</v>
      </c>
      <c r="H8" s="32">
        <f>DAY(EOMONTH(PA[[#This Row],[Month Year]],0))</f>
        <v>30</v>
      </c>
      <c r="I8" s="122">
        <v>0.26805555555555555</v>
      </c>
      <c r="J8" s="122">
        <v>0.75555555555555554</v>
      </c>
      <c r="K8" s="35">
        <f>IFERROR((PA[[#This Row],[Sunset Time (POA&lt;20 W/m2)]]-PA[[#This Row],[Sunrise Time (POA&gt;20 W/m2)]])*24,"")</f>
        <v>11.7</v>
      </c>
      <c r="L8" s="33" t="s">
        <v>293</v>
      </c>
      <c r="M8" s="33" t="s">
        <v>294</v>
      </c>
      <c r="N8" s="33"/>
      <c r="O8" s="36"/>
      <c r="P8" s="36"/>
      <c r="Q8" s="33"/>
      <c r="R8" s="32">
        <f>IF((PA[[#This Row],[String Type(If String BD)]]&amp;PA[[#This Row],[Equipment (If any BD other than PV  array and inv)]])="",1,0)</f>
        <v>1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8" s="35">
        <f>IFERROR(_xlfn.XLOOKUP(PA[[#This Row],[Affected Equipment ]],'Basic Data'!N:N,'Basic Data'!Q:Q),"")</f>
        <v>6511.66</v>
      </c>
      <c r="V8" s="39">
        <f ca="1">IFERROR(_xlfn.XLOOKUP(PA[[#This Row],[Affected Equipment ]],'Basic Data'!N:N,'Basic Data'!R:R),"")</f>
        <v>0.1660714103545014</v>
      </c>
      <c r="W8" s="36" t="s">
        <v>295</v>
      </c>
      <c r="X8" s="40"/>
      <c r="Y8" s="40" t="s">
        <v>301</v>
      </c>
      <c r="Z8" s="46">
        <v>0.61875000000000002</v>
      </c>
      <c r="AA8" s="46">
        <v>0.61875000000000002</v>
      </c>
      <c r="AB8" s="46">
        <v>0.61875000000000002</v>
      </c>
      <c r="AC8" s="46">
        <v>0.65138888888888891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0.78333333333333321</v>
      </c>
      <c r="AG8" s="44">
        <f>IFERROR((PA[[#This Row],[Work Completion time on fault]]-PA[[#This Row],[Fault Time]])*24,"")</f>
        <v>0.78333333333333321</v>
      </c>
      <c r="AH8" s="36" t="s">
        <v>297</v>
      </c>
      <c r="AI8" s="33" t="s">
        <v>298</v>
      </c>
      <c r="AJ8" s="35">
        <f ca="1">IFERROR(PA[[#This Row],[Breakdown Time]]*PA[[#This Row],[Plant Equivalent Weightage]],"")</f>
        <v>0.13008927144435942</v>
      </c>
      <c r="AK8" s="36">
        <v>0.39825504500000003</v>
      </c>
      <c r="AL8" s="51">
        <f>IFERROR((_xlfn.XLOOKUP($G8,'Modelling New'!D:D,'Modelling New'!$O:$O)*PA[[#This Row],[Lost PoA(kWh/m2)]]*PA[[#This Row],[DC Capacity Affected (kW)]]),"")</f>
        <v>1818.3778964833407</v>
      </c>
      <c r="AM8" s="33"/>
      <c r="AN8" s="33"/>
      <c r="AO8" s="33"/>
      <c r="AP8" s="33"/>
    </row>
    <row r="9" spans="1:42">
      <c r="A9" s="30">
        <v>8</v>
      </c>
      <c r="B9" s="31">
        <v>45758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219</v>
      </c>
      <c r="F9" s="33" t="s">
        <v>219</v>
      </c>
      <c r="G9" s="196">
        <f>PA[[#This Row],[Date]]-DAY(PA[[#This Row],[Date]])+1</f>
        <v>45748</v>
      </c>
      <c r="H9" s="32">
        <f>DAY(EOMONTH(PA[[#This Row],[Month Year]],0))</f>
        <v>30</v>
      </c>
      <c r="I9" s="122">
        <v>0.26805555555555555</v>
      </c>
      <c r="J9" s="122">
        <v>0.75555555555555554</v>
      </c>
      <c r="K9" s="35">
        <f>IFERROR((PA[[#This Row],[Sunset Time (POA&lt;20 W/m2)]]-PA[[#This Row],[Sunrise Time (POA&gt;20 W/m2)]])*24,"")</f>
        <v>11.7</v>
      </c>
      <c r="L9" s="33" t="s">
        <v>293</v>
      </c>
      <c r="M9" s="33" t="s">
        <v>299</v>
      </c>
      <c r="N9" s="33"/>
      <c r="O9" s="36"/>
      <c r="P9" s="36"/>
      <c r="Q9" s="33"/>
      <c r="R9" s="32">
        <f>IF((PA[[#This Row],[String Type(If String BD)]]&amp;PA[[#This Row],[Equipment (If any BD other than PV  array and inv)]])="",1,0)</f>
        <v>1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9" s="35">
        <f>IFERROR(_xlfn.XLOOKUP(PA[[#This Row],[Affected Equipment ]],'Basic Data'!N:N,'Basic Data'!Q:Q),"")</f>
        <v>6495.8549999999996</v>
      </c>
      <c r="V9" s="39">
        <f ca="1">IFERROR(_xlfn.XLOOKUP(PA[[#This Row],[Affected Equipment ]],'Basic Data'!N:N,'Basic Data'!R:R),"")</f>
        <v>0.16566832440703902</v>
      </c>
      <c r="W9" s="36" t="s">
        <v>295</v>
      </c>
      <c r="X9" s="40"/>
      <c r="Y9" s="40" t="s">
        <v>301</v>
      </c>
      <c r="Z9" s="46">
        <v>0.61875000000000002</v>
      </c>
      <c r="AA9" s="46">
        <v>0.61875000000000002</v>
      </c>
      <c r="AB9" s="46">
        <v>0.61875000000000002</v>
      </c>
      <c r="AC9" s="46">
        <v>0.65138888888888891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0.78333333333333321</v>
      </c>
      <c r="AG9" s="44">
        <f>IFERROR((PA[[#This Row],[Work Completion time on fault]]-PA[[#This Row],[Fault Time]])*24,"")</f>
        <v>0.78333333333333321</v>
      </c>
      <c r="AH9" s="36" t="s">
        <v>297</v>
      </c>
      <c r="AI9" s="33" t="s">
        <v>298</v>
      </c>
      <c r="AJ9" s="35">
        <f ca="1">IFERROR(PA[[#This Row],[Breakdown Time]]*PA[[#This Row],[Plant Equivalent Weightage]],"")</f>
        <v>0.12977352078551388</v>
      </c>
      <c r="AK9" s="36">
        <v>0.39825504500000003</v>
      </c>
      <c r="AL9" s="51">
        <f>IFERROR((_xlfn.XLOOKUP($G9,'Modelling New'!D:D,'Modelling New'!$O:$O)*PA[[#This Row],[Lost PoA(kWh/m2)]]*PA[[#This Row],[DC Capacity Affected (kW)]]),"")</f>
        <v>1813.9643578996431</v>
      </c>
      <c r="AM9" s="33"/>
      <c r="AN9" s="33"/>
      <c r="AO9" s="33"/>
      <c r="AP9" s="33"/>
    </row>
    <row r="10" spans="1:42">
      <c r="A10" s="30">
        <v>9</v>
      </c>
      <c r="B10" s="31">
        <v>45758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219</v>
      </c>
      <c r="F10" s="33" t="s">
        <v>219</v>
      </c>
      <c r="G10" s="196">
        <f>PA[[#This Row],[Date]]-DAY(PA[[#This Row],[Date]])+1</f>
        <v>45748</v>
      </c>
      <c r="H10" s="32">
        <f>DAY(EOMONTH(PA[[#This Row],[Month Year]],0))</f>
        <v>30</v>
      </c>
      <c r="I10" s="122">
        <v>0.26805555555555555</v>
      </c>
      <c r="J10" s="122">
        <v>0.75555555555555554</v>
      </c>
      <c r="K10" s="35">
        <f>IFERROR((PA[[#This Row],[Sunset Time (POA&lt;20 W/m2)]]-PA[[#This Row],[Sunrise Time (POA&gt;20 W/m2)]])*24,"")</f>
        <v>11.7</v>
      </c>
      <c r="L10" s="33" t="s">
        <v>302</v>
      </c>
      <c r="M10" s="33" t="s">
        <v>294</v>
      </c>
      <c r="N10" s="33"/>
      <c r="O10" s="36"/>
      <c r="P10" s="36"/>
      <c r="Q10" s="33"/>
      <c r="R10" s="32">
        <f>IF((PA[[#This Row],[String Type(If String BD)]]&amp;PA[[#This Row],[Equipment (If any BD other than PV  array and inv)]])="",1,0)</f>
        <v>1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" s="35">
        <f>IFERROR(_xlfn.XLOOKUP(PA[[#This Row],[Affected Equipment ]],'Basic Data'!N:N,'Basic Data'!Q:Q),"")</f>
        <v>6527.4649999999992</v>
      </c>
      <c r="V10" s="39">
        <f ca="1">IFERROR(_xlfn.XLOOKUP(PA[[#This Row],[Affected Equipment ]],'Basic Data'!N:N,'Basic Data'!R:R),"")</f>
        <v>0.16647449630196376</v>
      </c>
      <c r="W10" s="36" t="s">
        <v>295</v>
      </c>
      <c r="X10" s="40"/>
      <c r="Y10" s="40" t="s">
        <v>301</v>
      </c>
      <c r="Z10" s="46">
        <v>0.61875000000000002</v>
      </c>
      <c r="AA10" s="46">
        <v>0.61875000000000002</v>
      </c>
      <c r="AB10" s="46">
        <v>0.61875000000000002</v>
      </c>
      <c r="AC10" s="46">
        <v>0.65138888888888891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0.78333333333333321</v>
      </c>
      <c r="AG10" s="44">
        <f>IFERROR((PA[[#This Row],[Work Completion time on fault]]-PA[[#This Row],[Fault Time]])*24,"")</f>
        <v>0.78333333333333321</v>
      </c>
      <c r="AH10" s="36" t="s">
        <v>297</v>
      </c>
      <c r="AI10" s="33" t="s">
        <v>298</v>
      </c>
      <c r="AJ10" s="35">
        <f ca="1">IFERROR(PA[[#This Row],[Breakdown Time]]*PA[[#This Row],[Plant Equivalent Weightage]],"")</f>
        <v>0.13040502210320493</v>
      </c>
      <c r="AK10" s="36">
        <v>0.39825504500000003</v>
      </c>
      <c r="AL10" s="51">
        <f>IFERROR((_xlfn.XLOOKUP($G10,'Modelling New'!D:D,'Modelling New'!$O:$O)*PA[[#This Row],[Lost PoA(kWh/m2)]]*PA[[#This Row],[DC Capacity Affected (kW)]]),"")</f>
        <v>1822.7914350670378</v>
      </c>
      <c r="AM10" s="33"/>
      <c r="AN10" s="33"/>
      <c r="AO10" s="33"/>
      <c r="AP10" s="33"/>
    </row>
    <row r="11" spans="1:42">
      <c r="A11" s="30">
        <v>10</v>
      </c>
      <c r="B11" s="31">
        <v>45758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219</v>
      </c>
      <c r="F11" s="33" t="s">
        <v>219</v>
      </c>
      <c r="G11" s="196">
        <f>PA[[#This Row],[Date]]-DAY(PA[[#This Row],[Date]])+1</f>
        <v>45748</v>
      </c>
      <c r="H11" s="32">
        <f>DAY(EOMONTH(PA[[#This Row],[Month Year]],0))</f>
        <v>30</v>
      </c>
      <c r="I11" s="122">
        <v>0.26805555555555555</v>
      </c>
      <c r="J11" s="122">
        <v>0.75555555555555554</v>
      </c>
      <c r="K11" s="35">
        <f>IFERROR((PA[[#This Row],[Sunset Time (POA&lt;20 W/m2)]]-PA[[#This Row],[Sunrise Time (POA&gt;20 W/m2)]])*24,"")</f>
        <v>11.7</v>
      </c>
      <c r="L11" s="33" t="s">
        <v>303</v>
      </c>
      <c r="M11" s="33" t="s">
        <v>294</v>
      </c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1" s="35">
        <f>IFERROR(_xlfn.XLOOKUP(PA[[#This Row],[Affected Equipment ]],'Basic Data'!N:N,'Basic Data'!Q:Q),"")</f>
        <v>5104</v>
      </c>
      <c r="V11" s="39">
        <f ca="1">IFERROR(_xlfn.XLOOKUP(PA[[#This Row],[Affected Equipment ]],'Basic Data'!N:N,'Basic Data'!R:R),"")</f>
        <v>0.13017087477684264</v>
      </c>
      <c r="W11" s="36" t="s">
        <v>295</v>
      </c>
      <c r="X11" s="40"/>
      <c r="Y11" s="40" t="s">
        <v>301</v>
      </c>
      <c r="Z11" s="46">
        <v>0.61875000000000002</v>
      </c>
      <c r="AA11" s="46">
        <v>0.61875000000000002</v>
      </c>
      <c r="AB11" s="46">
        <v>0.61875000000000002</v>
      </c>
      <c r="AC11" s="46">
        <v>0.65138888888888891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0.78333333333333321</v>
      </c>
      <c r="AG11" s="44">
        <f>IFERROR((PA[[#This Row],[Work Completion time on fault]]-PA[[#This Row],[Fault Time]])*24,"")</f>
        <v>0.78333333333333321</v>
      </c>
      <c r="AH11" s="36" t="s">
        <v>297</v>
      </c>
      <c r="AI11" s="33" t="s">
        <v>298</v>
      </c>
      <c r="AJ11" s="35">
        <f ca="1">IFERROR(PA[[#This Row],[Breakdown Time]]*PA[[#This Row],[Plant Equivalent Weightage]],"")</f>
        <v>0.10196718524186005</v>
      </c>
      <c r="AK11" s="36">
        <v>0.39825504500000003</v>
      </c>
      <c r="AL11" s="51">
        <f>IFERROR((_xlfn.XLOOKUP($G11,'Modelling New'!D:D,'Modelling New'!$O:$O)*PA[[#This Row],[Lost PoA(kWh/m2)]]*PA[[#This Row],[DC Capacity Affected (kW)]]),"")</f>
        <v>1425.2895242766008</v>
      </c>
      <c r="AM11" s="33"/>
      <c r="AN11" s="33"/>
      <c r="AO11" s="33"/>
      <c r="AP11" s="33"/>
    </row>
    <row r="12" spans="1:42">
      <c r="A12" s="30">
        <v>11</v>
      </c>
      <c r="B12" s="31">
        <v>45758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219</v>
      </c>
      <c r="F12" s="33" t="s">
        <v>219</v>
      </c>
      <c r="G12" s="196">
        <f>PA[[#This Row],[Date]]-DAY(PA[[#This Row],[Date]])+1</f>
        <v>45748</v>
      </c>
      <c r="H12" s="32">
        <f>DAY(EOMONTH(PA[[#This Row],[Month Year]],0))</f>
        <v>30</v>
      </c>
      <c r="I12" s="122">
        <v>0.26805555555555555</v>
      </c>
      <c r="J12" s="122">
        <v>0.75555555555555554</v>
      </c>
      <c r="K12" s="35">
        <f>IFERROR((PA[[#This Row],[Sunset Time (POA&lt;20 W/m2)]]-PA[[#This Row],[Sunrise Time (POA&gt;20 W/m2)]])*24,"")</f>
        <v>11.7</v>
      </c>
      <c r="L12" s="33" t="s">
        <v>303</v>
      </c>
      <c r="M12" s="33" t="s">
        <v>299</v>
      </c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" s="35">
        <f>IFERROR(_xlfn.XLOOKUP(PA[[#This Row],[Affected Equipment ]],'Basic Data'!N:N,'Basic Data'!Q:Q),"")</f>
        <v>5104</v>
      </c>
      <c r="V12" s="39">
        <f ca="1">IFERROR(_xlfn.XLOOKUP(PA[[#This Row],[Affected Equipment ]],'Basic Data'!N:N,'Basic Data'!R:R),"")</f>
        <v>0.13017087477684264</v>
      </c>
      <c r="W12" s="36" t="s">
        <v>295</v>
      </c>
      <c r="X12" s="40"/>
      <c r="Y12" s="40" t="s">
        <v>301</v>
      </c>
      <c r="Z12" s="46">
        <v>0.61875000000000002</v>
      </c>
      <c r="AA12" s="46">
        <v>0.61875000000000002</v>
      </c>
      <c r="AB12" s="46">
        <v>0.61875000000000002</v>
      </c>
      <c r="AC12" s="46">
        <v>0.65138888888888891</v>
      </c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0.78333333333333321</v>
      </c>
      <c r="AG12" s="44">
        <f>IFERROR((PA[[#This Row],[Work Completion time on fault]]-PA[[#This Row],[Fault Time]])*24,"")</f>
        <v>0.78333333333333321</v>
      </c>
      <c r="AH12" s="36" t="s">
        <v>297</v>
      </c>
      <c r="AI12" s="33" t="s">
        <v>298</v>
      </c>
      <c r="AJ12" s="35">
        <f ca="1">IFERROR(PA[[#This Row],[Breakdown Time]]*PA[[#This Row],[Plant Equivalent Weightage]],"")</f>
        <v>0.10196718524186005</v>
      </c>
      <c r="AK12" s="36">
        <v>0.39825504500000003</v>
      </c>
      <c r="AL12" s="51">
        <f>IFERROR((_xlfn.XLOOKUP($G12,'Modelling New'!D:D,'Modelling New'!$O:$O)*PA[[#This Row],[Lost PoA(kWh/m2)]]*PA[[#This Row],[DC Capacity Affected (kW)]]),"")</f>
        <v>1425.2895242766008</v>
      </c>
      <c r="AM12" s="33"/>
      <c r="AN12" s="33"/>
      <c r="AO12" s="33"/>
      <c r="AP12" s="33"/>
    </row>
    <row r="13" spans="1:42">
      <c r="A13" s="30">
        <v>12</v>
      </c>
      <c r="B13" s="31">
        <v>45758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219</v>
      </c>
      <c r="F13" s="33" t="s">
        <v>219</v>
      </c>
      <c r="G13" s="196">
        <f>PA[[#This Row],[Date]]-DAY(PA[[#This Row],[Date]])+1</f>
        <v>45748</v>
      </c>
      <c r="H13" s="32">
        <f>DAY(EOMONTH(PA[[#This Row],[Month Year]],0))</f>
        <v>30</v>
      </c>
      <c r="I13" s="122">
        <v>0.26805555555555555</v>
      </c>
      <c r="J13" s="122">
        <v>0.75555555555555554</v>
      </c>
      <c r="K13" s="35">
        <f>IFERROR((PA[[#This Row],[Sunset Time (POA&lt;20 W/m2)]]-PA[[#This Row],[Sunrise Time (POA&gt;20 W/m2)]])*24,"")</f>
        <v>11.7</v>
      </c>
      <c r="L13" s="33" t="s">
        <v>303</v>
      </c>
      <c r="M13" s="33" t="s">
        <v>299</v>
      </c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" s="35">
        <f>IFERROR(_xlfn.XLOOKUP(PA[[#This Row],[Affected Equipment ]],'Basic Data'!N:N,'Basic Data'!Q:Q),"")</f>
        <v>5104</v>
      </c>
      <c r="V13" s="39">
        <f ca="1">IFERROR(_xlfn.XLOOKUP(PA[[#This Row],[Affected Equipment ]],'Basic Data'!N:N,'Basic Data'!R:R),"")</f>
        <v>0.13017087477684264</v>
      </c>
      <c r="W13" s="36" t="s">
        <v>304</v>
      </c>
      <c r="X13" s="40"/>
      <c r="Y13" s="40" t="s">
        <v>305</v>
      </c>
      <c r="Z13" s="46">
        <v>0.65277777777777779</v>
      </c>
      <c r="AA13" s="46">
        <v>0.65277777777777779</v>
      </c>
      <c r="AB13" s="46">
        <v>0.65277777777777779</v>
      </c>
      <c r="AC13" s="46">
        <v>0.73541666666666672</v>
      </c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1.9833333333333343</v>
      </c>
      <c r="AG13" s="44">
        <f>IFERROR((PA[[#This Row],[Work Completion time on fault]]-PA[[#This Row],[Fault Time]])*24,"")</f>
        <v>1.9833333333333343</v>
      </c>
      <c r="AH13" s="36" t="s">
        <v>306</v>
      </c>
      <c r="AI13" s="33" t="s">
        <v>298</v>
      </c>
      <c r="AJ13" s="35">
        <f ca="1">IFERROR(PA[[#This Row],[Breakdown Time]]*PA[[#This Row],[Plant Equivalent Weightage]],"")</f>
        <v>0.25817223497407138</v>
      </c>
      <c r="AK13" s="36">
        <v>0.5426890883333334</v>
      </c>
      <c r="AL13" s="51">
        <f>IFERROR((_xlfn.XLOOKUP($G13,'Modelling New'!D:D,'Modelling New'!$O:$O)*PA[[#This Row],[Lost PoA(kWh/m2)]]*PA[[#This Row],[DC Capacity Affected (kW)]]),"")</f>
        <v>1942.1952898066086</v>
      </c>
      <c r="AM13" s="33"/>
      <c r="AN13" s="33"/>
      <c r="AO13" s="33"/>
      <c r="AP13" s="33"/>
    </row>
    <row r="14" spans="1:42">
      <c r="A14" s="30">
        <v>13</v>
      </c>
      <c r="B14" s="31">
        <v>45768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219</v>
      </c>
      <c r="F14" s="33" t="s">
        <v>219</v>
      </c>
      <c r="G14" s="196">
        <f>PA[[#This Row],[Date]]-DAY(PA[[#This Row],[Date]])+1</f>
        <v>45748</v>
      </c>
      <c r="H14" s="32">
        <f>DAY(EOMONTH(PA[[#This Row],[Month Year]],0))</f>
        <v>30</v>
      </c>
      <c r="I14" s="122">
        <v>0.26111111111111113</v>
      </c>
      <c r="J14" s="122">
        <v>0.76388888888888884</v>
      </c>
      <c r="K14" s="35">
        <f>IFERROR((PA[[#This Row],[Sunset Time (POA&lt;20 W/m2)]]-PA[[#This Row],[Sunrise Time (POA&gt;20 W/m2)]])*24,"")</f>
        <v>12.066666666666666</v>
      </c>
      <c r="L14" s="33" t="s">
        <v>300</v>
      </c>
      <c r="M14" s="33" t="s">
        <v>294</v>
      </c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" s="35">
        <f>IFERROR(_xlfn.XLOOKUP(PA[[#This Row],[Affected Equipment ]],'Basic Data'!N:N,'Basic Data'!Q:Q),"")</f>
        <v>4662.4750000000004</v>
      </c>
      <c r="V14" s="39">
        <f ca="1">IFERROR(_xlfn.XLOOKUP(PA[[#This Row],[Affected Equipment ]],'Basic Data'!N:N,'Basic Data'!R:R),"")</f>
        <v>0.11891035450140271</v>
      </c>
      <c r="W14" s="36" t="s">
        <v>307</v>
      </c>
      <c r="X14" s="40"/>
      <c r="Y14" s="40" t="s">
        <v>301</v>
      </c>
      <c r="Z14" s="46">
        <v>0.60624999999999996</v>
      </c>
      <c r="AA14" s="46">
        <v>0.60624999999999996</v>
      </c>
      <c r="AB14" s="46">
        <v>0.60624999999999996</v>
      </c>
      <c r="AC14" s="46">
        <v>0.61597222222222225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0.23333333333333517</v>
      </c>
      <c r="AG14" s="44">
        <f>IFERROR((PA[[#This Row],[Work Completion time on fault]]-PA[[#This Row],[Fault Time]])*24,"")</f>
        <v>0.23333333333333517</v>
      </c>
      <c r="AH14" s="36" t="s">
        <v>297</v>
      </c>
      <c r="AI14" s="33" t="s">
        <v>298</v>
      </c>
      <c r="AJ14" s="35">
        <f ca="1">IFERROR(PA[[#This Row],[Breakdown Time]]*PA[[#This Row],[Plant Equivalent Weightage]],"")</f>
        <v>2.774574938366085E-2</v>
      </c>
      <c r="AK14" s="36">
        <v>0.202382123</v>
      </c>
      <c r="AL14" s="51">
        <f>IFERROR((_xlfn.XLOOKUP($G14,'Modelling New'!D:D,'Modelling New'!$O:$O)*PA[[#This Row],[Lost PoA(kWh/m2)]]*PA[[#This Row],[DC Capacity Affected (kW)]]),"")</f>
        <v>661.63703214550412</v>
      </c>
      <c r="AM14" s="33"/>
      <c r="AN14" s="33"/>
      <c r="AO14" s="33"/>
      <c r="AP14" s="33"/>
    </row>
    <row r="15" spans="1:42">
      <c r="A15" s="30">
        <v>14</v>
      </c>
      <c r="B15" s="31">
        <v>45768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219</v>
      </c>
      <c r="F15" s="33" t="s">
        <v>219</v>
      </c>
      <c r="G15" s="196">
        <f>PA[[#This Row],[Date]]-DAY(PA[[#This Row],[Date]])+1</f>
        <v>45748</v>
      </c>
      <c r="H15" s="32">
        <f>DAY(EOMONTH(PA[[#This Row],[Month Year]],0))</f>
        <v>30</v>
      </c>
      <c r="I15" s="122">
        <v>0.26111111111111113</v>
      </c>
      <c r="J15" s="122">
        <v>0.76388888888888884</v>
      </c>
      <c r="K15" s="35">
        <f>IFERROR((PA[[#This Row],[Sunset Time (POA&lt;20 W/m2)]]-PA[[#This Row],[Sunrise Time (POA&gt;20 W/m2)]])*24,"")</f>
        <v>12.066666666666666</v>
      </c>
      <c r="L15" s="33" t="s">
        <v>300</v>
      </c>
      <c r="M15" s="33" t="s">
        <v>299</v>
      </c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" s="35">
        <f>IFERROR(_xlfn.XLOOKUP(PA[[#This Row],[Affected Equipment ]],'Basic Data'!N:N,'Basic Data'!Q:Q),"")</f>
        <v>4662.4750000000004</v>
      </c>
      <c r="V15" s="39">
        <f ca="1">IFERROR(_xlfn.XLOOKUP(PA[[#This Row],[Affected Equipment ]],'Basic Data'!N:N,'Basic Data'!R:R),"")</f>
        <v>0.11891035450140271</v>
      </c>
      <c r="W15" s="36" t="s">
        <v>307</v>
      </c>
      <c r="X15" s="40"/>
      <c r="Y15" s="40" t="s">
        <v>301</v>
      </c>
      <c r="Z15" s="46">
        <v>0.60624999999999996</v>
      </c>
      <c r="AA15" s="46">
        <v>0.60624999999999996</v>
      </c>
      <c r="AB15" s="46">
        <v>0.60624999999999996</v>
      </c>
      <c r="AC15" s="46">
        <v>0.61597222222222225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0.23333333333333517</v>
      </c>
      <c r="AG15" s="44">
        <f>IFERROR((PA[[#This Row],[Work Completion time on fault]]-PA[[#This Row],[Fault Time]])*24,"")</f>
        <v>0.23333333333333517</v>
      </c>
      <c r="AH15" s="36" t="s">
        <v>297</v>
      </c>
      <c r="AI15" s="33" t="s">
        <v>298</v>
      </c>
      <c r="AJ15" s="35">
        <f ca="1">IFERROR(PA[[#This Row],[Breakdown Time]]*PA[[#This Row],[Plant Equivalent Weightage]],"")</f>
        <v>2.774574938366085E-2</v>
      </c>
      <c r="AK15" s="36">
        <v>0.202382123</v>
      </c>
      <c r="AL15" s="51">
        <f>IFERROR((_xlfn.XLOOKUP($G15,'Modelling New'!D:D,'Modelling New'!$O:$O)*PA[[#This Row],[Lost PoA(kWh/m2)]]*PA[[#This Row],[DC Capacity Affected (kW)]]),"")</f>
        <v>661.63703214550412</v>
      </c>
      <c r="AM15" s="33"/>
      <c r="AN15" s="33"/>
      <c r="AO15" s="33"/>
      <c r="AP15" s="33"/>
    </row>
    <row r="16" spans="1:42">
      <c r="A16" s="30">
        <v>15</v>
      </c>
      <c r="B16" s="31">
        <v>45768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219</v>
      </c>
      <c r="F16" s="33" t="s">
        <v>219</v>
      </c>
      <c r="G16" s="196">
        <f>PA[[#This Row],[Date]]-DAY(PA[[#This Row],[Date]])+1</f>
        <v>45748</v>
      </c>
      <c r="H16" s="32">
        <f>DAY(EOMONTH(PA[[#This Row],[Month Year]],0))</f>
        <v>30</v>
      </c>
      <c r="I16" s="122">
        <v>0.26111111111111113</v>
      </c>
      <c r="J16" s="122">
        <v>0.76388888888888884</v>
      </c>
      <c r="K16" s="35">
        <f>IFERROR((PA[[#This Row],[Sunset Time (POA&lt;20 W/m2)]]-PA[[#This Row],[Sunrise Time (POA&gt;20 W/m2)]])*24,"")</f>
        <v>12.066666666666666</v>
      </c>
      <c r="L16" s="33" t="s">
        <v>293</v>
      </c>
      <c r="M16" s="33" t="s">
        <v>294</v>
      </c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" s="35">
        <f>IFERROR(_xlfn.XLOOKUP(PA[[#This Row],[Affected Equipment ]],'Basic Data'!N:N,'Basic Data'!Q:Q),"")</f>
        <v>6511.66</v>
      </c>
      <c r="V16" s="39">
        <f ca="1">IFERROR(_xlfn.XLOOKUP(PA[[#This Row],[Affected Equipment ]],'Basic Data'!N:N,'Basic Data'!R:R),"")</f>
        <v>0.1660714103545014</v>
      </c>
      <c r="W16" s="36" t="s">
        <v>307</v>
      </c>
      <c r="X16" s="40"/>
      <c r="Y16" s="40" t="s">
        <v>301</v>
      </c>
      <c r="Z16" s="46">
        <v>0.60624999999999996</v>
      </c>
      <c r="AA16" s="46">
        <v>0.60624999999999996</v>
      </c>
      <c r="AB16" s="46">
        <v>0.60624999999999996</v>
      </c>
      <c r="AC16" s="46">
        <v>0.61597222222222225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0.23333333333333517</v>
      </c>
      <c r="AG16" s="44">
        <f>IFERROR((PA[[#This Row],[Work Completion time on fault]]-PA[[#This Row],[Fault Time]])*24,"")</f>
        <v>0.23333333333333517</v>
      </c>
      <c r="AH16" s="36" t="s">
        <v>297</v>
      </c>
      <c r="AI16" s="33" t="s">
        <v>298</v>
      </c>
      <c r="AJ16" s="35">
        <f ca="1">IFERROR(PA[[#This Row],[Breakdown Time]]*PA[[#This Row],[Plant Equivalent Weightage]],"")</f>
        <v>3.8749995749383967E-2</v>
      </c>
      <c r="AK16" s="36">
        <v>0.202382123</v>
      </c>
      <c r="AL16" s="51">
        <f>IFERROR((_xlfn.XLOOKUP($G16,'Modelling New'!D:D,'Modelling New'!$O:$O)*PA[[#This Row],[Lost PoA(kWh/m2)]]*PA[[#This Row],[DC Capacity Affected (kW)]]),"")</f>
        <v>924.04900760660223</v>
      </c>
      <c r="AM16" s="33"/>
      <c r="AN16" s="33"/>
      <c r="AO16" s="33"/>
      <c r="AP16" s="33"/>
    </row>
    <row r="17" spans="1:42">
      <c r="A17" s="30">
        <v>16</v>
      </c>
      <c r="B17" s="31">
        <v>45768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219</v>
      </c>
      <c r="F17" s="33" t="s">
        <v>219</v>
      </c>
      <c r="G17" s="196">
        <f>PA[[#This Row],[Date]]-DAY(PA[[#This Row],[Date]])+1</f>
        <v>45748</v>
      </c>
      <c r="H17" s="32">
        <f>DAY(EOMONTH(PA[[#This Row],[Month Year]],0))</f>
        <v>30</v>
      </c>
      <c r="I17" s="122">
        <v>0.26111111111111113</v>
      </c>
      <c r="J17" s="122">
        <v>0.76388888888888884</v>
      </c>
      <c r="K17" s="35">
        <f>IFERROR((PA[[#This Row],[Sunset Time (POA&lt;20 W/m2)]]-PA[[#This Row],[Sunrise Time (POA&gt;20 W/m2)]])*24,"")</f>
        <v>12.066666666666666</v>
      </c>
      <c r="L17" s="33" t="s">
        <v>293</v>
      </c>
      <c r="M17" s="33" t="s">
        <v>299</v>
      </c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" s="35">
        <f>IFERROR(_xlfn.XLOOKUP(PA[[#This Row],[Affected Equipment ]],'Basic Data'!N:N,'Basic Data'!Q:Q),"")</f>
        <v>6495.8549999999996</v>
      </c>
      <c r="V17" s="39">
        <f ca="1">IFERROR(_xlfn.XLOOKUP(PA[[#This Row],[Affected Equipment ]],'Basic Data'!N:N,'Basic Data'!R:R),"")</f>
        <v>0.16566832440703902</v>
      </c>
      <c r="W17" s="36" t="s">
        <v>307</v>
      </c>
      <c r="X17" s="40"/>
      <c r="Y17" s="40" t="s">
        <v>301</v>
      </c>
      <c r="Z17" s="46">
        <v>0.60624999999999996</v>
      </c>
      <c r="AA17" s="46">
        <v>0.60624999999999996</v>
      </c>
      <c r="AB17" s="46">
        <v>0.60624999999999996</v>
      </c>
      <c r="AC17" s="46">
        <v>0.61597222222222225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0.23333333333333517</v>
      </c>
      <c r="AG17" s="44">
        <f>IFERROR((PA[[#This Row],[Work Completion time on fault]]-PA[[#This Row],[Fault Time]])*24,"")</f>
        <v>0.23333333333333517</v>
      </c>
      <c r="AH17" s="36" t="s">
        <v>297</v>
      </c>
      <c r="AI17" s="33" t="s">
        <v>298</v>
      </c>
      <c r="AJ17" s="35">
        <f ca="1">IFERROR(PA[[#This Row],[Breakdown Time]]*PA[[#This Row],[Plant Equivalent Weightage]],"")</f>
        <v>3.8655942361642742E-2</v>
      </c>
      <c r="AK17" s="36">
        <v>0.202382123</v>
      </c>
      <c r="AL17" s="51">
        <f>IFERROR((_xlfn.XLOOKUP($G17,'Modelling New'!D:D,'Modelling New'!$O:$O)*PA[[#This Row],[Lost PoA(kWh/m2)]]*PA[[#This Row],[DC Capacity Affected (kW)]]),"")</f>
        <v>921.80617020949887</v>
      </c>
      <c r="AM17" s="33"/>
      <c r="AN17" s="33"/>
      <c r="AO17" s="33"/>
      <c r="AP17" s="33"/>
    </row>
    <row r="18" spans="1:42">
      <c r="A18" s="30">
        <v>17</v>
      </c>
      <c r="B18" s="31">
        <v>45768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219</v>
      </c>
      <c r="F18" s="33" t="s">
        <v>219</v>
      </c>
      <c r="G18" s="196">
        <f>PA[[#This Row],[Date]]-DAY(PA[[#This Row],[Date]])+1</f>
        <v>45748</v>
      </c>
      <c r="H18" s="32">
        <f>DAY(EOMONTH(PA[[#This Row],[Month Year]],0))</f>
        <v>30</v>
      </c>
      <c r="I18" s="122">
        <v>0.26111111111111113</v>
      </c>
      <c r="J18" s="122">
        <v>0.76388888888888884</v>
      </c>
      <c r="K18" s="35">
        <f>IFERROR((PA[[#This Row],[Sunset Time (POA&lt;20 W/m2)]]-PA[[#This Row],[Sunrise Time (POA&gt;20 W/m2)]])*24,"")</f>
        <v>12.066666666666666</v>
      </c>
      <c r="L18" s="33" t="s">
        <v>302</v>
      </c>
      <c r="M18" s="33" t="s">
        <v>294</v>
      </c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" s="35">
        <f>IFERROR(_xlfn.XLOOKUP(PA[[#This Row],[Affected Equipment ]],'Basic Data'!N:N,'Basic Data'!Q:Q),"")</f>
        <v>6527.4649999999992</v>
      </c>
      <c r="V18" s="39">
        <f ca="1">IFERROR(_xlfn.XLOOKUP(PA[[#This Row],[Affected Equipment ]],'Basic Data'!N:N,'Basic Data'!R:R),"")</f>
        <v>0.16647449630196376</v>
      </c>
      <c r="W18" s="36" t="s">
        <v>307</v>
      </c>
      <c r="X18" s="40"/>
      <c r="Y18" s="40" t="s">
        <v>301</v>
      </c>
      <c r="Z18" s="46">
        <v>0.60624999999999996</v>
      </c>
      <c r="AA18" s="46">
        <v>0.60624999999999996</v>
      </c>
      <c r="AB18" s="46">
        <v>0.60624999999999996</v>
      </c>
      <c r="AC18" s="46">
        <v>0.61597222222222225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0.23333333333333517</v>
      </c>
      <c r="AG18" s="44">
        <f>IFERROR((PA[[#This Row],[Work Completion time on fault]]-PA[[#This Row],[Fault Time]])*24,"")</f>
        <v>0.23333333333333517</v>
      </c>
      <c r="AH18" s="36" t="s">
        <v>297</v>
      </c>
      <c r="AI18" s="33" t="s">
        <v>298</v>
      </c>
      <c r="AJ18" s="35">
        <f ca="1">IFERROR(PA[[#This Row],[Breakdown Time]]*PA[[#This Row],[Plant Equivalent Weightage]],"")</f>
        <v>3.8844049137125185E-2</v>
      </c>
      <c r="AK18" s="36">
        <v>0.202382123</v>
      </c>
      <c r="AL18" s="51">
        <f>IFERROR((_xlfn.XLOOKUP($G18,'Modelling New'!D:D,'Modelling New'!$O:$O)*PA[[#This Row],[Lost PoA(kWh/m2)]]*PA[[#This Row],[DC Capacity Affected (kW)]]),"")</f>
        <v>926.29184500370559</v>
      </c>
      <c r="AM18" s="33"/>
      <c r="AN18" s="33"/>
      <c r="AO18" s="33"/>
      <c r="AP18" s="33"/>
    </row>
    <row r="19" spans="1:42">
      <c r="A19" s="30">
        <v>18</v>
      </c>
      <c r="B19" s="31">
        <v>45768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219</v>
      </c>
      <c r="F19" s="33" t="s">
        <v>219</v>
      </c>
      <c r="G19" s="196">
        <f>PA[[#This Row],[Date]]-DAY(PA[[#This Row],[Date]])+1</f>
        <v>45748</v>
      </c>
      <c r="H19" s="32">
        <f>DAY(EOMONTH(PA[[#This Row],[Month Year]],0))</f>
        <v>30</v>
      </c>
      <c r="I19" s="122">
        <v>0.26111111111111113</v>
      </c>
      <c r="J19" s="122">
        <v>0.76388888888888884</v>
      </c>
      <c r="K19" s="35">
        <f>IFERROR((PA[[#This Row],[Sunset Time (POA&lt;20 W/m2)]]-PA[[#This Row],[Sunrise Time (POA&gt;20 W/m2)]])*24,"")</f>
        <v>12.066666666666666</v>
      </c>
      <c r="L19" s="33" t="s">
        <v>303</v>
      </c>
      <c r="M19" s="33" t="s">
        <v>294</v>
      </c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" s="35">
        <f>IFERROR(_xlfn.XLOOKUP(PA[[#This Row],[Affected Equipment ]],'Basic Data'!N:N,'Basic Data'!Q:Q),"")</f>
        <v>5104</v>
      </c>
      <c r="V19" s="39">
        <f ca="1">IFERROR(_xlfn.XLOOKUP(PA[[#This Row],[Affected Equipment ]],'Basic Data'!N:N,'Basic Data'!R:R),"")</f>
        <v>0.13017087477684264</v>
      </c>
      <c r="W19" s="36" t="s">
        <v>307</v>
      </c>
      <c r="X19" s="40"/>
      <c r="Y19" s="40" t="s">
        <v>301</v>
      </c>
      <c r="Z19" s="46">
        <v>0.60624999999999996</v>
      </c>
      <c r="AA19" s="46">
        <v>0.60624999999999996</v>
      </c>
      <c r="AB19" s="46">
        <v>0.60624999999999996</v>
      </c>
      <c r="AC19" s="46">
        <v>0.61597222222222225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0.23333333333333517</v>
      </c>
      <c r="AG19" s="44">
        <f>IFERROR((PA[[#This Row],[Work Completion time on fault]]-PA[[#This Row],[Fault Time]])*24,"")</f>
        <v>0.23333333333333517</v>
      </c>
      <c r="AH19" s="36" t="s">
        <v>297</v>
      </c>
      <c r="AI19" s="33" t="s">
        <v>298</v>
      </c>
      <c r="AJ19" s="35">
        <f ca="1">IFERROR(PA[[#This Row],[Breakdown Time]]*PA[[#This Row],[Plant Equivalent Weightage]],"")</f>
        <v>3.0373204114596854E-2</v>
      </c>
      <c r="AK19" s="36">
        <v>0.202382123</v>
      </c>
      <c r="AL19" s="51">
        <f>IFERROR((_xlfn.XLOOKUP($G19,'Modelling New'!D:D,'Modelling New'!$O:$O)*PA[[#This Row],[Lost PoA(kWh/m2)]]*PA[[#This Row],[DC Capacity Affected (kW)]]),"")</f>
        <v>724.29244383522757</v>
      </c>
      <c r="AM19" s="33"/>
      <c r="AN19" s="33"/>
      <c r="AO19" s="33"/>
      <c r="AP19" s="33"/>
    </row>
    <row r="20" spans="1:42">
      <c r="A20" s="30">
        <v>19</v>
      </c>
      <c r="B20" s="31">
        <v>45768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219</v>
      </c>
      <c r="F20" s="33" t="s">
        <v>219</v>
      </c>
      <c r="G20" s="196">
        <f>PA[[#This Row],[Date]]-DAY(PA[[#This Row],[Date]])+1</f>
        <v>45748</v>
      </c>
      <c r="H20" s="32">
        <f>DAY(EOMONTH(PA[[#This Row],[Month Year]],0))</f>
        <v>30</v>
      </c>
      <c r="I20" s="122">
        <v>0.26111111111111113</v>
      </c>
      <c r="J20" s="122">
        <v>0.76388888888888884</v>
      </c>
      <c r="K20" s="35">
        <f>IFERROR((PA[[#This Row],[Sunset Time (POA&lt;20 W/m2)]]-PA[[#This Row],[Sunrise Time (POA&gt;20 W/m2)]])*24,"")</f>
        <v>12.066666666666666</v>
      </c>
      <c r="L20" s="33" t="s">
        <v>303</v>
      </c>
      <c r="M20" s="33" t="s">
        <v>299</v>
      </c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" s="35">
        <f>IFERROR(_xlfn.XLOOKUP(PA[[#This Row],[Affected Equipment ]],'Basic Data'!N:N,'Basic Data'!Q:Q),"")</f>
        <v>5104</v>
      </c>
      <c r="V20" s="39">
        <f ca="1">IFERROR(_xlfn.XLOOKUP(PA[[#This Row],[Affected Equipment ]],'Basic Data'!N:N,'Basic Data'!R:R),"")</f>
        <v>0.13017087477684264</v>
      </c>
      <c r="W20" s="36" t="s">
        <v>307</v>
      </c>
      <c r="X20" s="40"/>
      <c r="Y20" s="40" t="s">
        <v>301</v>
      </c>
      <c r="Z20" s="46">
        <v>0.60624999999999996</v>
      </c>
      <c r="AA20" s="46">
        <v>0.60624999999999996</v>
      </c>
      <c r="AB20" s="46">
        <v>0.60624999999999996</v>
      </c>
      <c r="AC20" s="46">
        <v>0.61597222222222225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0.23333333333333517</v>
      </c>
      <c r="AG20" s="44">
        <f>IFERROR((PA[[#This Row],[Work Completion time on fault]]-PA[[#This Row],[Fault Time]])*24,"")</f>
        <v>0.23333333333333517</v>
      </c>
      <c r="AH20" s="36" t="s">
        <v>297</v>
      </c>
      <c r="AI20" s="33" t="s">
        <v>298</v>
      </c>
      <c r="AJ20" s="35">
        <f ca="1">IFERROR(PA[[#This Row],[Breakdown Time]]*PA[[#This Row],[Plant Equivalent Weightage]],"")</f>
        <v>3.0373204114596854E-2</v>
      </c>
      <c r="AK20" s="36">
        <v>0.202382123</v>
      </c>
      <c r="AL20" s="51">
        <f>IFERROR((_xlfn.XLOOKUP($G20,'Modelling New'!D:D,'Modelling New'!$O:$O)*PA[[#This Row],[Lost PoA(kWh/m2)]]*PA[[#This Row],[DC Capacity Affected (kW)]]),"")</f>
        <v>724.29244383522757</v>
      </c>
      <c r="AM20" s="33"/>
      <c r="AN20" s="33"/>
      <c r="AO20" s="33"/>
      <c r="AP20" s="33"/>
    </row>
    <row r="21" spans="1:42">
      <c r="A21" s="30">
        <v>20</v>
      </c>
      <c r="B21" s="31">
        <v>45769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219</v>
      </c>
      <c r="F21" s="33" t="s">
        <v>219</v>
      </c>
      <c r="G21" s="196">
        <f>PA[[#This Row],[Date]]-DAY(PA[[#This Row],[Date]])+1</f>
        <v>45748</v>
      </c>
      <c r="H21" s="32">
        <f>DAY(EOMONTH(PA[[#This Row],[Month Year]],0))</f>
        <v>30</v>
      </c>
      <c r="I21" s="122">
        <v>0.25972222222222224</v>
      </c>
      <c r="J21" s="122">
        <v>0.76249999999999996</v>
      </c>
      <c r="K21" s="35">
        <f>IFERROR((PA[[#This Row],[Sunset Time (POA&lt;20 W/m2)]]-PA[[#This Row],[Sunrise Time (POA&gt;20 W/m2)]])*24,"")</f>
        <v>12.066666666666666</v>
      </c>
      <c r="L21" s="33" t="s">
        <v>293</v>
      </c>
      <c r="M21" s="33" t="s">
        <v>294</v>
      </c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1" s="35">
        <f>IFERROR(_xlfn.XLOOKUP(PA[[#This Row],[Affected Equipment ]],'Basic Data'!N:N,'Basic Data'!Q:Q),"")</f>
        <v>6511.66</v>
      </c>
      <c r="V21" s="39">
        <f ca="1">IFERROR(_xlfn.XLOOKUP(PA[[#This Row],[Affected Equipment ]],'Basic Data'!N:N,'Basic Data'!R:R),"")</f>
        <v>0.1660714103545014</v>
      </c>
      <c r="W21" s="36" t="s">
        <v>295</v>
      </c>
      <c r="X21" s="41"/>
      <c r="Y21" s="40" t="s">
        <v>296</v>
      </c>
      <c r="Z21" s="46">
        <v>0.53888888888888886</v>
      </c>
      <c r="AA21" s="46">
        <v>0.53888888888888886</v>
      </c>
      <c r="AB21" s="46">
        <v>0.53888888888888886</v>
      </c>
      <c r="AC21" s="46">
        <v>0.55000000000000004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0.26666666666666838</v>
      </c>
      <c r="AG21" s="44">
        <f>IFERROR((PA[[#This Row],[Work Completion time on fault]]-PA[[#This Row],[Fault Time]])*24,"")</f>
        <v>0.26666666666666838</v>
      </c>
      <c r="AH21" s="36" t="s">
        <v>297</v>
      </c>
      <c r="AI21" s="33" t="s">
        <v>298</v>
      </c>
      <c r="AJ21" s="35">
        <f ca="1">IFERROR(PA[[#This Row],[Breakdown Time]]*PA[[#This Row],[Plant Equivalent Weightage]],"")</f>
        <v>4.4285709427867324E-2</v>
      </c>
      <c r="AK21" s="38">
        <v>0.2660271766666667</v>
      </c>
      <c r="AL21" s="51">
        <f>IFERROR((_xlfn.XLOOKUP($G21,'Modelling New'!D:D,'Modelling New'!$O:$O)*PA[[#This Row],[Lost PoA(kWh/m2)]]*PA[[#This Row],[DC Capacity Affected (kW)]]),"")</f>
        <v>1214.6435908038161</v>
      </c>
      <c r="AM21" s="33"/>
      <c r="AN21" s="33"/>
      <c r="AO21" s="33"/>
      <c r="AP21" s="33"/>
    </row>
    <row r="22" spans="1:42">
      <c r="A22" s="30">
        <v>21</v>
      </c>
      <c r="B22" s="31">
        <v>45769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219</v>
      </c>
      <c r="F22" s="33" t="s">
        <v>219</v>
      </c>
      <c r="G22" s="196">
        <f>PA[[#This Row],[Date]]-DAY(PA[[#This Row],[Date]])+1</f>
        <v>45748</v>
      </c>
      <c r="H22" s="32">
        <f>DAY(EOMONTH(PA[[#This Row],[Month Year]],0))</f>
        <v>30</v>
      </c>
      <c r="I22" s="122">
        <v>0.25972222222222224</v>
      </c>
      <c r="J22" s="122">
        <v>0.76249999999999996</v>
      </c>
      <c r="K22" s="35">
        <f>IFERROR((PA[[#This Row],[Sunset Time (POA&lt;20 W/m2)]]-PA[[#This Row],[Sunrise Time (POA&gt;20 W/m2)]])*24,"")</f>
        <v>12.066666666666666</v>
      </c>
      <c r="L22" s="33" t="s">
        <v>293</v>
      </c>
      <c r="M22" s="33" t="s">
        <v>299</v>
      </c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2" s="35">
        <f>IFERROR(_xlfn.XLOOKUP(PA[[#This Row],[Affected Equipment ]],'Basic Data'!N:N,'Basic Data'!Q:Q),"")</f>
        <v>6495.8549999999996</v>
      </c>
      <c r="V22" s="39">
        <f ca="1">IFERROR(_xlfn.XLOOKUP(PA[[#This Row],[Affected Equipment ]],'Basic Data'!N:N,'Basic Data'!R:R),"")</f>
        <v>0.16566832440703902</v>
      </c>
      <c r="W22" s="36" t="s">
        <v>295</v>
      </c>
      <c r="X22" s="40"/>
      <c r="Y22" s="40" t="s">
        <v>296</v>
      </c>
      <c r="Z22" s="46">
        <v>0.53888888888888886</v>
      </c>
      <c r="AA22" s="46">
        <v>0.53888888888888886</v>
      </c>
      <c r="AB22" s="46">
        <v>0.53888888888888886</v>
      </c>
      <c r="AC22" s="46">
        <v>0.55000000000000004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0.26666666666666838</v>
      </c>
      <c r="AG22" s="44">
        <f>IFERROR((PA[[#This Row],[Work Completion time on fault]]-PA[[#This Row],[Fault Time]])*24,"")</f>
        <v>0.26666666666666838</v>
      </c>
      <c r="AH22" s="36" t="s">
        <v>297</v>
      </c>
      <c r="AI22" s="33" t="s">
        <v>298</v>
      </c>
      <c r="AJ22" s="35">
        <f ca="1">IFERROR(PA[[#This Row],[Breakdown Time]]*PA[[#This Row],[Plant Equivalent Weightage]],"")</f>
        <v>4.4178219841877357E-2</v>
      </c>
      <c r="AK22" s="38">
        <v>0.2660271766666667</v>
      </c>
      <c r="AL22" s="51">
        <f>IFERROR((_xlfn.XLOOKUP($G22,'Modelling New'!D:D,'Modelling New'!$O:$O)*PA[[#This Row],[Lost PoA(kWh/m2)]]*PA[[#This Row],[DC Capacity Affected (kW)]]),"")</f>
        <v>1211.6954267484671</v>
      </c>
      <c r="AM22" s="33"/>
      <c r="AN22" s="33"/>
      <c r="AO22" s="33"/>
      <c r="AP22" s="33"/>
    </row>
    <row r="23" spans="1:42">
      <c r="A23" s="30">
        <v>22</v>
      </c>
      <c r="B23" s="31">
        <v>45770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219</v>
      </c>
      <c r="F23" s="33" t="s">
        <v>219</v>
      </c>
      <c r="G23" s="196">
        <f>PA[[#This Row],[Date]]-DAY(PA[[#This Row],[Date]])+1</f>
        <v>45748</v>
      </c>
      <c r="H23" s="32">
        <f>DAY(EOMONTH(PA[[#This Row],[Month Year]],0))</f>
        <v>30</v>
      </c>
      <c r="I23" s="122">
        <v>0.26111111111111113</v>
      </c>
      <c r="J23" s="122">
        <v>0.76111111111111107</v>
      </c>
      <c r="K23" s="35">
        <f>IFERROR((PA[[#This Row],[Sunset Time (POA&lt;20 W/m2)]]-PA[[#This Row],[Sunrise Time (POA&gt;20 W/m2)]])*24,"")</f>
        <v>11.999999999999998</v>
      </c>
      <c r="L23" s="33" t="s">
        <v>293</v>
      </c>
      <c r="M23" s="33" t="s">
        <v>294</v>
      </c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3" s="35">
        <f>IFERROR(_xlfn.XLOOKUP(PA[[#This Row],[Affected Equipment ]],'Basic Data'!N:N,'Basic Data'!Q:Q),"")</f>
        <v>6511.66</v>
      </c>
      <c r="V23" s="39">
        <f ca="1">IFERROR(_xlfn.XLOOKUP(PA[[#This Row],[Affected Equipment ]],'Basic Data'!N:N,'Basic Data'!R:R),"")</f>
        <v>0.1660714103545014</v>
      </c>
      <c r="W23" s="36" t="s">
        <v>295</v>
      </c>
      <c r="X23" s="40"/>
      <c r="Y23" s="40" t="s">
        <v>296</v>
      </c>
      <c r="Z23" s="46">
        <v>0.58611111111111114</v>
      </c>
      <c r="AA23" s="46">
        <v>0.58611111111111114</v>
      </c>
      <c r="AB23" s="46">
        <v>0.58611111111111114</v>
      </c>
      <c r="AC23" s="46">
        <v>0.59652777777777777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0.24999999999999911</v>
      </c>
      <c r="AG23" s="44">
        <f>IFERROR((PA[[#This Row],[Work Completion time on fault]]-PA[[#This Row],[Fault Time]])*24,"")</f>
        <v>0.24999999999999911</v>
      </c>
      <c r="AH23" s="36" t="s">
        <v>297</v>
      </c>
      <c r="AI23" s="33" t="s">
        <v>298</v>
      </c>
      <c r="AJ23" s="35">
        <f ca="1">IFERROR(PA[[#This Row],[Breakdown Time]]*PA[[#This Row],[Plant Equivalent Weightage]],"")</f>
        <v>4.1517852588625205E-2</v>
      </c>
      <c r="AK23" s="36">
        <v>0.22731243166666668</v>
      </c>
      <c r="AL23" s="51">
        <f>IFERROR((_xlfn.XLOOKUP($G23,'Modelling New'!D:D,'Modelling New'!$O:$O)*PA[[#This Row],[Lost PoA(kWh/m2)]]*PA[[#This Row],[DC Capacity Affected (kW)]]),"")</f>
        <v>1037.8773766407564</v>
      </c>
      <c r="AM23" s="33"/>
      <c r="AN23" s="33"/>
      <c r="AO23" s="33"/>
      <c r="AP23" s="33"/>
    </row>
    <row r="24" spans="1:42">
      <c r="A24" s="30">
        <v>23</v>
      </c>
      <c r="B24" s="31">
        <v>45770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219</v>
      </c>
      <c r="F24" s="33" t="s">
        <v>219</v>
      </c>
      <c r="G24" s="196">
        <f>PA[[#This Row],[Date]]-DAY(PA[[#This Row],[Date]])+1</f>
        <v>45748</v>
      </c>
      <c r="H24" s="32">
        <f>DAY(EOMONTH(PA[[#This Row],[Month Year]],0))</f>
        <v>30</v>
      </c>
      <c r="I24" s="122">
        <v>0.26111111111111113</v>
      </c>
      <c r="J24" s="122">
        <v>0.76111111111111107</v>
      </c>
      <c r="K24" s="35">
        <f>IFERROR((PA[[#This Row],[Sunset Time (POA&lt;20 W/m2)]]-PA[[#This Row],[Sunrise Time (POA&gt;20 W/m2)]])*24,"")</f>
        <v>11.999999999999998</v>
      </c>
      <c r="L24" s="33" t="s">
        <v>293</v>
      </c>
      <c r="M24" s="33" t="s">
        <v>299</v>
      </c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4" s="35">
        <f>IFERROR(_xlfn.XLOOKUP(PA[[#This Row],[Affected Equipment ]],'Basic Data'!N:N,'Basic Data'!Q:Q),"")</f>
        <v>6495.8549999999996</v>
      </c>
      <c r="V24" s="39">
        <f ca="1">IFERROR(_xlfn.XLOOKUP(PA[[#This Row],[Affected Equipment ]],'Basic Data'!N:N,'Basic Data'!R:R),"")</f>
        <v>0.16566832440703902</v>
      </c>
      <c r="W24" s="36" t="s">
        <v>295</v>
      </c>
      <c r="X24" s="40"/>
      <c r="Y24" s="40" t="s">
        <v>296</v>
      </c>
      <c r="Z24" s="46">
        <v>0.58611111111111114</v>
      </c>
      <c r="AA24" s="46">
        <v>0.58611111111111114</v>
      </c>
      <c r="AB24" s="46">
        <v>0.58611111111111114</v>
      </c>
      <c r="AC24" s="46">
        <v>0.59652777777777777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0.24999999999999911</v>
      </c>
      <c r="AG24" s="44">
        <f>IFERROR((PA[[#This Row],[Work Completion time on fault]]-PA[[#This Row],[Fault Time]])*24,"")</f>
        <v>0.24999999999999911</v>
      </c>
      <c r="AH24" s="36" t="s">
        <v>297</v>
      </c>
      <c r="AI24" s="33" t="s">
        <v>298</v>
      </c>
      <c r="AJ24" s="35">
        <f ca="1">IFERROR(PA[[#This Row],[Breakdown Time]]*PA[[#This Row],[Plant Equivalent Weightage]],"")</f>
        <v>4.1417081101759609E-2</v>
      </c>
      <c r="AK24" s="36">
        <v>0.22731243166666668</v>
      </c>
      <c r="AL24" s="51">
        <f>IFERROR((_xlfn.XLOOKUP($G24,'Modelling New'!D:D,'Modelling New'!$O:$O)*PA[[#This Row],[Lost PoA(kWh/m2)]]*PA[[#This Row],[DC Capacity Affected (kW)]]),"")</f>
        <v>1035.3582567945409</v>
      </c>
      <c r="AM24" s="33"/>
      <c r="AN24" s="33"/>
      <c r="AO24" s="33"/>
      <c r="AP24" s="33"/>
    </row>
    <row r="25" spans="1:42">
      <c r="A25" s="30">
        <v>24</v>
      </c>
      <c r="B25" s="31">
        <v>45771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219</v>
      </c>
      <c r="F25" s="33" t="s">
        <v>219</v>
      </c>
      <c r="G25" s="196">
        <f>PA[[#This Row],[Date]]-DAY(PA[[#This Row],[Date]])+1</f>
        <v>45748</v>
      </c>
      <c r="H25" s="32">
        <f>DAY(EOMONTH(PA[[#This Row],[Month Year]],0))</f>
        <v>30</v>
      </c>
      <c r="I25" s="122">
        <v>0.25972222222222224</v>
      </c>
      <c r="J25" s="122">
        <v>0.76249999999999996</v>
      </c>
      <c r="K25" s="35">
        <f>IFERROR((PA[[#This Row],[Sunset Time (POA&lt;20 W/m2)]]-PA[[#This Row],[Sunrise Time (POA&gt;20 W/m2)]])*24,"")</f>
        <v>12.066666666666666</v>
      </c>
      <c r="L25" s="33" t="s">
        <v>302</v>
      </c>
      <c r="M25" s="33" t="s">
        <v>294</v>
      </c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5" s="35">
        <f>IFERROR(_xlfn.XLOOKUP(PA[[#This Row],[Affected Equipment ]],'Basic Data'!N:N,'Basic Data'!Q:Q),"")</f>
        <v>6527.4649999999992</v>
      </c>
      <c r="V25" s="39">
        <f ca="1">IFERROR(_xlfn.XLOOKUP(PA[[#This Row],[Affected Equipment ]],'Basic Data'!N:N,'Basic Data'!R:R),"")</f>
        <v>0.16647449630196376</v>
      </c>
      <c r="W25" s="36" t="s">
        <v>295</v>
      </c>
      <c r="X25" s="40"/>
      <c r="Y25" s="40" t="s">
        <v>296</v>
      </c>
      <c r="Z25" s="46">
        <v>0.56111111111111112</v>
      </c>
      <c r="AA25" s="46">
        <v>0.56111111111111112</v>
      </c>
      <c r="AB25" s="46">
        <v>0.56111111111111112</v>
      </c>
      <c r="AC25" s="46">
        <v>0.61250000000000004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1.2333333333333343</v>
      </c>
      <c r="AG25" s="44">
        <f>IFERROR((PA[[#This Row],[Work Completion time on fault]]-PA[[#This Row],[Fault Time]])*24,"")</f>
        <v>1.2333333333333343</v>
      </c>
      <c r="AH25" s="36" t="s">
        <v>297</v>
      </c>
      <c r="AI25" s="33" t="s">
        <v>298</v>
      </c>
      <c r="AJ25" s="35">
        <f ca="1">IFERROR(PA[[#This Row],[Breakdown Time]]*PA[[#This Row],[Plant Equivalent Weightage]],"")</f>
        <v>0.20531854543908878</v>
      </c>
      <c r="AK25" s="36">
        <v>1.048772818</v>
      </c>
      <c r="AL25" s="51">
        <f>IFERROR((_xlfn.XLOOKUP($G25,'Modelling New'!D:D,'Modelling New'!$O:$O)*PA[[#This Row],[Lost PoA(kWh/m2)]]*PA[[#This Row],[DC Capacity Affected (kW)]]),"")</f>
        <v>4800.1755005552313</v>
      </c>
      <c r="AM25" s="33"/>
      <c r="AN25" s="33"/>
      <c r="AO25" s="33"/>
      <c r="AP25" s="33"/>
    </row>
    <row r="26" spans="1:42">
      <c r="A26" s="30">
        <v>25</v>
      </c>
      <c r="B26" s="31">
        <v>45773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219</v>
      </c>
      <c r="F26" s="33" t="s">
        <v>219</v>
      </c>
      <c r="G26" s="196">
        <f>PA[[#This Row],[Date]]-DAY(PA[[#This Row],[Date]])+1</f>
        <v>45748</v>
      </c>
      <c r="H26" s="32">
        <f>DAY(EOMONTH(PA[[#This Row],[Month Year]],0))</f>
        <v>30</v>
      </c>
      <c r="I26" s="122">
        <v>0.26180555555555557</v>
      </c>
      <c r="J26" s="122">
        <v>0.76388888888888884</v>
      </c>
      <c r="K26" s="35">
        <f>IFERROR((PA[[#This Row],[Sunset Time (POA&lt;20 W/m2)]]-PA[[#This Row],[Sunrise Time (POA&gt;20 W/m2)]])*24,"")</f>
        <v>12.049999999999997</v>
      </c>
      <c r="L26" s="33" t="s">
        <v>303</v>
      </c>
      <c r="M26" s="33" t="s">
        <v>299</v>
      </c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6" s="35">
        <f>IFERROR(_xlfn.XLOOKUP(PA[[#This Row],[Affected Equipment ]],'Basic Data'!N:N,'Basic Data'!Q:Q),"")</f>
        <v>5104</v>
      </c>
      <c r="V26" s="39">
        <f ca="1">IFERROR(_xlfn.XLOOKUP(PA[[#This Row],[Affected Equipment ]],'Basic Data'!N:N,'Basic Data'!R:R),"")</f>
        <v>0.13017087477684264</v>
      </c>
      <c r="W26" s="36" t="s">
        <v>304</v>
      </c>
      <c r="X26" s="40"/>
      <c r="Y26" s="40" t="s">
        <v>308</v>
      </c>
      <c r="Z26" s="46">
        <v>0.59861111111111109</v>
      </c>
      <c r="AA26" s="46">
        <v>0.59861111111111109</v>
      </c>
      <c r="AB26" s="46">
        <v>0.59861111111111109</v>
      </c>
      <c r="AC26" s="46">
        <v>0.60416666666666663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0.13333333333333286</v>
      </c>
      <c r="AG26" s="44">
        <f>IFERROR((PA[[#This Row],[Work Completion time on fault]]-PA[[#This Row],[Fault Time]])*24,"")</f>
        <v>0.13333333333333286</v>
      </c>
      <c r="AH26" s="36" t="s">
        <v>309</v>
      </c>
      <c r="AI26" s="33" t="s">
        <v>298</v>
      </c>
      <c r="AJ26" s="35">
        <f ca="1">IFERROR(PA[[#This Row],[Breakdown Time]]*PA[[#This Row],[Plant Equivalent Weightage]],"")</f>
        <v>1.7356116636912292E-2</v>
      </c>
      <c r="AK26" s="36">
        <v>9.5916648333333326E-2</v>
      </c>
      <c r="AL26" s="51">
        <f>IFERROR((_xlfn.XLOOKUP($G26,'Modelling New'!D:D,'Modelling New'!$O:$O)*PA[[#This Row],[Lost PoA(kWh/m2)]]*PA[[#This Row],[DC Capacity Affected (kW)]]),"")</f>
        <v>343.26996177342255</v>
      </c>
      <c r="AM26" s="33"/>
      <c r="AN26" s="33"/>
      <c r="AO26" s="33"/>
      <c r="AP26" s="33"/>
    </row>
    <row r="27" spans="1:42">
      <c r="A27" s="30">
        <v>26</v>
      </c>
      <c r="B27" s="31">
        <v>45774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219</v>
      </c>
      <c r="F27" s="33" t="s">
        <v>219</v>
      </c>
      <c r="G27" s="196">
        <f>PA[[#This Row],[Date]]-DAY(PA[[#This Row],[Date]])+1</f>
        <v>45748</v>
      </c>
      <c r="H27" s="32">
        <f>DAY(EOMONTH(PA[[#This Row],[Month Year]],0))</f>
        <v>30</v>
      </c>
      <c r="I27" s="122">
        <v>0.25833333333333336</v>
      </c>
      <c r="J27" s="122">
        <v>0.76597222222222228</v>
      </c>
      <c r="K27" s="35">
        <f>IFERROR((PA[[#This Row],[Sunset Time (POA&lt;20 W/m2)]]-PA[[#This Row],[Sunrise Time (POA&gt;20 W/m2)]])*24,"")</f>
        <v>12.183333333333335</v>
      </c>
      <c r="L27" s="33" t="s">
        <v>303</v>
      </c>
      <c r="M27" s="33" t="s">
        <v>294</v>
      </c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7" s="35">
        <f>IFERROR(_xlfn.XLOOKUP(PA[[#This Row],[Affected Equipment ]],'Basic Data'!N:N,'Basic Data'!Q:Q),"")</f>
        <v>5104</v>
      </c>
      <c r="V27" s="39">
        <f ca="1">IFERROR(_xlfn.XLOOKUP(PA[[#This Row],[Affected Equipment ]],'Basic Data'!N:N,'Basic Data'!R:R),"")</f>
        <v>0.13017087477684264</v>
      </c>
      <c r="W27" s="36" t="s">
        <v>304</v>
      </c>
      <c r="X27" s="40"/>
      <c r="Y27" s="40" t="s">
        <v>310</v>
      </c>
      <c r="Z27" s="46">
        <v>0.25833333333333336</v>
      </c>
      <c r="AA27" s="46">
        <v>0.25833333333333336</v>
      </c>
      <c r="AB27" s="46">
        <v>0.25833333333333336</v>
      </c>
      <c r="AC27" s="46">
        <v>0.33680555555555558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1.8833333333333333</v>
      </c>
      <c r="AG27" s="44">
        <f>IFERROR((PA[[#This Row],[Work Completion time on fault]]-PA[[#This Row],[Fault Time]])*24,"")</f>
        <v>1.8833333333333333</v>
      </c>
      <c r="AH27" s="36" t="s">
        <v>309</v>
      </c>
      <c r="AI27" s="33" t="s">
        <v>298</v>
      </c>
      <c r="AJ27" s="35">
        <f ca="1">IFERROR(PA[[#This Row],[Breakdown Time]]*PA[[#This Row],[Plant Equivalent Weightage]],"")</f>
        <v>0.24515514749638698</v>
      </c>
      <c r="AK27" s="36">
        <v>0.29650875500000001</v>
      </c>
      <c r="AL27" s="51">
        <f>IFERROR((_xlfn.XLOOKUP($G27,'Modelling New'!D:D,'Modelling New'!$O:$O)*PA[[#This Row],[Lost PoA(kWh/m2)]]*PA[[#This Row],[DC Capacity Affected (kW)]]),"")</f>
        <v>1061.1562305702798</v>
      </c>
      <c r="AM27" s="33"/>
      <c r="AN27" s="33"/>
      <c r="AO27" s="33"/>
      <c r="AP27" s="33"/>
    </row>
    <row r="28" spans="1:42">
      <c r="A28" s="30">
        <v>27</v>
      </c>
      <c r="B28" s="31">
        <v>45775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219</v>
      </c>
      <c r="F28" s="33" t="s">
        <v>219</v>
      </c>
      <c r="G28" s="196">
        <f>PA[[#This Row],[Date]]-DAY(PA[[#This Row],[Date]])+1</f>
        <v>45748</v>
      </c>
      <c r="H28" s="32">
        <f>DAY(EOMONTH(PA[[#This Row],[Month Year]],0))</f>
        <v>30</v>
      </c>
      <c r="I28" s="122">
        <v>0.26041666666666669</v>
      </c>
      <c r="J28" s="122">
        <v>0.76527777777777772</v>
      </c>
      <c r="K28" s="35">
        <f>IFERROR((PA[[#This Row],[Sunset Time (POA&lt;20 W/m2)]]-PA[[#This Row],[Sunrise Time (POA&gt;20 W/m2)]])*24,"")</f>
        <v>12.116666666666664</v>
      </c>
      <c r="L28" s="33" t="s">
        <v>303</v>
      </c>
      <c r="M28" s="33" t="s">
        <v>299</v>
      </c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8" s="35">
        <f>IFERROR(_xlfn.XLOOKUP(PA[[#This Row],[Affected Equipment ]],'Basic Data'!N:N,'Basic Data'!Q:Q),"")</f>
        <v>5104</v>
      </c>
      <c r="V28" s="39">
        <f ca="1">IFERROR(_xlfn.XLOOKUP(PA[[#This Row],[Affected Equipment ]],'Basic Data'!N:N,'Basic Data'!R:R),"")</f>
        <v>0.13017087477684264</v>
      </c>
      <c r="W28" s="36" t="s">
        <v>304</v>
      </c>
      <c r="X28" s="40"/>
      <c r="Y28" s="40" t="s">
        <v>310</v>
      </c>
      <c r="Z28" s="46">
        <v>0.6166666666666667</v>
      </c>
      <c r="AA28" s="46">
        <v>0.6166666666666667</v>
      </c>
      <c r="AB28" s="46">
        <v>0.6166666666666667</v>
      </c>
      <c r="AC28" s="46">
        <v>0.64027777777777772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0.56666666666666465</v>
      </c>
      <c r="AG28" s="44">
        <f>IFERROR((PA[[#This Row],[Work Completion time on fault]]-PA[[#This Row],[Fault Time]])*24,"")</f>
        <v>0.56666666666666465</v>
      </c>
      <c r="AH28" s="36" t="s">
        <v>309</v>
      </c>
      <c r="AI28" s="33" t="s">
        <v>298</v>
      </c>
      <c r="AJ28" s="35">
        <f ca="1">IFERROR(PA[[#This Row],[Breakdown Time]]*PA[[#This Row],[Plant Equivalent Weightage]],"")</f>
        <v>7.3763495706877236E-2</v>
      </c>
      <c r="AK28" s="36">
        <v>0.43044969999999999</v>
      </c>
      <c r="AL28" s="51">
        <f>IFERROR((_xlfn.XLOOKUP($G28,'Modelling New'!D:D,'Modelling New'!$O:$O)*PA[[#This Row],[Lost PoA(kWh/m2)]]*PA[[#This Row],[DC Capacity Affected (kW)]]),"")</f>
        <v>1540.5089171889977</v>
      </c>
      <c r="AM28" s="33"/>
      <c r="AN28" s="33"/>
      <c r="AO28" s="33"/>
      <c r="AP28" s="33"/>
    </row>
    <row r="29" spans="1:42">
      <c r="A29" s="30">
        <v>28</v>
      </c>
      <c r="B29" s="368">
        <v>45779</v>
      </c>
      <c r="C29" s="371">
        <f>YEAR(PA[[#This Row],[Date]])+IF(MONTH(PA[[#This Row],[Date]])&gt;=4,1,0)</f>
        <v>2026</v>
      </c>
      <c r="D29" s="32">
        <f>YEAR(PA[[#This Row],[Date]])</f>
        <v>2025</v>
      </c>
      <c r="E29" s="33" t="s">
        <v>219</v>
      </c>
      <c r="F29" s="33" t="s">
        <v>219</v>
      </c>
      <c r="G29" s="196">
        <f>PA[[#This Row],[Date]]-DAY(PA[[#This Row],[Date]])+1</f>
        <v>45778</v>
      </c>
      <c r="H29" s="32">
        <f>DAY(EOMONTH(PA[[#This Row],[Month Year]],0))</f>
        <v>31</v>
      </c>
      <c r="I29" s="122">
        <v>0.25833333333333336</v>
      </c>
      <c r="J29" s="122">
        <v>0.76736111111111116</v>
      </c>
      <c r="K29" s="35">
        <f>IFERROR((PA[[#This Row],[Sunset Time (POA&lt;20 W/m2)]]-PA[[#This Row],[Sunrise Time (POA&gt;20 W/m2)]])*24,"")</f>
        <v>12.216666666666669</v>
      </c>
      <c r="L29" s="33" t="s">
        <v>300</v>
      </c>
      <c r="M29" s="33" t="s">
        <v>294</v>
      </c>
      <c r="N29" s="33" t="s">
        <v>313</v>
      </c>
      <c r="O29" s="36" t="s">
        <v>378</v>
      </c>
      <c r="P29" s="36" t="s">
        <v>357</v>
      </c>
      <c r="Q29" s="33"/>
      <c r="R29" s="32">
        <f>IF((PA[[#This Row],[String Type(If String BD)]]&amp;PA[[#This Row],[Equipment (If any BD other than PV  array and inv)]])="",1,0)</f>
        <v>0</v>
      </c>
      <c r="S29" s="32">
        <f>IF(PA[[#This Row],[String Type(If String BD)]]="",1,0)</f>
        <v>0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29" s="35">
        <f>IFERROR(_xlfn.XLOOKUP(PA[[#This Row],[Affected Equipment ]],'Basic Data'!N:N,'Basic Data'!Q:Q),"")</f>
        <v>31.61</v>
      </c>
      <c r="V29" s="369">
        <f ca="1">IFERROR(_xlfn.XLOOKUP(PA[[#This Row],[Affected Equipment ]],'Basic Data'!N:N,'Basic Data'!R:R),"")</f>
        <v>8.0617189492476413E-4</v>
      </c>
      <c r="W29" s="36" t="s">
        <v>328</v>
      </c>
      <c r="X29" s="40"/>
      <c r="Y29" s="40" t="s">
        <v>379</v>
      </c>
      <c r="Z29" s="46">
        <v>0.25833333333333336</v>
      </c>
      <c r="AA29" s="42">
        <v>0.25833333333333336</v>
      </c>
      <c r="AB29" s="370">
        <v>0.25833333333333336</v>
      </c>
      <c r="AC29" s="46">
        <v>0.70138888888888884</v>
      </c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10.633333333333331</v>
      </c>
      <c r="AG29" s="44">
        <f>IFERROR((PA[[#This Row],[Work Completion time on fault]]-PA[[#This Row],[Fault Time]])*24,"")</f>
        <v>10.633333333333331</v>
      </c>
      <c r="AH29" s="36" t="s">
        <v>380</v>
      </c>
      <c r="AI29" s="33" t="s">
        <v>298</v>
      </c>
      <c r="AJ29" s="35">
        <f ca="1">IFERROR(PA[[#This Row],[Breakdown Time]]*PA[[#This Row],[Plant Equivalent Weightage]],"")</f>
        <v>8.5722944826999905E-3</v>
      </c>
      <c r="AK29" s="36">
        <v>6.2583816666666667</v>
      </c>
      <c r="AL29" s="51">
        <f>IFERROR((_xlfn.XLOOKUP($G29,'Modelling New'!D:D,'Modelling New'!$O:$O)*PA[[#This Row],[Lost PoA(kWh/m2)]]*PA[[#This Row],[DC Capacity Affected (kW)]]),"")</f>
        <v>126.51183041267444</v>
      </c>
      <c r="AM29" s="33"/>
      <c r="AN29" s="33"/>
      <c r="AO29" s="37"/>
      <c r="AP29" s="37"/>
    </row>
    <row r="30" spans="1:42">
      <c r="A30" s="30">
        <v>29</v>
      </c>
      <c r="B30" s="368">
        <v>45780</v>
      </c>
      <c r="C30" s="371">
        <f>YEAR(PA[[#This Row],[Date]])+IF(MONTH(PA[[#This Row],[Date]])&gt;=4,1,0)</f>
        <v>2026</v>
      </c>
      <c r="D30" s="32">
        <f>YEAR(PA[[#This Row],[Date]])</f>
        <v>2025</v>
      </c>
      <c r="E30" s="33" t="s">
        <v>219</v>
      </c>
      <c r="F30" s="33" t="s">
        <v>219</v>
      </c>
      <c r="G30" s="196">
        <f>PA[[#This Row],[Date]]-DAY(PA[[#This Row],[Date]])+1</f>
        <v>45778</v>
      </c>
      <c r="H30" s="32">
        <f>DAY(EOMONTH(PA[[#This Row],[Month Year]],0))</f>
        <v>31</v>
      </c>
      <c r="I30" s="122">
        <v>0.25763888888888886</v>
      </c>
      <c r="J30" s="122">
        <v>0.76875000000000004</v>
      </c>
      <c r="K30" s="35">
        <f>IFERROR((PA[[#This Row],[Sunset Time (POA&lt;20 W/m2)]]-PA[[#This Row],[Sunrise Time (POA&gt;20 W/m2)]])*24,"")</f>
        <v>12.266666666666669</v>
      </c>
      <c r="L30" s="33" t="s">
        <v>303</v>
      </c>
      <c r="M30" s="33" t="s">
        <v>294</v>
      </c>
      <c r="N30" s="33" t="s">
        <v>320</v>
      </c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0" s="35">
        <f>IFERROR(_xlfn.XLOOKUP(PA[[#This Row],[Affected Equipment ]],'Basic Data'!N:N,'Basic Data'!Q:Q),"")</f>
        <v>1276</v>
      </c>
      <c r="V30" s="369">
        <f ca="1">IFERROR(_xlfn.XLOOKUP(PA[[#This Row],[Affected Equipment ]],'Basic Data'!N:N,'Basic Data'!R:R),"")</f>
        <v>3.2542718694210659E-2</v>
      </c>
      <c r="W30" s="36" t="s">
        <v>304</v>
      </c>
      <c r="X30" s="40"/>
      <c r="Y30" s="40" t="s">
        <v>381</v>
      </c>
      <c r="Z30" s="46">
        <v>0.25763888888888886</v>
      </c>
      <c r="AA30" s="42">
        <v>0.25763888888888886</v>
      </c>
      <c r="AB30" s="370">
        <v>0.25763888888888886</v>
      </c>
      <c r="AC30" s="46">
        <v>0.49444444444444446</v>
      </c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5.6833333333333345</v>
      </c>
      <c r="AG30" s="44">
        <f>IFERROR((PA[[#This Row],[Work Completion time on fault]]-PA[[#This Row],[Fault Time]])*24,"")</f>
        <v>5.6833333333333345</v>
      </c>
      <c r="AH30" s="36" t="s">
        <v>315</v>
      </c>
      <c r="AI30" s="33" t="s">
        <v>298</v>
      </c>
      <c r="AJ30" s="35">
        <f ca="1">IFERROR(PA[[#This Row],[Breakdown Time]]*PA[[#This Row],[Plant Equivalent Weightage]],"")</f>
        <v>0.18495111791209728</v>
      </c>
      <c r="AK30" s="36">
        <v>2.9549836750000003</v>
      </c>
      <c r="AL30" s="51">
        <f>IFERROR((_xlfn.XLOOKUP($G30,'Modelling New'!D:D,'Modelling New'!$O:$O)*PA[[#This Row],[Lost PoA(kWh/m2)]]*PA[[#This Row],[DC Capacity Affected (kW)]]),"")</f>
        <v>2411.2950730030007</v>
      </c>
      <c r="AM30" s="33"/>
      <c r="AN30" s="33"/>
      <c r="AO30" s="37"/>
      <c r="AP30" s="37"/>
    </row>
    <row r="31" spans="1:42">
      <c r="A31" s="30">
        <v>30</v>
      </c>
      <c r="B31" s="368">
        <v>45780</v>
      </c>
      <c r="C31" s="371">
        <f>YEAR(PA[[#This Row],[Date]])+IF(MONTH(PA[[#This Row],[Date]])&gt;=4,1,0)</f>
        <v>2026</v>
      </c>
      <c r="D31" s="32">
        <f>YEAR(PA[[#This Row],[Date]])</f>
        <v>2025</v>
      </c>
      <c r="E31" s="33" t="s">
        <v>219</v>
      </c>
      <c r="F31" s="33" t="s">
        <v>219</v>
      </c>
      <c r="G31" s="196">
        <f>PA[[#This Row],[Date]]-DAY(PA[[#This Row],[Date]])+1</f>
        <v>45778</v>
      </c>
      <c r="H31" s="32">
        <f>DAY(EOMONTH(PA[[#This Row],[Month Year]],0))</f>
        <v>31</v>
      </c>
      <c r="I31" s="122">
        <v>0.25763888888888886</v>
      </c>
      <c r="J31" s="122">
        <v>0.76875000000000004</v>
      </c>
      <c r="K31" s="35">
        <f>IFERROR((PA[[#This Row],[Sunset Time (POA&lt;20 W/m2)]]-PA[[#This Row],[Sunrise Time (POA&gt;20 W/m2)]])*24,"")</f>
        <v>12.266666666666669</v>
      </c>
      <c r="L31" s="33" t="s">
        <v>303</v>
      </c>
      <c r="M31" s="33" t="s">
        <v>294</v>
      </c>
      <c r="N31" s="33" t="s">
        <v>322</v>
      </c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1" s="35">
        <f>IFERROR(_xlfn.XLOOKUP(PA[[#This Row],[Affected Equipment ]],'Basic Data'!N:N,'Basic Data'!Q:Q),"")</f>
        <v>1276</v>
      </c>
      <c r="V31" s="369">
        <f ca="1">IFERROR(_xlfn.XLOOKUP(PA[[#This Row],[Affected Equipment ]],'Basic Data'!N:N,'Basic Data'!R:R),"")</f>
        <v>3.2542718694210659E-2</v>
      </c>
      <c r="W31" s="36" t="s">
        <v>304</v>
      </c>
      <c r="X31" s="40"/>
      <c r="Y31" s="40" t="s">
        <v>381</v>
      </c>
      <c r="Z31" s="46">
        <v>0.25763888888888886</v>
      </c>
      <c r="AA31" s="42">
        <v>0.25763888888888886</v>
      </c>
      <c r="AB31" s="370">
        <v>0.25763888888888886</v>
      </c>
      <c r="AC31" s="46">
        <v>0.49444444444444446</v>
      </c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5.6833333333333345</v>
      </c>
      <c r="AG31" s="44">
        <f>IFERROR((PA[[#This Row],[Work Completion time on fault]]-PA[[#This Row],[Fault Time]])*24,"")</f>
        <v>5.6833333333333345</v>
      </c>
      <c r="AH31" s="36" t="s">
        <v>315</v>
      </c>
      <c r="AI31" s="33" t="s">
        <v>298</v>
      </c>
      <c r="AJ31" s="35">
        <f ca="1">IFERROR(PA[[#This Row],[Breakdown Time]]*PA[[#This Row],[Plant Equivalent Weightage]],"")</f>
        <v>0.18495111791209728</v>
      </c>
      <c r="AK31" s="36">
        <v>2.9549836750000003</v>
      </c>
      <c r="AL31" s="51">
        <f>IFERROR((_xlfn.XLOOKUP($G31,'Modelling New'!D:D,'Modelling New'!$O:$O)*PA[[#This Row],[Lost PoA(kWh/m2)]]*PA[[#This Row],[DC Capacity Affected (kW)]]),"")</f>
        <v>2411.2950730030007</v>
      </c>
      <c r="AM31" s="33"/>
      <c r="AN31" s="33"/>
      <c r="AO31" s="37"/>
      <c r="AP31" s="37"/>
    </row>
    <row r="32" spans="1:42">
      <c r="A32" s="30">
        <v>31</v>
      </c>
      <c r="B32" s="368">
        <v>45780</v>
      </c>
      <c r="C32" s="371">
        <f>YEAR(PA[[#This Row],[Date]])+IF(MONTH(PA[[#This Row],[Date]])&gt;=4,1,0)</f>
        <v>2026</v>
      </c>
      <c r="D32" s="32">
        <f>YEAR(PA[[#This Row],[Date]])</f>
        <v>2025</v>
      </c>
      <c r="E32" s="33" t="s">
        <v>219</v>
      </c>
      <c r="F32" s="33" t="s">
        <v>219</v>
      </c>
      <c r="G32" s="196">
        <f>PA[[#This Row],[Date]]-DAY(PA[[#This Row],[Date]])+1</f>
        <v>45778</v>
      </c>
      <c r="H32" s="32">
        <f>DAY(EOMONTH(PA[[#This Row],[Month Year]],0))</f>
        <v>31</v>
      </c>
      <c r="I32" s="122">
        <v>0.25763888888888886</v>
      </c>
      <c r="J32" s="122">
        <v>0.76875000000000004</v>
      </c>
      <c r="K32" s="35">
        <f>IFERROR((PA[[#This Row],[Sunset Time (POA&lt;20 W/m2)]]-PA[[#This Row],[Sunrise Time (POA&gt;20 W/m2)]])*24,"")</f>
        <v>12.266666666666669</v>
      </c>
      <c r="L32" s="33" t="s">
        <v>303</v>
      </c>
      <c r="M32" s="33" t="s">
        <v>294</v>
      </c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2" s="35">
        <f>IFERROR(_xlfn.XLOOKUP(PA[[#This Row],[Affected Equipment ]],'Basic Data'!N:N,'Basic Data'!Q:Q),"")</f>
        <v>5104</v>
      </c>
      <c r="V32" s="369">
        <f ca="1">IFERROR(_xlfn.XLOOKUP(PA[[#This Row],[Affected Equipment ]],'Basic Data'!N:N,'Basic Data'!R:R),"")</f>
        <v>0.13017087477684264</v>
      </c>
      <c r="W32" s="36" t="s">
        <v>304</v>
      </c>
      <c r="X32" s="40"/>
      <c r="Y32" s="40" t="s">
        <v>382</v>
      </c>
      <c r="Z32" s="46">
        <v>0.49513888888888891</v>
      </c>
      <c r="AA32" s="42">
        <v>0.49513888888888891</v>
      </c>
      <c r="AB32" s="370">
        <v>0.49513888888888891</v>
      </c>
      <c r="AC32" s="46">
        <v>0.55208333333333337</v>
      </c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1.3666666666666671</v>
      </c>
      <c r="AG32" s="44">
        <f>IFERROR((PA[[#This Row],[Work Completion time on fault]]-PA[[#This Row],[Fault Time]])*24,"")</f>
        <v>1.3666666666666671</v>
      </c>
      <c r="AH32" s="36" t="s">
        <v>383</v>
      </c>
      <c r="AI32" s="33" t="s">
        <v>298</v>
      </c>
      <c r="AJ32" s="35">
        <f ca="1">IFERROR(PA[[#This Row],[Breakdown Time]]*PA[[#This Row],[Plant Equivalent Weightage]],"")</f>
        <v>0.17790019552835168</v>
      </c>
      <c r="AK32" s="36">
        <v>1.3017003466666666</v>
      </c>
      <c r="AL32" s="51">
        <f>IFERROR((_xlfn.XLOOKUP($G32,'Modelling New'!D:D,'Modelling New'!$O:$O)*PA[[#This Row],[Lost PoA(kWh/m2)]]*PA[[#This Row],[DC Capacity Affected (kW)]]),"")</f>
        <v>4248.7999632602114</v>
      </c>
      <c r="AM32" s="33"/>
      <c r="AN32" s="33"/>
      <c r="AO32" s="37"/>
      <c r="AP32" s="37"/>
    </row>
    <row r="33" spans="1:42">
      <c r="A33" s="30">
        <v>32</v>
      </c>
      <c r="B33" s="368">
        <v>45780</v>
      </c>
      <c r="C33" s="371">
        <f>YEAR(PA[[#This Row],[Date]])+IF(MONTH(PA[[#This Row],[Date]])&gt;=4,1,0)</f>
        <v>2026</v>
      </c>
      <c r="D33" s="32">
        <f>YEAR(PA[[#This Row],[Date]])</f>
        <v>2025</v>
      </c>
      <c r="E33" s="33" t="s">
        <v>219</v>
      </c>
      <c r="F33" s="33" t="s">
        <v>219</v>
      </c>
      <c r="G33" s="196">
        <f>PA[[#This Row],[Date]]-DAY(PA[[#This Row],[Date]])+1</f>
        <v>45778</v>
      </c>
      <c r="H33" s="32">
        <f>DAY(EOMONTH(PA[[#This Row],[Month Year]],0))</f>
        <v>31</v>
      </c>
      <c r="I33" s="122">
        <v>0.25763888888888886</v>
      </c>
      <c r="J33" s="122">
        <v>0.76875000000000004</v>
      </c>
      <c r="K33" s="35">
        <f>IFERROR((PA[[#This Row],[Sunset Time (POA&lt;20 W/m2)]]-PA[[#This Row],[Sunrise Time (POA&gt;20 W/m2)]])*24,"")</f>
        <v>12.266666666666669</v>
      </c>
      <c r="L33" s="33" t="s">
        <v>303</v>
      </c>
      <c r="M33" s="33" t="s">
        <v>294</v>
      </c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3" s="35">
        <f>IFERROR(_xlfn.XLOOKUP(PA[[#This Row],[Affected Equipment ]],'Basic Data'!N:N,'Basic Data'!Q:Q),"")</f>
        <v>5104</v>
      </c>
      <c r="V33" s="369">
        <f ca="1">IFERROR(_xlfn.XLOOKUP(PA[[#This Row],[Affected Equipment ]],'Basic Data'!N:N,'Basic Data'!R:R),"")</f>
        <v>0.13017087477684264</v>
      </c>
      <c r="W33" s="36" t="s">
        <v>304</v>
      </c>
      <c r="X33" s="40"/>
      <c r="Y33" s="40" t="s">
        <v>382</v>
      </c>
      <c r="Z33" s="46">
        <v>0.60138888888888886</v>
      </c>
      <c r="AA33" s="42">
        <v>0.60138888888888886</v>
      </c>
      <c r="AB33" s="370">
        <v>0.60138888888888886</v>
      </c>
      <c r="AC33" s="46">
        <v>0.66388888888888886</v>
      </c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1.5</v>
      </c>
      <c r="AG33" s="44">
        <f>IFERROR((PA[[#This Row],[Work Completion time on fault]]-PA[[#This Row],[Fault Time]])*24,"")</f>
        <v>1.5</v>
      </c>
      <c r="AH33" s="36" t="s">
        <v>383</v>
      </c>
      <c r="AI33" s="33" t="s">
        <v>298</v>
      </c>
      <c r="AJ33" s="35">
        <f ca="1">IFERROR(PA[[#This Row],[Breakdown Time]]*PA[[#This Row],[Plant Equivalent Weightage]],"")</f>
        <v>0.19525631216526396</v>
      </c>
      <c r="AK33" s="36">
        <v>0.81630319833333331</v>
      </c>
      <c r="AL33" s="51">
        <f>IFERROR((_xlfn.XLOOKUP($G33,'Modelling New'!D:D,'Modelling New'!$O:$O)*PA[[#This Row],[Lost PoA(kWh/m2)]]*PA[[#This Row],[DC Capacity Affected (kW)]]),"")</f>
        <v>2664.4450145299129</v>
      </c>
      <c r="AM33" s="33"/>
      <c r="AN33" s="33"/>
      <c r="AO33" s="37"/>
      <c r="AP33" s="37"/>
    </row>
    <row r="34" spans="1:42">
      <c r="A34" s="30">
        <v>33</v>
      </c>
      <c r="B34" s="368">
        <v>45781</v>
      </c>
      <c r="C34" s="371">
        <f>YEAR(PA[[#This Row],[Date]])+IF(MONTH(PA[[#This Row],[Date]])&gt;=4,1,0)</f>
        <v>2026</v>
      </c>
      <c r="D34" s="32">
        <f>YEAR(PA[[#This Row],[Date]])</f>
        <v>2025</v>
      </c>
      <c r="E34" s="33" t="s">
        <v>219</v>
      </c>
      <c r="F34" s="33" t="s">
        <v>219</v>
      </c>
      <c r="G34" s="196">
        <f>PA[[#This Row],[Date]]-DAY(PA[[#This Row],[Date]])+1</f>
        <v>45778</v>
      </c>
      <c r="H34" s="32">
        <f>DAY(EOMONTH(PA[[#This Row],[Month Year]],0))</f>
        <v>31</v>
      </c>
      <c r="I34" s="122">
        <v>0.25694444444444442</v>
      </c>
      <c r="J34" s="122">
        <v>0.76944444444444449</v>
      </c>
      <c r="K34" s="35">
        <f>IFERROR((PA[[#This Row],[Sunset Time (POA&lt;20 W/m2)]]-PA[[#This Row],[Sunrise Time (POA&gt;20 W/m2)]])*24,"")</f>
        <v>12.3</v>
      </c>
      <c r="L34" s="33" t="s">
        <v>303</v>
      </c>
      <c r="M34" s="33" t="s">
        <v>294</v>
      </c>
      <c r="N34" s="33" t="s">
        <v>320</v>
      </c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4" s="35">
        <f>IFERROR(_xlfn.XLOOKUP(PA[[#This Row],[Affected Equipment ]],'Basic Data'!N:N,'Basic Data'!Q:Q),"")</f>
        <v>1276</v>
      </c>
      <c r="V34" s="369">
        <f ca="1">IFERROR(_xlfn.XLOOKUP(PA[[#This Row],[Affected Equipment ]],'Basic Data'!N:N,'Basic Data'!R:R),"")</f>
        <v>3.2542718694210659E-2</v>
      </c>
      <c r="W34" s="36" t="s">
        <v>304</v>
      </c>
      <c r="X34" s="40"/>
      <c r="Y34" s="40" t="s">
        <v>381</v>
      </c>
      <c r="Z34" s="46">
        <v>0.25694444444444442</v>
      </c>
      <c r="AA34" s="42">
        <v>0.25694444444444442</v>
      </c>
      <c r="AB34" s="370">
        <v>0.25694444444444442</v>
      </c>
      <c r="AC34" s="46">
        <v>0.76944444444444449</v>
      </c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12.3</v>
      </c>
      <c r="AG34" s="44">
        <f>IFERROR((PA[[#This Row],[Work Completion time on fault]]-PA[[#This Row],[Fault Time]])*24,"")</f>
        <v>12.3</v>
      </c>
      <c r="AH34" s="36" t="s">
        <v>315</v>
      </c>
      <c r="AI34" s="33" t="s">
        <v>298</v>
      </c>
      <c r="AJ34" s="35">
        <f ca="1">IFERROR(PA[[#This Row],[Breakdown Time]]*PA[[#This Row],[Plant Equivalent Weightage]],"")</f>
        <v>0.40027543993879111</v>
      </c>
      <c r="AK34" s="36">
        <v>6.79</v>
      </c>
      <c r="AL34" s="51">
        <f>IFERROR((_xlfn.XLOOKUP($G34,'Modelling New'!D:D,'Modelling New'!$O:$O)*PA[[#This Row],[Lost PoA(kWh/m2)]]*PA[[#This Row],[DC Capacity Affected (kW)]]),"")</f>
        <v>5540.7052445697091</v>
      </c>
      <c r="AM34" s="33"/>
      <c r="AN34" s="33"/>
      <c r="AO34" s="37"/>
      <c r="AP34" s="37"/>
    </row>
    <row r="35" spans="1:42">
      <c r="A35" s="30">
        <v>34</v>
      </c>
      <c r="B35" s="368">
        <v>45781</v>
      </c>
      <c r="C35" s="371">
        <f>YEAR(PA[[#This Row],[Date]])+IF(MONTH(PA[[#This Row],[Date]])&gt;=4,1,0)</f>
        <v>2026</v>
      </c>
      <c r="D35" s="32">
        <f>YEAR(PA[[#This Row],[Date]])</f>
        <v>2025</v>
      </c>
      <c r="E35" s="33" t="s">
        <v>219</v>
      </c>
      <c r="F35" s="33" t="s">
        <v>219</v>
      </c>
      <c r="G35" s="196">
        <f>PA[[#This Row],[Date]]-DAY(PA[[#This Row],[Date]])+1</f>
        <v>45778</v>
      </c>
      <c r="H35" s="32">
        <f>DAY(EOMONTH(PA[[#This Row],[Month Year]],0))</f>
        <v>31</v>
      </c>
      <c r="I35" s="122">
        <v>0.25694444444444442</v>
      </c>
      <c r="J35" s="122">
        <v>0.76944444444444449</v>
      </c>
      <c r="K35" s="35">
        <f>IFERROR((PA[[#This Row],[Sunset Time (POA&lt;20 W/m2)]]-PA[[#This Row],[Sunrise Time (POA&gt;20 W/m2)]])*24,"")</f>
        <v>12.3</v>
      </c>
      <c r="L35" s="33" t="s">
        <v>303</v>
      </c>
      <c r="M35" s="33" t="s">
        <v>294</v>
      </c>
      <c r="N35" s="33" t="s">
        <v>322</v>
      </c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5" s="35">
        <f>IFERROR(_xlfn.XLOOKUP(PA[[#This Row],[Affected Equipment ]],'Basic Data'!N:N,'Basic Data'!Q:Q),"")</f>
        <v>1276</v>
      </c>
      <c r="V35" s="369">
        <f ca="1">IFERROR(_xlfn.XLOOKUP(PA[[#This Row],[Affected Equipment ]],'Basic Data'!N:N,'Basic Data'!R:R),"")</f>
        <v>3.2542718694210659E-2</v>
      </c>
      <c r="W35" s="36" t="s">
        <v>304</v>
      </c>
      <c r="X35" s="40"/>
      <c r="Y35" s="40" t="s">
        <v>384</v>
      </c>
      <c r="Z35" s="46">
        <v>0.25694444444444442</v>
      </c>
      <c r="AA35" s="42">
        <v>0.25694444444444442</v>
      </c>
      <c r="AB35" s="370">
        <v>0.25694444444444442</v>
      </c>
      <c r="AC35" s="46">
        <v>0.76944444444444449</v>
      </c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12.3</v>
      </c>
      <c r="AG35" s="44">
        <f>IFERROR((PA[[#This Row],[Work Completion time on fault]]-PA[[#This Row],[Fault Time]])*24,"")</f>
        <v>12.3</v>
      </c>
      <c r="AH35" s="36" t="s">
        <v>315</v>
      </c>
      <c r="AI35" s="33" t="s">
        <v>298</v>
      </c>
      <c r="AJ35" s="35">
        <f ca="1">IFERROR(PA[[#This Row],[Breakdown Time]]*PA[[#This Row],[Plant Equivalent Weightage]],"")</f>
        <v>0.40027543993879111</v>
      </c>
      <c r="AK35" s="36">
        <v>6.79</v>
      </c>
      <c r="AL35" s="51">
        <f>IFERROR((_xlfn.XLOOKUP($G35,'Modelling New'!D:D,'Modelling New'!$O:$O)*PA[[#This Row],[Lost PoA(kWh/m2)]]*PA[[#This Row],[DC Capacity Affected (kW)]]),"")</f>
        <v>5540.7052445697091</v>
      </c>
      <c r="AM35" s="33"/>
      <c r="AN35" s="33"/>
      <c r="AO35" s="37"/>
      <c r="AP35" s="37"/>
    </row>
    <row r="36" spans="1:42">
      <c r="A36" s="30">
        <v>35</v>
      </c>
      <c r="B36" s="368">
        <v>45781</v>
      </c>
      <c r="C36" s="371">
        <f>YEAR(PA[[#This Row],[Date]])+IF(MONTH(PA[[#This Row],[Date]])&gt;=4,1,0)</f>
        <v>2026</v>
      </c>
      <c r="D36" s="32">
        <f>YEAR(PA[[#This Row],[Date]])</f>
        <v>2025</v>
      </c>
      <c r="E36" s="33" t="s">
        <v>219</v>
      </c>
      <c r="F36" s="33" t="s">
        <v>219</v>
      </c>
      <c r="G36" s="196">
        <f>PA[[#This Row],[Date]]-DAY(PA[[#This Row],[Date]])+1</f>
        <v>45778</v>
      </c>
      <c r="H36" s="32">
        <f>DAY(EOMONTH(PA[[#This Row],[Month Year]],0))</f>
        <v>31</v>
      </c>
      <c r="I36" s="122">
        <v>0.25694444444444442</v>
      </c>
      <c r="J36" s="122">
        <v>0.76944444444444449</v>
      </c>
      <c r="K36" s="35">
        <f>IFERROR((PA[[#This Row],[Sunset Time (POA&lt;20 W/m2)]]-PA[[#This Row],[Sunrise Time (POA&gt;20 W/m2)]])*24,"")</f>
        <v>12.3</v>
      </c>
      <c r="L36" s="33" t="s">
        <v>302</v>
      </c>
      <c r="M36" s="33" t="s">
        <v>294</v>
      </c>
      <c r="N36" s="33" t="s">
        <v>322</v>
      </c>
      <c r="O36" s="36" t="s">
        <v>337</v>
      </c>
      <c r="P36" s="36" t="s">
        <v>327</v>
      </c>
      <c r="Q36" s="33"/>
      <c r="R36" s="32">
        <f>IF((PA[[#This Row],[String Type(If String BD)]]&amp;PA[[#This Row],[Equipment (If any BD other than PV  array and inv)]])="",1,0)</f>
        <v>0</v>
      </c>
      <c r="S36" s="32">
        <f>IF(PA[[#This Row],[String Type(If String BD)]]="",1,0)</f>
        <v>0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6" s="35">
        <f>IFERROR(_xlfn.XLOOKUP(PA[[#This Row],[Affected Equipment ]],'Basic Data'!N:N,'Basic Data'!Q:Q),"")</f>
        <v>15.95</v>
      </c>
      <c r="V36" s="369">
        <f ca="1">IFERROR(_xlfn.XLOOKUP(PA[[#This Row],[Affected Equipment ]],'Basic Data'!N:N,'Basic Data'!R:R),"")</f>
        <v>4.0678398367763324E-4</v>
      </c>
      <c r="W36" s="36" t="s">
        <v>376</v>
      </c>
      <c r="X36" s="40"/>
      <c r="Y36" s="40" t="s">
        <v>353</v>
      </c>
      <c r="Z36" s="46">
        <v>0.25694444444444442</v>
      </c>
      <c r="AA36" s="42">
        <v>0.25694444444444442</v>
      </c>
      <c r="AB36" s="370">
        <v>0.25694444444444442</v>
      </c>
      <c r="AC36" s="46">
        <v>0.67013888888888884</v>
      </c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9.9166666666666661</v>
      </c>
      <c r="AG36" s="44">
        <f>IFERROR((PA[[#This Row],[Work Completion time on fault]]-PA[[#This Row],[Fault Time]])*24,"")</f>
        <v>9.9166666666666661</v>
      </c>
      <c r="AH36" s="36" t="s">
        <v>354</v>
      </c>
      <c r="AI36" s="33" t="s">
        <v>298</v>
      </c>
      <c r="AJ36" s="35">
        <f ca="1">IFERROR(PA[[#This Row],[Breakdown Time]]*PA[[#This Row],[Plant Equivalent Weightage]],"")</f>
        <v>4.0339411714698627E-3</v>
      </c>
      <c r="AK36" s="36">
        <v>6.2793905216666666</v>
      </c>
      <c r="AL36" s="51">
        <f>IFERROR((_xlfn.XLOOKUP($G36,'Modelling New'!D:D,'Modelling New'!$O:$O)*PA[[#This Row],[Lost PoA(kWh/m2)]]*PA[[#This Row],[DC Capacity Affected (kW)]]),"")</f>
        <v>64.050537548048268</v>
      </c>
      <c r="AM36" s="33"/>
      <c r="AN36" s="33"/>
      <c r="AO36" s="37"/>
      <c r="AP36" s="37"/>
    </row>
    <row r="37" spans="1:42">
      <c r="A37" s="30">
        <v>36</v>
      </c>
      <c r="B37" s="368">
        <v>45781</v>
      </c>
      <c r="C37" s="371">
        <f>YEAR(PA[[#This Row],[Date]])+IF(MONTH(PA[[#This Row],[Date]])&gt;=4,1,0)</f>
        <v>2026</v>
      </c>
      <c r="D37" s="32">
        <f>YEAR(PA[[#This Row],[Date]])</f>
        <v>2025</v>
      </c>
      <c r="E37" s="33" t="s">
        <v>219</v>
      </c>
      <c r="F37" s="33" t="s">
        <v>219</v>
      </c>
      <c r="G37" s="196">
        <f>PA[[#This Row],[Date]]-DAY(PA[[#This Row],[Date]])+1</f>
        <v>45778</v>
      </c>
      <c r="H37" s="32">
        <f>DAY(EOMONTH(PA[[#This Row],[Month Year]],0))</f>
        <v>31</v>
      </c>
      <c r="I37" s="122">
        <v>0.25694444444444442</v>
      </c>
      <c r="J37" s="122">
        <v>0.76944444444444449</v>
      </c>
      <c r="K37" s="35">
        <f>IFERROR((PA[[#This Row],[Sunset Time (POA&lt;20 W/m2)]]-PA[[#This Row],[Sunrise Time (POA&gt;20 W/m2)]])*24,"")</f>
        <v>12.3</v>
      </c>
      <c r="L37" s="33" t="s">
        <v>302</v>
      </c>
      <c r="M37" s="33" t="s">
        <v>294</v>
      </c>
      <c r="N37" s="33" t="s">
        <v>320</v>
      </c>
      <c r="O37" s="36" t="s">
        <v>344</v>
      </c>
      <c r="P37" s="36" t="s">
        <v>327</v>
      </c>
      <c r="Q37" s="33"/>
      <c r="R37" s="32">
        <f>IF((PA[[#This Row],[String Type(If String BD)]]&amp;PA[[#This Row],[Equipment (If any BD other than PV  array and inv)]])="",1,0)</f>
        <v>0</v>
      </c>
      <c r="S37" s="32">
        <f>IF(PA[[#This Row],[String Type(If String BD)]]="",1,0)</f>
        <v>0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7" s="35">
        <f>IFERROR(_xlfn.XLOOKUP(PA[[#This Row],[Affected Equipment ]],'Basic Data'!N:N,'Basic Data'!Q:Q),"")</f>
        <v>15.95</v>
      </c>
      <c r="V37" s="369">
        <f ca="1">IFERROR(_xlfn.XLOOKUP(PA[[#This Row],[Affected Equipment ]],'Basic Data'!N:N,'Basic Data'!R:R),"")</f>
        <v>4.0678398367763324E-4</v>
      </c>
      <c r="W37" s="36" t="s">
        <v>376</v>
      </c>
      <c r="X37" s="40"/>
      <c r="Y37" s="40" t="s">
        <v>353</v>
      </c>
      <c r="Z37" s="46">
        <v>0.25694444444444442</v>
      </c>
      <c r="AA37" s="42">
        <v>0.25694444444444442</v>
      </c>
      <c r="AB37" s="370">
        <v>0.25694444444444442</v>
      </c>
      <c r="AC37" s="46">
        <v>0.67500000000000004</v>
      </c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10.033333333333335</v>
      </c>
      <c r="AG37" s="44">
        <f>IFERROR((PA[[#This Row],[Work Completion time on fault]]-PA[[#This Row],[Fault Time]])*24,"")</f>
        <v>10.033333333333335</v>
      </c>
      <c r="AH37" s="36" t="s">
        <v>354</v>
      </c>
      <c r="AI37" s="33" t="s">
        <v>298</v>
      </c>
      <c r="AJ37" s="35">
        <f ca="1">IFERROR(PA[[#This Row],[Breakdown Time]]*PA[[#This Row],[Plant Equivalent Weightage]],"")</f>
        <v>4.0813993028989207E-3</v>
      </c>
      <c r="AK37" s="36">
        <v>6.3335369399999992</v>
      </c>
      <c r="AL37" s="51">
        <f>IFERROR((_xlfn.XLOOKUP($G37,'Modelling New'!D:D,'Modelling New'!$O:$O)*PA[[#This Row],[Lost PoA(kWh/m2)]]*PA[[#This Row],[DC Capacity Affected (kW)]]),"")</f>
        <v>64.602837518656088</v>
      </c>
      <c r="AM37" s="33"/>
      <c r="AN37" s="33"/>
      <c r="AO37" s="37"/>
      <c r="AP37" s="37"/>
    </row>
    <row r="38" spans="1:42">
      <c r="A38" s="30">
        <v>37</v>
      </c>
      <c r="B38" s="368">
        <v>45781</v>
      </c>
      <c r="C38" s="371">
        <f>YEAR(PA[[#This Row],[Date]])+IF(MONTH(PA[[#This Row],[Date]])&gt;=4,1,0)</f>
        <v>2026</v>
      </c>
      <c r="D38" s="32">
        <f>YEAR(PA[[#This Row],[Date]])</f>
        <v>2025</v>
      </c>
      <c r="E38" s="33" t="s">
        <v>219</v>
      </c>
      <c r="F38" s="33" t="s">
        <v>219</v>
      </c>
      <c r="G38" s="196">
        <f>PA[[#This Row],[Date]]-DAY(PA[[#This Row],[Date]])+1</f>
        <v>45778</v>
      </c>
      <c r="H38" s="32">
        <f>DAY(EOMONTH(PA[[#This Row],[Month Year]],0))</f>
        <v>31</v>
      </c>
      <c r="I38" s="122">
        <v>0.25694444444444442</v>
      </c>
      <c r="J38" s="122">
        <v>0.76944444444444449</v>
      </c>
      <c r="K38" s="35">
        <f>IFERROR((PA[[#This Row],[Sunset Time (POA&lt;20 W/m2)]]-PA[[#This Row],[Sunrise Time (POA&gt;20 W/m2)]])*24,"")</f>
        <v>12.3</v>
      </c>
      <c r="L38" s="33" t="s">
        <v>302</v>
      </c>
      <c r="M38" s="33" t="s">
        <v>294</v>
      </c>
      <c r="N38" s="33" t="s">
        <v>320</v>
      </c>
      <c r="O38" s="36" t="s">
        <v>344</v>
      </c>
      <c r="P38" s="36" t="s">
        <v>327</v>
      </c>
      <c r="Q38" s="33"/>
      <c r="R38" s="32">
        <f>IF((PA[[#This Row],[String Type(If String BD)]]&amp;PA[[#This Row],[Equipment (If any BD other than PV  array and inv)]])="",1,0)</f>
        <v>0</v>
      </c>
      <c r="S38" s="32">
        <f>IF(PA[[#This Row],[String Type(If String BD)]]="",1,0)</f>
        <v>0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8" s="35">
        <f>IFERROR(_xlfn.XLOOKUP(PA[[#This Row],[Affected Equipment ]],'Basic Data'!N:N,'Basic Data'!Q:Q),"")</f>
        <v>15.95</v>
      </c>
      <c r="V38" s="369">
        <f ca="1">IFERROR(_xlfn.XLOOKUP(PA[[#This Row],[Affected Equipment ]],'Basic Data'!N:N,'Basic Data'!R:R),"")</f>
        <v>4.0678398367763324E-4</v>
      </c>
      <c r="W38" s="36" t="s">
        <v>376</v>
      </c>
      <c r="X38" s="40"/>
      <c r="Y38" s="40" t="s">
        <v>353</v>
      </c>
      <c r="Z38" s="46">
        <v>0.25694444444444442</v>
      </c>
      <c r="AA38" s="42">
        <v>0.25694444444444442</v>
      </c>
      <c r="AB38" s="370">
        <v>0.25694444444444442</v>
      </c>
      <c r="AC38" s="46">
        <v>0.68472222222222223</v>
      </c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10.266666666666667</v>
      </c>
      <c r="AG38" s="44">
        <f>IFERROR((PA[[#This Row],[Work Completion time on fault]]-PA[[#This Row],[Fault Time]])*24,"")</f>
        <v>10.266666666666667</v>
      </c>
      <c r="AH38" s="36" t="s">
        <v>354</v>
      </c>
      <c r="AI38" s="33" t="s">
        <v>298</v>
      </c>
      <c r="AJ38" s="35">
        <f ca="1">IFERROR(PA[[#This Row],[Breakdown Time]]*PA[[#This Row],[Plant Equivalent Weightage]],"")</f>
        <v>4.1763155657570349E-3</v>
      </c>
      <c r="AK38" s="36">
        <v>6.427634741666667</v>
      </c>
      <c r="AL38" s="51">
        <f>IFERROR((_xlfn.XLOOKUP($G38,'Modelling New'!D:D,'Modelling New'!$O:$O)*PA[[#This Row],[Lost PoA(kWh/m2)]]*PA[[#This Row],[DC Capacity Affected (kW)]]),"")</f>
        <v>65.562646397884691</v>
      </c>
      <c r="AM38" s="33"/>
      <c r="AN38" s="33"/>
      <c r="AO38" s="37"/>
      <c r="AP38" s="37"/>
    </row>
    <row r="39" spans="1:42">
      <c r="A39" s="30">
        <v>38</v>
      </c>
      <c r="B39" s="368">
        <v>45782</v>
      </c>
      <c r="C39" s="371">
        <f>YEAR(PA[[#This Row],[Date]])+IF(MONTH(PA[[#This Row],[Date]])&gt;=4,1,0)</f>
        <v>2026</v>
      </c>
      <c r="D39" s="32">
        <f>YEAR(PA[[#This Row],[Date]])</f>
        <v>2025</v>
      </c>
      <c r="E39" s="33" t="s">
        <v>219</v>
      </c>
      <c r="F39" s="33" t="s">
        <v>219</v>
      </c>
      <c r="G39" s="196">
        <f>PA[[#This Row],[Date]]-DAY(PA[[#This Row],[Date]])+1</f>
        <v>45778</v>
      </c>
      <c r="H39" s="32">
        <f>DAY(EOMONTH(PA[[#This Row],[Month Year]],0))</f>
        <v>31</v>
      </c>
      <c r="I39" s="122">
        <v>0.25694444444444442</v>
      </c>
      <c r="J39" s="122">
        <v>0.72152777777777777</v>
      </c>
      <c r="K39" s="35">
        <f>IFERROR((PA[[#This Row],[Sunset Time (POA&lt;20 W/m2)]]-PA[[#This Row],[Sunrise Time (POA&gt;20 W/m2)]])*24,"")</f>
        <v>11.15</v>
      </c>
      <c r="L39" s="33" t="s">
        <v>303</v>
      </c>
      <c r="M39" s="33" t="s">
        <v>294</v>
      </c>
      <c r="N39" s="33" t="s">
        <v>320</v>
      </c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9" s="35">
        <f>IFERROR(_xlfn.XLOOKUP(PA[[#This Row],[Affected Equipment ]],'Basic Data'!N:N,'Basic Data'!Q:Q),"")</f>
        <v>1276</v>
      </c>
      <c r="V39" s="369">
        <f ca="1">IFERROR(_xlfn.XLOOKUP(PA[[#This Row],[Affected Equipment ]],'Basic Data'!N:N,'Basic Data'!R:R),"")</f>
        <v>3.2542718694210659E-2</v>
      </c>
      <c r="W39" s="36" t="s">
        <v>376</v>
      </c>
      <c r="X39" s="40"/>
      <c r="Y39" s="40" t="s">
        <v>381</v>
      </c>
      <c r="Z39" s="46">
        <v>0.25694444444444442</v>
      </c>
      <c r="AA39" s="42">
        <v>0.25694444444444442</v>
      </c>
      <c r="AB39" s="370">
        <v>0.25694444444444442</v>
      </c>
      <c r="AC39" s="46">
        <v>0.72152777777777777</v>
      </c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11.15</v>
      </c>
      <c r="AG39" s="44">
        <f>IFERROR((PA[[#This Row],[Work Completion time on fault]]-PA[[#This Row],[Fault Time]])*24,"")</f>
        <v>11.15</v>
      </c>
      <c r="AH39" s="36" t="s">
        <v>315</v>
      </c>
      <c r="AI39" s="33" t="s">
        <v>298</v>
      </c>
      <c r="AJ39" s="35">
        <f ca="1">IFERROR(PA[[#This Row],[Breakdown Time]]*PA[[#This Row],[Plant Equivalent Weightage]],"")</f>
        <v>0.36285131344044885</v>
      </c>
      <c r="AK39" s="36">
        <v>5.79</v>
      </c>
      <c r="AL39" s="51">
        <f>IFERROR((_xlfn.XLOOKUP($G39,'Modelling New'!D:D,'Modelling New'!$O:$O)*PA[[#This Row],[Lost PoA(kWh/m2)]]*PA[[#This Row],[DC Capacity Affected (kW)]]),"")</f>
        <v>4724.695635649281</v>
      </c>
      <c r="AM39" s="33"/>
      <c r="AN39" s="33"/>
      <c r="AO39" s="37"/>
      <c r="AP39" s="37"/>
    </row>
    <row r="40" spans="1:42">
      <c r="A40" s="30">
        <v>39</v>
      </c>
      <c r="B40" s="368">
        <v>45782</v>
      </c>
      <c r="C40" s="371">
        <f>YEAR(PA[[#This Row],[Date]])+IF(MONTH(PA[[#This Row],[Date]])&gt;=4,1,0)</f>
        <v>2026</v>
      </c>
      <c r="D40" s="32">
        <f>YEAR(PA[[#This Row],[Date]])</f>
        <v>2025</v>
      </c>
      <c r="E40" s="33" t="s">
        <v>219</v>
      </c>
      <c r="F40" s="33" t="s">
        <v>219</v>
      </c>
      <c r="G40" s="196">
        <f>PA[[#This Row],[Date]]-DAY(PA[[#This Row],[Date]])+1</f>
        <v>45778</v>
      </c>
      <c r="H40" s="32">
        <f>DAY(EOMONTH(PA[[#This Row],[Month Year]],0))</f>
        <v>31</v>
      </c>
      <c r="I40" s="122">
        <v>0.25694444444444442</v>
      </c>
      <c r="J40" s="122">
        <v>0.72152777777777777</v>
      </c>
      <c r="K40" s="35">
        <f>IFERROR((PA[[#This Row],[Sunset Time (POA&lt;20 W/m2)]]-PA[[#This Row],[Sunrise Time (POA&gt;20 W/m2)]])*24,"")</f>
        <v>11.15</v>
      </c>
      <c r="L40" s="33" t="s">
        <v>303</v>
      </c>
      <c r="M40" s="33" t="s">
        <v>294</v>
      </c>
      <c r="N40" s="33" t="s">
        <v>322</v>
      </c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40" s="35">
        <f>IFERROR(_xlfn.XLOOKUP(PA[[#This Row],[Affected Equipment ]],'Basic Data'!N:N,'Basic Data'!Q:Q),"")</f>
        <v>1276</v>
      </c>
      <c r="V40" s="369">
        <f ca="1">IFERROR(_xlfn.XLOOKUP(PA[[#This Row],[Affected Equipment ]],'Basic Data'!N:N,'Basic Data'!R:R),"")</f>
        <v>3.2542718694210659E-2</v>
      </c>
      <c r="W40" s="36" t="s">
        <v>376</v>
      </c>
      <c r="X40" s="40"/>
      <c r="Y40" s="40" t="s">
        <v>384</v>
      </c>
      <c r="Z40" s="46">
        <v>0.25694444444444442</v>
      </c>
      <c r="AA40" s="42">
        <v>0.25694444444444442</v>
      </c>
      <c r="AB40" s="370">
        <v>0.25694444444444442</v>
      </c>
      <c r="AC40" s="46">
        <v>0.72152777777777777</v>
      </c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11.15</v>
      </c>
      <c r="AG40" s="44">
        <f>IFERROR((PA[[#This Row],[Work Completion time on fault]]-PA[[#This Row],[Fault Time]])*24,"")</f>
        <v>11.15</v>
      </c>
      <c r="AH40" s="36" t="s">
        <v>315</v>
      </c>
      <c r="AI40" s="33" t="s">
        <v>298</v>
      </c>
      <c r="AJ40" s="35">
        <f ca="1">IFERROR(PA[[#This Row],[Breakdown Time]]*PA[[#This Row],[Plant Equivalent Weightage]],"")</f>
        <v>0.36285131344044885</v>
      </c>
      <c r="AK40" s="36">
        <v>5.79</v>
      </c>
      <c r="AL40" s="51">
        <f>IFERROR((_xlfn.XLOOKUP($G40,'Modelling New'!D:D,'Modelling New'!$O:$O)*PA[[#This Row],[Lost PoA(kWh/m2)]]*PA[[#This Row],[DC Capacity Affected (kW)]]),"")</f>
        <v>4724.695635649281</v>
      </c>
      <c r="AM40" s="33"/>
      <c r="AN40" s="33"/>
      <c r="AO40" s="37"/>
      <c r="AP40" s="37"/>
    </row>
    <row r="41" spans="1:42">
      <c r="A41" s="30">
        <v>40</v>
      </c>
      <c r="B41" s="368">
        <v>45783</v>
      </c>
      <c r="C41" s="371">
        <f>YEAR(PA[[#This Row],[Date]])+IF(MONTH(PA[[#This Row],[Date]])&gt;=4,1,0)</f>
        <v>2026</v>
      </c>
      <c r="D41" s="32">
        <f>YEAR(PA[[#This Row],[Date]])</f>
        <v>2025</v>
      </c>
      <c r="E41" s="33" t="s">
        <v>219</v>
      </c>
      <c r="F41" s="33" t="s">
        <v>219</v>
      </c>
      <c r="G41" s="196">
        <f>PA[[#This Row],[Date]]-DAY(PA[[#This Row],[Date]])+1</f>
        <v>45778</v>
      </c>
      <c r="H41" s="32">
        <f>DAY(EOMONTH(PA[[#This Row],[Month Year]],0))</f>
        <v>31</v>
      </c>
      <c r="I41" s="122">
        <v>0.30069444444444443</v>
      </c>
      <c r="J41" s="122">
        <v>0.76666666666666672</v>
      </c>
      <c r="K41" s="35">
        <f>IFERROR((PA[[#This Row],[Sunset Time (POA&lt;20 W/m2)]]-PA[[#This Row],[Sunrise Time (POA&gt;20 W/m2)]])*24,"")</f>
        <v>11.183333333333335</v>
      </c>
      <c r="L41" s="33" t="s">
        <v>300</v>
      </c>
      <c r="M41" s="33" t="s">
        <v>299</v>
      </c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41" s="35">
        <f>IFERROR(_xlfn.XLOOKUP(PA[[#This Row],[Affected Equipment ]],'Basic Data'!N:N,'Basic Data'!Q:Q),"")</f>
        <v>4662.4750000000004</v>
      </c>
      <c r="V41" s="369">
        <f ca="1">IFERROR(_xlfn.XLOOKUP(PA[[#This Row],[Affected Equipment ]],'Basic Data'!N:N,'Basic Data'!R:R),"")</f>
        <v>0.11891035450140271</v>
      </c>
      <c r="W41" s="36" t="s">
        <v>304</v>
      </c>
      <c r="X41" s="40"/>
      <c r="Y41" s="40" t="s">
        <v>311</v>
      </c>
      <c r="Z41" s="46">
        <v>0.32847222222222222</v>
      </c>
      <c r="AA41" s="42">
        <v>0.32847222222222222</v>
      </c>
      <c r="AB41" s="370">
        <v>0.32847222222222222</v>
      </c>
      <c r="AC41" s="46">
        <v>0.38541666666666669</v>
      </c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1.3666666666666671</v>
      </c>
      <c r="AG41" s="44">
        <f>IFERROR((PA[[#This Row],[Work Completion time on fault]]-PA[[#This Row],[Fault Time]])*24,"")</f>
        <v>1.3666666666666671</v>
      </c>
      <c r="AH41" s="36" t="s">
        <v>312</v>
      </c>
      <c r="AI41" s="33" t="s">
        <v>298</v>
      </c>
      <c r="AJ41" s="35">
        <f ca="1">IFERROR(PA[[#This Row],[Breakdown Time]]*PA[[#This Row],[Plant Equivalent Weightage]],"")</f>
        <v>0.16251081781858376</v>
      </c>
      <c r="AK41" s="36">
        <v>0.80448330000000001</v>
      </c>
      <c r="AL41" s="51">
        <f>IFERROR((_xlfn.XLOOKUP($G41,'Modelling New'!D:D,'Modelling New'!$O:$O)*PA[[#This Row],[Lost PoA(kWh/m2)]]*PA[[#This Row],[DC Capacity Affected (kW)]]),"")</f>
        <v>2398.7122207363623</v>
      </c>
      <c r="AM41" s="33"/>
      <c r="AN41" s="33"/>
      <c r="AO41" s="37"/>
      <c r="AP41" s="37"/>
    </row>
    <row r="42" spans="1:42">
      <c r="A42" s="30">
        <v>41</v>
      </c>
      <c r="B42" s="368">
        <v>45783</v>
      </c>
      <c r="C42" s="371">
        <f>YEAR(PA[[#This Row],[Date]])+IF(MONTH(PA[[#This Row],[Date]])&gt;=4,1,0)</f>
        <v>2026</v>
      </c>
      <c r="D42" s="32">
        <f>YEAR(PA[[#This Row],[Date]])</f>
        <v>2025</v>
      </c>
      <c r="E42" s="33" t="s">
        <v>219</v>
      </c>
      <c r="F42" s="33" t="s">
        <v>219</v>
      </c>
      <c r="G42" s="196">
        <f>PA[[#This Row],[Date]]-DAY(PA[[#This Row],[Date]])+1</f>
        <v>45778</v>
      </c>
      <c r="H42" s="32">
        <f>DAY(EOMONTH(PA[[#This Row],[Month Year]],0))</f>
        <v>31</v>
      </c>
      <c r="I42" s="122">
        <v>0.30069444444444443</v>
      </c>
      <c r="J42" s="122">
        <v>0.76666666666666672</v>
      </c>
      <c r="K42" s="35">
        <f>IFERROR((PA[[#This Row],[Sunset Time (POA&lt;20 W/m2)]]-PA[[#This Row],[Sunrise Time (POA&gt;20 W/m2)]])*24,"")</f>
        <v>11.183333333333335</v>
      </c>
      <c r="L42" s="33" t="s">
        <v>300</v>
      </c>
      <c r="M42" s="33" t="s">
        <v>294</v>
      </c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2" s="35">
        <f>IFERROR(_xlfn.XLOOKUP(PA[[#This Row],[Affected Equipment ]],'Basic Data'!N:N,'Basic Data'!Q:Q),"")</f>
        <v>4662.4750000000004</v>
      </c>
      <c r="V42" s="369">
        <f ca="1">IFERROR(_xlfn.XLOOKUP(PA[[#This Row],[Affected Equipment ]],'Basic Data'!N:N,'Basic Data'!R:R),"")</f>
        <v>0.11891035450140271</v>
      </c>
      <c r="W42" s="36" t="s">
        <v>304</v>
      </c>
      <c r="X42" s="40"/>
      <c r="Y42" s="40" t="s">
        <v>311</v>
      </c>
      <c r="Z42" s="46">
        <v>0.32361111111111113</v>
      </c>
      <c r="AA42" s="42">
        <v>0.32361111111111113</v>
      </c>
      <c r="AB42" s="370">
        <v>0.32361111111111113</v>
      </c>
      <c r="AC42" s="46">
        <v>0.40347222222222223</v>
      </c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1.9166666666666665</v>
      </c>
      <c r="AG42" s="44">
        <f>IFERROR((PA[[#This Row],[Work Completion time on fault]]-PA[[#This Row],[Fault Time]])*24,"")</f>
        <v>1.9166666666666665</v>
      </c>
      <c r="AH42" s="36" t="s">
        <v>312</v>
      </c>
      <c r="AI42" s="33" t="s">
        <v>298</v>
      </c>
      <c r="AJ42" s="35">
        <f ca="1">IFERROR(PA[[#This Row],[Breakdown Time]]*PA[[#This Row],[Plant Equivalent Weightage]],"")</f>
        <v>0.22791151279435518</v>
      </c>
      <c r="AK42" s="36">
        <v>0.96765959999999995</v>
      </c>
      <c r="AL42" s="51">
        <f>IFERROR((_xlfn.XLOOKUP($G42,'Modelling New'!D:D,'Modelling New'!$O:$O)*PA[[#This Row],[Lost PoA(kWh/m2)]]*PA[[#This Row],[DC Capacity Affected (kW)]]),"")</f>
        <v>2885.2518231675658</v>
      </c>
      <c r="AM42" s="33"/>
      <c r="AN42" s="33"/>
      <c r="AO42" s="37"/>
      <c r="AP42" s="37"/>
    </row>
    <row r="43" spans="1:42">
      <c r="A43" s="30">
        <v>42</v>
      </c>
      <c r="B43" s="368">
        <v>45783</v>
      </c>
      <c r="C43" s="371">
        <f>YEAR(PA[[#This Row],[Date]])+IF(MONTH(PA[[#This Row],[Date]])&gt;=4,1,0)</f>
        <v>2026</v>
      </c>
      <c r="D43" s="32">
        <f>YEAR(PA[[#This Row],[Date]])</f>
        <v>2025</v>
      </c>
      <c r="E43" s="33" t="s">
        <v>219</v>
      </c>
      <c r="F43" s="33" t="s">
        <v>219</v>
      </c>
      <c r="G43" s="196">
        <f>PA[[#This Row],[Date]]-DAY(PA[[#This Row],[Date]])+1</f>
        <v>45778</v>
      </c>
      <c r="H43" s="32">
        <f>DAY(EOMONTH(PA[[#This Row],[Month Year]],0))</f>
        <v>31</v>
      </c>
      <c r="I43" s="122">
        <v>0.30069444444444443</v>
      </c>
      <c r="J43" s="122">
        <v>0.76666666666666672</v>
      </c>
      <c r="K43" s="35">
        <f>IFERROR((PA[[#This Row],[Sunset Time (POA&lt;20 W/m2)]]-PA[[#This Row],[Sunrise Time (POA&gt;20 W/m2)]])*24,"")</f>
        <v>11.183333333333335</v>
      </c>
      <c r="L43" s="33" t="s">
        <v>303</v>
      </c>
      <c r="M43" s="33" t="s">
        <v>294</v>
      </c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43" s="35">
        <f>IFERROR(_xlfn.XLOOKUP(PA[[#This Row],[Affected Equipment ]],'Basic Data'!N:N,'Basic Data'!Q:Q),"")</f>
        <v>5104</v>
      </c>
      <c r="V43" s="369">
        <f ca="1">IFERROR(_xlfn.XLOOKUP(PA[[#This Row],[Affected Equipment ]],'Basic Data'!N:N,'Basic Data'!R:R),"")</f>
        <v>0.13017087477684264</v>
      </c>
      <c r="W43" s="36" t="s">
        <v>304</v>
      </c>
      <c r="X43" s="40"/>
      <c r="Y43" s="40" t="s">
        <v>381</v>
      </c>
      <c r="Z43" s="46">
        <v>0.30069444444444443</v>
      </c>
      <c r="AA43" s="42">
        <v>0.30069444444444443</v>
      </c>
      <c r="AB43" s="370">
        <v>0.30069444444444443</v>
      </c>
      <c r="AC43" s="46">
        <v>0.36249999999999999</v>
      </c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1.4833333333333334</v>
      </c>
      <c r="AG43" s="44">
        <f>IFERROR((PA[[#This Row],[Work Completion time on fault]]-PA[[#This Row],[Fault Time]])*24,"")</f>
        <v>1.4833333333333334</v>
      </c>
      <c r="AH43" s="36" t="s">
        <v>385</v>
      </c>
      <c r="AI43" s="33" t="s">
        <v>298</v>
      </c>
      <c r="AJ43" s="35">
        <f ca="1">IFERROR(PA[[#This Row],[Breakdown Time]]*PA[[#This Row],[Plant Equivalent Weightage]],"")</f>
        <v>0.19308679758564992</v>
      </c>
      <c r="AK43" s="36">
        <v>0.49937130000000002</v>
      </c>
      <c r="AL43" s="51">
        <f>IFERROR((_xlfn.XLOOKUP($G43,'Modelling New'!D:D,'Modelling New'!$O:$O)*PA[[#This Row],[Lost PoA(kWh/m2)]]*PA[[#This Row],[DC Capacity Affected (kW)]]),"")</f>
        <v>1629.9671168763439</v>
      </c>
      <c r="AM43" s="33"/>
      <c r="AN43" s="33"/>
      <c r="AO43" s="37"/>
      <c r="AP43" s="37"/>
    </row>
    <row r="44" spans="1:42">
      <c r="A44" s="30">
        <v>43</v>
      </c>
      <c r="B44" s="368">
        <v>45783</v>
      </c>
      <c r="C44" s="371">
        <f>YEAR(PA[[#This Row],[Date]])+IF(MONTH(PA[[#This Row],[Date]])&gt;=4,1,0)</f>
        <v>2026</v>
      </c>
      <c r="D44" s="32">
        <f>YEAR(PA[[#This Row],[Date]])</f>
        <v>2025</v>
      </c>
      <c r="E44" s="33" t="s">
        <v>219</v>
      </c>
      <c r="F44" s="33" t="s">
        <v>219</v>
      </c>
      <c r="G44" s="196">
        <f>PA[[#This Row],[Date]]-DAY(PA[[#This Row],[Date]])+1</f>
        <v>45778</v>
      </c>
      <c r="H44" s="32">
        <f>DAY(EOMONTH(PA[[#This Row],[Month Year]],0))</f>
        <v>31</v>
      </c>
      <c r="I44" s="122">
        <v>0.30069444444444443</v>
      </c>
      <c r="J44" s="122">
        <v>0.76666666666666672</v>
      </c>
      <c r="K44" s="35">
        <f>IFERROR((PA[[#This Row],[Sunset Time (POA&lt;20 W/m2)]]-PA[[#This Row],[Sunrise Time (POA&gt;20 W/m2)]])*24,"")</f>
        <v>11.183333333333335</v>
      </c>
      <c r="L44" s="33" t="s">
        <v>303</v>
      </c>
      <c r="M44" s="33" t="s">
        <v>299</v>
      </c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44" s="35">
        <f>IFERROR(_xlfn.XLOOKUP(PA[[#This Row],[Affected Equipment ]],'Basic Data'!N:N,'Basic Data'!Q:Q),"")</f>
        <v>5104</v>
      </c>
      <c r="V44" s="369">
        <f ca="1">IFERROR(_xlfn.XLOOKUP(PA[[#This Row],[Affected Equipment ]],'Basic Data'!N:N,'Basic Data'!R:R),"")</f>
        <v>0.13017087477684264</v>
      </c>
      <c r="W44" s="36" t="s">
        <v>304</v>
      </c>
      <c r="X44" s="40"/>
      <c r="Y44" s="40" t="s">
        <v>384</v>
      </c>
      <c r="Z44" s="46">
        <v>0.30069444444444443</v>
      </c>
      <c r="AA44" s="42">
        <v>0.30069444444444443</v>
      </c>
      <c r="AB44" s="370">
        <v>0.30069444444444443</v>
      </c>
      <c r="AC44" s="46">
        <v>0.31527777777777777</v>
      </c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0.35000000000000009</v>
      </c>
      <c r="AG44" s="44">
        <f>IFERROR((PA[[#This Row],[Work Completion time on fault]]-PA[[#This Row],[Fault Time]])*24,"")</f>
        <v>0.35000000000000009</v>
      </c>
      <c r="AH44" s="36" t="s">
        <v>385</v>
      </c>
      <c r="AI44" s="33" t="s">
        <v>298</v>
      </c>
      <c r="AJ44" s="35">
        <f ca="1">IFERROR(PA[[#This Row],[Breakdown Time]]*PA[[#This Row],[Plant Equivalent Weightage]],"")</f>
        <v>4.5559806171894937E-2</v>
      </c>
      <c r="AK44" s="36">
        <v>7.5863299999999995E-2</v>
      </c>
      <c r="AL44" s="51">
        <f>IFERROR((_xlfn.XLOOKUP($G44,'Modelling New'!D:D,'Modelling New'!$O:$O)*PA[[#This Row],[Lost PoA(kWh/m2)]]*PA[[#This Row],[DC Capacity Affected (kW)]]),"")</f>
        <v>247.62072705765252</v>
      </c>
      <c r="AM44" s="33"/>
      <c r="AN44" s="33"/>
      <c r="AO44" s="37"/>
      <c r="AP44" s="37"/>
    </row>
    <row r="45" spans="1:42">
      <c r="A45" s="30">
        <v>44</v>
      </c>
      <c r="B45" s="368">
        <v>45783</v>
      </c>
      <c r="C45" s="371">
        <f>YEAR(PA[[#This Row],[Date]])+IF(MONTH(PA[[#This Row],[Date]])&gt;=4,1,0)</f>
        <v>2026</v>
      </c>
      <c r="D45" s="32">
        <f>YEAR(PA[[#This Row],[Date]])</f>
        <v>2025</v>
      </c>
      <c r="E45" s="33" t="s">
        <v>219</v>
      </c>
      <c r="F45" s="33" t="s">
        <v>219</v>
      </c>
      <c r="G45" s="196">
        <f>PA[[#This Row],[Date]]-DAY(PA[[#This Row],[Date]])+1</f>
        <v>45778</v>
      </c>
      <c r="H45" s="32">
        <f>DAY(EOMONTH(PA[[#This Row],[Month Year]],0))</f>
        <v>31</v>
      </c>
      <c r="I45" s="122">
        <v>0.30069444444444443</v>
      </c>
      <c r="J45" s="122">
        <v>0.76666666666666672</v>
      </c>
      <c r="K45" s="35">
        <f>IFERROR((PA[[#This Row],[Sunset Time (POA&lt;20 W/m2)]]-PA[[#This Row],[Sunrise Time (POA&gt;20 W/m2)]])*24,"")</f>
        <v>11.183333333333335</v>
      </c>
      <c r="L45" s="33" t="s">
        <v>303</v>
      </c>
      <c r="M45" s="33" t="s">
        <v>294</v>
      </c>
      <c r="N45" s="33" t="s">
        <v>313</v>
      </c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5" s="35">
        <f>IFERROR(_xlfn.XLOOKUP(PA[[#This Row],[Affected Equipment ]],'Basic Data'!N:N,'Basic Data'!Q:Q),"")</f>
        <v>1276</v>
      </c>
      <c r="V45" s="369">
        <f ca="1">IFERROR(_xlfn.XLOOKUP(PA[[#This Row],[Affected Equipment ]],'Basic Data'!N:N,'Basic Data'!R:R),"")</f>
        <v>3.2542718694210659E-2</v>
      </c>
      <c r="W45" s="36" t="s">
        <v>304</v>
      </c>
      <c r="X45" s="40"/>
      <c r="Y45" s="40" t="s">
        <v>386</v>
      </c>
      <c r="Z45" s="46">
        <v>0.30069444444444443</v>
      </c>
      <c r="AA45" s="42">
        <v>0.30069444444444443</v>
      </c>
      <c r="AB45" s="370">
        <v>0.30069444444444443</v>
      </c>
      <c r="AC45" s="46">
        <v>0.76666666666666672</v>
      </c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11.183333333333335</v>
      </c>
      <c r="AG45" s="44">
        <f>IFERROR((PA[[#This Row],[Work Completion time on fault]]-PA[[#This Row],[Fault Time]])*24,"")</f>
        <v>11.183333333333335</v>
      </c>
      <c r="AH45" s="36" t="s">
        <v>315</v>
      </c>
      <c r="AI45" s="33" t="s">
        <v>298</v>
      </c>
      <c r="AJ45" s="35">
        <f ca="1">IFERROR(PA[[#This Row],[Breakdown Time]]*PA[[#This Row],[Plant Equivalent Weightage]],"")</f>
        <v>0.36393607073025597</v>
      </c>
      <c r="AK45" s="36">
        <v>7.3</v>
      </c>
      <c r="AL45" s="51">
        <f>IFERROR((_xlfn.XLOOKUP($G45,'Modelling New'!D:D,'Modelling New'!$O:$O)*PA[[#This Row],[Lost PoA(kWh/m2)]]*PA[[#This Row],[DC Capacity Affected (kW)]]),"")</f>
        <v>5956.8701451191282</v>
      </c>
      <c r="AM45" s="33"/>
      <c r="AN45" s="33"/>
      <c r="AO45" s="37"/>
      <c r="AP45" s="37"/>
    </row>
    <row r="46" spans="1:42">
      <c r="A46" s="30">
        <v>45</v>
      </c>
      <c r="B46" s="31">
        <v>45784</v>
      </c>
      <c r="C46" s="32">
        <f>YEAR(PA[[#This Row],[Date]])+IF(MONTH(PA[[#This Row],[Date]])&gt;=4,1,0)</f>
        <v>2026</v>
      </c>
      <c r="D46" s="32">
        <f>YEAR(PA[[#This Row],[Date]])</f>
        <v>2025</v>
      </c>
      <c r="E46" s="33" t="s">
        <v>219</v>
      </c>
      <c r="F46" s="33" t="s">
        <v>219</v>
      </c>
      <c r="G46" s="196">
        <f>PA[[#This Row],[Date]]-DAY(PA[[#This Row],[Date]])+1</f>
        <v>45778</v>
      </c>
      <c r="H46" s="32">
        <f>DAY(EOMONTH(PA[[#This Row],[Month Year]],0))</f>
        <v>31</v>
      </c>
      <c r="I46" s="122">
        <v>0.25486111111111109</v>
      </c>
      <c r="J46" s="122">
        <v>0.75277777777777777</v>
      </c>
      <c r="K46" s="35">
        <f>IFERROR((PA[[#This Row],[Sunset Time (POA&lt;20 W/m2)]]-PA[[#This Row],[Sunrise Time (POA&gt;20 W/m2)]])*24,"")</f>
        <v>11.95</v>
      </c>
      <c r="L46" s="33" t="s">
        <v>300</v>
      </c>
      <c r="M46" s="33" t="s">
        <v>294</v>
      </c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6" s="35">
        <f>IFERROR(_xlfn.XLOOKUP(PA[[#This Row],[Affected Equipment ]],'Basic Data'!N:N,'Basic Data'!Q:Q),"")</f>
        <v>4662.4750000000004</v>
      </c>
      <c r="V46" s="39">
        <f ca="1">IFERROR(_xlfn.XLOOKUP(PA[[#This Row],[Affected Equipment ]],'Basic Data'!N:N,'Basic Data'!R:R),"")</f>
        <v>0.11891035450140271</v>
      </c>
      <c r="W46" s="36" t="s">
        <v>304</v>
      </c>
      <c r="X46" s="41"/>
      <c r="Y46" s="347" t="s">
        <v>311</v>
      </c>
      <c r="Z46" s="42">
        <v>0.32847222222222222</v>
      </c>
      <c r="AA46" s="42">
        <v>0.32847222222222222</v>
      </c>
      <c r="AB46" s="42">
        <v>0.32847222222222222</v>
      </c>
      <c r="AC46" s="42">
        <v>0.40625</v>
      </c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1.8666666666666667</v>
      </c>
      <c r="AG46" s="44">
        <f>IFERROR((PA[[#This Row],[Work Completion time on fault]]-PA[[#This Row],[Fault Time]])*24,"")</f>
        <v>1.8666666666666667</v>
      </c>
      <c r="AH46" s="348" t="s">
        <v>312</v>
      </c>
      <c r="AI46" s="33" t="s">
        <v>298</v>
      </c>
      <c r="AJ46" s="35">
        <f ca="1">IFERROR(PA[[#This Row],[Breakdown Time]]*PA[[#This Row],[Plant Equivalent Weightage]],"")</f>
        <v>0.22196599506928505</v>
      </c>
      <c r="AK46" s="38">
        <v>1.05</v>
      </c>
      <c r="AL46" s="51">
        <f>IFERROR((_xlfn.XLOOKUP($G46,'Modelling New'!D:D,'Modelling New'!$O:$O)*PA[[#This Row],[Lost PoA(kWh/m2)]]*PA[[#This Row],[DC Capacity Affected (kW)]]),"")</f>
        <v>3130.7645935884316</v>
      </c>
      <c r="AM46" s="33"/>
      <c r="AN46" s="33"/>
      <c r="AO46" s="33"/>
      <c r="AP46" s="33"/>
    </row>
    <row r="47" spans="1:42">
      <c r="A47" s="30">
        <v>46</v>
      </c>
      <c r="B47" s="31">
        <v>45784</v>
      </c>
      <c r="C47" s="32">
        <f>YEAR(PA[[#This Row],[Date]])+IF(MONTH(PA[[#This Row],[Date]])&gt;=4,1,0)</f>
        <v>2026</v>
      </c>
      <c r="D47" s="32">
        <f>YEAR(PA[[#This Row],[Date]])</f>
        <v>2025</v>
      </c>
      <c r="E47" s="33" t="s">
        <v>219</v>
      </c>
      <c r="F47" s="33" t="s">
        <v>219</v>
      </c>
      <c r="G47" s="196">
        <f>PA[[#This Row],[Date]]-DAY(PA[[#This Row],[Date]])+1</f>
        <v>45778</v>
      </c>
      <c r="H47" s="32">
        <f>DAY(EOMONTH(PA[[#This Row],[Month Year]],0))</f>
        <v>31</v>
      </c>
      <c r="I47" s="122">
        <v>0.25486111111111109</v>
      </c>
      <c r="J47" s="122">
        <v>0.75277777777777777</v>
      </c>
      <c r="K47" s="35">
        <f>IFERROR((PA[[#This Row],[Sunset Time (POA&lt;20 W/m2)]]-PA[[#This Row],[Sunrise Time (POA&gt;20 W/m2)]])*24,"")</f>
        <v>11.95</v>
      </c>
      <c r="L47" s="33" t="s">
        <v>300</v>
      </c>
      <c r="M47" s="33" t="s">
        <v>294</v>
      </c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7" s="35">
        <f>IFERROR(_xlfn.XLOOKUP(PA[[#This Row],[Affected Equipment ]],'Basic Data'!N:N,'Basic Data'!Q:Q),"")</f>
        <v>4662.4750000000004</v>
      </c>
      <c r="V47" s="39">
        <f ca="1">IFERROR(_xlfn.XLOOKUP(PA[[#This Row],[Affected Equipment ]],'Basic Data'!N:N,'Basic Data'!R:R),"")</f>
        <v>0.11891035450140271</v>
      </c>
      <c r="W47" s="36" t="s">
        <v>304</v>
      </c>
      <c r="X47" s="41"/>
      <c r="Y47" s="347" t="s">
        <v>311</v>
      </c>
      <c r="Z47" s="42">
        <v>0.72986111111111107</v>
      </c>
      <c r="AA47" s="42">
        <v>0.72986111111111107</v>
      </c>
      <c r="AB47" s="42">
        <v>0.72986111111111107</v>
      </c>
      <c r="AC47" s="42">
        <v>0.75277777777777777</v>
      </c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0.55000000000000071</v>
      </c>
      <c r="AG47" s="44">
        <f>IFERROR((PA[[#This Row],[Work Completion time on fault]]-PA[[#This Row],[Fault Time]])*24,"")</f>
        <v>0.55000000000000071</v>
      </c>
      <c r="AH47" s="348" t="s">
        <v>312</v>
      </c>
      <c r="AI47" s="33" t="s">
        <v>298</v>
      </c>
      <c r="AJ47" s="35">
        <f ca="1">IFERROR(PA[[#This Row],[Breakdown Time]]*PA[[#This Row],[Plant Equivalent Weightage]],"")</f>
        <v>6.540069497577157E-2</v>
      </c>
      <c r="AK47" s="38">
        <v>3.1E-2</v>
      </c>
      <c r="AL47" s="51">
        <f>IFERROR((_xlfn.XLOOKUP($G47,'Modelling New'!D:D,'Modelling New'!$O:$O)*PA[[#This Row],[Lost PoA(kWh/m2)]]*PA[[#This Row],[DC Capacity Affected (kW)]]),"")</f>
        <v>92.432097524991775</v>
      </c>
      <c r="AM47" s="33"/>
      <c r="AN47" s="33"/>
      <c r="AO47" s="33"/>
      <c r="AP47" s="33"/>
    </row>
    <row r="48" spans="1:42">
      <c r="A48" s="30">
        <v>47</v>
      </c>
      <c r="B48" s="31">
        <v>45784</v>
      </c>
      <c r="C48" s="32">
        <f>YEAR(PA[[#This Row],[Date]])+IF(MONTH(PA[[#This Row],[Date]])&gt;=4,1,0)</f>
        <v>2026</v>
      </c>
      <c r="D48" s="32">
        <f>YEAR(PA[[#This Row],[Date]])</f>
        <v>2025</v>
      </c>
      <c r="E48" s="33" t="s">
        <v>219</v>
      </c>
      <c r="F48" s="33" t="s">
        <v>219</v>
      </c>
      <c r="G48" s="196">
        <f>PA[[#This Row],[Date]]-DAY(PA[[#This Row],[Date]])+1</f>
        <v>45778</v>
      </c>
      <c r="H48" s="32">
        <f>DAY(EOMONTH(PA[[#This Row],[Month Year]],0))</f>
        <v>31</v>
      </c>
      <c r="I48" s="122">
        <v>0.25486111111111109</v>
      </c>
      <c r="J48" s="122">
        <v>0.75277777777777777</v>
      </c>
      <c r="K48" s="35">
        <f>IFERROR((PA[[#This Row],[Sunset Time (POA&lt;20 W/m2)]]-PA[[#This Row],[Sunrise Time (POA&gt;20 W/m2)]])*24,"")</f>
        <v>11.95</v>
      </c>
      <c r="L48" s="33" t="s">
        <v>303</v>
      </c>
      <c r="M48" s="33" t="s">
        <v>294</v>
      </c>
      <c r="N48" s="33" t="s">
        <v>313</v>
      </c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8" s="35">
        <f>IFERROR(_xlfn.XLOOKUP(PA[[#This Row],[Affected Equipment ]],'Basic Data'!N:N,'Basic Data'!Q:Q),"")</f>
        <v>1276</v>
      </c>
      <c r="V48" s="39">
        <f ca="1">IFERROR(_xlfn.XLOOKUP(PA[[#This Row],[Affected Equipment ]],'Basic Data'!N:N,'Basic Data'!R:R),"")</f>
        <v>3.2542718694210659E-2</v>
      </c>
      <c r="W48" s="36" t="s">
        <v>304</v>
      </c>
      <c r="X48" s="41"/>
      <c r="Y48" s="347" t="s">
        <v>314</v>
      </c>
      <c r="Z48" s="42">
        <v>0.25486111111111109</v>
      </c>
      <c r="AA48" s="42">
        <v>0.25486111111111109</v>
      </c>
      <c r="AB48" s="42">
        <v>0.25486111111111109</v>
      </c>
      <c r="AC48" s="42">
        <v>0.75277777777777777</v>
      </c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11.95</v>
      </c>
      <c r="AG48" s="44">
        <f>IFERROR((PA[[#This Row],[Work Completion time on fault]]-PA[[#This Row],[Fault Time]])*24,"")</f>
        <v>11.95</v>
      </c>
      <c r="AH48" s="36" t="s">
        <v>315</v>
      </c>
      <c r="AI48" s="33" t="s">
        <v>298</v>
      </c>
      <c r="AJ48" s="35">
        <f ca="1">IFERROR(PA[[#This Row],[Breakdown Time]]*PA[[#This Row],[Plant Equivalent Weightage]],"")</f>
        <v>0.38888548839581738</v>
      </c>
      <c r="AK48" s="38">
        <v>7.12</v>
      </c>
      <c r="AL48" s="51">
        <f>IFERROR((_xlfn.XLOOKUP($G48,'Modelling New'!D:D,'Modelling New'!$O:$O)*PA[[#This Row],[Lost PoA(kWh/m2)]]*PA[[#This Row],[DC Capacity Affected (kW)]]),"")</f>
        <v>5809.9884155134505</v>
      </c>
      <c r="AM48" s="33"/>
      <c r="AN48" s="33"/>
      <c r="AO48" s="33"/>
      <c r="AP48" s="33"/>
    </row>
    <row r="49" spans="1:42">
      <c r="A49" s="30">
        <v>48</v>
      </c>
      <c r="B49" s="31">
        <v>45784</v>
      </c>
      <c r="C49" s="32">
        <f>YEAR(PA[[#This Row],[Date]])+IF(MONTH(PA[[#This Row],[Date]])&gt;=4,1,0)</f>
        <v>2026</v>
      </c>
      <c r="D49" s="32">
        <f>YEAR(PA[[#This Row],[Date]])</f>
        <v>2025</v>
      </c>
      <c r="E49" s="33" t="s">
        <v>219</v>
      </c>
      <c r="F49" s="33" t="s">
        <v>219</v>
      </c>
      <c r="G49" s="196">
        <f>PA[[#This Row],[Date]]-DAY(PA[[#This Row],[Date]])+1</f>
        <v>45778</v>
      </c>
      <c r="H49" s="32">
        <f>DAY(EOMONTH(PA[[#This Row],[Month Year]],0))</f>
        <v>31</v>
      </c>
      <c r="I49" s="122">
        <v>0.25486111111111109</v>
      </c>
      <c r="J49" s="122">
        <v>0.75277777777777777</v>
      </c>
      <c r="K49" s="35">
        <f>IFERROR((PA[[#This Row],[Sunset Time (POA&lt;20 W/m2)]]-PA[[#This Row],[Sunrise Time (POA&gt;20 W/m2)]])*24,"")</f>
        <v>11.95</v>
      </c>
      <c r="L49" s="33" t="s">
        <v>303</v>
      </c>
      <c r="M49" s="33" t="s">
        <v>294</v>
      </c>
      <c r="N49" s="33" t="s">
        <v>316</v>
      </c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49" s="35">
        <f>IFERROR(_xlfn.XLOOKUP(PA[[#This Row],[Affected Equipment ]],'Basic Data'!N:N,'Basic Data'!Q:Q),"")</f>
        <v>1276</v>
      </c>
      <c r="V49" s="39">
        <f ca="1">IFERROR(_xlfn.XLOOKUP(PA[[#This Row],[Affected Equipment ]],'Basic Data'!N:N,'Basic Data'!R:R),"")</f>
        <v>3.2542718694210659E-2</v>
      </c>
      <c r="W49" s="36" t="s">
        <v>304</v>
      </c>
      <c r="X49" s="41"/>
      <c r="Y49" s="347" t="s">
        <v>317</v>
      </c>
      <c r="Z49" s="42">
        <v>0.25486111111111109</v>
      </c>
      <c r="AA49" s="42">
        <v>0.25486111111111109</v>
      </c>
      <c r="AB49" s="42">
        <v>0.25486111111111109</v>
      </c>
      <c r="AC49" s="42">
        <v>0.75277777777777777</v>
      </c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11.95</v>
      </c>
      <c r="AG49" s="44">
        <f>IFERROR((PA[[#This Row],[Work Completion time on fault]]-PA[[#This Row],[Fault Time]])*24,"")</f>
        <v>11.95</v>
      </c>
      <c r="AH49" s="36" t="s">
        <v>315</v>
      </c>
      <c r="AI49" s="33" t="s">
        <v>298</v>
      </c>
      <c r="AJ49" s="35">
        <f ca="1">IFERROR(PA[[#This Row],[Breakdown Time]]*PA[[#This Row],[Plant Equivalent Weightage]],"")</f>
        <v>0.38888548839581738</v>
      </c>
      <c r="AK49" s="38">
        <v>7.12</v>
      </c>
      <c r="AL49" s="51">
        <f>IFERROR((_xlfn.XLOOKUP($G49,'Modelling New'!D:D,'Modelling New'!$O:$O)*PA[[#This Row],[Lost PoA(kWh/m2)]]*PA[[#This Row],[DC Capacity Affected (kW)]]),"")</f>
        <v>5809.9884155134505</v>
      </c>
      <c r="AM49" s="349"/>
      <c r="AN49" s="349"/>
      <c r="AO49" s="349"/>
      <c r="AP49" s="349"/>
    </row>
    <row r="50" spans="1:42">
      <c r="A50" s="30">
        <v>49</v>
      </c>
      <c r="B50" s="31">
        <v>45784</v>
      </c>
      <c r="C50" s="32">
        <f>YEAR(PA[[#This Row],[Date]])+IF(MONTH(PA[[#This Row],[Date]])&gt;=4,1,0)</f>
        <v>2026</v>
      </c>
      <c r="D50" s="32">
        <f>YEAR(PA[[#This Row],[Date]])</f>
        <v>2025</v>
      </c>
      <c r="E50" s="33" t="s">
        <v>219</v>
      </c>
      <c r="F50" s="33" t="s">
        <v>219</v>
      </c>
      <c r="G50" s="196">
        <f>PA[[#This Row],[Date]]-DAY(PA[[#This Row],[Date]])+1</f>
        <v>45778</v>
      </c>
      <c r="H50" s="32">
        <f>DAY(EOMONTH(PA[[#This Row],[Month Year]],0))</f>
        <v>31</v>
      </c>
      <c r="I50" s="122">
        <v>0.25486111111111109</v>
      </c>
      <c r="J50" s="122">
        <v>0.75277777777777777</v>
      </c>
      <c r="K50" s="35">
        <f>IFERROR((PA[[#This Row],[Sunset Time (POA&lt;20 W/m2)]]-PA[[#This Row],[Sunrise Time (POA&gt;20 W/m2)]])*24,"")</f>
        <v>11.95</v>
      </c>
      <c r="L50" s="33" t="s">
        <v>300</v>
      </c>
      <c r="M50" s="33" t="s">
        <v>294</v>
      </c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0" s="35">
        <f>IFERROR(_xlfn.XLOOKUP(PA[[#This Row],[Affected Equipment ]],'Basic Data'!N:N,'Basic Data'!Q:Q),"")</f>
        <v>4662.4750000000004</v>
      </c>
      <c r="V50" s="39">
        <f ca="1">IFERROR(_xlfn.XLOOKUP(PA[[#This Row],[Affected Equipment ]],'Basic Data'!N:N,'Basic Data'!R:R),"")</f>
        <v>0.11891035450140271</v>
      </c>
      <c r="W50" s="36" t="s">
        <v>304</v>
      </c>
      <c r="X50" s="41"/>
      <c r="Y50" s="347" t="s">
        <v>311</v>
      </c>
      <c r="Z50" s="42">
        <v>0.31527777777777777</v>
      </c>
      <c r="AA50" s="42">
        <v>0.31527777777777777</v>
      </c>
      <c r="AB50" s="42">
        <v>0.31527777777777777</v>
      </c>
      <c r="AC50" s="42">
        <v>0.43680555555555556</v>
      </c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2.916666666666667</v>
      </c>
      <c r="AG50" s="44">
        <f>IFERROR((PA[[#This Row],[Work Completion time on fault]]-PA[[#This Row],[Fault Time]])*24,"")</f>
        <v>2.916666666666667</v>
      </c>
      <c r="AH50" s="348" t="s">
        <v>312</v>
      </c>
      <c r="AI50" s="33" t="s">
        <v>298</v>
      </c>
      <c r="AJ50" s="35">
        <f ca="1">IFERROR(PA[[#This Row],[Breakdown Time]]*PA[[#This Row],[Plant Equivalent Weightage]],"")</f>
        <v>0.34682186729575792</v>
      </c>
      <c r="AK50" s="38">
        <v>1.74</v>
      </c>
      <c r="AL50" s="51">
        <f>IFERROR((_xlfn.XLOOKUP($G50,'Modelling New'!D:D,'Modelling New'!$O:$O)*PA[[#This Row],[Lost PoA(kWh/m2)]]*PA[[#This Row],[DC Capacity Affected (kW)]]),"")</f>
        <v>5188.1241836608297</v>
      </c>
      <c r="AM50" s="349"/>
      <c r="AN50" s="349"/>
      <c r="AO50" s="349"/>
      <c r="AP50" s="349"/>
    </row>
    <row r="51" spans="1:42">
      <c r="A51" s="30">
        <v>50</v>
      </c>
      <c r="B51" s="31">
        <v>45784</v>
      </c>
      <c r="C51" s="32">
        <f>YEAR(PA[[#This Row],[Date]])+IF(MONTH(PA[[#This Row],[Date]])&gt;=4,1,0)</f>
        <v>2026</v>
      </c>
      <c r="D51" s="32">
        <f>YEAR(PA[[#This Row],[Date]])</f>
        <v>2025</v>
      </c>
      <c r="E51" s="33" t="s">
        <v>219</v>
      </c>
      <c r="F51" s="33" t="s">
        <v>219</v>
      </c>
      <c r="G51" s="196">
        <f>PA[[#This Row],[Date]]-DAY(PA[[#This Row],[Date]])+1</f>
        <v>45778</v>
      </c>
      <c r="H51" s="32">
        <f>DAY(EOMONTH(PA[[#This Row],[Month Year]],0))</f>
        <v>31</v>
      </c>
      <c r="I51" s="122">
        <v>0.25486111111111109</v>
      </c>
      <c r="J51" s="122">
        <v>0.75277777777777777</v>
      </c>
      <c r="K51" s="35">
        <f>IFERROR((PA[[#This Row],[Sunset Time (POA&lt;20 W/m2)]]-PA[[#This Row],[Sunrise Time (POA&gt;20 W/m2)]])*24,"")</f>
        <v>11.95</v>
      </c>
      <c r="L51" s="33" t="s">
        <v>300</v>
      </c>
      <c r="M51" s="33" t="s">
        <v>294</v>
      </c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1" s="35">
        <f>IFERROR(_xlfn.XLOOKUP(PA[[#This Row],[Affected Equipment ]],'Basic Data'!N:N,'Basic Data'!Q:Q),"")</f>
        <v>4662.4750000000004</v>
      </c>
      <c r="V51" s="39">
        <f ca="1">IFERROR(_xlfn.XLOOKUP(PA[[#This Row],[Affected Equipment ]],'Basic Data'!N:N,'Basic Data'!R:R),"")</f>
        <v>0.11891035450140271</v>
      </c>
      <c r="W51" s="36" t="s">
        <v>304</v>
      </c>
      <c r="X51" s="41"/>
      <c r="Y51" s="347" t="s">
        <v>311</v>
      </c>
      <c r="Z51" s="42">
        <v>0.52013888888888893</v>
      </c>
      <c r="AA51" s="42">
        <v>0.52013888888888893</v>
      </c>
      <c r="AB51" s="42">
        <v>0.52013888888888893</v>
      </c>
      <c r="AC51" s="42">
        <v>0.52638888888888891</v>
      </c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0.14999999999999947</v>
      </c>
      <c r="AG51" s="44">
        <f>IFERROR((PA[[#This Row],[Work Completion time on fault]]-PA[[#This Row],[Fault Time]])*24,"")</f>
        <v>0.14999999999999947</v>
      </c>
      <c r="AH51" s="348" t="s">
        <v>312</v>
      </c>
      <c r="AI51" s="33" t="s">
        <v>298</v>
      </c>
      <c r="AJ51" s="35">
        <f ca="1">IFERROR(PA[[#This Row],[Breakdown Time]]*PA[[#This Row],[Plant Equivalent Weightage]],"")</f>
        <v>1.7836553175210344E-2</v>
      </c>
      <c r="AK51" s="38">
        <v>0.16590530000000001</v>
      </c>
      <c r="AL51" s="51">
        <f>IFERROR((_xlfn.XLOOKUP($G51,'Modelling New'!D:D,'Modelling New'!$O:$O)*PA[[#This Row],[Lost PoA(kWh/m2)]]*PA[[#This Row],[DC Capacity Affected (kW)]]),"")</f>
        <v>494.67660869396843</v>
      </c>
      <c r="AM51" s="349"/>
      <c r="AN51" s="349"/>
      <c r="AO51" s="349"/>
      <c r="AP51" s="349"/>
    </row>
    <row r="52" spans="1:42">
      <c r="A52" s="30">
        <v>51</v>
      </c>
      <c r="B52" s="31">
        <v>45784</v>
      </c>
      <c r="C52" s="32">
        <f>YEAR(PA[[#This Row],[Date]])+IF(MONTH(PA[[#This Row],[Date]])&gt;=4,1,0)</f>
        <v>2026</v>
      </c>
      <c r="D52" s="32">
        <f>YEAR(PA[[#This Row],[Date]])</f>
        <v>2025</v>
      </c>
      <c r="E52" s="33" t="s">
        <v>219</v>
      </c>
      <c r="F52" s="33" t="s">
        <v>219</v>
      </c>
      <c r="G52" s="196">
        <f>PA[[#This Row],[Date]]-DAY(PA[[#This Row],[Date]])+1</f>
        <v>45778</v>
      </c>
      <c r="H52" s="32">
        <f>DAY(EOMONTH(PA[[#This Row],[Month Year]],0))</f>
        <v>31</v>
      </c>
      <c r="I52" s="122">
        <v>0.25486111111111109</v>
      </c>
      <c r="J52" s="122">
        <v>0.75277777777777777</v>
      </c>
      <c r="K52" s="35">
        <f>IFERROR((PA[[#This Row],[Sunset Time (POA&lt;20 W/m2)]]-PA[[#This Row],[Sunrise Time (POA&gt;20 W/m2)]])*24,"")</f>
        <v>11.95</v>
      </c>
      <c r="L52" s="33" t="s">
        <v>300</v>
      </c>
      <c r="M52" s="33" t="s">
        <v>294</v>
      </c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2" s="35">
        <f>IFERROR(_xlfn.XLOOKUP(PA[[#This Row],[Affected Equipment ]],'Basic Data'!N:N,'Basic Data'!Q:Q),"")</f>
        <v>4662.4750000000004</v>
      </c>
      <c r="V52" s="39">
        <f ca="1">IFERROR(_xlfn.XLOOKUP(PA[[#This Row],[Affected Equipment ]],'Basic Data'!N:N,'Basic Data'!R:R),"")</f>
        <v>0.11891035450140271</v>
      </c>
      <c r="W52" s="36" t="s">
        <v>304</v>
      </c>
      <c r="X52" s="41"/>
      <c r="Y52" s="347" t="s">
        <v>311</v>
      </c>
      <c r="Z52" s="42">
        <v>0.54305555555555551</v>
      </c>
      <c r="AA52" s="42">
        <v>0.54305555555555551</v>
      </c>
      <c r="AB52" s="42">
        <v>0.54305555555555551</v>
      </c>
      <c r="AC52" s="42">
        <v>0.56527777777777777</v>
      </c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0.5333333333333341</v>
      </c>
      <c r="AG52" s="44">
        <f>IFERROR((PA[[#This Row],[Work Completion time on fault]]-PA[[#This Row],[Fault Time]])*24,"")</f>
        <v>0.5333333333333341</v>
      </c>
      <c r="AH52" s="348" t="s">
        <v>312</v>
      </c>
      <c r="AI52" s="33" t="s">
        <v>298</v>
      </c>
      <c r="AJ52" s="35">
        <f ca="1">IFERROR(PA[[#This Row],[Breakdown Time]]*PA[[#This Row],[Plant Equivalent Weightage]],"")</f>
        <v>6.3418855734081542E-2</v>
      </c>
      <c r="AK52" s="38">
        <v>0.50135470000000004</v>
      </c>
      <c r="AL52" s="51">
        <f>IFERROR((_xlfn.XLOOKUP($G52,'Modelling New'!D:D,'Modelling New'!$O:$O)*PA[[#This Row],[Lost PoA(kWh/m2)]]*PA[[#This Row],[DC Capacity Affected (kW)]]),"")</f>
        <v>1494.8795653230002</v>
      </c>
      <c r="AM52" s="33"/>
      <c r="AN52" s="33"/>
      <c r="AO52" s="33"/>
      <c r="AP52" s="33"/>
    </row>
    <row r="53" spans="1:42">
      <c r="A53" s="30">
        <v>52</v>
      </c>
      <c r="B53" s="31">
        <v>45784</v>
      </c>
      <c r="C53" s="32">
        <f>YEAR(PA[[#This Row],[Date]])+IF(MONTH(PA[[#This Row],[Date]])&gt;=4,1,0)</f>
        <v>2026</v>
      </c>
      <c r="D53" s="32">
        <f>YEAR(PA[[#This Row],[Date]])</f>
        <v>2025</v>
      </c>
      <c r="E53" s="33" t="s">
        <v>219</v>
      </c>
      <c r="F53" s="33" t="s">
        <v>219</v>
      </c>
      <c r="G53" s="196">
        <f>PA[[#This Row],[Date]]-DAY(PA[[#This Row],[Date]])+1</f>
        <v>45778</v>
      </c>
      <c r="H53" s="32">
        <f>DAY(EOMONTH(PA[[#This Row],[Month Year]],0))</f>
        <v>31</v>
      </c>
      <c r="I53" s="122">
        <v>0.25486111111111109</v>
      </c>
      <c r="J53" s="122">
        <v>0.75277777777777777</v>
      </c>
      <c r="K53" s="35">
        <f>IFERROR((PA[[#This Row],[Sunset Time (POA&lt;20 W/m2)]]-PA[[#This Row],[Sunrise Time (POA&gt;20 W/m2)]])*24,"")</f>
        <v>11.95</v>
      </c>
      <c r="L53" s="33" t="s">
        <v>300</v>
      </c>
      <c r="M53" s="33" t="s">
        <v>294</v>
      </c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3" s="35">
        <f>IFERROR(_xlfn.XLOOKUP(PA[[#This Row],[Affected Equipment ]],'Basic Data'!N:N,'Basic Data'!Q:Q),"")</f>
        <v>4662.4750000000004</v>
      </c>
      <c r="V53" s="39">
        <f ca="1">IFERROR(_xlfn.XLOOKUP(PA[[#This Row],[Affected Equipment ]],'Basic Data'!N:N,'Basic Data'!R:R),"")</f>
        <v>0.11891035450140271</v>
      </c>
      <c r="W53" s="36" t="s">
        <v>304</v>
      </c>
      <c r="X53" s="41"/>
      <c r="Y53" s="347" t="s">
        <v>311</v>
      </c>
      <c r="Z53" s="42">
        <v>0.72430555555555554</v>
      </c>
      <c r="AA53" s="42">
        <v>0.72430555555555554</v>
      </c>
      <c r="AB53" s="42">
        <v>0.72430555555555554</v>
      </c>
      <c r="AC53" s="42">
        <v>0.75277777777777777</v>
      </c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0.68333333333333357</v>
      </c>
      <c r="AG53" s="44">
        <f>IFERROR((PA[[#This Row],[Work Completion time on fault]]-PA[[#This Row],[Fault Time]])*24,"")</f>
        <v>0.68333333333333357</v>
      </c>
      <c r="AH53" s="348" t="s">
        <v>312</v>
      </c>
      <c r="AI53" s="33" t="s">
        <v>298</v>
      </c>
      <c r="AJ53" s="35">
        <f ca="1">IFERROR(PA[[#This Row],[Breakdown Time]]*PA[[#This Row],[Plant Equivalent Weightage]],"")</f>
        <v>8.1255408909291879E-2</v>
      </c>
      <c r="AK53" s="38">
        <v>5.3963999999999998E-2</v>
      </c>
      <c r="AL53" s="51">
        <f>IFERROR((_xlfn.XLOOKUP($G53,'Modelling New'!D:D,'Modelling New'!$O:$O)*PA[[#This Row],[Lost PoA(kWh/m2)]]*PA[[#This Row],[DC Capacity Affected (kW)]]),"")</f>
        <v>160.90341002705344</v>
      </c>
      <c r="AM53" s="33"/>
      <c r="AN53" s="33"/>
      <c r="AO53" s="33"/>
      <c r="AP53" s="33"/>
    </row>
    <row r="54" spans="1:42">
      <c r="A54" s="30">
        <v>53</v>
      </c>
      <c r="B54" s="31">
        <v>45785</v>
      </c>
      <c r="C54" s="32">
        <f>YEAR(PA[[#This Row],[Date]])+IF(MONTH(PA[[#This Row],[Date]])&gt;=4,1,0)</f>
        <v>2026</v>
      </c>
      <c r="D54" s="32">
        <f>YEAR(PA[[#This Row],[Date]])</f>
        <v>2025</v>
      </c>
      <c r="E54" s="33" t="s">
        <v>219</v>
      </c>
      <c r="F54" s="33" t="s">
        <v>219</v>
      </c>
      <c r="G54" s="196">
        <f>PA[[#This Row],[Date]]-DAY(PA[[#This Row],[Date]])+1</f>
        <v>45778</v>
      </c>
      <c r="H54" s="32">
        <f>DAY(EOMONTH(PA[[#This Row],[Month Year]],0))</f>
        <v>31</v>
      </c>
      <c r="I54" s="122">
        <v>0.25763888888888886</v>
      </c>
      <c r="J54" s="122">
        <v>0.75277777777777777</v>
      </c>
      <c r="K54" s="35">
        <f>IFERROR((PA[[#This Row],[Sunset Time (POA&lt;20 W/m2)]]-PA[[#This Row],[Sunrise Time (POA&gt;20 W/m2)]])*24,"")</f>
        <v>11.883333333333333</v>
      </c>
      <c r="L54" s="33" t="s">
        <v>300</v>
      </c>
      <c r="M54" s="33" t="s">
        <v>294</v>
      </c>
      <c r="N54" s="33"/>
      <c r="O54" s="36"/>
      <c r="P54" s="36"/>
      <c r="Q54" s="349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4" s="35">
        <f>IFERROR(_xlfn.XLOOKUP(PA[[#This Row],[Affected Equipment ]],'Basic Data'!N:N,'Basic Data'!Q:Q),"")</f>
        <v>4662.4750000000004</v>
      </c>
      <c r="V54" s="39">
        <f ca="1">IFERROR(_xlfn.XLOOKUP(PA[[#This Row],[Affected Equipment ]],'Basic Data'!N:N,'Basic Data'!R:R),"")</f>
        <v>0.11891035450140271</v>
      </c>
      <c r="W54" s="36" t="s">
        <v>304</v>
      </c>
      <c r="X54" s="41"/>
      <c r="Y54" s="347" t="s">
        <v>311</v>
      </c>
      <c r="Z54" s="42">
        <v>0.35069444444444442</v>
      </c>
      <c r="AA54" s="42">
        <v>0.35069444444444442</v>
      </c>
      <c r="AB54" s="42">
        <v>0.35069444444444442</v>
      </c>
      <c r="AC54" s="42">
        <v>0.38333333333333336</v>
      </c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0.78333333333333455</v>
      </c>
      <c r="AG54" s="44">
        <f>IFERROR((PA[[#This Row],[Work Completion time on fault]]-PA[[#This Row],[Fault Time]])*24,"")</f>
        <v>0.78333333333333455</v>
      </c>
      <c r="AH54" s="348" t="s">
        <v>312</v>
      </c>
      <c r="AI54" s="33" t="s">
        <v>298</v>
      </c>
      <c r="AJ54" s="35">
        <f ca="1">IFERROR(PA[[#This Row],[Breakdown Time]]*PA[[#This Row],[Plant Equivalent Weightage]],"")</f>
        <v>9.3146444359432271E-2</v>
      </c>
      <c r="AK54" s="36">
        <v>0.359659065</v>
      </c>
      <c r="AL54" s="51">
        <f>IFERROR((_xlfn.XLOOKUP($G54,'Modelling New'!D:D,'Modelling New'!$O:$O)*PA[[#This Row],[Lost PoA(kWh/m2)]]*PA[[#This Row],[DC Capacity Affected (kW)]]),"")</f>
        <v>1072.3884442524954</v>
      </c>
      <c r="AM54" s="349"/>
      <c r="AN54" s="349"/>
      <c r="AO54" s="349"/>
      <c r="AP54" s="349"/>
    </row>
    <row r="55" spans="1:42">
      <c r="A55" s="30">
        <v>54</v>
      </c>
      <c r="B55" s="31">
        <v>45785</v>
      </c>
      <c r="C55" s="32">
        <f>YEAR(PA[[#This Row],[Date]])+IF(MONTH(PA[[#This Row],[Date]])&gt;=4,1,0)</f>
        <v>2026</v>
      </c>
      <c r="D55" s="32">
        <f>YEAR(PA[[#This Row],[Date]])</f>
        <v>2025</v>
      </c>
      <c r="E55" s="33" t="s">
        <v>219</v>
      </c>
      <c r="F55" s="33" t="s">
        <v>219</v>
      </c>
      <c r="G55" s="196">
        <f>PA[[#This Row],[Date]]-DAY(PA[[#This Row],[Date]])+1</f>
        <v>45778</v>
      </c>
      <c r="H55" s="32">
        <f>DAY(EOMONTH(PA[[#This Row],[Month Year]],0))</f>
        <v>31</v>
      </c>
      <c r="I55" s="122">
        <v>0.25763888888888886</v>
      </c>
      <c r="J55" s="122">
        <v>0.75277777777777777</v>
      </c>
      <c r="K55" s="35">
        <f>IFERROR((PA[[#This Row],[Sunset Time (POA&lt;20 W/m2)]]-PA[[#This Row],[Sunrise Time (POA&gt;20 W/m2)]])*24,"")</f>
        <v>11.883333333333333</v>
      </c>
      <c r="L55" s="33" t="s">
        <v>300</v>
      </c>
      <c r="M55" s="33" t="s">
        <v>299</v>
      </c>
      <c r="N55" s="33"/>
      <c r="O55" s="36"/>
      <c r="P55" s="36"/>
      <c r="Q55" s="349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55" s="35">
        <f>IFERROR(_xlfn.XLOOKUP(PA[[#This Row],[Affected Equipment ]],'Basic Data'!N:N,'Basic Data'!Q:Q),"")</f>
        <v>4662.4750000000004</v>
      </c>
      <c r="V55" s="39">
        <f ca="1">IFERROR(_xlfn.XLOOKUP(PA[[#This Row],[Affected Equipment ]],'Basic Data'!N:N,'Basic Data'!R:R),"")</f>
        <v>0.11891035450140271</v>
      </c>
      <c r="W55" s="36" t="s">
        <v>304</v>
      </c>
      <c r="X55" s="41"/>
      <c r="Y55" s="347" t="s">
        <v>311</v>
      </c>
      <c r="Z55" s="42">
        <v>0.33402777777777776</v>
      </c>
      <c r="AA55" s="42">
        <v>0.33402777777777776</v>
      </c>
      <c r="AB55" s="42">
        <v>0.33402777777777776</v>
      </c>
      <c r="AC55" s="42">
        <v>0.42152777777777778</v>
      </c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2.1000000000000005</v>
      </c>
      <c r="AG55" s="44">
        <f>IFERROR((PA[[#This Row],[Work Completion time on fault]]-PA[[#This Row],[Fault Time]])*24,"")</f>
        <v>2.1000000000000005</v>
      </c>
      <c r="AH55" s="348" t="s">
        <v>312</v>
      </c>
      <c r="AI55" s="33" t="s">
        <v>298</v>
      </c>
      <c r="AJ55" s="35">
        <f ca="1">IFERROR(PA[[#This Row],[Breakdown Time]]*PA[[#This Row],[Plant Equivalent Weightage]],"")</f>
        <v>0.24971174445294575</v>
      </c>
      <c r="AK55" s="36">
        <v>1.09785</v>
      </c>
      <c r="AL55" s="51">
        <f>IFERROR((_xlfn.XLOOKUP($G55,'Modelling New'!D:D,'Modelling New'!$O:$O)*PA[[#This Row],[Lost PoA(kWh/m2)]]*PA[[#This Row],[DC Capacity Affected (kW)]]),"")</f>
        <v>3273.4380086391043</v>
      </c>
      <c r="AM55" s="33"/>
      <c r="AN55" s="33"/>
      <c r="AO55" s="33"/>
      <c r="AP55" s="33"/>
    </row>
    <row r="56" spans="1:42">
      <c r="A56" s="30">
        <v>55</v>
      </c>
      <c r="B56" s="31">
        <v>45785</v>
      </c>
      <c r="C56" s="32">
        <f>YEAR(PA[[#This Row],[Date]])+IF(MONTH(PA[[#This Row],[Date]])&gt;=4,1,0)</f>
        <v>2026</v>
      </c>
      <c r="D56" s="32">
        <f>YEAR(PA[[#This Row],[Date]])</f>
        <v>2025</v>
      </c>
      <c r="E56" s="33" t="s">
        <v>219</v>
      </c>
      <c r="F56" s="33" t="s">
        <v>219</v>
      </c>
      <c r="G56" s="196">
        <f>PA[[#This Row],[Date]]-DAY(PA[[#This Row],[Date]])+1</f>
        <v>45778</v>
      </c>
      <c r="H56" s="32">
        <f>DAY(EOMONTH(PA[[#This Row],[Month Year]],0))</f>
        <v>31</v>
      </c>
      <c r="I56" s="122">
        <v>0.25763888888888886</v>
      </c>
      <c r="J56" s="122">
        <v>0.75277777777777777</v>
      </c>
      <c r="K56" s="35">
        <f>IFERROR((PA[[#This Row],[Sunset Time (POA&lt;20 W/m2)]]-PA[[#This Row],[Sunrise Time (POA&gt;20 W/m2)]])*24,"")</f>
        <v>11.883333333333333</v>
      </c>
      <c r="L56" s="33" t="s">
        <v>303</v>
      </c>
      <c r="M56" s="33" t="s">
        <v>294</v>
      </c>
      <c r="N56" s="33" t="s">
        <v>313</v>
      </c>
      <c r="O56" s="36"/>
      <c r="P56" s="36"/>
      <c r="Q56" s="349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56" s="35">
        <f>IFERROR(_xlfn.XLOOKUP(PA[[#This Row],[Affected Equipment ]],'Basic Data'!N:N,'Basic Data'!Q:Q),"")</f>
        <v>1276</v>
      </c>
      <c r="V56" s="39">
        <f ca="1">IFERROR(_xlfn.XLOOKUP(PA[[#This Row],[Affected Equipment ]],'Basic Data'!N:N,'Basic Data'!R:R),"")</f>
        <v>3.2542718694210659E-2</v>
      </c>
      <c r="W56" s="36" t="s">
        <v>304</v>
      </c>
      <c r="X56" s="40"/>
      <c r="Y56" s="347" t="s">
        <v>318</v>
      </c>
      <c r="Z56" s="42">
        <v>0.25763888888888886</v>
      </c>
      <c r="AA56" s="42">
        <v>0.25763888888888886</v>
      </c>
      <c r="AB56" s="42">
        <v>0.25763888888888886</v>
      </c>
      <c r="AC56" s="42">
        <v>0.625</v>
      </c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8.8166666666666664</v>
      </c>
      <c r="AG56" s="44">
        <f>IFERROR((PA[[#This Row],[Work Completion time on fault]]-PA[[#This Row],[Fault Time]])*24,"")</f>
        <v>8.8166666666666664</v>
      </c>
      <c r="AH56" s="348" t="s">
        <v>312</v>
      </c>
      <c r="AI56" s="33" t="s">
        <v>298</v>
      </c>
      <c r="AJ56" s="35">
        <f ca="1">IFERROR(PA[[#This Row],[Breakdown Time]]*PA[[#This Row],[Plant Equivalent Weightage]],"")</f>
        <v>0.28691830315395733</v>
      </c>
      <c r="AK56" s="36">
        <v>6.57</v>
      </c>
      <c r="AL56" s="51">
        <f>IFERROR((_xlfn.XLOOKUP($G56,'Modelling New'!D:D,'Modelling New'!$O:$O)*PA[[#This Row],[Lost PoA(kWh/m2)]]*PA[[#This Row],[DC Capacity Affected (kW)]]),"")</f>
        <v>5361.1831306072145</v>
      </c>
      <c r="AM56" s="33"/>
      <c r="AN56" s="33"/>
      <c r="AO56" s="33"/>
      <c r="AP56" s="33"/>
    </row>
    <row r="57" spans="1:42">
      <c r="A57" s="30">
        <v>56</v>
      </c>
      <c r="B57" s="31">
        <v>45785</v>
      </c>
      <c r="C57" s="32">
        <f>YEAR(PA[[#This Row],[Date]])+IF(MONTH(PA[[#This Row],[Date]])&gt;=4,1,0)</f>
        <v>2026</v>
      </c>
      <c r="D57" s="32">
        <f>YEAR(PA[[#This Row],[Date]])</f>
        <v>2025</v>
      </c>
      <c r="E57" s="33" t="s">
        <v>219</v>
      </c>
      <c r="F57" s="33" t="s">
        <v>219</v>
      </c>
      <c r="G57" s="196">
        <f>PA[[#This Row],[Date]]-DAY(PA[[#This Row],[Date]])+1</f>
        <v>45778</v>
      </c>
      <c r="H57" s="32">
        <f>DAY(EOMONTH(PA[[#This Row],[Month Year]],0))</f>
        <v>31</v>
      </c>
      <c r="I57" s="122">
        <v>0.25763888888888886</v>
      </c>
      <c r="J57" s="122">
        <v>0.75277777777777777</v>
      </c>
      <c r="K57" s="35">
        <f>IFERROR((PA[[#This Row],[Sunset Time (POA&lt;20 W/m2)]]-PA[[#This Row],[Sunrise Time (POA&gt;20 W/m2)]])*24,"")</f>
        <v>11.883333333333333</v>
      </c>
      <c r="L57" s="33" t="s">
        <v>303</v>
      </c>
      <c r="M57" s="33" t="s">
        <v>294</v>
      </c>
      <c r="N57" s="33" t="s">
        <v>316</v>
      </c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57" s="35">
        <f>IFERROR(_xlfn.XLOOKUP(PA[[#This Row],[Affected Equipment ]],'Basic Data'!N:N,'Basic Data'!Q:Q),"")</f>
        <v>1276</v>
      </c>
      <c r="V57" s="39">
        <f ca="1">IFERROR(_xlfn.XLOOKUP(PA[[#This Row],[Affected Equipment ]],'Basic Data'!N:N,'Basic Data'!R:R),"")</f>
        <v>3.2542718694210659E-2</v>
      </c>
      <c r="W57" s="36" t="s">
        <v>304</v>
      </c>
      <c r="X57" s="40"/>
      <c r="Y57" s="347" t="s">
        <v>319</v>
      </c>
      <c r="Z57" s="42">
        <v>0.25763888888888886</v>
      </c>
      <c r="AA57" s="42">
        <v>0.25763888888888886</v>
      </c>
      <c r="AB57" s="42">
        <v>0.25763888888888886</v>
      </c>
      <c r="AC57" s="42">
        <v>0.625</v>
      </c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8.8166666666666664</v>
      </c>
      <c r="AG57" s="44">
        <f>IFERROR((PA[[#This Row],[Work Completion time on fault]]-PA[[#This Row],[Fault Time]])*24,"")</f>
        <v>8.8166666666666664</v>
      </c>
      <c r="AH57" s="348" t="s">
        <v>312</v>
      </c>
      <c r="AI57" s="33" t="s">
        <v>298</v>
      </c>
      <c r="AJ57" s="35">
        <f ca="1">IFERROR(PA[[#This Row],[Breakdown Time]]*PA[[#This Row],[Plant Equivalent Weightage]],"")</f>
        <v>0.28691830315395733</v>
      </c>
      <c r="AK57" s="36">
        <v>6.57</v>
      </c>
      <c r="AL57" s="51">
        <f>IFERROR((_xlfn.XLOOKUP($G57,'Modelling New'!D:D,'Modelling New'!$O:$O)*PA[[#This Row],[Lost PoA(kWh/m2)]]*PA[[#This Row],[DC Capacity Affected (kW)]]),"")</f>
        <v>5361.1831306072145</v>
      </c>
      <c r="AM57" s="33"/>
      <c r="AN57" s="33"/>
      <c r="AO57" s="33"/>
      <c r="AP57" s="33"/>
    </row>
    <row r="58" spans="1:42">
      <c r="A58" s="30">
        <v>57</v>
      </c>
      <c r="B58" s="31">
        <v>45785</v>
      </c>
      <c r="C58" s="32">
        <f>YEAR(PA[[#This Row],[Date]])+IF(MONTH(PA[[#This Row],[Date]])&gt;=4,1,0)</f>
        <v>2026</v>
      </c>
      <c r="D58" s="32">
        <f>YEAR(PA[[#This Row],[Date]])</f>
        <v>2025</v>
      </c>
      <c r="E58" s="33" t="s">
        <v>219</v>
      </c>
      <c r="F58" s="33" t="s">
        <v>219</v>
      </c>
      <c r="G58" s="196">
        <f>PA[[#This Row],[Date]]-DAY(PA[[#This Row],[Date]])+1</f>
        <v>45778</v>
      </c>
      <c r="H58" s="32">
        <f>DAY(EOMONTH(PA[[#This Row],[Month Year]],0))</f>
        <v>31</v>
      </c>
      <c r="I58" s="122">
        <v>0.25763888888888886</v>
      </c>
      <c r="J58" s="122">
        <v>0.75277777777777777</v>
      </c>
      <c r="K58" s="35">
        <f>IFERROR((PA[[#This Row],[Sunset Time (POA&lt;20 W/m2)]]-PA[[#This Row],[Sunrise Time (POA&gt;20 W/m2)]])*24,"")</f>
        <v>11.883333333333333</v>
      </c>
      <c r="L58" s="33" t="s">
        <v>303</v>
      </c>
      <c r="M58" s="33" t="s">
        <v>294</v>
      </c>
      <c r="N58" s="33" t="s">
        <v>320</v>
      </c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58" s="35">
        <f>IFERROR(_xlfn.XLOOKUP(PA[[#This Row],[Affected Equipment ]],'Basic Data'!N:N,'Basic Data'!Q:Q),"")</f>
        <v>1276</v>
      </c>
      <c r="V58" s="39">
        <f ca="1">IFERROR(_xlfn.XLOOKUP(PA[[#This Row],[Affected Equipment ]],'Basic Data'!N:N,'Basic Data'!R:R),"")</f>
        <v>3.2542718694210659E-2</v>
      </c>
      <c r="W58" s="36" t="s">
        <v>304</v>
      </c>
      <c r="X58" s="40"/>
      <c r="Y58" s="347" t="s">
        <v>321</v>
      </c>
      <c r="Z58" s="42">
        <v>0.25763888888888886</v>
      </c>
      <c r="AA58" s="42">
        <v>0.25763888888888886</v>
      </c>
      <c r="AB58" s="42">
        <v>0.25763888888888886</v>
      </c>
      <c r="AC58" s="42">
        <v>0.75277777777777777</v>
      </c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11.883333333333333</v>
      </c>
      <c r="AG58" s="44">
        <f>IFERROR((PA[[#This Row],[Work Completion time on fault]]-PA[[#This Row],[Fault Time]])*24,"")</f>
        <v>11.883333333333333</v>
      </c>
      <c r="AH58" s="36" t="s">
        <v>315</v>
      </c>
      <c r="AI58" s="33" t="s">
        <v>298</v>
      </c>
      <c r="AJ58" s="35">
        <f ca="1">IFERROR(PA[[#This Row],[Breakdown Time]]*PA[[#This Row],[Plant Equivalent Weightage]],"")</f>
        <v>0.38671597381620332</v>
      </c>
      <c r="AK58" s="36">
        <v>5.5956636766666659</v>
      </c>
      <c r="AL58" s="51">
        <f>IFERROR((_xlfn.XLOOKUP($G58,'Modelling New'!D:D,'Modelling New'!$O:$O)*PA[[#This Row],[Lost PoA(kWh/m2)]]*PA[[#This Row],[DC Capacity Affected (kW)]]),"")</f>
        <v>4566.1153284470129</v>
      </c>
      <c r="AM58" s="33"/>
      <c r="AN58" s="33"/>
      <c r="AO58" s="33"/>
      <c r="AP58" s="33"/>
    </row>
    <row r="59" spans="1:42">
      <c r="A59" s="30">
        <v>58</v>
      </c>
      <c r="B59" s="31">
        <v>45785</v>
      </c>
      <c r="C59" s="32">
        <f>YEAR(PA[[#This Row],[Date]])+IF(MONTH(PA[[#This Row],[Date]])&gt;=4,1,0)</f>
        <v>2026</v>
      </c>
      <c r="D59" s="32">
        <f>YEAR(PA[[#This Row],[Date]])</f>
        <v>2025</v>
      </c>
      <c r="E59" s="33" t="s">
        <v>219</v>
      </c>
      <c r="F59" s="33" t="s">
        <v>219</v>
      </c>
      <c r="G59" s="196">
        <f>PA[[#This Row],[Date]]-DAY(PA[[#This Row],[Date]])+1</f>
        <v>45778</v>
      </c>
      <c r="H59" s="32">
        <f>DAY(EOMONTH(PA[[#This Row],[Month Year]],0))</f>
        <v>31</v>
      </c>
      <c r="I59" s="122">
        <v>0.25763888888888886</v>
      </c>
      <c r="J59" s="122">
        <v>0.75277777777777777</v>
      </c>
      <c r="K59" s="35">
        <f>IFERROR((PA[[#This Row],[Sunset Time (POA&lt;20 W/m2)]]-PA[[#This Row],[Sunrise Time (POA&gt;20 W/m2)]])*24,"")</f>
        <v>11.883333333333333</v>
      </c>
      <c r="L59" s="33" t="s">
        <v>303</v>
      </c>
      <c r="M59" s="33" t="s">
        <v>294</v>
      </c>
      <c r="N59" s="33" t="s">
        <v>322</v>
      </c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59" s="35">
        <f>IFERROR(_xlfn.XLOOKUP(PA[[#This Row],[Affected Equipment ]],'Basic Data'!N:N,'Basic Data'!Q:Q),"")</f>
        <v>1276</v>
      </c>
      <c r="V59" s="39">
        <f ca="1">IFERROR(_xlfn.XLOOKUP(PA[[#This Row],[Affected Equipment ]],'Basic Data'!N:N,'Basic Data'!R:R),"")</f>
        <v>3.2542718694210659E-2</v>
      </c>
      <c r="W59" s="36" t="s">
        <v>304</v>
      </c>
      <c r="X59" s="40"/>
      <c r="Y59" s="347" t="s">
        <v>323</v>
      </c>
      <c r="Z59" s="42">
        <v>0.25763888888888886</v>
      </c>
      <c r="AA59" s="42">
        <v>0.25763888888888886</v>
      </c>
      <c r="AB59" s="42">
        <v>0.25763888888888886</v>
      </c>
      <c r="AC59" s="42">
        <v>0.75277777777777777</v>
      </c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11.883333333333333</v>
      </c>
      <c r="AG59" s="44">
        <f>IFERROR((PA[[#This Row],[Work Completion time on fault]]-PA[[#This Row],[Fault Time]])*24,"")</f>
        <v>11.883333333333333</v>
      </c>
      <c r="AH59" s="36" t="s">
        <v>315</v>
      </c>
      <c r="AI59" s="33" t="s">
        <v>298</v>
      </c>
      <c r="AJ59" s="35">
        <f ca="1">IFERROR(PA[[#This Row],[Breakdown Time]]*PA[[#This Row],[Plant Equivalent Weightage]],"")</f>
        <v>0.38671597381620332</v>
      </c>
      <c r="AK59" s="36">
        <v>5.5956636766666659</v>
      </c>
      <c r="AL59" s="51">
        <f>IFERROR((_xlfn.XLOOKUP($G59,'Modelling New'!D:D,'Modelling New'!$O:$O)*PA[[#This Row],[Lost PoA(kWh/m2)]]*PA[[#This Row],[DC Capacity Affected (kW)]]),"")</f>
        <v>4566.1153284470129</v>
      </c>
      <c r="AM59" s="33"/>
      <c r="AN59" s="33"/>
      <c r="AO59" s="33"/>
      <c r="AP59" s="33"/>
    </row>
    <row r="60" spans="1:42">
      <c r="A60" s="30">
        <v>59</v>
      </c>
      <c r="B60" s="31">
        <v>45786</v>
      </c>
      <c r="C60" s="32">
        <f>YEAR(PA[[#This Row],[Date]])+IF(MONTH(PA[[#This Row],[Date]])&gt;=4,1,0)</f>
        <v>2026</v>
      </c>
      <c r="D60" s="32">
        <f>YEAR(PA[[#This Row],[Date]])</f>
        <v>2025</v>
      </c>
      <c r="E60" s="33" t="s">
        <v>219</v>
      </c>
      <c r="F60" s="33" t="s">
        <v>219</v>
      </c>
      <c r="G60" s="196">
        <f>PA[[#This Row],[Date]]-DAY(PA[[#This Row],[Date]])+1</f>
        <v>45778</v>
      </c>
      <c r="H60" s="32">
        <f>DAY(EOMONTH(PA[[#This Row],[Month Year]],0))</f>
        <v>31</v>
      </c>
      <c r="I60" s="122">
        <v>0.26597222222222222</v>
      </c>
      <c r="J60" s="122">
        <v>0.76736111111111116</v>
      </c>
      <c r="K60" s="35">
        <f>IFERROR((PA[[#This Row],[Sunset Time (POA&lt;20 W/m2)]]-PA[[#This Row],[Sunrise Time (POA&gt;20 W/m2)]])*24,"")</f>
        <v>12.033333333333333</v>
      </c>
      <c r="L60" s="33" t="s">
        <v>303</v>
      </c>
      <c r="M60" s="33" t="s">
        <v>294</v>
      </c>
      <c r="N60" s="33" t="s">
        <v>313</v>
      </c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0" s="35">
        <f>IFERROR(_xlfn.XLOOKUP(PA[[#This Row],[Affected Equipment ]],'Basic Data'!N:N,'Basic Data'!Q:Q),"")</f>
        <v>1276</v>
      </c>
      <c r="V60" s="39">
        <f ca="1">IFERROR(_xlfn.XLOOKUP(PA[[#This Row],[Affected Equipment ]],'Basic Data'!N:N,'Basic Data'!R:R),"")</f>
        <v>3.2542718694210659E-2</v>
      </c>
      <c r="W60" s="36" t="s">
        <v>304</v>
      </c>
      <c r="X60" s="40"/>
      <c r="Y60" s="347" t="s">
        <v>318</v>
      </c>
      <c r="Z60" s="42">
        <v>0.26597222222222222</v>
      </c>
      <c r="AA60" s="42">
        <v>0.26597222222222222</v>
      </c>
      <c r="AB60" s="42">
        <v>0.26597222222222222</v>
      </c>
      <c r="AC60" s="42">
        <v>0.76736111111111116</v>
      </c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12.033333333333333</v>
      </c>
      <c r="AG60" s="44">
        <f>IFERROR((PA[[#This Row],[Work Completion time on fault]]-PA[[#This Row],[Fault Time]])*24,"")</f>
        <v>12.033333333333333</v>
      </c>
      <c r="AH60" s="36" t="s">
        <v>315</v>
      </c>
      <c r="AI60" s="33" t="s">
        <v>298</v>
      </c>
      <c r="AJ60" s="35">
        <f ca="1">IFERROR(PA[[#This Row],[Breakdown Time]]*PA[[#This Row],[Plant Equivalent Weightage]],"")</f>
        <v>0.39159738162033492</v>
      </c>
      <c r="AK60" s="36">
        <v>7.02</v>
      </c>
      <c r="AL60" s="51">
        <f>IFERROR((_xlfn.XLOOKUP($G60,'Modelling New'!D:D,'Modelling New'!$O:$O)*PA[[#This Row],[Lost PoA(kWh/m2)]]*PA[[#This Row],[DC Capacity Affected (kW)]]),"")</f>
        <v>5728.3874546214074</v>
      </c>
      <c r="AM60" s="33"/>
      <c r="AN60" s="33"/>
      <c r="AO60" s="33"/>
      <c r="AP60" s="33"/>
    </row>
    <row r="61" spans="1:42">
      <c r="A61" s="30">
        <v>60</v>
      </c>
      <c r="B61" s="31">
        <v>45787</v>
      </c>
      <c r="C61" s="32">
        <f>YEAR(PA[[#This Row],[Date]])+IF(MONTH(PA[[#This Row],[Date]])&gt;=4,1,0)</f>
        <v>2026</v>
      </c>
      <c r="D61" s="32">
        <f>YEAR(PA[[#This Row],[Date]])</f>
        <v>2025</v>
      </c>
      <c r="E61" s="33" t="s">
        <v>219</v>
      </c>
      <c r="F61" s="33" t="s">
        <v>219</v>
      </c>
      <c r="G61" s="196">
        <f>PA[[#This Row],[Date]]-DAY(PA[[#This Row],[Date]])+1</f>
        <v>45778</v>
      </c>
      <c r="H61" s="32">
        <f>DAY(EOMONTH(PA[[#This Row],[Month Year]],0))</f>
        <v>31</v>
      </c>
      <c r="I61" s="122">
        <v>0.25486111111111109</v>
      </c>
      <c r="J61" s="122">
        <v>0.7729166666666667</v>
      </c>
      <c r="K61" s="35">
        <f>IFERROR((PA[[#This Row],[Sunset Time (POA&lt;20 W/m2)]]-PA[[#This Row],[Sunrise Time (POA&gt;20 W/m2)]])*24,"")</f>
        <v>12.433333333333334</v>
      </c>
      <c r="L61" s="33" t="s">
        <v>303</v>
      </c>
      <c r="M61" s="33" t="s">
        <v>294</v>
      </c>
      <c r="N61" s="33" t="s">
        <v>313</v>
      </c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1" s="35">
        <f>IFERROR(_xlfn.XLOOKUP(PA[[#This Row],[Affected Equipment ]],'Basic Data'!N:N,'Basic Data'!Q:Q),"")</f>
        <v>1276</v>
      </c>
      <c r="V61" s="39">
        <f ca="1">IFERROR(_xlfn.XLOOKUP(PA[[#This Row],[Affected Equipment ]],'Basic Data'!N:N,'Basic Data'!R:R),"")</f>
        <v>3.2542718694210659E-2</v>
      </c>
      <c r="W61" s="36" t="s">
        <v>304</v>
      </c>
      <c r="X61" s="40"/>
      <c r="Y61" s="347" t="s">
        <v>319</v>
      </c>
      <c r="Z61" s="42">
        <v>0.25486111111111109</v>
      </c>
      <c r="AA61" s="42">
        <v>0.25486111111111109</v>
      </c>
      <c r="AB61" s="42">
        <v>0.25486111111111109</v>
      </c>
      <c r="AC61" s="42">
        <v>0.7729166666666667</v>
      </c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12.433333333333334</v>
      </c>
      <c r="AG61" s="44">
        <f>IFERROR((PA[[#This Row],[Work Completion time on fault]]-PA[[#This Row],[Fault Time]])*24,"")</f>
        <v>12.433333333333334</v>
      </c>
      <c r="AH61" s="36" t="s">
        <v>315</v>
      </c>
      <c r="AI61" s="33" t="s">
        <v>298</v>
      </c>
      <c r="AJ61" s="35">
        <f ca="1">IFERROR(PA[[#This Row],[Breakdown Time]]*PA[[#This Row],[Plant Equivalent Weightage]],"")</f>
        <v>0.40461446909801918</v>
      </c>
      <c r="AK61" s="36">
        <v>6.01</v>
      </c>
      <c r="AL61" s="51">
        <f>IFERROR((_xlfn.XLOOKUP($G61,'Modelling New'!D:D,'Modelling New'!$O:$O)*PA[[#This Row],[Lost PoA(kWh/m2)]]*PA[[#This Row],[DC Capacity Affected (kW)]]),"")</f>
        <v>4904.2177496117747</v>
      </c>
      <c r="AM61" s="33"/>
      <c r="AN61" s="33"/>
      <c r="AO61" s="33"/>
      <c r="AP61" s="33"/>
    </row>
    <row r="62" spans="1:42">
      <c r="A62" s="30">
        <v>61</v>
      </c>
      <c r="B62" s="31">
        <v>45787</v>
      </c>
      <c r="C62" s="32">
        <f>YEAR(PA[[#This Row],[Date]])+IF(MONTH(PA[[#This Row],[Date]])&gt;=4,1,0)</f>
        <v>2026</v>
      </c>
      <c r="D62" s="32">
        <f>YEAR(PA[[#This Row],[Date]])</f>
        <v>2025</v>
      </c>
      <c r="E62" s="33" t="s">
        <v>219</v>
      </c>
      <c r="F62" s="33" t="s">
        <v>219</v>
      </c>
      <c r="G62" s="196">
        <f>PA[[#This Row],[Date]]-DAY(PA[[#This Row],[Date]])+1</f>
        <v>45778</v>
      </c>
      <c r="H62" s="32">
        <f>DAY(EOMONTH(PA[[#This Row],[Month Year]],0))</f>
        <v>31</v>
      </c>
      <c r="I62" s="122">
        <v>0.25486111111111109</v>
      </c>
      <c r="J62" s="122">
        <v>0.7729166666666667</v>
      </c>
      <c r="K62" s="35">
        <f>IFERROR((PA[[#This Row],[Sunset Time (POA&lt;20 W/m2)]]-PA[[#This Row],[Sunrise Time (POA&gt;20 W/m2)]])*24,"")</f>
        <v>12.433333333333334</v>
      </c>
      <c r="L62" s="33" t="s">
        <v>303</v>
      </c>
      <c r="M62" s="33" t="s">
        <v>294</v>
      </c>
      <c r="N62" s="33" t="s">
        <v>316</v>
      </c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2" s="35">
        <f>IFERROR(_xlfn.XLOOKUP(PA[[#This Row],[Affected Equipment ]],'Basic Data'!N:N,'Basic Data'!Q:Q),"")</f>
        <v>1276</v>
      </c>
      <c r="V62" s="39">
        <f ca="1">IFERROR(_xlfn.XLOOKUP(PA[[#This Row],[Affected Equipment ]],'Basic Data'!N:N,'Basic Data'!R:R),"")</f>
        <v>3.2542718694210659E-2</v>
      </c>
      <c r="W62" s="36" t="s">
        <v>304</v>
      </c>
      <c r="X62" s="40"/>
      <c r="Y62" s="347" t="s">
        <v>318</v>
      </c>
      <c r="Z62" s="42">
        <v>0.25486111111111109</v>
      </c>
      <c r="AA62" s="42">
        <v>0.25486111111111109</v>
      </c>
      <c r="AB62" s="42">
        <v>0.25486111111111109</v>
      </c>
      <c r="AC62" s="42">
        <v>0.7729166666666667</v>
      </c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12.433333333333334</v>
      </c>
      <c r="AG62" s="44">
        <f>IFERROR((PA[[#This Row],[Work Completion time on fault]]-PA[[#This Row],[Fault Time]])*24,"")</f>
        <v>12.433333333333334</v>
      </c>
      <c r="AH62" s="36" t="s">
        <v>315</v>
      </c>
      <c r="AI62" s="33" t="s">
        <v>298</v>
      </c>
      <c r="AJ62" s="35">
        <f ca="1">IFERROR(PA[[#This Row],[Breakdown Time]]*PA[[#This Row],[Plant Equivalent Weightage]],"")</f>
        <v>0.40461446909801918</v>
      </c>
      <c r="AK62" s="36">
        <v>6.01</v>
      </c>
      <c r="AL62" s="51">
        <f>IFERROR((_xlfn.XLOOKUP($G62,'Modelling New'!D:D,'Modelling New'!$O:$O)*PA[[#This Row],[Lost PoA(kWh/m2)]]*PA[[#This Row],[DC Capacity Affected (kW)]]),"")</f>
        <v>4904.2177496117747</v>
      </c>
      <c r="AM62" s="33"/>
      <c r="AN62" s="33"/>
      <c r="AO62" s="33"/>
      <c r="AP62" s="33"/>
    </row>
    <row r="63" spans="1:42">
      <c r="A63" s="30">
        <v>62</v>
      </c>
      <c r="B63" s="31">
        <v>45788</v>
      </c>
      <c r="C63" s="32">
        <f>YEAR(PA[[#This Row],[Date]])+IF(MONTH(PA[[#This Row],[Date]])&gt;=4,1,0)</f>
        <v>2026</v>
      </c>
      <c r="D63" s="32">
        <f>YEAR(PA[[#This Row],[Date]])</f>
        <v>2025</v>
      </c>
      <c r="E63" s="33" t="s">
        <v>219</v>
      </c>
      <c r="F63" s="33" t="s">
        <v>219</v>
      </c>
      <c r="G63" s="196">
        <f>PA[[#This Row],[Date]]-DAY(PA[[#This Row],[Date]])+1</f>
        <v>45778</v>
      </c>
      <c r="H63" s="32">
        <f>DAY(EOMONTH(PA[[#This Row],[Month Year]],0))</f>
        <v>31</v>
      </c>
      <c r="I63" s="122">
        <v>0.26180555555555557</v>
      </c>
      <c r="J63" s="122">
        <v>0.76041666666666663</v>
      </c>
      <c r="K63" s="35">
        <f>IFERROR((PA[[#This Row],[Sunset Time (POA&lt;20 W/m2)]]-PA[[#This Row],[Sunrise Time (POA&gt;20 W/m2)]])*24,"")</f>
        <v>11.966666666666665</v>
      </c>
      <c r="L63" s="33" t="s">
        <v>303</v>
      </c>
      <c r="M63" s="33" t="s">
        <v>294</v>
      </c>
      <c r="N63" s="33" t="s">
        <v>313</v>
      </c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3" s="35">
        <f>IFERROR(_xlfn.XLOOKUP(PA[[#This Row],[Affected Equipment ]],'Basic Data'!N:N,'Basic Data'!Q:Q),"")</f>
        <v>1276</v>
      </c>
      <c r="V63" s="39">
        <f ca="1">IFERROR(_xlfn.XLOOKUP(PA[[#This Row],[Affected Equipment ]],'Basic Data'!N:N,'Basic Data'!R:R),"")</f>
        <v>3.2542718694210659E-2</v>
      </c>
      <c r="W63" s="36" t="s">
        <v>304</v>
      </c>
      <c r="X63" s="40"/>
      <c r="Y63" s="347" t="s">
        <v>324</v>
      </c>
      <c r="Z63" s="42">
        <v>0.26180555555555557</v>
      </c>
      <c r="AA63" s="42">
        <v>0.26180555555555557</v>
      </c>
      <c r="AB63" s="42">
        <v>0.26180555555555557</v>
      </c>
      <c r="AC63" s="42">
        <v>0.76041666666666663</v>
      </c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11.966666666666665</v>
      </c>
      <c r="AG63" s="44">
        <f>IFERROR((PA[[#This Row],[Work Completion time on fault]]-PA[[#This Row],[Fault Time]])*24,"")</f>
        <v>11.966666666666665</v>
      </c>
      <c r="AH63" s="36" t="s">
        <v>315</v>
      </c>
      <c r="AI63" s="33" t="s">
        <v>298</v>
      </c>
      <c r="AJ63" s="35">
        <f ca="1">IFERROR(PA[[#This Row],[Breakdown Time]]*PA[[#This Row],[Plant Equivalent Weightage]],"")</f>
        <v>0.38942786704072085</v>
      </c>
      <c r="AK63" s="36">
        <v>6.45</v>
      </c>
      <c r="AL63" s="51">
        <f>IFERROR((_xlfn.XLOOKUP($G63,'Modelling New'!D:D,'Modelling New'!$O:$O)*PA[[#This Row],[Lost PoA(kWh/m2)]]*PA[[#This Row],[DC Capacity Affected (kW)]]),"")</f>
        <v>5263.2619775367639</v>
      </c>
      <c r="AM63" s="33"/>
      <c r="AN63" s="33"/>
      <c r="AO63" s="33"/>
      <c r="AP63" s="33"/>
    </row>
    <row r="64" spans="1:42">
      <c r="A64" s="30">
        <v>63</v>
      </c>
      <c r="B64" s="31">
        <v>45788</v>
      </c>
      <c r="C64" s="32">
        <f>YEAR(PA[[#This Row],[Date]])+IF(MONTH(PA[[#This Row],[Date]])&gt;=4,1,0)</f>
        <v>2026</v>
      </c>
      <c r="D64" s="32">
        <f>YEAR(PA[[#This Row],[Date]])</f>
        <v>2025</v>
      </c>
      <c r="E64" s="33" t="s">
        <v>219</v>
      </c>
      <c r="F64" s="33" t="s">
        <v>219</v>
      </c>
      <c r="G64" s="196">
        <f>PA[[#This Row],[Date]]-DAY(PA[[#This Row],[Date]])+1</f>
        <v>45778</v>
      </c>
      <c r="H64" s="32">
        <f>DAY(EOMONTH(PA[[#This Row],[Month Year]],0))</f>
        <v>31</v>
      </c>
      <c r="I64" s="122">
        <v>0.26180555555555557</v>
      </c>
      <c r="J64" s="122">
        <v>0.76041666666666663</v>
      </c>
      <c r="K64" s="35">
        <f>IFERROR((PA[[#This Row],[Sunset Time (POA&lt;20 W/m2)]]-PA[[#This Row],[Sunrise Time (POA&gt;20 W/m2)]])*24,"")</f>
        <v>11.966666666666665</v>
      </c>
      <c r="L64" s="33" t="s">
        <v>303</v>
      </c>
      <c r="M64" s="33" t="s">
        <v>294</v>
      </c>
      <c r="N64" s="33" t="s">
        <v>316</v>
      </c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4" s="35">
        <f>IFERROR(_xlfn.XLOOKUP(PA[[#This Row],[Affected Equipment ]],'Basic Data'!N:N,'Basic Data'!Q:Q),"")</f>
        <v>1276</v>
      </c>
      <c r="V64" s="39">
        <f ca="1">IFERROR(_xlfn.XLOOKUP(PA[[#This Row],[Affected Equipment ]],'Basic Data'!N:N,'Basic Data'!R:R),"")</f>
        <v>3.2542718694210659E-2</v>
      </c>
      <c r="W64" s="36" t="s">
        <v>304</v>
      </c>
      <c r="X64" s="40"/>
      <c r="Y64" s="347" t="s">
        <v>325</v>
      </c>
      <c r="Z64" s="42">
        <v>0.26180555555555557</v>
      </c>
      <c r="AA64" s="42">
        <v>0.26180555555555557</v>
      </c>
      <c r="AB64" s="42">
        <v>0.26180555555555557</v>
      </c>
      <c r="AC64" s="42">
        <v>0.76041666666666663</v>
      </c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11.966666666666665</v>
      </c>
      <c r="AG64" s="44">
        <f>IFERROR((PA[[#This Row],[Work Completion time on fault]]-PA[[#This Row],[Fault Time]])*24,"")</f>
        <v>11.966666666666665</v>
      </c>
      <c r="AH64" s="36" t="s">
        <v>315</v>
      </c>
      <c r="AI64" s="33" t="s">
        <v>298</v>
      </c>
      <c r="AJ64" s="35">
        <f ca="1">IFERROR(PA[[#This Row],[Breakdown Time]]*PA[[#This Row],[Plant Equivalent Weightage]],"")</f>
        <v>0.38942786704072085</v>
      </c>
      <c r="AK64" s="36">
        <v>6.45</v>
      </c>
      <c r="AL64" s="51">
        <f>IFERROR((_xlfn.XLOOKUP($G64,'Modelling New'!D:D,'Modelling New'!$O:$O)*PA[[#This Row],[Lost PoA(kWh/m2)]]*PA[[#This Row],[DC Capacity Affected (kW)]]),"")</f>
        <v>5263.2619775367639</v>
      </c>
      <c r="AM64" s="33"/>
      <c r="AN64" s="33"/>
      <c r="AO64" s="33"/>
      <c r="AP64" s="33"/>
    </row>
    <row r="65" spans="1:42">
      <c r="A65" s="30">
        <v>64</v>
      </c>
      <c r="B65" s="31">
        <v>45789</v>
      </c>
      <c r="C65" s="32">
        <f>YEAR(PA[[#This Row],[Date]])+IF(MONTH(PA[[#This Row],[Date]])&gt;=4,1,0)</f>
        <v>2026</v>
      </c>
      <c r="D65" s="32">
        <f>YEAR(PA[[#This Row],[Date]])</f>
        <v>2025</v>
      </c>
      <c r="E65" s="33" t="s">
        <v>219</v>
      </c>
      <c r="F65" s="33" t="s">
        <v>219</v>
      </c>
      <c r="G65" s="196">
        <f>PA[[#This Row],[Date]]-DAY(PA[[#This Row],[Date]])+1</f>
        <v>45778</v>
      </c>
      <c r="H65" s="32">
        <f>DAY(EOMONTH(PA[[#This Row],[Month Year]],0))</f>
        <v>31</v>
      </c>
      <c r="I65" s="122">
        <v>0.26041666666666669</v>
      </c>
      <c r="J65" s="122">
        <v>0.74027777777777781</v>
      </c>
      <c r="K65" s="35">
        <f>IFERROR((PA[[#This Row],[Sunset Time (POA&lt;20 W/m2)]]-PA[[#This Row],[Sunrise Time (POA&gt;20 W/m2)]])*24,"")</f>
        <v>11.516666666666667</v>
      </c>
      <c r="L65" s="33" t="s">
        <v>303</v>
      </c>
      <c r="M65" s="33" t="s">
        <v>294</v>
      </c>
      <c r="N65" s="33" t="s">
        <v>313</v>
      </c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5" s="35">
        <f>IFERROR(_xlfn.XLOOKUP(PA[[#This Row],[Affected Equipment ]],'Basic Data'!N:N,'Basic Data'!Q:Q),"")</f>
        <v>1276</v>
      </c>
      <c r="V65" s="39">
        <f ca="1">IFERROR(_xlfn.XLOOKUP(PA[[#This Row],[Affected Equipment ]],'Basic Data'!N:N,'Basic Data'!R:R),"")</f>
        <v>3.2542718694210659E-2</v>
      </c>
      <c r="W65" s="36" t="s">
        <v>304</v>
      </c>
      <c r="X65" s="40"/>
      <c r="Y65" s="347" t="s">
        <v>318</v>
      </c>
      <c r="Z65" s="42">
        <v>0.26041666666666669</v>
      </c>
      <c r="AA65" s="42">
        <v>0.26041666666666669</v>
      </c>
      <c r="AB65" s="42">
        <v>0.26041666666666669</v>
      </c>
      <c r="AC65" s="42">
        <v>0.74027777777777781</v>
      </c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11.516666666666667</v>
      </c>
      <c r="AG65" s="44">
        <f>IFERROR((PA[[#This Row],[Work Completion time on fault]]-PA[[#This Row],[Fault Time]])*24,"")</f>
        <v>11.516666666666667</v>
      </c>
      <c r="AH65" s="36" t="s">
        <v>315</v>
      </c>
      <c r="AI65" s="33" t="s">
        <v>298</v>
      </c>
      <c r="AJ65" s="35">
        <f ca="1">IFERROR(PA[[#This Row],[Breakdown Time]]*PA[[#This Row],[Plant Equivalent Weightage]],"")</f>
        <v>0.37478364362832611</v>
      </c>
      <c r="AK65" s="36">
        <v>2.62</v>
      </c>
      <c r="AL65" s="51">
        <f>IFERROR((_xlfn.XLOOKUP($G65,'Modelling New'!D:D,'Modelling New'!$O:$O)*PA[[#This Row],[Lost PoA(kWh/m2)]]*PA[[#This Row],[DC Capacity Affected (kW)]]),"")</f>
        <v>2137.9451753715225</v>
      </c>
      <c r="AM65" s="33"/>
      <c r="AN65" s="33"/>
      <c r="AO65" s="33"/>
      <c r="AP65" s="33"/>
    </row>
    <row r="66" spans="1:42">
      <c r="A66" s="30">
        <v>65</v>
      </c>
      <c r="B66" s="31">
        <v>45789</v>
      </c>
      <c r="C66" s="32">
        <f>YEAR(PA[[#This Row],[Date]])+IF(MONTH(PA[[#This Row],[Date]])&gt;=4,1,0)</f>
        <v>2026</v>
      </c>
      <c r="D66" s="32">
        <f>YEAR(PA[[#This Row],[Date]])</f>
        <v>2025</v>
      </c>
      <c r="E66" s="33" t="s">
        <v>219</v>
      </c>
      <c r="F66" s="33" t="s">
        <v>219</v>
      </c>
      <c r="G66" s="196">
        <f>PA[[#This Row],[Date]]-DAY(PA[[#This Row],[Date]])+1</f>
        <v>45778</v>
      </c>
      <c r="H66" s="32">
        <f>DAY(EOMONTH(PA[[#This Row],[Month Year]],0))</f>
        <v>31</v>
      </c>
      <c r="I66" s="122">
        <v>0.26041666666666669</v>
      </c>
      <c r="J66" s="122">
        <v>0.74027777777777781</v>
      </c>
      <c r="K66" s="35">
        <f>IFERROR((PA[[#This Row],[Sunset Time (POA&lt;20 W/m2)]]-PA[[#This Row],[Sunrise Time (POA&gt;20 W/m2)]])*24,"")</f>
        <v>11.516666666666667</v>
      </c>
      <c r="L66" s="33" t="s">
        <v>303</v>
      </c>
      <c r="M66" s="33" t="s">
        <v>294</v>
      </c>
      <c r="N66" s="33" t="s">
        <v>316</v>
      </c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6" s="35">
        <f>IFERROR(_xlfn.XLOOKUP(PA[[#This Row],[Affected Equipment ]],'Basic Data'!N:N,'Basic Data'!Q:Q),"")</f>
        <v>1276</v>
      </c>
      <c r="V66" s="39">
        <f ca="1">IFERROR(_xlfn.XLOOKUP(PA[[#This Row],[Affected Equipment ]],'Basic Data'!N:N,'Basic Data'!R:R),"")</f>
        <v>3.2542718694210659E-2</v>
      </c>
      <c r="W66" s="36" t="s">
        <v>304</v>
      </c>
      <c r="X66" s="40"/>
      <c r="Y66" s="347" t="s">
        <v>318</v>
      </c>
      <c r="Z66" s="42">
        <v>0.26041666666666669</v>
      </c>
      <c r="AA66" s="42">
        <v>0.26041666666666669</v>
      </c>
      <c r="AB66" s="42">
        <v>0.26041666666666669</v>
      </c>
      <c r="AC66" s="42">
        <v>0.74027777777777781</v>
      </c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11.516666666666667</v>
      </c>
      <c r="AG66" s="44">
        <f>IFERROR((PA[[#This Row],[Work Completion time on fault]]-PA[[#This Row],[Fault Time]])*24,"")</f>
        <v>11.516666666666667</v>
      </c>
      <c r="AH66" s="36" t="s">
        <v>315</v>
      </c>
      <c r="AI66" s="33" t="s">
        <v>298</v>
      </c>
      <c r="AJ66" s="35">
        <f ca="1">IFERROR(PA[[#This Row],[Breakdown Time]]*PA[[#This Row],[Plant Equivalent Weightage]],"")</f>
        <v>0.37478364362832611</v>
      </c>
      <c r="AK66" s="36">
        <v>2.62</v>
      </c>
      <c r="AL66" s="51">
        <f>IFERROR((_xlfn.XLOOKUP($G66,'Modelling New'!D:D,'Modelling New'!$O:$O)*PA[[#This Row],[Lost PoA(kWh/m2)]]*PA[[#This Row],[DC Capacity Affected (kW)]]),"")</f>
        <v>2137.9451753715225</v>
      </c>
      <c r="AM66" s="33"/>
      <c r="AN66" s="33"/>
      <c r="AO66" s="33"/>
      <c r="AP66" s="33"/>
    </row>
    <row r="67" spans="1:42">
      <c r="A67" s="30">
        <v>66</v>
      </c>
      <c r="B67" s="31">
        <v>45789</v>
      </c>
      <c r="C67" s="32">
        <f>YEAR(PA[[#This Row],[Date]])+IF(MONTH(PA[[#This Row],[Date]])&gt;=4,1,0)</f>
        <v>2026</v>
      </c>
      <c r="D67" s="32">
        <f>YEAR(PA[[#This Row],[Date]])</f>
        <v>2025</v>
      </c>
      <c r="E67" s="33" t="s">
        <v>219</v>
      </c>
      <c r="F67" s="33" t="s">
        <v>219</v>
      </c>
      <c r="G67" s="196">
        <f>PA[[#This Row],[Date]]-DAY(PA[[#This Row],[Date]])+1</f>
        <v>45778</v>
      </c>
      <c r="H67" s="32">
        <f>DAY(EOMONTH(PA[[#This Row],[Month Year]],0))</f>
        <v>31</v>
      </c>
      <c r="I67" s="122">
        <v>0.26041666666666669</v>
      </c>
      <c r="J67" s="122">
        <v>0.74027777777777781</v>
      </c>
      <c r="K67" s="35">
        <f>IFERROR((PA[[#This Row],[Sunset Time (POA&lt;20 W/m2)]]-PA[[#This Row],[Sunrise Time (POA&gt;20 W/m2)]])*24,"")</f>
        <v>11.516666666666667</v>
      </c>
      <c r="L67" s="33" t="s">
        <v>303</v>
      </c>
      <c r="M67" s="33" t="s">
        <v>299</v>
      </c>
      <c r="N67" s="33" t="s">
        <v>322</v>
      </c>
      <c r="O67" s="36" t="s">
        <v>326</v>
      </c>
      <c r="P67" s="36" t="s">
        <v>327</v>
      </c>
      <c r="Q67" s="33"/>
      <c r="R67" s="32">
        <f>IF((PA[[#This Row],[String Type(If String BD)]]&amp;PA[[#This Row],[Equipment (If any BD other than PV  array and inv)]])="",1,0)</f>
        <v>0</v>
      </c>
      <c r="S67" s="32">
        <f>IF(PA[[#This Row],[String Type(If String BD)]]="",1,0)</f>
        <v>0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7" s="35">
        <f>IFERROR(_xlfn.XLOOKUP(PA[[#This Row],[Affected Equipment ]],'Basic Data'!N:N,'Basic Data'!Q:Q),"")</f>
        <v>15.95</v>
      </c>
      <c r="V67" s="39">
        <f ca="1">IFERROR(_xlfn.XLOOKUP(PA[[#This Row],[Affected Equipment ]],'Basic Data'!N:N,'Basic Data'!R:R),"")</f>
        <v>4.0678398367763324E-4</v>
      </c>
      <c r="W67" s="36" t="s">
        <v>328</v>
      </c>
      <c r="X67" s="40"/>
      <c r="Y67" s="350" t="s">
        <v>329</v>
      </c>
      <c r="Z67" s="42">
        <v>0.26041666666666669</v>
      </c>
      <c r="AA67" s="42">
        <v>0.26041666666666669</v>
      </c>
      <c r="AB67" s="42">
        <v>0.26041666666666669</v>
      </c>
      <c r="AC67" s="42">
        <v>0.68055555555555558</v>
      </c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10.083333333333334</v>
      </c>
      <c r="AG67" s="44">
        <f>IFERROR((PA[[#This Row],[Work Completion time on fault]]-PA[[#This Row],[Fault Time]])*24,"")</f>
        <v>10.083333333333334</v>
      </c>
      <c r="AH67" s="36" t="s">
        <v>330</v>
      </c>
      <c r="AI67" s="33" t="s">
        <v>298</v>
      </c>
      <c r="AJ67" s="35">
        <f ca="1">IFERROR(PA[[#This Row],[Breakdown Time]]*PA[[#This Row],[Plant Equivalent Weightage]],"")</f>
        <v>4.1017385020828022E-3</v>
      </c>
      <c r="AK67" s="36">
        <v>2.2944166666666668</v>
      </c>
      <c r="AL67" s="51">
        <f>IFERROR((_xlfn.XLOOKUP($G67,'Modelling New'!D:D,'Modelling New'!$O:$O)*PA[[#This Row],[Lost PoA(kWh/m2)]]*PA[[#This Row],[DC Capacity Affected (kW)]]),"")</f>
        <v>23.403325585839749</v>
      </c>
      <c r="AM67" s="33"/>
      <c r="AN67" s="33"/>
      <c r="AO67" s="33"/>
      <c r="AP67" s="33"/>
    </row>
    <row r="68" spans="1:42">
      <c r="A68" s="30">
        <v>67</v>
      </c>
      <c r="B68" s="31">
        <v>45789</v>
      </c>
      <c r="C68" s="32">
        <f>YEAR(PA[[#This Row],[Date]])+IF(MONTH(PA[[#This Row],[Date]])&gt;=4,1,0)</f>
        <v>2026</v>
      </c>
      <c r="D68" s="32">
        <f>YEAR(PA[[#This Row],[Date]])</f>
        <v>2025</v>
      </c>
      <c r="E68" s="33" t="s">
        <v>219</v>
      </c>
      <c r="F68" s="33" t="s">
        <v>219</v>
      </c>
      <c r="G68" s="196">
        <f>PA[[#This Row],[Date]]-DAY(PA[[#This Row],[Date]])+1</f>
        <v>45778</v>
      </c>
      <c r="H68" s="32">
        <f>DAY(EOMONTH(PA[[#This Row],[Month Year]],0))</f>
        <v>31</v>
      </c>
      <c r="I68" s="122">
        <v>0.26041666666666669</v>
      </c>
      <c r="J68" s="122">
        <v>0.74027777777777781</v>
      </c>
      <c r="K68" s="35">
        <f>IFERROR((PA[[#This Row],[Sunset Time (POA&lt;20 W/m2)]]-PA[[#This Row],[Sunrise Time (POA&gt;20 W/m2)]])*24,"")</f>
        <v>11.516666666666667</v>
      </c>
      <c r="L68" s="33" t="s">
        <v>303</v>
      </c>
      <c r="M68" s="33" t="s">
        <v>299</v>
      </c>
      <c r="N68" s="33" t="s">
        <v>322</v>
      </c>
      <c r="O68" s="36" t="s">
        <v>331</v>
      </c>
      <c r="P68" s="36" t="s">
        <v>327</v>
      </c>
      <c r="Q68" s="33"/>
      <c r="R68" s="32">
        <f>IF((PA[[#This Row],[String Type(If String BD)]]&amp;PA[[#This Row],[Equipment (If any BD other than PV  array and inv)]])="",1,0)</f>
        <v>0</v>
      </c>
      <c r="S68" s="32">
        <f>IF(PA[[#This Row],[String Type(If String BD)]]="",1,0)</f>
        <v>0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8" s="35">
        <f>IFERROR(_xlfn.XLOOKUP(PA[[#This Row],[Affected Equipment ]],'Basic Data'!N:N,'Basic Data'!Q:Q),"")</f>
        <v>15.95</v>
      </c>
      <c r="V68" s="39">
        <f ca="1">IFERROR(_xlfn.XLOOKUP(PA[[#This Row],[Affected Equipment ]],'Basic Data'!N:N,'Basic Data'!R:R),"")</f>
        <v>4.0678398367763324E-4</v>
      </c>
      <c r="W68" s="36" t="s">
        <v>328</v>
      </c>
      <c r="X68" s="40"/>
      <c r="Y68" s="350" t="s">
        <v>329</v>
      </c>
      <c r="Z68" s="42">
        <v>0.26041666666666669</v>
      </c>
      <c r="AA68" s="42">
        <v>0.26041666666666669</v>
      </c>
      <c r="AB68" s="42">
        <v>0.26041666666666669</v>
      </c>
      <c r="AC68" s="42">
        <v>0.6958333333333333</v>
      </c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10.45</v>
      </c>
      <c r="AG68" s="44">
        <f>IFERROR((PA[[#This Row],[Work Completion time on fault]]-PA[[#This Row],[Fault Time]])*24,"")</f>
        <v>10.45</v>
      </c>
      <c r="AH68" s="36" t="s">
        <v>330</v>
      </c>
      <c r="AI68" s="33" t="s">
        <v>298</v>
      </c>
      <c r="AJ68" s="35">
        <f ca="1">IFERROR(PA[[#This Row],[Breakdown Time]]*PA[[#This Row],[Plant Equivalent Weightage]],"")</f>
        <v>4.2508926294312667E-3</v>
      </c>
      <c r="AK68" s="36">
        <v>2.4308333333333332</v>
      </c>
      <c r="AL68" s="51">
        <f>IFERROR((_xlfn.XLOOKUP($G68,'Modelling New'!D:D,'Modelling New'!$O:$O)*PA[[#This Row],[Lost PoA(kWh/m2)]]*PA[[#This Row],[DC Capacity Affected (kW)]]),"")</f>
        <v>24.794791971050934</v>
      </c>
      <c r="AM68" s="33"/>
      <c r="AN68" s="33"/>
      <c r="AO68" s="33"/>
      <c r="AP68" s="33"/>
    </row>
    <row r="69" spans="1:42">
      <c r="A69" s="30">
        <v>68</v>
      </c>
      <c r="B69" s="31">
        <v>45790</v>
      </c>
      <c r="C69" s="32">
        <f>YEAR(PA[[#This Row],[Date]])+IF(MONTH(PA[[#This Row],[Date]])&gt;=4,1,0)</f>
        <v>2026</v>
      </c>
      <c r="D69" s="32">
        <f>YEAR(PA[[#This Row],[Date]])</f>
        <v>2025</v>
      </c>
      <c r="E69" s="33" t="s">
        <v>219</v>
      </c>
      <c r="F69" s="33" t="s">
        <v>219</v>
      </c>
      <c r="G69" s="196">
        <f>PA[[#This Row],[Date]]-DAY(PA[[#This Row],[Date]])+1</f>
        <v>45778</v>
      </c>
      <c r="H69" s="32">
        <f>DAY(EOMONTH(PA[[#This Row],[Month Year]],0))</f>
        <v>31</v>
      </c>
      <c r="I69" s="122">
        <v>0.2951388888888889</v>
      </c>
      <c r="J69" s="122">
        <v>0.76944444444444449</v>
      </c>
      <c r="K69" s="35">
        <f>IFERROR((PA[[#This Row],[Sunset Time (POA&lt;20 W/m2)]]-PA[[#This Row],[Sunrise Time (POA&gt;20 W/m2)]])*24,"")</f>
        <v>11.383333333333335</v>
      </c>
      <c r="L69" s="33" t="s">
        <v>303</v>
      </c>
      <c r="M69" s="33" t="s">
        <v>294</v>
      </c>
      <c r="N69" s="33" t="s">
        <v>313</v>
      </c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9" s="35">
        <f>IFERROR(_xlfn.XLOOKUP(PA[[#This Row],[Affected Equipment ]],'Basic Data'!N:N,'Basic Data'!Q:Q),"")</f>
        <v>1276</v>
      </c>
      <c r="V69" s="39">
        <f ca="1">IFERROR(_xlfn.XLOOKUP(PA[[#This Row],[Affected Equipment ]],'Basic Data'!N:N,'Basic Data'!R:R),"")</f>
        <v>3.2542718694210659E-2</v>
      </c>
      <c r="W69" s="36" t="s">
        <v>304</v>
      </c>
      <c r="X69" s="40"/>
      <c r="Y69" s="347" t="s">
        <v>318</v>
      </c>
      <c r="Z69" s="42">
        <v>0.2951388888888889</v>
      </c>
      <c r="AA69" s="42">
        <v>0.2951388888888889</v>
      </c>
      <c r="AB69" s="42">
        <v>0.2951388888888889</v>
      </c>
      <c r="AC69" s="42">
        <v>0.76944444444444449</v>
      </c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11.383333333333335</v>
      </c>
      <c r="AG69" s="44">
        <f>IFERROR((PA[[#This Row],[Work Completion time on fault]]-PA[[#This Row],[Fault Time]])*24,"")</f>
        <v>11.383333333333335</v>
      </c>
      <c r="AH69" s="36" t="s">
        <v>315</v>
      </c>
      <c r="AI69" s="33" t="s">
        <v>298</v>
      </c>
      <c r="AJ69" s="35">
        <f ca="1">IFERROR(PA[[#This Row],[Breakdown Time]]*PA[[#This Row],[Plant Equivalent Weightage]],"")</f>
        <v>0.37044461446909804</v>
      </c>
      <c r="AK69" s="36">
        <v>3.18</v>
      </c>
      <c r="AL69" s="51">
        <f>IFERROR((_xlfn.XLOOKUP($G69,'Modelling New'!D:D,'Modelling New'!$O:$O)*PA[[#This Row],[Lost PoA(kWh/m2)]]*PA[[#This Row],[DC Capacity Affected (kW)]]),"")</f>
        <v>2594.9105563669623</v>
      </c>
      <c r="AM69" s="33"/>
      <c r="AN69" s="33"/>
      <c r="AO69" s="33"/>
      <c r="AP69" s="33"/>
    </row>
    <row r="70" spans="1:42">
      <c r="A70" s="30">
        <v>69</v>
      </c>
      <c r="B70" s="31">
        <v>45790</v>
      </c>
      <c r="C70" s="32">
        <f>YEAR(PA[[#This Row],[Date]])+IF(MONTH(PA[[#This Row],[Date]])&gt;=4,1,0)</f>
        <v>2026</v>
      </c>
      <c r="D70" s="32">
        <f>YEAR(PA[[#This Row],[Date]])</f>
        <v>2025</v>
      </c>
      <c r="E70" s="33" t="s">
        <v>219</v>
      </c>
      <c r="F70" s="33" t="s">
        <v>219</v>
      </c>
      <c r="G70" s="196">
        <f>PA[[#This Row],[Date]]-DAY(PA[[#This Row],[Date]])+1</f>
        <v>45778</v>
      </c>
      <c r="H70" s="32">
        <f>DAY(EOMONTH(PA[[#This Row],[Month Year]],0))</f>
        <v>31</v>
      </c>
      <c r="I70" s="122">
        <v>0.2951388888888889</v>
      </c>
      <c r="J70" s="122">
        <v>0.76944444444444449</v>
      </c>
      <c r="K70" s="35">
        <f>IFERROR((PA[[#This Row],[Sunset Time (POA&lt;20 W/m2)]]-PA[[#This Row],[Sunrise Time (POA&gt;20 W/m2)]])*24,"")</f>
        <v>11.383333333333335</v>
      </c>
      <c r="L70" s="33" t="s">
        <v>303</v>
      </c>
      <c r="M70" s="33" t="s">
        <v>294</v>
      </c>
      <c r="N70" s="33" t="s">
        <v>316</v>
      </c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0" s="35">
        <f>IFERROR(_xlfn.XLOOKUP(PA[[#This Row],[Affected Equipment ]],'Basic Data'!N:N,'Basic Data'!Q:Q),"")</f>
        <v>1276</v>
      </c>
      <c r="V70" s="39">
        <f ca="1">IFERROR(_xlfn.XLOOKUP(PA[[#This Row],[Affected Equipment ]],'Basic Data'!N:N,'Basic Data'!R:R),"")</f>
        <v>3.2542718694210659E-2</v>
      </c>
      <c r="W70" s="36" t="s">
        <v>304</v>
      </c>
      <c r="X70" s="40"/>
      <c r="Y70" s="347" t="s">
        <v>319</v>
      </c>
      <c r="Z70" s="42">
        <v>0.2951388888888889</v>
      </c>
      <c r="AA70" s="42">
        <v>0.2951388888888889</v>
      </c>
      <c r="AB70" s="42">
        <v>0.2951388888888889</v>
      </c>
      <c r="AC70" s="42">
        <v>0.76944444444444449</v>
      </c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11.383333333333335</v>
      </c>
      <c r="AG70" s="44">
        <f>IFERROR((PA[[#This Row],[Work Completion time on fault]]-PA[[#This Row],[Fault Time]])*24,"")</f>
        <v>11.383333333333335</v>
      </c>
      <c r="AH70" s="36" t="s">
        <v>315</v>
      </c>
      <c r="AI70" s="33" t="s">
        <v>298</v>
      </c>
      <c r="AJ70" s="35">
        <f ca="1">IFERROR(PA[[#This Row],[Breakdown Time]]*PA[[#This Row],[Plant Equivalent Weightage]],"")</f>
        <v>0.37044461446909804</v>
      </c>
      <c r="AK70" s="36">
        <v>3.18</v>
      </c>
      <c r="AL70" s="51">
        <f>IFERROR((_xlfn.XLOOKUP($G70,'Modelling New'!D:D,'Modelling New'!$O:$O)*PA[[#This Row],[Lost PoA(kWh/m2)]]*PA[[#This Row],[DC Capacity Affected (kW)]]),"")</f>
        <v>2594.9105563669623</v>
      </c>
      <c r="AM70" s="33"/>
      <c r="AN70" s="33"/>
      <c r="AO70" s="33"/>
      <c r="AP70" s="33"/>
    </row>
    <row r="71" spans="1:42">
      <c r="A71" s="30">
        <v>70</v>
      </c>
      <c r="B71" s="31">
        <v>45791</v>
      </c>
      <c r="C71" s="32">
        <f>YEAR(PA[[#This Row],[Date]])+IF(MONTH(PA[[#This Row],[Date]])&gt;=4,1,0)</f>
        <v>2026</v>
      </c>
      <c r="D71" s="32">
        <f>YEAR(PA[[#This Row],[Date]])</f>
        <v>2025</v>
      </c>
      <c r="E71" s="33" t="s">
        <v>219</v>
      </c>
      <c r="F71" s="33" t="s">
        <v>219</v>
      </c>
      <c r="G71" s="196">
        <f>PA[[#This Row],[Date]]-DAY(PA[[#This Row],[Date]])+1</f>
        <v>45778</v>
      </c>
      <c r="H71" s="32">
        <f>DAY(EOMONTH(PA[[#This Row],[Month Year]],0))</f>
        <v>31</v>
      </c>
      <c r="I71" s="122">
        <v>0.25416666666666665</v>
      </c>
      <c r="J71" s="122">
        <v>0.76458333333333328</v>
      </c>
      <c r="K71" s="35">
        <f>IFERROR((PA[[#This Row],[Sunset Time (POA&lt;20 W/m2)]]-PA[[#This Row],[Sunrise Time (POA&gt;20 W/m2)]])*24,"")</f>
        <v>12.25</v>
      </c>
      <c r="L71" s="33" t="s">
        <v>303</v>
      </c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</v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 t="s">
        <v>304</v>
      </c>
      <c r="X71" s="40"/>
      <c r="Y71" s="350" t="s">
        <v>332</v>
      </c>
      <c r="Z71" s="42">
        <v>0.25416666666666665</v>
      </c>
      <c r="AA71" s="42">
        <v>0.25416666666666665</v>
      </c>
      <c r="AB71" s="42">
        <v>0.25416666666666665</v>
      </c>
      <c r="AC71" s="42">
        <v>0.76458333333333328</v>
      </c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12.25</v>
      </c>
      <c r="AG71" s="44">
        <f>IFERROR((PA[[#This Row],[Work Completion time on fault]]-PA[[#This Row],[Fault Time]])*24,"")</f>
        <v>12.25</v>
      </c>
      <c r="AH71" s="36" t="s">
        <v>315</v>
      </c>
      <c r="AI71" s="33" t="s">
        <v>298</v>
      </c>
      <c r="AJ71" s="35" t="str">
        <f>IFERROR(PA[[#This Row],[Breakdown Time]]*PA[[#This Row],[Plant Equivalent Weightage]],"")</f>
        <v/>
      </c>
      <c r="AK71" s="36">
        <v>4.1500000000000004</v>
      </c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>
        <v>45792</v>
      </c>
      <c r="C72" s="32">
        <f>YEAR(PA[[#This Row],[Date]])+IF(MONTH(PA[[#This Row],[Date]])&gt;=4,1,0)</f>
        <v>2026</v>
      </c>
      <c r="D72" s="32">
        <f>YEAR(PA[[#This Row],[Date]])</f>
        <v>2025</v>
      </c>
      <c r="E72" s="33" t="s">
        <v>219</v>
      </c>
      <c r="F72" s="33" t="s">
        <v>219</v>
      </c>
      <c r="G72" s="196">
        <f>PA[[#This Row],[Date]]-DAY(PA[[#This Row],[Date]])+1</f>
        <v>45778</v>
      </c>
      <c r="H72" s="32">
        <f>DAY(EOMONTH(PA[[#This Row],[Month Year]],0))</f>
        <v>31</v>
      </c>
      <c r="I72" s="122">
        <v>0.25555555555555554</v>
      </c>
      <c r="J72" s="122">
        <v>0.76944444444444449</v>
      </c>
      <c r="K72" s="35">
        <f>IFERROR((PA[[#This Row],[Sunset Time (POA&lt;20 W/m2)]]-PA[[#This Row],[Sunrise Time (POA&gt;20 W/m2)]])*24,"")</f>
        <v>12.333333333333336</v>
      </c>
      <c r="L72" s="33" t="s">
        <v>303</v>
      </c>
      <c r="M72" s="33" t="s">
        <v>294</v>
      </c>
      <c r="N72" s="33" t="s">
        <v>313</v>
      </c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72" s="35">
        <f>IFERROR(_xlfn.XLOOKUP(PA[[#This Row],[Affected Equipment ]],'Basic Data'!N:N,'Basic Data'!Q:Q),"")</f>
        <v>1276</v>
      </c>
      <c r="V72" s="39">
        <f ca="1">IFERROR(_xlfn.XLOOKUP(PA[[#This Row],[Affected Equipment ]],'Basic Data'!N:N,'Basic Data'!R:R),"")</f>
        <v>3.2542718694210659E-2</v>
      </c>
      <c r="W72" s="36" t="s">
        <v>304</v>
      </c>
      <c r="X72" s="40"/>
      <c r="Y72" s="350" t="s">
        <v>332</v>
      </c>
      <c r="Z72" s="42">
        <v>0.25555555555555554</v>
      </c>
      <c r="AA72" s="42">
        <v>0.25555555555555554</v>
      </c>
      <c r="AB72" s="42">
        <v>0.25555555555555554</v>
      </c>
      <c r="AC72" s="42">
        <v>0.44166666666666665</v>
      </c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4.4666666666666668</v>
      </c>
      <c r="AG72" s="44">
        <f>IFERROR((PA[[#This Row],[Work Completion time on fault]]-PA[[#This Row],[Fault Time]])*24,"")</f>
        <v>4.4666666666666668</v>
      </c>
      <c r="AH72" s="36" t="s">
        <v>333</v>
      </c>
      <c r="AI72" s="33" t="s">
        <v>298</v>
      </c>
      <c r="AJ72" s="35">
        <f ca="1">IFERROR(PA[[#This Row],[Breakdown Time]]*PA[[#This Row],[Plant Equivalent Weightage]],"")</f>
        <v>0.14535747683414094</v>
      </c>
      <c r="AK72" s="36">
        <v>1.5696166666666667</v>
      </c>
      <c r="AL72" s="51">
        <f>IFERROR((_xlfn.XLOOKUP($G72,'Modelling New'!D:D,'Modelling New'!$O:$O)*PA[[#This Row],[Lost PoA(kWh/m2)]]*PA[[#This Row],[DC Capacity Affected (kW)]]),"")</f>
        <v>1280.8222823216533</v>
      </c>
      <c r="AM72" s="33"/>
      <c r="AN72" s="33"/>
      <c r="AO72" s="33"/>
      <c r="AP72" s="33"/>
    </row>
    <row r="73" spans="1:42">
      <c r="A73" s="30">
        <v>72</v>
      </c>
      <c r="B73" s="31">
        <v>45792</v>
      </c>
      <c r="C73" s="32">
        <f>YEAR(PA[[#This Row],[Date]])+IF(MONTH(PA[[#This Row],[Date]])&gt;=4,1,0)</f>
        <v>2026</v>
      </c>
      <c r="D73" s="32">
        <f>YEAR(PA[[#This Row],[Date]])</f>
        <v>2025</v>
      </c>
      <c r="E73" s="33" t="s">
        <v>219</v>
      </c>
      <c r="F73" s="33" t="s">
        <v>219</v>
      </c>
      <c r="G73" s="196">
        <f>PA[[#This Row],[Date]]-DAY(PA[[#This Row],[Date]])+1</f>
        <v>45778</v>
      </c>
      <c r="H73" s="32">
        <f>DAY(EOMONTH(PA[[#This Row],[Month Year]],0))</f>
        <v>31</v>
      </c>
      <c r="I73" s="122">
        <v>0.25555555555555554</v>
      </c>
      <c r="J73" s="122">
        <v>0.76944444444444449</v>
      </c>
      <c r="K73" s="35">
        <f>IFERROR((PA[[#This Row],[Sunset Time (POA&lt;20 W/m2)]]-PA[[#This Row],[Sunrise Time (POA&gt;20 W/m2)]])*24,"")</f>
        <v>12.333333333333336</v>
      </c>
      <c r="L73" s="33" t="s">
        <v>303</v>
      </c>
      <c r="M73" s="33" t="s">
        <v>294</v>
      </c>
      <c r="N73" s="33" t="s">
        <v>316</v>
      </c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3" s="35">
        <f>IFERROR(_xlfn.XLOOKUP(PA[[#This Row],[Affected Equipment ]],'Basic Data'!N:N,'Basic Data'!Q:Q),"")</f>
        <v>1276</v>
      </c>
      <c r="V73" s="39">
        <f ca="1">IFERROR(_xlfn.XLOOKUP(PA[[#This Row],[Affected Equipment ]],'Basic Data'!N:N,'Basic Data'!R:R),"")</f>
        <v>3.2542718694210659E-2</v>
      </c>
      <c r="W73" s="36" t="s">
        <v>304</v>
      </c>
      <c r="X73" s="40"/>
      <c r="Y73" s="350" t="s">
        <v>332</v>
      </c>
      <c r="Z73" s="42">
        <v>0.25555555555555554</v>
      </c>
      <c r="AA73" s="42">
        <v>0.25555555555555554</v>
      </c>
      <c r="AB73" s="42">
        <v>0.25555555555555554</v>
      </c>
      <c r="AC73" s="42">
        <v>0.4513888888888889</v>
      </c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4.7000000000000011</v>
      </c>
      <c r="AG73" s="44">
        <f>IFERROR((PA[[#This Row],[Work Completion time on fault]]-PA[[#This Row],[Fault Time]])*24,"")</f>
        <v>4.7000000000000011</v>
      </c>
      <c r="AH73" s="36" t="s">
        <v>333</v>
      </c>
      <c r="AI73" s="33" t="s">
        <v>298</v>
      </c>
      <c r="AJ73" s="35">
        <f ca="1">IFERROR(PA[[#This Row],[Breakdown Time]]*PA[[#This Row],[Plant Equivalent Weightage]],"")</f>
        <v>0.15295077786279013</v>
      </c>
      <c r="AK73" s="36">
        <v>1.7781666666666667</v>
      </c>
      <c r="AL73" s="51">
        <f>IFERROR((_xlfn.XLOOKUP($G73,'Modelling New'!D:D,'Modelling New'!$O:$O)*PA[[#This Row],[Lost PoA(kWh/m2)]]*PA[[#This Row],[DC Capacity Affected (kW)]]),"")</f>
        <v>1451.0010862620086</v>
      </c>
      <c r="AM73" s="33"/>
      <c r="AN73" s="33"/>
      <c r="AO73" s="33"/>
      <c r="AP73" s="33"/>
    </row>
    <row r="74" spans="1:42">
      <c r="A74" s="30">
        <v>73</v>
      </c>
      <c r="B74" s="31">
        <v>45792</v>
      </c>
      <c r="C74" s="32">
        <f>YEAR(PA[[#This Row],[Date]])+IF(MONTH(PA[[#This Row],[Date]])&gt;=4,1,0)</f>
        <v>2026</v>
      </c>
      <c r="D74" s="32">
        <f>YEAR(PA[[#This Row],[Date]])</f>
        <v>2025</v>
      </c>
      <c r="E74" s="33" t="s">
        <v>219</v>
      </c>
      <c r="F74" s="33" t="s">
        <v>219</v>
      </c>
      <c r="G74" s="196">
        <f>PA[[#This Row],[Date]]-DAY(PA[[#This Row],[Date]])+1</f>
        <v>45778</v>
      </c>
      <c r="H74" s="32">
        <f>DAY(EOMONTH(PA[[#This Row],[Month Year]],0))</f>
        <v>31</v>
      </c>
      <c r="I74" s="122">
        <v>0.25555555555555554</v>
      </c>
      <c r="J74" s="122">
        <v>0.76944444444444449</v>
      </c>
      <c r="K74" s="35">
        <f>IFERROR((PA[[#This Row],[Sunset Time (POA&lt;20 W/m2)]]-PA[[#This Row],[Sunrise Time (POA&gt;20 W/m2)]])*24,"")</f>
        <v>12.333333333333336</v>
      </c>
      <c r="L74" s="33" t="s">
        <v>303</v>
      </c>
      <c r="M74" s="33" t="s">
        <v>294</v>
      </c>
      <c r="N74" s="33" t="s">
        <v>320</v>
      </c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74" s="35">
        <f>IFERROR(_xlfn.XLOOKUP(PA[[#This Row],[Affected Equipment ]],'Basic Data'!N:N,'Basic Data'!Q:Q),"")</f>
        <v>1276</v>
      </c>
      <c r="V74" s="39">
        <f ca="1">IFERROR(_xlfn.XLOOKUP(PA[[#This Row],[Affected Equipment ]],'Basic Data'!N:N,'Basic Data'!R:R),"")</f>
        <v>3.2542718694210659E-2</v>
      </c>
      <c r="W74" s="36" t="s">
        <v>304</v>
      </c>
      <c r="X74" s="40"/>
      <c r="Y74" s="350" t="s">
        <v>332</v>
      </c>
      <c r="Z74" s="42">
        <v>0.25555555555555554</v>
      </c>
      <c r="AA74" s="42">
        <v>0.25555555555555554</v>
      </c>
      <c r="AB74" s="42">
        <v>0.25555555555555554</v>
      </c>
      <c r="AC74" s="42">
        <v>0.46250000000000002</v>
      </c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4.9666666666666677</v>
      </c>
      <c r="AG74" s="44">
        <f>IFERROR((PA[[#This Row],[Work Completion time on fault]]-PA[[#This Row],[Fault Time]])*24,"")</f>
        <v>4.9666666666666677</v>
      </c>
      <c r="AH74" s="36" t="s">
        <v>333</v>
      </c>
      <c r="AI74" s="33" t="s">
        <v>298</v>
      </c>
      <c r="AJ74" s="35">
        <f ca="1">IFERROR(PA[[#This Row],[Breakdown Time]]*PA[[#This Row],[Plant Equivalent Weightage]],"")</f>
        <v>0.16162883618124632</v>
      </c>
      <c r="AK74" s="36">
        <v>1.99705</v>
      </c>
      <c r="AL74" s="51">
        <f>IFERROR((_xlfn.XLOOKUP($G74,'Modelling New'!D:D,'Modelling New'!$O:$O)*PA[[#This Row],[Lost PoA(kWh/m2)]]*PA[[#This Row],[DC Capacity Affected (kW)]]),"")</f>
        <v>1629.6119894945418</v>
      </c>
      <c r="AM74" s="33"/>
      <c r="AN74" s="33"/>
      <c r="AO74" s="33"/>
      <c r="AP74" s="33"/>
    </row>
    <row r="75" spans="1:42">
      <c r="A75" s="30">
        <v>74</v>
      </c>
      <c r="B75" s="31">
        <v>45792</v>
      </c>
      <c r="C75" s="32">
        <f>YEAR(PA[[#This Row],[Date]])+IF(MONTH(PA[[#This Row],[Date]])&gt;=4,1,0)</f>
        <v>2026</v>
      </c>
      <c r="D75" s="32">
        <f>YEAR(PA[[#This Row],[Date]])</f>
        <v>2025</v>
      </c>
      <c r="E75" s="33" t="s">
        <v>219</v>
      </c>
      <c r="F75" s="33" t="s">
        <v>219</v>
      </c>
      <c r="G75" s="196">
        <f>PA[[#This Row],[Date]]-DAY(PA[[#This Row],[Date]])+1</f>
        <v>45778</v>
      </c>
      <c r="H75" s="32">
        <f>DAY(EOMONTH(PA[[#This Row],[Month Year]],0))</f>
        <v>31</v>
      </c>
      <c r="I75" s="122">
        <v>0.25555555555555554</v>
      </c>
      <c r="J75" s="122">
        <v>0.76944444444444449</v>
      </c>
      <c r="K75" s="35">
        <f>IFERROR((PA[[#This Row],[Sunset Time (POA&lt;20 W/m2)]]-PA[[#This Row],[Sunrise Time (POA&gt;20 W/m2)]])*24,"")</f>
        <v>12.333333333333336</v>
      </c>
      <c r="L75" s="33" t="s">
        <v>303</v>
      </c>
      <c r="M75" s="33" t="s">
        <v>294</v>
      </c>
      <c r="N75" s="33" t="s">
        <v>322</v>
      </c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75" s="35">
        <f>IFERROR(_xlfn.XLOOKUP(PA[[#This Row],[Affected Equipment ]],'Basic Data'!N:N,'Basic Data'!Q:Q),"")</f>
        <v>1276</v>
      </c>
      <c r="V75" s="39">
        <f ca="1">IFERROR(_xlfn.XLOOKUP(PA[[#This Row],[Affected Equipment ]],'Basic Data'!N:N,'Basic Data'!R:R),"")</f>
        <v>3.2542718694210659E-2</v>
      </c>
      <c r="W75" s="36" t="s">
        <v>304</v>
      </c>
      <c r="X75" s="40"/>
      <c r="Y75" s="350" t="s">
        <v>332</v>
      </c>
      <c r="Z75" s="42">
        <v>0.25555555555555554</v>
      </c>
      <c r="AA75" s="42">
        <v>0.25555555555555554</v>
      </c>
      <c r="AB75" s="42">
        <v>0.25555555555555554</v>
      </c>
      <c r="AC75" s="42">
        <v>0.47222222222222221</v>
      </c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5.2</v>
      </c>
      <c r="AG75" s="44">
        <f>IFERROR((PA[[#This Row],[Work Completion time on fault]]-PA[[#This Row],[Fault Time]])*24,"")</f>
        <v>5.2</v>
      </c>
      <c r="AH75" s="36" t="s">
        <v>333</v>
      </c>
      <c r="AI75" s="33" t="s">
        <v>298</v>
      </c>
      <c r="AJ75" s="35">
        <f ca="1">IFERROR(PA[[#This Row],[Breakdown Time]]*PA[[#This Row],[Plant Equivalent Weightage]],"")</f>
        <v>0.16922213720989543</v>
      </c>
      <c r="AK75" s="36">
        <v>2.1839166666666667</v>
      </c>
      <c r="AL75" s="51">
        <f>IFERROR((_xlfn.XLOOKUP($G75,'Modelling New'!D:D,'Modelling New'!$O:$O)*PA[[#This Row],[Lost PoA(kWh/m2)]]*PA[[#This Row],[DC Capacity Affected (kW)]]),"")</f>
        <v>1782.0969850814722</v>
      </c>
      <c r="AM75" s="33"/>
      <c r="AN75" s="33"/>
      <c r="AO75" s="33"/>
      <c r="AP75" s="33"/>
    </row>
    <row r="76" spans="1:42">
      <c r="A76" s="30">
        <v>75</v>
      </c>
      <c r="B76" s="31">
        <v>45792</v>
      </c>
      <c r="C76" s="32">
        <f>YEAR(PA[[#This Row],[Date]])+IF(MONTH(PA[[#This Row],[Date]])&gt;=4,1,0)</f>
        <v>2026</v>
      </c>
      <c r="D76" s="32">
        <f>YEAR(PA[[#This Row],[Date]])</f>
        <v>2025</v>
      </c>
      <c r="E76" s="33" t="s">
        <v>219</v>
      </c>
      <c r="F76" s="33" t="s">
        <v>219</v>
      </c>
      <c r="G76" s="196">
        <f>PA[[#This Row],[Date]]-DAY(PA[[#This Row],[Date]])+1</f>
        <v>45778</v>
      </c>
      <c r="H76" s="32">
        <f>DAY(EOMONTH(PA[[#This Row],[Month Year]],0))</f>
        <v>31</v>
      </c>
      <c r="I76" s="122">
        <v>0.25555555555555554</v>
      </c>
      <c r="J76" s="122">
        <v>0.76944444444444449</v>
      </c>
      <c r="K76" s="35">
        <f>IFERROR((PA[[#This Row],[Sunset Time (POA&lt;20 W/m2)]]-PA[[#This Row],[Sunrise Time (POA&gt;20 W/m2)]])*24,"")</f>
        <v>12.333333333333336</v>
      </c>
      <c r="L76" s="33" t="s">
        <v>303</v>
      </c>
      <c r="M76" s="33" t="s">
        <v>294</v>
      </c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6" s="35">
        <f>IFERROR(_xlfn.XLOOKUP(PA[[#This Row],[Affected Equipment ]],'Basic Data'!N:N,'Basic Data'!Q:Q),"")</f>
        <v>5104</v>
      </c>
      <c r="V76" s="39">
        <f ca="1">IFERROR(_xlfn.XLOOKUP(PA[[#This Row],[Affected Equipment ]],'Basic Data'!N:N,'Basic Data'!R:R),"")</f>
        <v>0.13017087477684264</v>
      </c>
      <c r="W76" s="36" t="s">
        <v>295</v>
      </c>
      <c r="X76" s="40"/>
      <c r="Y76" s="347" t="s">
        <v>334</v>
      </c>
      <c r="Z76" s="46">
        <v>0.49305555555555558</v>
      </c>
      <c r="AA76" s="46">
        <v>0.49305555555555558</v>
      </c>
      <c r="AB76" s="46">
        <v>0.49305555555555558</v>
      </c>
      <c r="AC76" s="46">
        <v>0.50694444444444442</v>
      </c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0.33333333333333215</v>
      </c>
      <c r="AG76" s="44">
        <f>IFERROR((PA[[#This Row],[Work Completion time on fault]]-PA[[#This Row],[Fault Time]])*24,"")</f>
        <v>0.33333333333333215</v>
      </c>
      <c r="AH76" s="36" t="s">
        <v>297</v>
      </c>
      <c r="AI76" s="33" t="s">
        <v>298</v>
      </c>
      <c r="AJ76" s="35">
        <f ca="1">IFERROR(PA[[#This Row],[Breakdown Time]]*PA[[#This Row],[Plant Equivalent Weightage]],"")</f>
        <v>4.3390291592280722E-2</v>
      </c>
      <c r="AK76" s="36">
        <v>0.24315000000000001</v>
      </c>
      <c r="AL76" s="51">
        <f>IFERROR((_xlfn.XLOOKUP($G76,'Modelling New'!D:D,'Modelling New'!$O:$O)*PA[[#This Row],[Lost PoA(kWh/m2)]]*PA[[#This Row],[DC Capacity Affected (kW)]]),"")</f>
        <v>793.65094563600883</v>
      </c>
      <c r="AM76" s="33"/>
      <c r="AN76" s="33"/>
      <c r="AO76" s="33"/>
      <c r="AP76" s="33"/>
    </row>
    <row r="77" spans="1:42">
      <c r="A77" s="30">
        <v>76</v>
      </c>
      <c r="B77" s="31">
        <v>45792</v>
      </c>
      <c r="C77" s="32">
        <f>YEAR(PA[[#This Row],[Date]])+IF(MONTH(PA[[#This Row],[Date]])&gt;=4,1,0)</f>
        <v>2026</v>
      </c>
      <c r="D77" s="32">
        <f>YEAR(PA[[#This Row],[Date]])</f>
        <v>2025</v>
      </c>
      <c r="E77" s="33" t="s">
        <v>219</v>
      </c>
      <c r="F77" s="33" t="s">
        <v>219</v>
      </c>
      <c r="G77" s="196">
        <f>PA[[#This Row],[Date]]-DAY(PA[[#This Row],[Date]])+1</f>
        <v>45778</v>
      </c>
      <c r="H77" s="32">
        <f>DAY(EOMONTH(PA[[#This Row],[Month Year]],0))</f>
        <v>31</v>
      </c>
      <c r="I77" s="122">
        <v>0.25555555555555554</v>
      </c>
      <c r="J77" s="122">
        <v>0.76944444444444449</v>
      </c>
      <c r="K77" s="35">
        <f>IFERROR((PA[[#This Row],[Sunset Time (POA&lt;20 W/m2)]]-PA[[#This Row],[Sunrise Time (POA&gt;20 W/m2)]])*24,"")</f>
        <v>12.333333333333336</v>
      </c>
      <c r="L77" s="33" t="s">
        <v>303</v>
      </c>
      <c r="M77" s="33" t="s">
        <v>299</v>
      </c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7" s="35">
        <f>IFERROR(_xlfn.XLOOKUP(PA[[#This Row],[Affected Equipment ]],'Basic Data'!N:N,'Basic Data'!Q:Q),"")</f>
        <v>5104</v>
      </c>
      <c r="V77" s="39">
        <f ca="1">IFERROR(_xlfn.XLOOKUP(PA[[#This Row],[Affected Equipment ]],'Basic Data'!N:N,'Basic Data'!R:R),"")</f>
        <v>0.13017087477684264</v>
      </c>
      <c r="W77" s="36" t="s">
        <v>295</v>
      </c>
      <c r="X77" s="40"/>
      <c r="Y77" s="347" t="s">
        <v>334</v>
      </c>
      <c r="Z77" s="46">
        <v>0.49305555555555558</v>
      </c>
      <c r="AA77" s="46">
        <v>0.49305555555555558</v>
      </c>
      <c r="AB77" s="46">
        <v>0.49305555555555558</v>
      </c>
      <c r="AC77" s="46">
        <v>0.50694444444444442</v>
      </c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0.33333333333333215</v>
      </c>
      <c r="AG77" s="44">
        <f>IFERROR((PA[[#This Row],[Work Completion time on fault]]-PA[[#This Row],[Fault Time]])*24,"")</f>
        <v>0.33333333333333215</v>
      </c>
      <c r="AH77" s="36" t="s">
        <v>297</v>
      </c>
      <c r="AI77" s="33" t="s">
        <v>298</v>
      </c>
      <c r="AJ77" s="35">
        <f ca="1">IFERROR(PA[[#This Row],[Breakdown Time]]*PA[[#This Row],[Plant Equivalent Weightage]],"")</f>
        <v>4.3390291592280722E-2</v>
      </c>
      <c r="AK77" s="36">
        <v>0.24315000000000001</v>
      </c>
      <c r="AL77" s="51">
        <f>IFERROR((_xlfn.XLOOKUP($G77,'Modelling New'!D:D,'Modelling New'!$O:$O)*PA[[#This Row],[Lost PoA(kWh/m2)]]*PA[[#This Row],[DC Capacity Affected (kW)]]),"")</f>
        <v>793.65094563600883</v>
      </c>
      <c r="AM77" s="33"/>
      <c r="AN77" s="33"/>
      <c r="AO77" s="33"/>
      <c r="AP77" s="33"/>
    </row>
    <row r="78" spans="1:42">
      <c r="A78" s="30">
        <v>77</v>
      </c>
      <c r="B78" s="31">
        <v>45793</v>
      </c>
      <c r="C78" s="32">
        <f>YEAR(PA[[#This Row],[Date]])+IF(MONTH(PA[[#This Row],[Date]])&gt;=4,1,0)</f>
        <v>2026</v>
      </c>
      <c r="D78" s="32">
        <f>YEAR(PA[[#This Row],[Date]])</f>
        <v>2025</v>
      </c>
      <c r="E78" s="33" t="s">
        <v>219</v>
      </c>
      <c r="F78" s="33" t="s">
        <v>219</v>
      </c>
      <c r="G78" s="196">
        <f>PA[[#This Row],[Date]]-DAY(PA[[#This Row],[Date]])+1</f>
        <v>45778</v>
      </c>
      <c r="H78" s="32">
        <f>DAY(EOMONTH(PA[[#This Row],[Month Year]],0))</f>
        <v>31</v>
      </c>
      <c r="I78" s="122">
        <v>0.25555555555555554</v>
      </c>
      <c r="J78" s="122">
        <v>0.76597222222222228</v>
      </c>
      <c r="K78" s="35">
        <f>IFERROR((PA[[#This Row],[Sunset Time (POA&lt;20 W/m2)]]-PA[[#This Row],[Sunrise Time (POA&gt;20 W/m2)]])*24,"")</f>
        <v>12.250000000000002</v>
      </c>
      <c r="L78" s="33" t="s">
        <v>303</v>
      </c>
      <c r="M78" s="33" t="s">
        <v>294</v>
      </c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8" s="35">
        <f>IFERROR(_xlfn.XLOOKUP(PA[[#This Row],[Affected Equipment ]],'Basic Data'!N:N,'Basic Data'!Q:Q),"")</f>
        <v>5104</v>
      </c>
      <c r="V78" s="39">
        <f ca="1">IFERROR(_xlfn.XLOOKUP(PA[[#This Row],[Affected Equipment ]],'Basic Data'!N:N,'Basic Data'!R:R),"")</f>
        <v>0.13017087477684264</v>
      </c>
      <c r="W78" s="36" t="s">
        <v>295</v>
      </c>
      <c r="X78" s="40"/>
      <c r="Y78" s="347" t="s">
        <v>334</v>
      </c>
      <c r="Z78" s="46">
        <v>0.49444444444444446</v>
      </c>
      <c r="AA78" s="46">
        <v>0.49444444444444446</v>
      </c>
      <c r="AB78" s="46">
        <v>0.49444444444444446</v>
      </c>
      <c r="AC78" s="46">
        <v>0.50486111111111109</v>
      </c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0.24999999999999911</v>
      </c>
      <c r="AG78" s="44">
        <f>IFERROR((PA[[#This Row],[Work Completion time on fault]]-PA[[#This Row],[Fault Time]])*24,"")</f>
        <v>0.24999999999999911</v>
      </c>
      <c r="AH78" s="36" t="s">
        <v>297</v>
      </c>
      <c r="AI78" s="33" t="s">
        <v>298</v>
      </c>
      <c r="AJ78" s="35">
        <f ca="1">IFERROR(PA[[#This Row],[Breakdown Time]]*PA[[#This Row],[Plant Equivalent Weightage]],"")</f>
        <v>3.2542718694210541E-2</v>
      </c>
      <c r="AK78" s="36">
        <v>0.26469999999999999</v>
      </c>
      <c r="AL78" s="51">
        <f>IFERROR((_xlfn.XLOOKUP($G78,'Modelling New'!D:D,'Modelling New'!$O:$O)*PA[[#This Row],[Lost PoA(kWh/m2)]]*PA[[#This Row],[DC Capacity Affected (kW)]]),"")</f>
        <v>863.99097392494957</v>
      </c>
      <c r="AM78" s="33"/>
      <c r="AN78" s="33"/>
      <c r="AO78" s="33"/>
      <c r="AP78" s="33"/>
    </row>
    <row r="79" spans="1:42">
      <c r="A79" s="30">
        <v>78</v>
      </c>
      <c r="B79" s="31">
        <v>45793</v>
      </c>
      <c r="C79" s="32">
        <f>YEAR(PA[[#This Row],[Date]])+IF(MONTH(PA[[#This Row],[Date]])&gt;=4,1,0)</f>
        <v>2026</v>
      </c>
      <c r="D79" s="32">
        <f>YEAR(PA[[#This Row],[Date]])</f>
        <v>2025</v>
      </c>
      <c r="E79" s="33" t="s">
        <v>219</v>
      </c>
      <c r="F79" s="33" t="s">
        <v>219</v>
      </c>
      <c r="G79" s="196">
        <f>PA[[#This Row],[Date]]-DAY(PA[[#This Row],[Date]])+1</f>
        <v>45778</v>
      </c>
      <c r="H79" s="32">
        <f>DAY(EOMONTH(PA[[#This Row],[Month Year]],0))</f>
        <v>31</v>
      </c>
      <c r="I79" s="122">
        <v>0.25555555555555554</v>
      </c>
      <c r="J79" s="122">
        <v>0.76597222222222228</v>
      </c>
      <c r="K79" s="35">
        <f>IFERROR((PA[[#This Row],[Sunset Time (POA&lt;20 W/m2)]]-PA[[#This Row],[Sunrise Time (POA&gt;20 W/m2)]])*24,"")</f>
        <v>12.250000000000002</v>
      </c>
      <c r="L79" s="33" t="s">
        <v>303</v>
      </c>
      <c r="M79" s="33" t="s">
        <v>299</v>
      </c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9" s="35">
        <f>IFERROR(_xlfn.XLOOKUP(PA[[#This Row],[Affected Equipment ]],'Basic Data'!N:N,'Basic Data'!Q:Q),"")</f>
        <v>5104</v>
      </c>
      <c r="V79" s="39">
        <f ca="1">IFERROR(_xlfn.XLOOKUP(PA[[#This Row],[Affected Equipment ]],'Basic Data'!N:N,'Basic Data'!R:R),"")</f>
        <v>0.13017087477684264</v>
      </c>
      <c r="W79" s="36" t="s">
        <v>295</v>
      </c>
      <c r="X79" s="40"/>
      <c r="Y79" s="347" t="s">
        <v>334</v>
      </c>
      <c r="Z79" s="46">
        <v>0.49444444444444446</v>
      </c>
      <c r="AA79" s="46">
        <v>0.49444444444444446</v>
      </c>
      <c r="AB79" s="46">
        <v>0.49444444444444446</v>
      </c>
      <c r="AC79" s="46">
        <v>0.50486111111111109</v>
      </c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0.24999999999999911</v>
      </c>
      <c r="AG79" s="44">
        <f>IFERROR((PA[[#This Row],[Work Completion time on fault]]-PA[[#This Row],[Fault Time]])*24,"")</f>
        <v>0.24999999999999911</v>
      </c>
      <c r="AH79" s="36" t="s">
        <v>297</v>
      </c>
      <c r="AI79" s="33" t="s">
        <v>298</v>
      </c>
      <c r="AJ79" s="35">
        <f ca="1">IFERROR(PA[[#This Row],[Breakdown Time]]*PA[[#This Row],[Plant Equivalent Weightage]],"")</f>
        <v>3.2542718694210541E-2</v>
      </c>
      <c r="AK79" s="36">
        <v>0.26469999999999999</v>
      </c>
      <c r="AL79" s="51">
        <f>IFERROR((_xlfn.XLOOKUP($G79,'Modelling New'!D:D,'Modelling New'!$O:$O)*PA[[#This Row],[Lost PoA(kWh/m2)]]*PA[[#This Row],[DC Capacity Affected (kW)]]),"")</f>
        <v>863.99097392494957</v>
      </c>
      <c r="AM79" s="33"/>
      <c r="AN79" s="33"/>
      <c r="AO79" s="33"/>
      <c r="AP79" s="33"/>
    </row>
    <row r="80" spans="1:42">
      <c r="A80" s="30">
        <v>79</v>
      </c>
      <c r="B80" s="31">
        <v>45793</v>
      </c>
      <c r="C80" s="32">
        <f>YEAR(PA[[#This Row],[Date]])+IF(MONTH(PA[[#This Row],[Date]])&gt;=4,1,0)</f>
        <v>2026</v>
      </c>
      <c r="D80" s="32">
        <f>YEAR(PA[[#This Row],[Date]])</f>
        <v>2025</v>
      </c>
      <c r="E80" s="33" t="s">
        <v>219</v>
      </c>
      <c r="F80" s="33" t="s">
        <v>219</v>
      </c>
      <c r="G80" s="196">
        <f>PA[[#This Row],[Date]]-DAY(PA[[#This Row],[Date]])+1</f>
        <v>45778</v>
      </c>
      <c r="H80" s="32">
        <f>DAY(EOMONTH(PA[[#This Row],[Month Year]],0))</f>
        <v>31</v>
      </c>
      <c r="I80" s="122">
        <v>0.25555555555555554</v>
      </c>
      <c r="J80" s="122">
        <v>0.76597222222222228</v>
      </c>
      <c r="K80" s="35">
        <f>IFERROR((PA[[#This Row],[Sunset Time (POA&lt;20 W/m2)]]-PA[[#This Row],[Sunrise Time (POA&gt;20 W/m2)]])*24,"")</f>
        <v>12.250000000000002</v>
      </c>
      <c r="L80" s="33" t="s">
        <v>303</v>
      </c>
      <c r="M80" s="33" t="s">
        <v>294</v>
      </c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0" s="35">
        <f>IFERROR(_xlfn.XLOOKUP(PA[[#This Row],[Affected Equipment ]],'Basic Data'!N:N,'Basic Data'!Q:Q),"")</f>
        <v>5104</v>
      </c>
      <c r="V80" s="39">
        <f ca="1">IFERROR(_xlfn.XLOOKUP(PA[[#This Row],[Affected Equipment ]],'Basic Data'!N:N,'Basic Data'!R:R),"")</f>
        <v>0.13017087477684264</v>
      </c>
      <c r="W80" s="36" t="s">
        <v>295</v>
      </c>
      <c r="X80" s="40"/>
      <c r="Y80" s="347" t="s">
        <v>334</v>
      </c>
      <c r="Z80" s="46">
        <v>0.51944444444444449</v>
      </c>
      <c r="AA80" s="46">
        <v>0.51944444444444449</v>
      </c>
      <c r="AB80" s="46">
        <v>0.51944444444444449</v>
      </c>
      <c r="AC80" s="46">
        <v>0.53402777777777777</v>
      </c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0.34999999999999876</v>
      </c>
      <c r="AG80" s="44">
        <f>IFERROR((PA[[#This Row],[Work Completion time on fault]]-PA[[#This Row],[Fault Time]])*24,"")</f>
        <v>0.34999999999999876</v>
      </c>
      <c r="AH80" s="36" t="s">
        <v>297</v>
      </c>
      <c r="AI80" s="33" t="s">
        <v>298</v>
      </c>
      <c r="AJ80" s="35">
        <f ca="1">IFERROR(PA[[#This Row],[Breakdown Time]]*PA[[#This Row],[Plant Equivalent Weightage]],"")</f>
        <v>4.5559806171894764E-2</v>
      </c>
      <c r="AK80" s="36">
        <v>0.37036666666666668</v>
      </c>
      <c r="AL80" s="51">
        <f>IFERROR((_xlfn.XLOOKUP($G80,'Modelling New'!D:D,'Modelling New'!$O:$O)*PA[[#This Row],[Lost PoA(kWh/m2)]]*PA[[#This Row],[DC Capacity Affected (kW)]]),"")</f>
        <v>1208.8910352953174</v>
      </c>
      <c r="AM80" s="33"/>
      <c r="AN80" s="33"/>
      <c r="AO80" s="33"/>
      <c r="AP80" s="33"/>
    </row>
    <row r="81" spans="1:42">
      <c r="A81" s="30">
        <v>80</v>
      </c>
      <c r="B81" s="31">
        <v>45793</v>
      </c>
      <c r="C81" s="32">
        <f>YEAR(PA[[#This Row],[Date]])+IF(MONTH(PA[[#This Row],[Date]])&gt;=4,1,0)</f>
        <v>2026</v>
      </c>
      <c r="D81" s="32">
        <f>YEAR(PA[[#This Row],[Date]])</f>
        <v>2025</v>
      </c>
      <c r="E81" s="33" t="s">
        <v>219</v>
      </c>
      <c r="F81" s="33" t="s">
        <v>219</v>
      </c>
      <c r="G81" s="196">
        <f>PA[[#This Row],[Date]]-DAY(PA[[#This Row],[Date]])+1</f>
        <v>45778</v>
      </c>
      <c r="H81" s="32">
        <f>DAY(EOMONTH(PA[[#This Row],[Month Year]],0))</f>
        <v>31</v>
      </c>
      <c r="I81" s="122">
        <v>0.25555555555555554</v>
      </c>
      <c r="J81" s="122">
        <v>0.76597222222222228</v>
      </c>
      <c r="K81" s="35">
        <f>IFERROR((PA[[#This Row],[Sunset Time (POA&lt;20 W/m2)]]-PA[[#This Row],[Sunrise Time (POA&gt;20 W/m2)]])*24,"")</f>
        <v>12.250000000000002</v>
      </c>
      <c r="L81" s="33" t="s">
        <v>303</v>
      </c>
      <c r="M81" s="33" t="s">
        <v>299</v>
      </c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81" s="35">
        <f>IFERROR(_xlfn.XLOOKUP(PA[[#This Row],[Affected Equipment ]],'Basic Data'!N:N,'Basic Data'!Q:Q),"")</f>
        <v>5104</v>
      </c>
      <c r="V81" s="39">
        <f ca="1">IFERROR(_xlfn.XLOOKUP(PA[[#This Row],[Affected Equipment ]],'Basic Data'!N:N,'Basic Data'!R:R),"")</f>
        <v>0.13017087477684264</v>
      </c>
      <c r="W81" s="36" t="s">
        <v>295</v>
      </c>
      <c r="X81" s="40"/>
      <c r="Y81" s="347" t="s">
        <v>334</v>
      </c>
      <c r="Z81" s="46">
        <v>0.51944444444444449</v>
      </c>
      <c r="AA81" s="46">
        <v>0.51944444444444449</v>
      </c>
      <c r="AB81" s="46">
        <v>0.51944444444444449</v>
      </c>
      <c r="AC81" s="46">
        <v>0.53402777777777777</v>
      </c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0.34999999999999876</v>
      </c>
      <c r="AG81" s="44">
        <f>IFERROR((PA[[#This Row],[Work Completion time on fault]]-PA[[#This Row],[Fault Time]])*24,"")</f>
        <v>0.34999999999999876</v>
      </c>
      <c r="AH81" s="36" t="s">
        <v>297</v>
      </c>
      <c r="AI81" s="33" t="s">
        <v>298</v>
      </c>
      <c r="AJ81" s="35">
        <f ca="1">IFERROR(PA[[#This Row],[Breakdown Time]]*PA[[#This Row],[Plant Equivalent Weightage]],"")</f>
        <v>4.5559806171894764E-2</v>
      </c>
      <c r="AK81" s="36">
        <v>0.37036666666666668</v>
      </c>
      <c r="AL81" s="51">
        <f>IFERROR((_xlfn.XLOOKUP($G81,'Modelling New'!D:D,'Modelling New'!$O:$O)*PA[[#This Row],[Lost PoA(kWh/m2)]]*PA[[#This Row],[DC Capacity Affected (kW)]]),"")</f>
        <v>1208.8910352953174</v>
      </c>
      <c r="AM81" s="33"/>
      <c r="AN81" s="33"/>
      <c r="AO81" s="33"/>
      <c r="AP81" s="33"/>
    </row>
    <row r="82" spans="1:42">
      <c r="A82" s="30">
        <v>81</v>
      </c>
      <c r="B82" s="31">
        <v>45793</v>
      </c>
      <c r="C82" s="32">
        <f>YEAR(PA[[#This Row],[Date]])+IF(MONTH(PA[[#This Row],[Date]])&gt;=4,1,0)</f>
        <v>2026</v>
      </c>
      <c r="D82" s="32">
        <f>YEAR(PA[[#This Row],[Date]])</f>
        <v>2025</v>
      </c>
      <c r="E82" s="33" t="s">
        <v>219</v>
      </c>
      <c r="F82" s="33" t="s">
        <v>219</v>
      </c>
      <c r="G82" s="196">
        <f>PA[[#This Row],[Date]]-DAY(PA[[#This Row],[Date]])+1</f>
        <v>45778</v>
      </c>
      <c r="H82" s="32">
        <f>DAY(EOMONTH(PA[[#This Row],[Month Year]],0))</f>
        <v>31</v>
      </c>
      <c r="I82" s="122">
        <v>0.25555555555555554</v>
      </c>
      <c r="J82" s="122">
        <v>0.76597222222222228</v>
      </c>
      <c r="K82" s="35">
        <f>IFERROR((PA[[#This Row],[Sunset Time (POA&lt;20 W/m2)]]-PA[[#This Row],[Sunrise Time (POA&gt;20 W/m2)]])*24,"")</f>
        <v>12.250000000000002</v>
      </c>
      <c r="L82" s="33" t="s">
        <v>303</v>
      </c>
      <c r="M82" s="33" t="s">
        <v>294</v>
      </c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2" s="35">
        <f>IFERROR(_xlfn.XLOOKUP(PA[[#This Row],[Affected Equipment ]],'Basic Data'!N:N,'Basic Data'!Q:Q),"")</f>
        <v>5104</v>
      </c>
      <c r="V82" s="39">
        <f ca="1">IFERROR(_xlfn.XLOOKUP(PA[[#This Row],[Affected Equipment ]],'Basic Data'!N:N,'Basic Data'!R:R),"")</f>
        <v>0.13017087477684264</v>
      </c>
      <c r="W82" s="36" t="s">
        <v>304</v>
      </c>
      <c r="X82" s="40"/>
      <c r="Y82" s="347" t="s">
        <v>335</v>
      </c>
      <c r="Z82" s="46">
        <v>0.54027777777777775</v>
      </c>
      <c r="AA82" s="46">
        <v>0.54027777777777775</v>
      </c>
      <c r="AB82" s="46">
        <v>0.54027777777777775</v>
      </c>
      <c r="AC82" s="46">
        <v>0.54513888888888884</v>
      </c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0.11666666666666625</v>
      </c>
      <c r="AG82" s="44">
        <f>IFERROR((PA[[#This Row],[Work Completion time on fault]]-PA[[#This Row],[Fault Time]])*24,"")</f>
        <v>0.11666666666666625</v>
      </c>
      <c r="AH82" s="36" t="s">
        <v>336</v>
      </c>
      <c r="AI82" s="33" t="s">
        <v>298</v>
      </c>
      <c r="AJ82" s="35">
        <f ca="1">IFERROR(PA[[#This Row],[Breakdown Time]]*PA[[#This Row],[Plant Equivalent Weightage]],"")</f>
        <v>1.5186602057298253E-2</v>
      </c>
      <c r="AK82" s="36">
        <v>6.2933333333333327E-2</v>
      </c>
      <c r="AL82" s="51">
        <f>IFERROR((_xlfn.XLOOKUP($G82,'Modelling New'!D:D,'Modelling New'!$O:$O)*PA[[#This Row],[Lost PoA(kWh/m2)]]*PA[[#This Row],[DC Capacity Affected (kW)]]),"")</f>
        <v>205.41681888556917</v>
      </c>
      <c r="AM82" s="33"/>
      <c r="AN82" s="33"/>
      <c r="AO82" s="33"/>
      <c r="AP82" s="33"/>
    </row>
    <row r="83" spans="1:42">
      <c r="A83" s="30">
        <v>82</v>
      </c>
      <c r="B83" s="31">
        <v>45793</v>
      </c>
      <c r="C83" s="32">
        <f>YEAR(PA[[#This Row],[Date]])+IF(MONTH(PA[[#This Row],[Date]])&gt;=4,1,0)</f>
        <v>2026</v>
      </c>
      <c r="D83" s="32">
        <f>YEAR(PA[[#This Row],[Date]])</f>
        <v>2025</v>
      </c>
      <c r="E83" s="33" t="s">
        <v>219</v>
      </c>
      <c r="F83" s="33" t="s">
        <v>219</v>
      </c>
      <c r="G83" s="196">
        <f>PA[[#This Row],[Date]]-DAY(PA[[#This Row],[Date]])+1</f>
        <v>45778</v>
      </c>
      <c r="H83" s="32">
        <f>DAY(EOMONTH(PA[[#This Row],[Month Year]],0))</f>
        <v>31</v>
      </c>
      <c r="I83" s="122">
        <v>0.25555555555555554</v>
      </c>
      <c r="J83" s="122">
        <v>0.76597222222222228</v>
      </c>
      <c r="K83" s="35">
        <f>IFERROR((PA[[#This Row],[Sunset Time (POA&lt;20 W/m2)]]-PA[[#This Row],[Sunrise Time (POA&gt;20 W/m2)]])*24,"")</f>
        <v>12.250000000000002</v>
      </c>
      <c r="L83" s="33" t="s">
        <v>303</v>
      </c>
      <c r="M83" s="33" t="s">
        <v>294</v>
      </c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3" s="35">
        <f>IFERROR(_xlfn.XLOOKUP(PA[[#This Row],[Affected Equipment ]],'Basic Data'!N:N,'Basic Data'!Q:Q),"")</f>
        <v>5104</v>
      </c>
      <c r="V83" s="39">
        <f ca="1">IFERROR(_xlfn.XLOOKUP(PA[[#This Row],[Affected Equipment ]],'Basic Data'!N:N,'Basic Data'!R:R),"")</f>
        <v>0.13017087477684264</v>
      </c>
      <c r="W83" s="36" t="s">
        <v>304</v>
      </c>
      <c r="X83" s="40"/>
      <c r="Y83" s="347" t="s">
        <v>335</v>
      </c>
      <c r="Z83" s="46">
        <v>0.55069444444444449</v>
      </c>
      <c r="AA83" s="46">
        <v>0.55069444444444449</v>
      </c>
      <c r="AB83" s="46">
        <v>0.55069444444444449</v>
      </c>
      <c r="AC83" s="46">
        <v>0.55555555555555558</v>
      </c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0.11666666666666625</v>
      </c>
      <c r="AG83" s="44">
        <f>IFERROR((PA[[#This Row],[Work Completion time on fault]]-PA[[#This Row],[Fault Time]])*24,"")</f>
        <v>0.11666666666666625</v>
      </c>
      <c r="AH83" s="36" t="s">
        <v>336</v>
      </c>
      <c r="AI83" s="33" t="s">
        <v>298</v>
      </c>
      <c r="AJ83" s="35">
        <f ca="1">IFERROR(PA[[#This Row],[Breakdown Time]]*PA[[#This Row],[Plant Equivalent Weightage]],"")</f>
        <v>1.5186602057298253E-2</v>
      </c>
      <c r="AK83" s="36">
        <v>5.8099999999999999E-2</v>
      </c>
      <c r="AL83" s="51">
        <f>IFERROR((_xlfn.XLOOKUP($G83,'Modelling New'!D:D,'Modelling New'!$O:$O)*PA[[#This Row],[Lost PoA(kWh/m2)]]*PA[[#This Row],[DC Capacity Affected (kW)]]),"")</f>
        <v>189.64063311310758</v>
      </c>
      <c r="AM83" s="33"/>
      <c r="AN83" s="33"/>
      <c r="AO83" s="33"/>
      <c r="AP83" s="33"/>
    </row>
    <row r="84" spans="1:42">
      <c r="A84" s="30">
        <v>83</v>
      </c>
      <c r="B84" s="31">
        <v>45793</v>
      </c>
      <c r="C84" s="32">
        <f>YEAR(PA[[#This Row],[Date]])+IF(MONTH(PA[[#This Row],[Date]])&gt;=4,1,0)</f>
        <v>2026</v>
      </c>
      <c r="D84" s="32">
        <f>YEAR(PA[[#This Row],[Date]])</f>
        <v>2025</v>
      </c>
      <c r="E84" s="33" t="s">
        <v>219</v>
      </c>
      <c r="F84" s="33" t="s">
        <v>219</v>
      </c>
      <c r="G84" s="196">
        <f>PA[[#This Row],[Date]]-DAY(PA[[#This Row],[Date]])+1</f>
        <v>45778</v>
      </c>
      <c r="H84" s="32">
        <f>DAY(EOMONTH(PA[[#This Row],[Month Year]],0))</f>
        <v>31</v>
      </c>
      <c r="I84" s="122">
        <v>0.25555555555555554</v>
      </c>
      <c r="J84" s="122">
        <v>0.76597222222222228</v>
      </c>
      <c r="K84" s="35">
        <f>IFERROR((PA[[#This Row],[Sunset Time (POA&lt;20 W/m2)]]-PA[[#This Row],[Sunrise Time (POA&gt;20 W/m2)]])*24,"")</f>
        <v>12.250000000000002</v>
      </c>
      <c r="L84" s="33" t="s">
        <v>303</v>
      </c>
      <c r="M84" s="33" t="s">
        <v>294</v>
      </c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4" s="35">
        <f>IFERROR(_xlfn.XLOOKUP(PA[[#This Row],[Affected Equipment ]],'Basic Data'!N:N,'Basic Data'!Q:Q),"")</f>
        <v>5104</v>
      </c>
      <c r="V84" s="39">
        <f ca="1">IFERROR(_xlfn.XLOOKUP(PA[[#This Row],[Affected Equipment ]],'Basic Data'!N:N,'Basic Data'!R:R),"")</f>
        <v>0.13017087477684264</v>
      </c>
      <c r="W84" s="36" t="s">
        <v>304</v>
      </c>
      <c r="X84" s="40"/>
      <c r="Y84" s="347" t="s">
        <v>335</v>
      </c>
      <c r="Z84" s="46">
        <v>0.57499999999999996</v>
      </c>
      <c r="AA84" s="46">
        <v>0.57499999999999996</v>
      </c>
      <c r="AB84" s="46">
        <v>0.57499999999999996</v>
      </c>
      <c r="AC84" s="46">
        <v>0.58819444444444446</v>
      </c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0.31666666666666821</v>
      </c>
      <c r="AG84" s="44">
        <f>IFERROR((PA[[#This Row],[Work Completion time on fault]]-PA[[#This Row],[Fault Time]])*24,"")</f>
        <v>0.31666666666666821</v>
      </c>
      <c r="AH84" s="36" t="s">
        <v>336</v>
      </c>
      <c r="AI84" s="33" t="s">
        <v>298</v>
      </c>
      <c r="AJ84" s="35">
        <f ca="1">IFERROR(PA[[#This Row],[Breakdown Time]]*PA[[#This Row],[Plant Equivalent Weightage]],"")</f>
        <v>4.1220777012667034E-2</v>
      </c>
      <c r="AK84" s="36">
        <v>7.9683333333333328E-2</v>
      </c>
      <c r="AL84" s="51">
        <f>IFERROR((_xlfn.XLOOKUP($G84,'Modelling New'!D:D,'Modelling New'!$O:$O)*PA[[#This Row],[Lost PoA(kWh/m2)]]*PA[[#This Row],[DC Capacity Affected (kW)]]),"")</f>
        <v>260.08946268323791</v>
      </c>
      <c r="AM84" s="33"/>
      <c r="AN84" s="33"/>
      <c r="AO84" s="33"/>
      <c r="AP84" s="33"/>
    </row>
    <row r="85" spans="1:42">
      <c r="A85" s="30">
        <v>84</v>
      </c>
      <c r="B85" s="31">
        <v>45794</v>
      </c>
      <c r="C85" s="32">
        <f>YEAR(PA[[#This Row],[Date]])+IF(MONTH(PA[[#This Row],[Date]])&gt;=4,1,0)</f>
        <v>2026</v>
      </c>
      <c r="D85" s="32">
        <f>YEAR(PA[[#This Row],[Date]])</f>
        <v>2025</v>
      </c>
      <c r="E85" s="33" t="s">
        <v>219</v>
      </c>
      <c r="F85" s="33" t="s">
        <v>219</v>
      </c>
      <c r="G85" s="196">
        <f>PA[[#This Row],[Date]]-DAY(PA[[#This Row],[Date]])+1</f>
        <v>45778</v>
      </c>
      <c r="H85" s="32">
        <f>DAY(EOMONTH(PA[[#This Row],[Month Year]],0))</f>
        <v>31</v>
      </c>
      <c r="I85" s="122">
        <v>0.2638888888888889</v>
      </c>
      <c r="J85" s="122">
        <v>0.74236111111111114</v>
      </c>
      <c r="K85" s="35">
        <f>IFERROR((PA[[#This Row],[Sunset Time (POA&lt;20 W/m2)]]-PA[[#This Row],[Sunrise Time (POA&gt;20 W/m2)]])*24,"")</f>
        <v>11.483333333333334</v>
      </c>
      <c r="L85" s="33" t="s">
        <v>303</v>
      </c>
      <c r="M85" s="33" t="s">
        <v>294</v>
      </c>
      <c r="N85" s="33" t="s">
        <v>313</v>
      </c>
      <c r="O85" s="36" t="s">
        <v>337</v>
      </c>
      <c r="P85" s="36" t="s">
        <v>327</v>
      </c>
      <c r="Q85" s="33"/>
      <c r="R85" s="32">
        <f>IF((PA[[#This Row],[String Type(If String BD)]]&amp;PA[[#This Row],[Equipment (If any BD other than PV  array and inv)]])="",1,0)</f>
        <v>0</v>
      </c>
      <c r="S85" s="32">
        <f>IF(PA[[#This Row],[String Type(If String BD)]]="",1,0)</f>
        <v>0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85" s="35">
        <f>IFERROR(_xlfn.XLOOKUP(PA[[#This Row],[Affected Equipment ]],'Basic Data'!N:N,'Basic Data'!Q:Q),"")</f>
        <v>15.95</v>
      </c>
      <c r="V85" s="39">
        <f ca="1">IFERROR(_xlfn.XLOOKUP(PA[[#This Row],[Affected Equipment ]],'Basic Data'!N:N,'Basic Data'!R:R),"")</f>
        <v>4.0678398367763324E-4</v>
      </c>
      <c r="W85" s="36" t="s">
        <v>328</v>
      </c>
      <c r="X85" s="40"/>
      <c r="Y85" s="350" t="s">
        <v>329</v>
      </c>
      <c r="Z85" s="46">
        <v>0.2638888888888889</v>
      </c>
      <c r="AA85" s="46">
        <v>0.2638888888888889</v>
      </c>
      <c r="AB85" s="46">
        <v>0.2638888888888889</v>
      </c>
      <c r="AC85" s="46">
        <v>0.68055555555555558</v>
      </c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10</v>
      </c>
      <c r="AG85" s="44">
        <f>IFERROR((PA[[#This Row],[Work Completion time on fault]]-PA[[#This Row],[Fault Time]])*24,"")</f>
        <v>10</v>
      </c>
      <c r="AH85" s="36" t="s">
        <v>330</v>
      </c>
      <c r="AI85" s="33" t="s">
        <v>298</v>
      </c>
      <c r="AJ85" s="35">
        <f ca="1">IFERROR(PA[[#This Row],[Breakdown Time]]*PA[[#This Row],[Plant Equivalent Weightage]],"")</f>
        <v>4.0678398367763324E-3</v>
      </c>
      <c r="AK85" s="36">
        <v>5.0788648716666671</v>
      </c>
      <c r="AL85" s="51">
        <f>IFERROR((_xlfn.XLOOKUP($G85,'Modelling New'!D:D,'Modelling New'!$O:$O)*PA[[#This Row],[Lost PoA(kWh/m2)]]*PA[[#This Row],[DC Capacity Affected (kW)]]),"")</f>
        <v>51.80503172110523</v>
      </c>
      <c r="AM85" s="33"/>
      <c r="AN85" s="33"/>
      <c r="AO85" s="33"/>
      <c r="AP85" s="33"/>
    </row>
    <row r="86" spans="1:42">
      <c r="A86" s="30">
        <v>85</v>
      </c>
      <c r="B86" s="31">
        <v>45795</v>
      </c>
      <c r="C86" s="32">
        <f>YEAR(PA[[#This Row],[Date]])+IF(MONTH(PA[[#This Row],[Date]])&gt;=4,1,0)</f>
        <v>2026</v>
      </c>
      <c r="D86" s="32">
        <f>YEAR(PA[[#This Row],[Date]])</f>
        <v>2025</v>
      </c>
      <c r="E86" s="33" t="s">
        <v>219</v>
      </c>
      <c r="F86" s="33" t="s">
        <v>219</v>
      </c>
      <c r="G86" s="196">
        <f>PA[[#This Row],[Date]]-DAY(PA[[#This Row],[Date]])+1</f>
        <v>45778</v>
      </c>
      <c r="H86" s="32">
        <f>DAY(EOMONTH(PA[[#This Row],[Month Year]],0))</f>
        <v>31</v>
      </c>
      <c r="I86" s="122">
        <v>0.25486111111111109</v>
      </c>
      <c r="J86" s="122">
        <v>0.76666666666666672</v>
      </c>
      <c r="K86" s="35">
        <f>IFERROR((PA[[#This Row],[Sunset Time (POA&lt;20 W/m2)]]-PA[[#This Row],[Sunrise Time (POA&gt;20 W/m2)]])*24,"")</f>
        <v>12.283333333333335</v>
      </c>
      <c r="L86" s="33" t="s">
        <v>303</v>
      </c>
      <c r="M86" s="33" t="s">
        <v>294</v>
      </c>
      <c r="N86" s="33" t="s">
        <v>316</v>
      </c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86" s="35">
        <f>IFERROR(_xlfn.XLOOKUP(PA[[#This Row],[Affected Equipment ]],'Basic Data'!N:N,'Basic Data'!Q:Q),"")</f>
        <v>1276</v>
      </c>
      <c r="V86" s="39">
        <f ca="1">IFERROR(_xlfn.XLOOKUP(PA[[#This Row],[Affected Equipment ]],'Basic Data'!N:N,'Basic Data'!R:R),"")</f>
        <v>3.2542718694210659E-2</v>
      </c>
      <c r="W86" s="36" t="s">
        <v>304</v>
      </c>
      <c r="X86" s="40"/>
      <c r="Y86" s="347" t="s">
        <v>338</v>
      </c>
      <c r="Z86" s="46">
        <v>0.4777777777777778</v>
      </c>
      <c r="AA86" s="46">
        <v>0.4777777777777778</v>
      </c>
      <c r="AB86" s="46">
        <v>0.4777777777777778</v>
      </c>
      <c r="AC86" s="46">
        <v>0.48333333333333334</v>
      </c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0.13333333333333286</v>
      </c>
      <c r="AG86" s="44">
        <f>IFERROR((PA[[#This Row],[Work Completion time on fault]]-PA[[#This Row],[Fault Time]])*24,"")</f>
        <v>0.13333333333333286</v>
      </c>
      <c r="AH86" s="36" t="s">
        <v>336</v>
      </c>
      <c r="AI86" s="33" t="s">
        <v>298</v>
      </c>
      <c r="AJ86" s="35">
        <f ca="1">IFERROR(PA[[#This Row],[Breakdown Time]]*PA[[#This Row],[Plant Equivalent Weightage]],"")</f>
        <v>4.3390291592280729E-3</v>
      </c>
      <c r="AK86" s="36">
        <v>0.12085816666666667</v>
      </c>
      <c r="AL86" s="51">
        <f>IFERROR((_xlfn.XLOOKUP($G86,'Modelling New'!D:D,'Modelling New'!$O:$O)*PA[[#This Row],[Lost PoA(kWh/m2)]]*PA[[#This Row],[DC Capacity Affected (kW)]]),"")</f>
        <v>98.621425316506631</v>
      </c>
      <c r="AM86" s="33"/>
      <c r="AN86" s="33"/>
      <c r="AO86" s="33"/>
      <c r="AP86" s="33"/>
    </row>
    <row r="87" spans="1:42">
      <c r="A87" s="30">
        <v>86</v>
      </c>
      <c r="B87" s="31">
        <v>45795</v>
      </c>
      <c r="C87" s="32">
        <f>YEAR(PA[[#This Row],[Date]])+IF(MONTH(PA[[#This Row],[Date]])&gt;=4,1,0)</f>
        <v>2026</v>
      </c>
      <c r="D87" s="32">
        <f>YEAR(PA[[#This Row],[Date]])</f>
        <v>2025</v>
      </c>
      <c r="E87" s="33" t="s">
        <v>219</v>
      </c>
      <c r="F87" s="33" t="s">
        <v>219</v>
      </c>
      <c r="G87" s="196">
        <f>PA[[#This Row],[Date]]-DAY(PA[[#This Row],[Date]])+1</f>
        <v>45778</v>
      </c>
      <c r="H87" s="32">
        <f>DAY(EOMONTH(PA[[#This Row],[Month Year]],0))</f>
        <v>31</v>
      </c>
      <c r="I87" s="122">
        <v>0.25486111111111109</v>
      </c>
      <c r="J87" s="122">
        <v>0.76666666666666672</v>
      </c>
      <c r="K87" s="35">
        <f>IFERROR((PA[[#This Row],[Sunset Time (POA&lt;20 W/m2)]]-PA[[#This Row],[Sunrise Time (POA&gt;20 W/m2)]])*24,"")</f>
        <v>12.283333333333335</v>
      </c>
      <c r="L87" s="33" t="s">
        <v>303</v>
      </c>
      <c r="M87" s="33" t="s">
        <v>294</v>
      </c>
      <c r="N87" s="33" t="s">
        <v>320</v>
      </c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87" s="35">
        <f>IFERROR(_xlfn.XLOOKUP(PA[[#This Row],[Affected Equipment ]],'Basic Data'!N:N,'Basic Data'!Q:Q),"")</f>
        <v>1276</v>
      </c>
      <c r="V87" s="39">
        <f ca="1">IFERROR(_xlfn.XLOOKUP(PA[[#This Row],[Affected Equipment ]],'Basic Data'!N:N,'Basic Data'!R:R),"")</f>
        <v>3.2542718694210659E-2</v>
      </c>
      <c r="W87" s="36" t="s">
        <v>304</v>
      </c>
      <c r="X87" s="40"/>
      <c r="Y87" s="347" t="s">
        <v>339</v>
      </c>
      <c r="Z87" s="46">
        <v>0.4777777777777778</v>
      </c>
      <c r="AA87" s="46">
        <v>0.4777777777777778</v>
      </c>
      <c r="AB87" s="46">
        <v>0.4777777777777778</v>
      </c>
      <c r="AC87" s="46">
        <v>0.48333333333333334</v>
      </c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0.13333333333333286</v>
      </c>
      <c r="AG87" s="44">
        <f>IFERROR((PA[[#This Row],[Work Completion time on fault]]-PA[[#This Row],[Fault Time]])*24,"")</f>
        <v>0.13333333333333286</v>
      </c>
      <c r="AH87" s="36" t="s">
        <v>336</v>
      </c>
      <c r="AI87" s="33" t="s">
        <v>298</v>
      </c>
      <c r="AJ87" s="35">
        <f ca="1">IFERROR(PA[[#This Row],[Breakdown Time]]*PA[[#This Row],[Plant Equivalent Weightage]],"")</f>
        <v>4.3390291592280729E-3</v>
      </c>
      <c r="AK87" s="36">
        <v>0.12085816666666667</v>
      </c>
      <c r="AL87" s="51">
        <f>IFERROR((_xlfn.XLOOKUP($G87,'Modelling New'!D:D,'Modelling New'!$O:$O)*PA[[#This Row],[Lost PoA(kWh/m2)]]*PA[[#This Row],[DC Capacity Affected (kW)]]),"")</f>
        <v>98.621425316506631</v>
      </c>
      <c r="AM87" s="33"/>
      <c r="AN87" s="33"/>
      <c r="AO87" s="33"/>
      <c r="AP87" s="33"/>
    </row>
    <row r="88" spans="1:42">
      <c r="A88" s="30">
        <v>87</v>
      </c>
      <c r="B88" s="31">
        <v>45795</v>
      </c>
      <c r="C88" s="32">
        <f>YEAR(PA[[#This Row],[Date]])+IF(MONTH(PA[[#This Row],[Date]])&gt;=4,1,0)</f>
        <v>2026</v>
      </c>
      <c r="D88" s="32">
        <f>YEAR(PA[[#This Row],[Date]])</f>
        <v>2025</v>
      </c>
      <c r="E88" s="33" t="s">
        <v>219</v>
      </c>
      <c r="F88" s="33" t="s">
        <v>219</v>
      </c>
      <c r="G88" s="196">
        <f>PA[[#This Row],[Date]]-DAY(PA[[#This Row],[Date]])+1</f>
        <v>45778</v>
      </c>
      <c r="H88" s="32">
        <f>DAY(EOMONTH(PA[[#This Row],[Month Year]],0))</f>
        <v>31</v>
      </c>
      <c r="I88" s="122">
        <v>0.25486111111111109</v>
      </c>
      <c r="J88" s="122">
        <v>0.76666666666666672</v>
      </c>
      <c r="K88" s="35">
        <f>IFERROR((PA[[#This Row],[Sunset Time (POA&lt;20 W/m2)]]-PA[[#This Row],[Sunrise Time (POA&gt;20 W/m2)]])*24,"")</f>
        <v>12.283333333333335</v>
      </c>
      <c r="L88" s="33" t="s">
        <v>303</v>
      </c>
      <c r="M88" s="33" t="s">
        <v>294</v>
      </c>
      <c r="N88" s="33" t="s">
        <v>322</v>
      </c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88" s="35">
        <f>IFERROR(_xlfn.XLOOKUP(PA[[#This Row],[Affected Equipment ]],'Basic Data'!N:N,'Basic Data'!Q:Q),"")</f>
        <v>1276</v>
      </c>
      <c r="V88" s="39">
        <f ca="1">IFERROR(_xlfn.XLOOKUP(PA[[#This Row],[Affected Equipment ]],'Basic Data'!N:N,'Basic Data'!R:R),"")</f>
        <v>3.2542718694210659E-2</v>
      </c>
      <c r="W88" s="36" t="s">
        <v>304</v>
      </c>
      <c r="X88" s="40"/>
      <c r="Y88" s="347" t="s">
        <v>340</v>
      </c>
      <c r="Z88" s="46">
        <v>0.4777777777777778</v>
      </c>
      <c r="AA88" s="46">
        <v>0.4777777777777778</v>
      </c>
      <c r="AB88" s="46">
        <v>0.4777777777777778</v>
      </c>
      <c r="AC88" s="46">
        <v>0.48333333333333334</v>
      </c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0.13333333333333286</v>
      </c>
      <c r="AG88" s="44">
        <f>IFERROR((PA[[#This Row],[Work Completion time on fault]]-PA[[#This Row],[Fault Time]])*24,"")</f>
        <v>0.13333333333333286</v>
      </c>
      <c r="AH88" s="36" t="s">
        <v>336</v>
      </c>
      <c r="AI88" s="33" t="s">
        <v>298</v>
      </c>
      <c r="AJ88" s="35">
        <f ca="1">IFERROR(PA[[#This Row],[Breakdown Time]]*PA[[#This Row],[Plant Equivalent Weightage]],"")</f>
        <v>4.3390291592280729E-3</v>
      </c>
      <c r="AK88" s="36">
        <v>0.12085816666666667</v>
      </c>
      <c r="AL88" s="51">
        <f>IFERROR((_xlfn.XLOOKUP($G88,'Modelling New'!D:D,'Modelling New'!$O:$O)*PA[[#This Row],[Lost PoA(kWh/m2)]]*PA[[#This Row],[DC Capacity Affected (kW)]]),"")</f>
        <v>98.621425316506631</v>
      </c>
      <c r="AM88" s="33"/>
      <c r="AN88" s="33"/>
      <c r="AO88" s="33"/>
      <c r="AP88" s="33"/>
    </row>
    <row r="89" spans="1:42">
      <c r="A89" s="30">
        <v>88</v>
      </c>
      <c r="B89" s="31">
        <v>45796</v>
      </c>
      <c r="C89" s="32">
        <f>YEAR(PA[[#This Row],[Date]])+IF(MONTH(PA[[#This Row],[Date]])&gt;=4,1,0)</f>
        <v>2026</v>
      </c>
      <c r="D89" s="32">
        <f>YEAR(PA[[#This Row],[Date]])</f>
        <v>2025</v>
      </c>
      <c r="E89" s="33" t="s">
        <v>219</v>
      </c>
      <c r="F89" s="33" t="s">
        <v>219</v>
      </c>
      <c r="G89" s="196">
        <f>PA[[#This Row],[Date]]-DAY(PA[[#This Row],[Date]])+1</f>
        <v>45778</v>
      </c>
      <c r="H89" s="32">
        <f>DAY(EOMONTH(PA[[#This Row],[Month Year]],0))</f>
        <v>31</v>
      </c>
      <c r="I89" s="122">
        <v>0.25416666666666665</v>
      </c>
      <c r="J89" s="122">
        <v>0.76736111111111116</v>
      </c>
      <c r="K89" s="35">
        <f>IFERROR((PA[[#This Row],[Sunset Time (POA&lt;20 W/m2)]]-PA[[#This Row],[Sunrise Time (POA&gt;20 W/m2)]])*24,"")</f>
        <v>12.316666666666668</v>
      </c>
      <c r="L89" s="33" t="s">
        <v>303</v>
      </c>
      <c r="M89" s="33" t="s">
        <v>294</v>
      </c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9" s="35">
        <f>IFERROR(_xlfn.XLOOKUP(PA[[#This Row],[Affected Equipment ]],'Basic Data'!N:N,'Basic Data'!Q:Q),"")</f>
        <v>5104</v>
      </c>
      <c r="V89" s="39">
        <f ca="1">IFERROR(_xlfn.XLOOKUP(PA[[#This Row],[Affected Equipment ]],'Basic Data'!N:N,'Basic Data'!R:R),"")</f>
        <v>0.13017087477684264</v>
      </c>
      <c r="W89" s="36" t="s">
        <v>304</v>
      </c>
      <c r="X89" s="40"/>
      <c r="Y89" s="347" t="s">
        <v>335</v>
      </c>
      <c r="Z89" s="46">
        <v>0.50138888888888888</v>
      </c>
      <c r="AA89" s="46">
        <v>0.50138888888888888</v>
      </c>
      <c r="AB89" s="46">
        <v>0.50138888888888888</v>
      </c>
      <c r="AC89" s="46">
        <v>0.50555555555555554</v>
      </c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9.9999999999999645E-2</v>
      </c>
      <c r="AG89" s="44">
        <f>IFERROR((PA[[#This Row],[Work Completion time on fault]]-PA[[#This Row],[Fault Time]])*24,"")</f>
        <v>9.9999999999999645E-2</v>
      </c>
      <c r="AH89" s="36" t="s">
        <v>336</v>
      </c>
      <c r="AI89" s="33" t="s">
        <v>298</v>
      </c>
      <c r="AJ89" s="35">
        <f ca="1">IFERROR(PA[[#This Row],[Breakdown Time]]*PA[[#This Row],[Plant Equivalent Weightage]],"")</f>
        <v>1.3017087477684217E-2</v>
      </c>
      <c r="AK89" s="36">
        <v>0.10349033333333334</v>
      </c>
      <c r="AL89" s="51">
        <f>IFERROR((_xlfn.XLOOKUP($G89,'Modelling New'!D:D,'Modelling New'!$O:$O)*PA[[#This Row],[Lost PoA(kWh/m2)]]*PA[[#This Row],[DC Capacity Affected (kW)]]),"")</f>
        <v>337.79642572151249</v>
      </c>
      <c r="AM89" s="33"/>
      <c r="AN89" s="33"/>
      <c r="AO89" s="33"/>
      <c r="AP89" s="33"/>
    </row>
    <row r="90" spans="1:42">
      <c r="A90" s="30">
        <v>89</v>
      </c>
      <c r="B90" s="31">
        <v>45799</v>
      </c>
      <c r="C90" s="32">
        <f>YEAR(PA[[#This Row],[Date]])+IF(MONTH(PA[[#This Row],[Date]])&gt;=4,1,0)</f>
        <v>2026</v>
      </c>
      <c r="D90" s="32">
        <f>YEAR(PA[[#This Row],[Date]])</f>
        <v>2025</v>
      </c>
      <c r="E90" s="33" t="s">
        <v>219</v>
      </c>
      <c r="F90" s="33" t="s">
        <v>219</v>
      </c>
      <c r="G90" s="196">
        <f>PA[[#This Row],[Date]]-DAY(PA[[#This Row],[Date]])+1</f>
        <v>45778</v>
      </c>
      <c r="H90" s="32">
        <f>DAY(EOMONTH(PA[[#This Row],[Month Year]],0))</f>
        <v>31</v>
      </c>
      <c r="I90" s="122">
        <v>0.25138888888888888</v>
      </c>
      <c r="J90" s="122">
        <v>0.76388888888888884</v>
      </c>
      <c r="K90" s="35">
        <f>IFERROR((PA[[#This Row],[Sunset Time (POA&lt;20 W/m2)]]-PA[[#This Row],[Sunrise Time (POA&gt;20 W/m2)]])*24,"")</f>
        <v>12.299999999999999</v>
      </c>
      <c r="L90" s="33" t="s">
        <v>300</v>
      </c>
      <c r="M90" s="33" t="s">
        <v>294</v>
      </c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0" s="35">
        <f>IFERROR(_xlfn.XLOOKUP(PA[[#This Row],[Affected Equipment ]],'Basic Data'!N:N,'Basic Data'!Q:Q),"")</f>
        <v>4662.4750000000004</v>
      </c>
      <c r="V90" s="39">
        <f ca="1">IFERROR(_xlfn.XLOOKUP(PA[[#This Row],[Affected Equipment ]],'Basic Data'!N:N,'Basic Data'!R:R),"")</f>
        <v>0.11891035450140271</v>
      </c>
      <c r="W90" s="36" t="s">
        <v>304</v>
      </c>
      <c r="X90" s="40"/>
      <c r="Y90" s="40" t="s">
        <v>341</v>
      </c>
      <c r="Z90" s="46">
        <v>0.3298611111111111</v>
      </c>
      <c r="AA90" s="46">
        <v>0.3298611111111111</v>
      </c>
      <c r="AB90" s="46">
        <v>0.3298611111111111</v>
      </c>
      <c r="AC90" s="46">
        <v>0.34097222222222223</v>
      </c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0.26666666666666705</v>
      </c>
      <c r="AG90" s="44">
        <f>IFERROR((PA[[#This Row],[Work Completion time on fault]]-PA[[#This Row],[Fault Time]])*24,"")</f>
        <v>0.26666666666666705</v>
      </c>
      <c r="AH90" s="348" t="s">
        <v>312</v>
      </c>
      <c r="AI90" s="33" t="s">
        <v>298</v>
      </c>
      <c r="AJ90" s="35">
        <f ca="1">IFERROR(PA[[#This Row],[Breakdown Time]]*PA[[#This Row],[Plant Equivalent Weightage]],"")</f>
        <v>3.1709427867040771E-2</v>
      </c>
      <c r="AK90" s="36">
        <v>9.3576000000000006E-2</v>
      </c>
      <c r="AL90" s="51">
        <f>IFERROR((_xlfn.XLOOKUP($G90,'Modelling New'!D:D,'Modelling New'!$O:$O)*PA[[#This Row],[Lost PoA(kWh/m2)]]*PA[[#This Row],[DC Capacity Affected (kW)]]),"")</f>
        <v>279.01374058060105</v>
      </c>
      <c r="AM90" s="33"/>
      <c r="AN90" s="33"/>
      <c r="AO90" s="33"/>
      <c r="AP90" s="33"/>
    </row>
    <row r="91" spans="1:42">
      <c r="A91" s="30">
        <v>90</v>
      </c>
      <c r="B91" s="31">
        <v>45799</v>
      </c>
      <c r="C91" s="32">
        <f>YEAR(PA[[#This Row],[Date]])+IF(MONTH(PA[[#This Row],[Date]])&gt;=4,1,0)</f>
        <v>2026</v>
      </c>
      <c r="D91" s="32">
        <f>YEAR(PA[[#This Row],[Date]])</f>
        <v>2025</v>
      </c>
      <c r="E91" s="33" t="s">
        <v>219</v>
      </c>
      <c r="F91" s="33" t="s">
        <v>219</v>
      </c>
      <c r="G91" s="196">
        <f>PA[[#This Row],[Date]]-DAY(PA[[#This Row],[Date]])+1</f>
        <v>45778</v>
      </c>
      <c r="H91" s="32">
        <f>DAY(EOMONTH(PA[[#This Row],[Month Year]],0))</f>
        <v>31</v>
      </c>
      <c r="I91" s="122">
        <v>0.25138888888888888</v>
      </c>
      <c r="J91" s="122">
        <v>0.76388888888888884</v>
      </c>
      <c r="K91" s="35">
        <f>IFERROR((PA[[#This Row],[Sunset Time (POA&lt;20 W/m2)]]-PA[[#This Row],[Sunrise Time (POA&gt;20 W/m2)]])*24,"")</f>
        <v>12.299999999999999</v>
      </c>
      <c r="L91" s="33" t="s">
        <v>300</v>
      </c>
      <c r="M91" s="33" t="s">
        <v>294</v>
      </c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1" s="35">
        <f>IFERROR(_xlfn.XLOOKUP(PA[[#This Row],[Affected Equipment ]],'Basic Data'!N:N,'Basic Data'!Q:Q),"")</f>
        <v>4662.4750000000004</v>
      </c>
      <c r="V91" s="39">
        <f ca="1">IFERROR(_xlfn.XLOOKUP(PA[[#This Row],[Affected Equipment ]],'Basic Data'!N:N,'Basic Data'!R:R),"")</f>
        <v>0.11891035450140271</v>
      </c>
      <c r="W91" s="36" t="s">
        <v>304</v>
      </c>
      <c r="X91" s="40"/>
      <c r="Y91" s="40" t="s">
        <v>342</v>
      </c>
      <c r="Z91" s="46">
        <v>0.34791666666666665</v>
      </c>
      <c r="AA91" s="46">
        <v>0.34791666666666665</v>
      </c>
      <c r="AB91" s="46">
        <v>0.34791666666666665</v>
      </c>
      <c r="AC91" s="46">
        <v>0.35208333333333336</v>
      </c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0.10000000000000098</v>
      </c>
      <c r="AG91" s="44">
        <f>IFERROR((PA[[#This Row],[Work Completion time on fault]]-PA[[#This Row],[Fault Time]])*24,"")</f>
        <v>0.10000000000000098</v>
      </c>
      <c r="AH91" s="348" t="s">
        <v>312</v>
      </c>
      <c r="AI91" s="33" t="s">
        <v>298</v>
      </c>
      <c r="AJ91" s="35">
        <f ca="1">IFERROR(PA[[#This Row],[Breakdown Time]]*PA[[#This Row],[Plant Equivalent Weightage]],"")</f>
        <v>1.1891035450140386E-2</v>
      </c>
      <c r="AK91" s="36">
        <v>2.7881666666666669E-2</v>
      </c>
      <c r="AL91" s="51">
        <f>IFERROR((_xlfn.XLOOKUP($G91,'Modelling New'!D:D,'Modelling New'!$O:$O)*PA[[#This Row],[Lost PoA(kWh/m2)]]*PA[[#This Row],[DC Capacity Affected (kW)]]),"")</f>
        <v>83.134223628795041</v>
      </c>
      <c r="AM91" s="33"/>
      <c r="AN91" s="33"/>
      <c r="AO91" s="33"/>
      <c r="AP91" s="33"/>
    </row>
    <row r="92" spans="1:42">
      <c r="A92" s="30">
        <v>91</v>
      </c>
      <c r="B92" s="31">
        <v>45799</v>
      </c>
      <c r="C92" s="32">
        <f>YEAR(PA[[#This Row],[Date]])+IF(MONTH(PA[[#This Row],[Date]])&gt;=4,1,0)</f>
        <v>2026</v>
      </c>
      <c r="D92" s="32">
        <f>YEAR(PA[[#This Row],[Date]])</f>
        <v>2025</v>
      </c>
      <c r="E92" s="33" t="s">
        <v>219</v>
      </c>
      <c r="F92" s="33" t="s">
        <v>219</v>
      </c>
      <c r="G92" s="196">
        <f>PA[[#This Row],[Date]]-DAY(PA[[#This Row],[Date]])+1</f>
        <v>45778</v>
      </c>
      <c r="H92" s="32">
        <f>DAY(EOMONTH(PA[[#This Row],[Month Year]],0))</f>
        <v>31</v>
      </c>
      <c r="I92" s="122">
        <v>0.25138888888888888</v>
      </c>
      <c r="J92" s="122">
        <v>0.76388888888888884</v>
      </c>
      <c r="K92" s="35">
        <f>IFERROR((PA[[#This Row],[Sunset Time (POA&lt;20 W/m2)]]-PA[[#This Row],[Sunrise Time (POA&gt;20 W/m2)]])*24,"")</f>
        <v>12.299999999999999</v>
      </c>
      <c r="L92" s="33" t="s">
        <v>300</v>
      </c>
      <c r="M92" s="33" t="s">
        <v>294</v>
      </c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2" s="35">
        <f>IFERROR(_xlfn.XLOOKUP(PA[[#This Row],[Affected Equipment ]],'Basic Data'!N:N,'Basic Data'!Q:Q),"")</f>
        <v>4662.4750000000004</v>
      </c>
      <c r="V92" s="39">
        <f ca="1">IFERROR(_xlfn.XLOOKUP(PA[[#This Row],[Affected Equipment ]],'Basic Data'!N:N,'Basic Data'!R:R),"")</f>
        <v>0.11891035450140271</v>
      </c>
      <c r="W92" s="36" t="s">
        <v>304</v>
      </c>
      <c r="X92" s="40"/>
      <c r="Y92" s="40" t="s">
        <v>342</v>
      </c>
      <c r="Z92" s="46">
        <v>0.51875000000000004</v>
      </c>
      <c r="AA92" s="46">
        <v>0.51875000000000004</v>
      </c>
      <c r="AB92" s="46">
        <v>0.51875000000000004</v>
      </c>
      <c r="AC92" s="46">
        <v>0.52430555555555558</v>
      </c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0.13333333333333286</v>
      </c>
      <c r="AG92" s="44">
        <f>IFERROR((PA[[#This Row],[Work Completion time on fault]]-PA[[#This Row],[Fault Time]])*24,"")</f>
        <v>0.13333333333333286</v>
      </c>
      <c r="AH92" s="348" t="s">
        <v>312</v>
      </c>
      <c r="AI92" s="33" t="s">
        <v>298</v>
      </c>
      <c r="AJ92" s="35">
        <f ca="1">IFERROR(PA[[#This Row],[Breakdown Time]]*PA[[#This Row],[Plant Equivalent Weightage]],"")</f>
        <v>1.5854713933520306E-2</v>
      </c>
      <c r="AK92" s="36">
        <v>0.10992632000000001</v>
      </c>
      <c r="AL92" s="51">
        <f>IFERROR((_xlfn.XLOOKUP($G92,'Modelling New'!D:D,'Modelling New'!$O:$O)*PA[[#This Row],[Lost PoA(kWh/m2)]]*PA[[#This Row],[DC Capacity Affected (kW)]]),"")</f>
        <v>327.76517196140179</v>
      </c>
      <c r="AM92" s="33"/>
      <c r="AN92" s="33"/>
      <c r="AO92" s="33"/>
      <c r="AP92" s="33"/>
    </row>
    <row r="93" spans="1:42">
      <c r="A93" s="30">
        <v>92</v>
      </c>
      <c r="B93" s="31">
        <v>45799</v>
      </c>
      <c r="C93" s="32">
        <f>YEAR(PA[[#This Row],[Date]])+IF(MONTH(PA[[#This Row],[Date]])&gt;=4,1,0)</f>
        <v>2026</v>
      </c>
      <c r="D93" s="32">
        <f>YEAR(PA[[#This Row],[Date]])</f>
        <v>2025</v>
      </c>
      <c r="E93" s="33" t="s">
        <v>219</v>
      </c>
      <c r="F93" s="33" t="s">
        <v>219</v>
      </c>
      <c r="G93" s="196">
        <f>PA[[#This Row],[Date]]-DAY(PA[[#This Row],[Date]])+1</f>
        <v>45778</v>
      </c>
      <c r="H93" s="32">
        <f>DAY(EOMONTH(PA[[#This Row],[Month Year]],0))</f>
        <v>31</v>
      </c>
      <c r="I93" s="122">
        <v>0.25138888888888888</v>
      </c>
      <c r="J93" s="122">
        <v>0.76388888888888884</v>
      </c>
      <c r="K93" s="35">
        <f>IFERROR((PA[[#This Row],[Sunset Time (POA&lt;20 W/m2)]]-PA[[#This Row],[Sunrise Time (POA&gt;20 W/m2)]])*24,"")</f>
        <v>12.299999999999999</v>
      </c>
      <c r="L93" s="33" t="s">
        <v>300</v>
      </c>
      <c r="M93" s="33" t="s">
        <v>294</v>
      </c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3" s="35">
        <f>IFERROR(_xlfn.XLOOKUP(PA[[#This Row],[Affected Equipment ]],'Basic Data'!N:N,'Basic Data'!Q:Q),"")</f>
        <v>4662.4750000000004</v>
      </c>
      <c r="V93" s="39">
        <f ca="1">IFERROR(_xlfn.XLOOKUP(PA[[#This Row],[Affected Equipment ]],'Basic Data'!N:N,'Basic Data'!R:R),"")</f>
        <v>0.11891035450140271</v>
      </c>
      <c r="W93" s="36" t="s">
        <v>304</v>
      </c>
      <c r="X93" s="40"/>
      <c r="Y93" s="40" t="s">
        <v>342</v>
      </c>
      <c r="Z93" s="46">
        <v>0.54166666666666663</v>
      </c>
      <c r="AA93" s="46">
        <v>0.54166666666666663</v>
      </c>
      <c r="AB93" s="46">
        <v>0.54166666666666663</v>
      </c>
      <c r="AC93" s="46">
        <v>0.55486111111111114</v>
      </c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0.31666666666666821</v>
      </c>
      <c r="AG93" s="44">
        <f>IFERROR((PA[[#This Row],[Work Completion time on fault]]-PA[[#This Row],[Fault Time]])*24,"")</f>
        <v>0.31666666666666821</v>
      </c>
      <c r="AH93" s="348" t="s">
        <v>312</v>
      </c>
      <c r="AI93" s="33" t="s">
        <v>298</v>
      </c>
      <c r="AJ93" s="35">
        <f ca="1">IFERROR(PA[[#This Row],[Breakdown Time]]*PA[[#This Row],[Plant Equivalent Weightage]],"")</f>
        <v>3.7654945592111043E-2</v>
      </c>
      <c r="AK93" s="36">
        <v>0.22343923833333335</v>
      </c>
      <c r="AL93" s="51">
        <f>IFERROR((_xlfn.XLOOKUP($G93,'Modelling New'!D:D,'Modelling New'!$O:$O)*PA[[#This Row],[Lost PoA(kWh/m2)]]*PA[[#This Row],[DC Capacity Affected (kW)]]),"")</f>
        <v>666.224434468921</v>
      </c>
      <c r="AM93" s="33"/>
      <c r="AN93" s="33"/>
      <c r="AO93" s="33"/>
      <c r="AP93" s="33"/>
    </row>
    <row r="94" spans="1:42">
      <c r="A94" s="30">
        <v>93</v>
      </c>
      <c r="B94" s="31">
        <v>45799</v>
      </c>
      <c r="C94" s="32">
        <f>YEAR(PA[[#This Row],[Date]])+IF(MONTH(PA[[#This Row],[Date]])&gt;=4,1,0)</f>
        <v>2026</v>
      </c>
      <c r="D94" s="32">
        <f>YEAR(PA[[#This Row],[Date]])</f>
        <v>2025</v>
      </c>
      <c r="E94" s="33" t="s">
        <v>219</v>
      </c>
      <c r="F94" s="33" t="s">
        <v>219</v>
      </c>
      <c r="G94" s="196">
        <f>PA[[#This Row],[Date]]-DAY(PA[[#This Row],[Date]])+1</f>
        <v>45778</v>
      </c>
      <c r="H94" s="32">
        <f>DAY(EOMONTH(PA[[#This Row],[Month Year]],0))</f>
        <v>31</v>
      </c>
      <c r="I94" s="122">
        <v>0.25138888888888888</v>
      </c>
      <c r="J94" s="122">
        <v>0.76388888888888884</v>
      </c>
      <c r="K94" s="35">
        <f>IFERROR((PA[[#This Row],[Sunset Time (POA&lt;20 W/m2)]]-PA[[#This Row],[Sunrise Time (POA&gt;20 W/m2)]])*24,"")</f>
        <v>12.299999999999999</v>
      </c>
      <c r="L94" s="33" t="s">
        <v>300</v>
      </c>
      <c r="M94" s="33" t="s">
        <v>299</v>
      </c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4" s="35">
        <f>IFERROR(_xlfn.XLOOKUP(PA[[#This Row],[Affected Equipment ]],'Basic Data'!N:N,'Basic Data'!Q:Q),"")</f>
        <v>4662.4750000000004</v>
      </c>
      <c r="V94" s="39">
        <f ca="1">IFERROR(_xlfn.XLOOKUP(PA[[#This Row],[Affected Equipment ]],'Basic Data'!N:N,'Basic Data'!R:R),"")</f>
        <v>0.11891035450140271</v>
      </c>
      <c r="W94" s="36" t="s">
        <v>304</v>
      </c>
      <c r="X94" s="40"/>
      <c r="Y94" s="40" t="s">
        <v>343</v>
      </c>
      <c r="Z94" s="46">
        <v>0.33263888888888887</v>
      </c>
      <c r="AA94" s="46">
        <v>0.33263888888888887</v>
      </c>
      <c r="AB94" s="46">
        <v>0.33263888888888887</v>
      </c>
      <c r="AC94" s="46">
        <v>0.33750000000000002</v>
      </c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0.11666666666666758</v>
      </c>
      <c r="AG94" s="44">
        <f>IFERROR((PA[[#This Row],[Work Completion time on fault]]-PA[[#This Row],[Fault Time]])*24,"")</f>
        <v>0.11666666666666758</v>
      </c>
      <c r="AH94" s="348" t="s">
        <v>312</v>
      </c>
      <c r="AI94" s="33" t="s">
        <v>298</v>
      </c>
      <c r="AJ94" s="35">
        <f ca="1">IFERROR(PA[[#This Row],[Breakdown Time]]*PA[[#This Row],[Plant Equivalent Weightage]],"")</f>
        <v>1.3872874691830425E-2</v>
      </c>
      <c r="AK94" s="36">
        <v>4.0204576666666672E-2</v>
      </c>
      <c r="AL94" s="51">
        <f>IFERROR((_xlfn.XLOOKUP($G94,'Modelling New'!D:D,'Modelling New'!$O:$O)*PA[[#This Row],[Lost PoA(kWh/m2)]]*PA[[#This Row],[DC Capacity Affected (kW)]]),"")</f>
        <v>119.87720488401106</v>
      </c>
      <c r="AM94" s="33"/>
      <c r="AN94" s="33"/>
      <c r="AO94" s="33"/>
      <c r="AP94" s="33"/>
    </row>
    <row r="95" spans="1:42">
      <c r="A95" s="30">
        <v>94</v>
      </c>
      <c r="B95" s="31">
        <v>45800</v>
      </c>
      <c r="C95" s="32">
        <f>YEAR(PA[[#This Row],[Date]])+IF(MONTH(PA[[#This Row],[Date]])&gt;=4,1,0)</f>
        <v>2026</v>
      </c>
      <c r="D95" s="32">
        <f>YEAR(PA[[#This Row],[Date]])</f>
        <v>2025</v>
      </c>
      <c r="E95" s="33" t="s">
        <v>219</v>
      </c>
      <c r="F95" s="33" t="s">
        <v>219</v>
      </c>
      <c r="G95" s="196">
        <f>PA[[#This Row],[Date]]-DAY(PA[[#This Row],[Date]])+1</f>
        <v>45778</v>
      </c>
      <c r="H95" s="32">
        <f>DAY(EOMONTH(PA[[#This Row],[Month Year]],0))</f>
        <v>31</v>
      </c>
      <c r="I95" s="122">
        <v>0.25555555555555554</v>
      </c>
      <c r="J95" s="122">
        <v>0.71736111111111112</v>
      </c>
      <c r="K95" s="35">
        <f>IFERROR((PA[[#This Row],[Sunset Time (POA&lt;20 W/m2)]]-PA[[#This Row],[Sunrise Time (POA&gt;20 W/m2)]])*24,"")</f>
        <v>11.083333333333334</v>
      </c>
      <c r="L95" s="33" t="s">
        <v>303</v>
      </c>
      <c r="M95" s="33" t="s">
        <v>294</v>
      </c>
      <c r="N95" s="33" t="s">
        <v>313</v>
      </c>
      <c r="O95" s="36" t="s">
        <v>344</v>
      </c>
      <c r="P95" s="36" t="s">
        <v>327</v>
      </c>
      <c r="Q95" s="33"/>
      <c r="R95" s="32">
        <f>IF((PA[[#This Row],[String Type(If String BD)]]&amp;PA[[#This Row],[Equipment (If any BD other than PV  array and inv)]])="",1,0)</f>
        <v>0</v>
      </c>
      <c r="S95" s="32">
        <f>IF(PA[[#This Row],[String Type(If String BD)]]="",1,0)</f>
        <v>0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95" s="35">
        <f>IFERROR(_xlfn.XLOOKUP(PA[[#This Row],[Affected Equipment ]],'Basic Data'!N:N,'Basic Data'!Q:Q),"")</f>
        <v>15.95</v>
      </c>
      <c r="V95" s="39">
        <f ca="1">IFERROR(_xlfn.XLOOKUP(PA[[#This Row],[Affected Equipment ]],'Basic Data'!N:N,'Basic Data'!R:R),"")</f>
        <v>4.0678398367763324E-4</v>
      </c>
      <c r="W95" s="36" t="s">
        <v>328</v>
      </c>
      <c r="X95" s="40"/>
      <c r="Y95" s="350" t="s">
        <v>329</v>
      </c>
      <c r="Z95" s="46">
        <v>0.25555555555555554</v>
      </c>
      <c r="AA95" s="46">
        <v>0.25555555555555554</v>
      </c>
      <c r="AB95" s="46">
        <v>0.25555555555555554</v>
      </c>
      <c r="AC95" s="46">
        <v>0.67361111111111116</v>
      </c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10.033333333333335</v>
      </c>
      <c r="AG95" s="44">
        <f>IFERROR((PA[[#This Row],[Work Completion time on fault]]-PA[[#This Row],[Fault Time]])*24,"")</f>
        <v>10.033333333333335</v>
      </c>
      <c r="AH95" s="36" t="s">
        <v>330</v>
      </c>
      <c r="AI95" s="33" t="s">
        <v>298</v>
      </c>
      <c r="AJ95" s="35">
        <f ca="1">IFERROR(PA[[#This Row],[Breakdown Time]]*PA[[#This Row],[Plant Equivalent Weightage]],"")</f>
        <v>4.0813993028989207E-3</v>
      </c>
      <c r="AK95" s="36">
        <v>3.6083676666666666</v>
      </c>
      <c r="AL95" s="51">
        <f>IFERROR((_xlfn.XLOOKUP($G95,'Modelling New'!D:D,'Modelling New'!$O:$O)*PA[[#This Row],[Lost PoA(kWh/m2)]]*PA[[#This Row],[DC Capacity Affected (kW)]]),"")</f>
        <v>36.805783606472318</v>
      </c>
      <c r="AM95" s="33"/>
      <c r="AN95" s="33"/>
      <c r="AO95" s="33"/>
      <c r="AP95" s="33"/>
    </row>
    <row r="96" spans="1:42">
      <c r="A96" s="30">
        <v>95</v>
      </c>
      <c r="B96" s="31">
        <v>45801</v>
      </c>
      <c r="C96" s="32">
        <f>YEAR(PA[[#This Row],[Date]])+IF(MONTH(PA[[#This Row],[Date]])&gt;=4,1,0)</f>
        <v>2026</v>
      </c>
      <c r="D96" s="32">
        <f>YEAR(PA[[#This Row],[Date]])</f>
        <v>2025</v>
      </c>
      <c r="E96" s="33" t="s">
        <v>219</v>
      </c>
      <c r="F96" s="33" t="s">
        <v>219</v>
      </c>
      <c r="G96" s="196">
        <f>PA[[#This Row],[Date]]-DAY(PA[[#This Row],[Date]])+1</f>
        <v>45778</v>
      </c>
      <c r="H96" s="32">
        <f>DAY(EOMONTH(PA[[#This Row],[Month Year]],0))</f>
        <v>31</v>
      </c>
      <c r="I96" s="122">
        <v>0.26319444444444445</v>
      </c>
      <c r="J96" s="122">
        <v>0.73611111111111116</v>
      </c>
      <c r="K96" s="35">
        <f>IFERROR((PA[[#This Row],[Sunset Time (POA&lt;20 W/m2)]]-PA[[#This Row],[Sunrise Time (POA&gt;20 W/m2)]])*24,"")</f>
        <v>11.350000000000001</v>
      </c>
      <c r="L96" s="33" t="s">
        <v>300</v>
      </c>
      <c r="M96" s="33" t="s">
        <v>294</v>
      </c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6" s="35">
        <f>IFERROR(_xlfn.XLOOKUP(PA[[#This Row],[Affected Equipment ]],'Basic Data'!N:N,'Basic Data'!Q:Q),"")</f>
        <v>4662.4750000000004</v>
      </c>
      <c r="V96" s="39">
        <f ca="1">IFERROR(_xlfn.XLOOKUP(PA[[#This Row],[Affected Equipment ]],'Basic Data'!N:N,'Basic Data'!R:R),"")</f>
        <v>0.11891035450140271</v>
      </c>
      <c r="W96" s="36" t="s">
        <v>304</v>
      </c>
      <c r="X96" s="40"/>
      <c r="Y96" s="40" t="s">
        <v>341</v>
      </c>
      <c r="Z96" s="46">
        <v>0.32916666666666666</v>
      </c>
      <c r="AA96" s="46">
        <v>0.32916666666666666</v>
      </c>
      <c r="AB96" s="46">
        <v>0.32916666666666666</v>
      </c>
      <c r="AC96" s="46">
        <v>0.35208333333333336</v>
      </c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0.55000000000000071</v>
      </c>
      <c r="AG96" s="44">
        <f>IFERROR((PA[[#This Row],[Work Completion time on fault]]-PA[[#This Row],[Fault Time]])*24,"")</f>
        <v>0.55000000000000071</v>
      </c>
      <c r="AH96" s="348" t="s">
        <v>312</v>
      </c>
      <c r="AI96" s="33" t="s">
        <v>298</v>
      </c>
      <c r="AJ96" s="35">
        <f ca="1">IFERROR(PA[[#This Row],[Breakdown Time]]*PA[[#This Row],[Plant Equivalent Weightage]],"")</f>
        <v>6.540069497577157E-2</v>
      </c>
      <c r="AK96" s="36">
        <v>7.8117851666666668E-2</v>
      </c>
      <c r="AL96" s="51">
        <f>IFERROR((_xlfn.XLOOKUP($G96,'Modelling New'!D:D,'Modelling New'!$O:$O)*PA[[#This Row],[Lost PoA(kWh/m2)]]*PA[[#This Row],[DC Capacity Affected (kW)]]),"")</f>
        <v>232.92248011923147</v>
      </c>
      <c r="AM96" s="33"/>
      <c r="AN96" s="33"/>
      <c r="AO96" s="33"/>
      <c r="AP96" s="33"/>
    </row>
    <row r="97" spans="1:42" ht="15" customHeight="1">
      <c r="A97" s="30">
        <v>96</v>
      </c>
      <c r="B97" s="31">
        <v>45801</v>
      </c>
      <c r="C97" s="334">
        <f>YEAR(PA[[#This Row],[Date]])+IF(MONTH(PA[[#This Row],[Date]])&gt;=4,1,0)</f>
        <v>2026</v>
      </c>
      <c r="D97" s="334">
        <f>YEAR(PA[[#This Row],[Date]])</f>
        <v>2025</v>
      </c>
      <c r="E97" s="335" t="s">
        <v>219</v>
      </c>
      <c r="F97" s="335" t="s">
        <v>219</v>
      </c>
      <c r="G97" s="336">
        <f>PA[[#This Row],[Date]]-DAY(PA[[#This Row],[Date]])+1</f>
        <v>45778</v>
      </c>
      <c r="H97" s="334">
        <f>DAY(EOMONTH(PA[[#This Row],[Month Year]],0))</f>
        <v>31</v>
      </c>
      <c r="I97" s="122">
        <v>0.26319444444444445</v>
      </c>
      <c r="J97" s="122">
        <v>0.73611111111111116</v>
      </c>
      <c r="K97" s="337">
        <f>IFERROR((PA[[#This Row],[Sunset Time (POA&lt;20 W/m2)]]-PA[[#This Row],[Sunrise Time (POA&gt;20 W/m2)]])*24,"")</f>
        <v>11.350000000000001</v>
      </c>
      <c r="L97" s="335" t="s">
        <v>300</v>
      </c>
      <c r="M97" s="335" t="s">
        <v>294</v>
      </c>
      <c r="N97" s="335"/>
      <c r="O97" s="338"/>
      <c r="P97" s="338"/>
      <c r="Q97" s="335"/>
      <c r="R97" s="334">
        <f>IF((PA[[#This Row],[String Type(If String BD)]]&amp;PA[[#This Row],[Equipment (If any BD other than PV  array and inv)]])="",1,0)</f>
        <v>1</v>
      </c>
      <c r="S97" s="334">
        <f>IF(PA[[#This Row],[String Type(If String BD)]]="",1,0)</f>
        <v>1</v>
      </c>
      <c r="T97" s="334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7" s="337">
        <f>IFERROR(_xlfn.XLOOKUP(PA[[#This Row],[Affected Equipment ]],'Basic Data'!N:N,'Basic Data'!Q:Q),"")</f>
        <v>4662.4750000000004</v>
      </c>
      <c r="V97" s="339">
        <f ca="1">IFERROR(_xlfn.XLOOKUP(PA[[#This Row],[Affected Equipment ]],'Basic Data'!N:N,'Basic Data'!R:R),"")</f>
        <v>0.11891035450140271</v>
      </c>
      <c r="W97" s="338" t="s">
        <v>304</v>
      </c>
      <c r="X97" s="340"/>
      <c r="Y97" s="40" t="s">
        <v>341</v>
      </c>
      <c r="Z97" s="46">
        <v>0.36875000000000002</v>
      </c>
      <c r="AA97" s="46">
        <v>0.36875000000000002</v>
      </c>
      <c r="AB97" s="46">
        <v>0.36875000000000002</v>
      </c>
      <c r="AC97" s="46">
        <v>0.37986111111111109</v>
      </c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0.26666666666666572</v>
      </c>
      <c r="AG97" s="44">
        <f>IFERROR((PA[[#This Row],[Work Completion time on fault]]-PA[[#This Row],[Fault Time]])*24,"")</f>
        <v>0.26666666666666572</v>
      </c>
      <c r="AH97" s="348" t="s">
        <v>312</v>
      </c>
      <c r="AI97" s="33" t="s">
        <v>298</v>
      </c>
      <c r="AJ97" s="337">
        <f ca="1">IFERROR(PA[[#This Row],[Breakdown Time]]*PA[[#This Row],[Plant Equivalent Weightage]],"")</f>
        <v>3.1709427867040611E-2</v>
      </c>
      <c r="AK97" s="338">
        <v>7.1734646666666665E-2</v>
      </c>
      <c r="AL97" s="341">
        <f>IFERROR((_xlfn.XLOOKUP($G97,'Modelling New'!D:D,'Modelling New'!$O:$O)*PA[[#This Row],[Lost PoA(kWh/m2)]]*PA[[#This Row],[DC Capacity Affected (kW)]]),"")</f>
        <v>213.88980182626324</v>
      </c>
      <c r="AM97" s="33"/>
      <c r="AN97" s="33"/>
      <c r="AO97" s="33"/>
      <c r="AP97" s="33"/>
    </row>
    <row r="98" spans="1:42">
      <c r="A98" s="30">
        <v>97</v>
      </c>
      <c r="B98" s="31">
        <v>45801</v>
      </c>
      <c r="C98" s="32">
        <f>YEAR(PA[[#This Row],[Date]])+IF(MONTH(PA[[#This Row],[Date]])&gt;=4,1,0)</f>
        <v>2026</v>
      </c>
      <c r="D98" s="32">
        <f>YEAR(PA[[#This Row],[Date]])</f>
        <v>2025</v>
      </c>
      <c r="E98" s="33" t="s">
        <v>219</v>
      </c>
      <c r="F98" s="33" t="s">
        <v>219</v>
      </c>
      <c r="G98" s="196">
        <f>PA[[#This Row],[Date]]-DAY(PA[[#This Row],[Date]])+1</f>
        <v>45778</v>
      </c>
      <c r="H98" s="32">
        <f>DAY(EOMONTH(PA[[#This Row],[Month Year]],0))</f>
        <v>31</v>
      </c>
      <c r="I98" s="122">
        <v>0.26319444444444445</v>
      </c>
      <c r="J98" s="122">
        <v>0.73611111111111116</v>
      </c>
      <c r="K98" s="35">
        <f>IFERROR((PA[[#This Row],[Sunset Time (POA&lt;20 W/m2)]]-PA[[#This Row],[Sunrise Time (POA&gt;20 W/m2)]])*24,"")</f>
        <v>11.350000000000001</v>
      </c>
      <c r="L98" s="33" t="s">
        <v>300</v>
      </c>
      <c r="M98" s="33" t="s">
        <v>294</v>
      </c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8" s="35">
        <f>IFERROR(_xlfn.XLOOKUP(PA[[#This Row],[Affected Equipment ]],'Basic Data'!N:N,'Basic Data'!Q:Q),"")</f>
        <v>4662.4750000000004</v>
      </c>
      <c r="V98" s="39">
        <f ca="1">IFERROR(_xlfn.XLOOKUP(PA[[#This Row],[Affected Equipment ]],'Basic Data'!N:N,'Basic Data'!R:R),"")</f>
        <v>0.11891035450140271</v>
      </c>
      <c r="W98" s="36" t="s">
        <v>304</v>
      </c>
      <c r="X98" s="40"/>
      <c r="Y98" s="40" t="s">
        <v>341</v>
      </c>
      <c r="Z98" s="46">
        <v>0.41041666666666665</v>
      </c>
      <c r="AA98" s="46">
        <v>0.41041666666666665</v>
      </c>
      <c r="AB98" s="46">
        <v>0.41041666666666665</v>
      </c>
      <c r="AC98" s="46">
        <v>0.42083333333333334</v>
      </c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0.25000000000000044</v>
      </c>
      <c r="AG98" s="44">
        <f>IFERROR((PA[[#This Row],[Work Completion time on fault]]-PA[[#This Row],[Fault Time]])*24,"")</f>
        <v>0.25000000000000044</v>
      </c>
      <c r="AH98" s="348" t="s">
        <v>312</v>
      </c>
      <c r="AI98" s="33" t="s">
        <v>298</v>
      </c>
      <c r="AJ98" s="35">
        <f ca="1">IFERROR(PA[[#This Row],[Breakdown Time]]*PA[[#This Row],[Plant Equivalent Weightage]],"")</f>
        <v>2.9727588625350729E-2</v>
      </c>
      <c r="AK98" s="36">
        <v>0.11111287833333335</v>
      </c>
      <c r="AL98" s="51">
        <f>IFERROR((_xlfn.XLOOKUP($G98,'Modelling New'!D:D,'Modelling New'!$O:$O)*PA[[#This Row],[Lost PoA(kWh/m2)]]*PA[[#This Row],[DC Capacity Affected (kW)]]),"")</f>
        <v>331.30310988352301</v>
      </c>
      <c r="AM98" s="33"/>
      <c r="AN98" s="33"/>
      <c r="AO98" s="33"/>
      <c r="AP98" s="33"/>
    </row>
    <row r="99" spans="1:42">
      <c r="A99" s="30">
        <v>98</v>
      </c>
      <c r="B99" s="31">
        <v>45801</v>
      </c>
      <c r="C99" s="32">
        <f>YEAR(PA[[#This Row],[Date]])+IF(MONTH(PA[[#This Row],[Date]])&gt;=4,1,0)</f>
        <v>2026</v>
      </c>
      <c r="D99" s="32">
        <f>YEAR(PA[[#This Row],[Date]])</f>
        <v>2025</v>
      </c>
      <c r="E99" s="33" t="s">
        <v>219</v>
      </c>
      <c r="F99" s="33" t="s">
        <v>219</v>
      </c>
      <c r="G99" s="196">
        <f>PA[[#This Row],[Date]]-DAY(PA[[#This Row],[Date]])+1</f>
        <v>45778</v>
      </c>
      <c r="H99" s="32">
        <f>DAY(EOMONTH(PA[[#This Row],[Month Year]],0))</f>
        <v>31</v>
      </c>
      <c r="I99" s="122">
        <v>0.26319444444444445</v>
      </c>
      <c r="J99" s="122">
        <v>0.73611111111111116</v>
      </c>
      <c r="K99" s="35">
        <f>IFERROR((PA[[#This Row],[Sunset Time (POA&lt;20 W/m2)]]-PA[[#This Row],[Sunrise Time (POA&gt;20 W/m2)]])*24,"")</f>
        <v>11.350000000000001</v>
      </c>
      <c r="L99" s="33" t="s">
        <v>300</v>
      </c>
      <c r="M99" s="33" t="s">
        <v>299</v>
      </c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9" s="35">
        <f>IFERROR(_xlfn.XLOOKUP(PA[[#This Row],[Affected Equipment ]],'Basic Data'!N:N,'Basic Data'!Q:Q),"")</f>
        <v>4662.4750000000004</v>
      </c>
      <c r="V99" s="39">
        <f ca="1">IFERROR(_xlfn.XLOOKUP(PA[[#This Row],[Affected Equipment ]],'Basic Data'!N:N,'Basic Data'!R:R),"")</f>
        <v>0.11891035450140271</v>
      </c>
      <c r="W99" s="36" t="s">
        <v>304</v>
      </c>
      <c r="X99" s="40"/>
      <c r="Y99" s="40" t="s">
        <v>343</v>
      </c>
      <c r="Z99" s="46">
        <v>0.41666666666666669</v>
      </c>
      <c r="AA99" s="46">
        <v>0.41666666666666669</v>
      </c>
      <c r="AB99" s="46">
        <v>0.41666666666666669</v>
      </c>
      <c r="AC99" s="46">
        <v>0.42152777777777778</v>
      </c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0.11666666666666625</v>
      </c>
      <c r="AG99" s="44">
        <f>IFERROR((PA[[#This Row],[Work Completion time on fault]]-PA[[#This Row],[Fault Time]])*24,"")</f>
        <v>0.11666666666666625</v>
      </c>
      <c r="AH99" s="348" t="s">
        <v>312</v>
      </c>
      <c r="AI99" s="33" t="s">
        <v>298</v>
      </c>
      <c r="AJ99" s="35">
        <f ca="1">IFERROR(PA[[#This Row],[Breakdown Time]]*PA[[#This Row],[Plant Equivalent Weightage]],"")</f>
        <v>1.3872874691830267E-2</v>
      </c>
      <c r="AK99" s="36">
        <v>5.8793221666666666E-2</v>
      </c>
      <c r="AL99" s="51">
        <f>IFERROR((_xlfn.XLOOKUP($G99,'Modelling New'!D:D,'Modelling New'!$O:$O)*PA[[#This Row],[Lost PoA(kWh/m2)]]*PA[[#This Row],[DC Capacity Affected (kW)]]),"")</f>
        <v>175.30260641618688</v>
      </c>
      <c r="AM99" s="33"/>
      <c r="AN99" s="33"/>
      <c r="AO99" s="33"/>
      <c r="AP99" s="33"/>
    </row>
    <row r="100" spans="1:42">
      <c r="A100" s="30">
        <v>99</v>
      </c>
      <c r="B100" s="31">
        <v>45801</v>
      </c>
      <c r="C100" s="32">
        <f>YEAR(PA[[#This Row],[Date]])+IF(MONTH(PA[[#This Row],[Date]])&gt;=4,1,0)</f>
        <v>2026</v>
      </c>
      <c r="D100" s="32">
        <f>YEAR(PA[[#This Row],[Date]])</f>
        <v>2025</v>
      </c>
      <c r="E100" s="33" t="s">
        <v>219</v>
      </c>
      <c r="F100" s="33" t="s">
        <v>219</v>
      </c>
      <c r="G100" s="196">
        <f>PA[[#This Row],[Date]]-DAY(PA[[#This Row],[Date]])+1</f>
        <v>45778</v>
      </c>
      <c r="H100" s="32">
        <f>DAY(EOMONTH(PA[[#This Row],[Month Year]],0))</f>
        <v>31</v>
      </c>
      <c r="I100" s="122">
        <v>0.26319444444444445</v>
      </c>
      <c r="J100" s="122">
        <v>0.73611111111111116</v>
      </c>
      <c r="K100" s="35">
        <f>IFERROR((PA[[#This Row],[Sunset Time (POA&lt;20 W/m2)]]-PA[[#This Row],[Sunrise Time (POA&gt;20 W/m2)]])*24,"")</f>
        <v>11.350000000000001</v>
      </c>
      <c r="L100" s="33" t="s">
        <v>300</v>
      </c>
      <c r="M100" s="33" t="s">
        <v>294</v>
      </c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00" s="35">
        <f>IFERROR(_xlfn.XLOOKUP(PA[[#This Row],[Affected Equipment ]],'Basic Data'!N:N,'Basic Data'!Q:Q),"")</f>
        <v>4662.4750000000004</v>
      </c>
      <c r="V100" s="39">
        <f ca="1">IFERROR(_xlfn.XLOOKUP(PA[[#This Row],[Affected Equipment ]],'Basic Data'!N:N,'Basic Data'!R:R),"")</f>
        <v>0.11891035450140271</v>
      </c>
      <c r="W100" s="36" t="s">
        <v>345</v>
      </c>
      <c r="X100" s="40"/>
      <c r="Y100" s="40" t="s">
        <v>346</v>
      </c>
      <c r="Z100" s="46">
        <v>0.54374999999999996</v>
      </c>
      <c r="AA100" s="46">
        <v>0.54374999999999996</v>
      </c>
      <c r="AB100" s="46">
        <v>0.54374999999999996</v>
      </c>
      <c r="AC100" s="46">
        <v>0.56874999999999998</v>
      </c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0.60000000000000053</v>
      </c>
      <c r="AG100" s="44">
        <f>IFERROR((PA[[#This Row],[Work Completion time on fault]]-PA[[#This Row],[Fault Time]])*24,"")</f>
        <v>0.60000000000000053</v>
      </c>
      <c r="AH100" s="348" t="s">
        <v>347</v>
      </c>
      <c r="AI100" s="33" t="s">
        <v>298</v>
      </c>
      <c r="AJ100" s="35">
        <f ca="1">IFERROR(PA[[#This Row],[Breakdown Time]]*PA[[#This Row],[Plant Equivalent Weightage]],"")</f>
        <v>7.1346212700841682E-2</v>
      </c>
      <c r="AK100" s="36">
        <v>0.37614667166666665</v>
      </c>
      <c r="AL100" s="51">
        <f>IFERROR((_xlfn.XLOOKUP($G100,'Modelling New'!D:D,'Modelling New'!$O:$O)*PA[[#This Row],[Lost PoA(kWh/m2)]]*PA[[#This Row],[DC Capacity Affected (kW)]]),"")</f>
        <v>1121.5492206191741</v>
      </c>
      <c r="AM100" s="33"/>
      <c r="AN100" s="33"/>
      <c r="AO100" s="33"/>
      <c r="AP100" s="33"/>
    </row>
    <row r="101" spans="1:42">
      <c r="A101" s="30">
        <v>100</v>
      </c>
      <c r="B101" s="31">
        <v>45801</v>
      </c>
      <c r="C101" s="32">
        <f>YEAR(PA[[#This Row],[Date]])+IF(MONTH(PA[[#This Row],[Date]])&gt;=4,1,0)</f>
        <v>2026</v>
      </c>
      <c r="D101" s="32">
        <f>YEAR(PA[[#This Row],[Date]])</f>
        <v>2025</v>
      </c>
      <c r="E101" s="33" t="s">
        <v>219</v>
      </c>
      <c r="F101" s="33" t="s">
        <v>219</v>
      </c>
      <c r="G101" s="196">
        <f>PA[[#This Row],[Date]]-DAY(PA[[#This Row],[Date]])+1</f>
        <v>45778</v>
      </c>
      <c r="H101" s="32">
        <f>DAY(EOMONTH(PA[[#This Row],[Month Year]],0))</f>
        <v>31</v>
      </c>
      <c r="I101" s="122">
        <v>0.26319444444444445</v>
      </c>
      <c r="J101" s="122">
        <v>0.73611111111111116</v>
      </c>
      <c r="K101" s="35">
        <f>IFERROR((PA[[#This Row],[Sunset Time (POA&lt;20 W/m2)]]-PA[[#This Row],[Sunrise Time (POA&gt;20 W/m2)]])*24,"")</f>
        <v>11.350000000000001</v>
      </c>
      <c r="L101" s="33" t="s">
        <v>300</v>
      </c>
      <c r="M101" s="33" t="s">
        <v>299</v>
      </c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01" s="35">
        <f>IFERROR(_xlfn.XLOOKUP(PA[[#This Row],[Affected Equipment ]],'Basic Data'!N:N,'Basic Data'!Q:Q),"")</f>
        <v>4662.4750000000004</v>
      </c>
      <c r="V101" s="39">
        <f ca="1">IFERROR(_xlfn.XLOOKUP(PA[[#This Row],[Affected Equipment ]],'Basic Data'!N:N,'Basic Data'!R:R),"")</f>
        <v>0.11891035450140271</v>
      </c>
      <c r="W101" s="36" t="s">
        <v>345</v>
      </c>
      <c r="X101" s="40"/>
      <c r="Y101" s="40" t="s">
        <v>346</v>
      </c>
      <c r="Z101" s="46">
        <v>0.54374999999999996</v>
      </c>
      <c r="AA101" s="46">
        <v>0.54374999999999996</v>
      </c>
      <c r="AB101" s="46">
        <v>0.54374999999999996</v>
      </c>
      <c r="AC101" s="46">
        <v>0.56874999999999998</v>
      </c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0.60000000000000053</v>
      </c>
      <c r="AG101" s="44">
        <f>IFERROR((PA[[#This Row],[Work Completion time on fault]]-PA[[#This Row],[Fault Time]])*24,"")</f>
        <v>0.60000000000000053</v>
      </c>
      <c r="AH101" s="348" t="s">
        <v>347</v>
      </c>
      <c r="AI101" s="33" t="s">
        <v>298</v>
      </c>
      <c r="AJ101" s="35">
        <f ca="1">IFERROR(PA[[#This Row],[Breakdown Time]]*PA[[#This Row],[Plant Equivalent Weightage]],"")</f>
        <v>7.1346212700841682E-2</v>
      </c>
      <c r="AK101" s="36">
        <v>0.37614667166666665</v>
      </c>
      <c r="AL101" s="51">
        <f>IFERROR((_xlfn.XLOOKUP($G101,'Modelling New'!D:D,'Modelling New'!$O:$O)*PA[[#This Row],[Lost PoA(kWh/m2)]]*PA[[#This Row],[DC Capacity Affected (kW)]]),"")</f>
        <v>1121.5492206191741</v>
      </c>
      <c r="AM101" s="33"/>
      <c r="AN101" s="33"/>
      <c r="AO101" s="33"/>
      <c r="AP101" s="33"/>
    </row>
    <row r="102" spans="1:42">
      <c r="A102" s="30">
        <v>101</v>
      </c>
      <c r="B102" s="31">
        <v>45801</v>
      </c>
      <c r="C102" s="32">
        <f>YEAR(PA[[#This Row],[Date]])+IF(MONTH(PA[[#This Row],[Date]])&gt;=4,1,0)</f>
        <v>2026</v>
      </c>
      <c r="D102" s="32">
        <f>YEAR(PA[[#This Row],[Date]])</f>
        <v>2025</v>
      </c>
      <c r="E102" s="33" t="s">
        <v>219</v>
      </c>
      <c r="F102" s="33" t="s">
        <v>219</v>
      </c>
      <c r="G102" s="196">
        <f>PA[[#This Row],[Date]]-DAY(PA[[#This Row],[Date]])+1</f>
        <v>45778</v>
      </c>
      <c r="H102" s="32">
        <f>DAY(EOMONTH(PA[[#This Row],[Month Year]],0))</f>
        <v>31</v>
      </c>
      <c r="I102" s="122">
        <v>0.26319444444444445</v>
      </c>
      <c r="J102" s="122">
        <v>0.73611111111111116</v>
      </c>
      <c r="K102" s="35">
        <f>IFERROR((PA[[#This Row],[Sunset Time (POA&lt;20 W/m2)]]-PA[[#This Row],[Sunrise Time (POA&gt;20 W/m2)]])*24,"")</f>
        <v>11.350000000000001</v>
      </c>
      <c r="L102" s="33" t="s">
        <v>293</v>
      </c>
      <c r="M102" s="33" t="s">
        <v>294</v>
      </c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02" s="35">
        <f>IFERROR(_xlfn.XLOOKUP(PA[[#This Row],[Affected Equipment ]],'Basic Data'!N:N,'Basic Data'!Q:Q),"")</f>
        <v>6511.66</v>
      </c>
      <c r="V102" s="39">
        <f ca="1">IFERROR(_xlfn.XLOOKUP(PA[[#This Row],[Affected Equipment ]],'Basic Data'!N:N,'Basic Data'!R:R),"")</f>
        <v>0.1660714103545014</v>
      </c>
      <c r="W102" s="36" t="s">
        <v>345</v>
      </c>
      <c r="X102" s="40"/>
      <c r="Y102" s="40" t="s">
        <v>346</v>
      </c>
      <c r="Z102" s="46">
        <v>0.54374999999999996</v>
      </c>
      <c r="AA102" s="46">
        <v>0.54374999999999996</v>
      </c>
      <c r="AB102" s="46">
        <v>0.54374999999999996</v>
      </c>
      <c r="AC102" s="46">
        <v>0.57777777777777772</v>
      </c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0.81666666666666643</v>
      </c>
      <c r="AG102" s="44">
        <f>IFERROR((PA[[#This Row],[Work Completion time on fault]]-PA[[#This Row],[Fault Time]])*24,"")</f>
        <v>0.81666666666666643</v>
      </c>
      <c r="AH102" s="348" t="s">
        <v>347</v>
      </c>
      <c r="AI102" s="33" t="s">
        <v>298</v>
      </c>
      <c r="AJ102" s="35">
        <f ca="1">IFERROR(PA[[#This Row],[Breakdown Time]]*PA[[#This Row],[Plant Equivalent Weightage]],"")</f>
        <v>0.13562498512284277</v>
      </c>
      <c r="AK102" s="36">
        <v>0.42638682999999999</v>
      </c>
      <c r="AL102" s="51">
        <f>IFERROR((_xlfn.XLOOKUP($G102,'Modelling New'!D:D,'Modelling New'!$O:$O)*PA[[#This Row],[Lost PoA(kWh/m2)]]*PA[[#This Row],[DC Capacity Affected (kW)]]),"")</f>
        <v>1775.5793953220361</v>
      </c>
      <c r="AM102" s="33"/>
      <c r="AN102" s="33"/>
      <c r="AO102" s="33"/>
      <c r="AP102" s="33"/>
    </row>
    <row r="103" spans="1:42">
      <c r="A103" s="30">
        <v>102</v>
      </c>
      <c r="B103" s="31">
        <v>45801</v>
      </c>
      <c r="C103" s="32">
        <f>YEAR(PA[[#This Row],[Date]])+IF(MONTH(PA[[#This Row],[Date]])&gt;=4,1,0)</f>
        <v>2026</v>
      </c>
      <c r="D103" s="32">
        <f>YEAR(PA[[#This Row],[Date]])</f>
        <v>2025</v>
      </c>
      <c r="E103" s="33" t="s">
        <v>219</v>
      </c>
      <c r="F103" s="33" t="s">
        <v>219</v>
      </c>
      <c r="G103" s="196">
        <f>PA[[#This Row],[Date]]-DAY(PA[[#This Row],[Date]])+1</f>
        <v>45778</v>
      </c>
      <c r="H103" s="32">
        <f>DAY(EOMONTH(PA[[#This Row],[Month Year]],0))</f>
        <v>31</v>
      </c>
      <c r="I103" s="122">
        <v>0.26319444444444445</v>
      </c>
      <c r="J103" s="122">
        <v>0.73611111111111116</v>
      </c>
      <c r="K103" s="35">
        <f>IFERROR((PA[[#This Row],[Sunset Time (POA&lt;20 W/m2)]]-PA[[#This Row],[Sunrise Time (POA&gt;20 W/m2)]])*24,"")</f>
        <v>11.350000000000001</v>
      </c>
      <c r="L103" s="33" t="s">
        <v>293</v>
      </c>
      <c r="M103" s="33" t="s">
        <v>299</v>
      </c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03" s="35">
        <f>IFERROR(_xlfn.XLOOKUP(PA[[#This Row],[Affected Equipment ]],'Basic Data'!N:N,'Basic Data'!Q:Q),"")</f>
        <v>6495.8549999999996</v>
      </c>
      <c r="V103" s="39">
        <f ca="1">IFERROR(_xlfn.XLOOKUP(PA[[#This Row],[Affected Equipment ]],'Basic Data'!N:N,'Basic Data'!R:R),"")</f>
        <v>0.16566832440703902</v>
      </c>
      <c r="W103" s="36" t="s">
        <v>345</v>
      </c>
      <c r="X103" s="40"/>
      <c r="Y103" s="40" t="s">
        <v>346</v>
      </c>
      <c r="Z103" s="46">
        <v>0.54374999999999996</v>
      </c>
      <c r="AA103" s="46">
        <v>0.54374999999999996</v>
      </c>
      <c r="AB103" s="46">
        <v>0.54374999999999996</v>
      </c>
      <c r="AC103" s="46">
        <v>0.57777777777777772</v>
      </c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0.81666666666666643</v>
      </c>
      <c r="AG103" s="44">
        <f>IFERROR((PA[[#This Row],[Work Completion time on fault]]-PA[[#This Row],[Fault Time]])*24,"")</f>
        <v>0.81666666666666643</v>
      </c>
      <c r="AH103" s="348" t="s">
        <v>347</v>
      </c>
      <c r="AI103" s="33" t="s">
        <v>298</v>
      </c>
      <c r="AJ103" s="35">
        <f ca="1">IFERROR(PA[[#This Row],[Breakdown Time]]*PA[[#This Row],[Plant Equivalent Weightage]],"")</f>
        <v>0.1352957982657485</v>
      </c>
      <c r="AK103" s="36">
        <v>0.42638682999999999</v>
      </c>
      <c r="AL103" s="51">
        <f>IFERROR((_xlfn.XLOOKUP($G103,'Modelling New'!D:D,'Modelling New'!$O:$O)*PA[[#This Row],[Lost PoA(kWh/m2)]]*PA[[#This Row],[DC Capacity Affected (kW)]]),"")</f>
        <v>1771.2697365955264</v>
      </c>
      <c r="AM103" s="33"/>
      <c r="AN103" s="33"/>
      <c r="AO103" s="33"/>
      <c r="AP103" s="33"/>
    </row>
    <row r="104" spans="1:42">
      <c r="A104" s="30">
        <v>103</v>
      </c>
      <c r="B104" s="31">
        <v>45801</v>
      </c>
      <c r="C104" s="32">
        <f>YEAR(PA[[#This Row],[Date]])+IF(MONTH(PA[[#This Row],[Date]])&gt;=4,1,0)</f>
        <v>2026</v>
      </c>
      <c r="D104" s="32">
        <f>YEAR(PA[[#This Row],[Date]])</f>
        <v>2025</v>
      </c>
      <c r="E104" s="33" t="s">
        <v>219</v>
      </c>
      <c r="F104" s="33" t="s">
        <v>219</v>
      </c>
      <c r="G104" s="196">
        <f>PA[[#This Row],[Date]]-DAY(PA[[#This Row],[Date]])+1</f>
        <v>45778</v>
      </c>
      <c r="H104" s="32">
        <f>DAY(EOMONTH(PA[[#This Row],[Month Year]],0))</f>
        <v>31</v>
      </c>
      <c r="I104" s="122">
        <v>0.26319444444444445</v>
      </c>
      <c r="J104" s="122">
        <v>0.73611111111111116</v>
      </c>
      <c r="K104" s="35">
        <f>IFERROR((PA[[#This Row],[Sunset Time (POA&lt;20 W/m2)]]-PA[[#This Row],[Sunrise Time (POA&gt;20 W/m2)]])*24,"")</f>
        <v>11.350000000000001</v>
      </c>
      <c r="L104" s="33" t="s">
        <v>302</v>
      </c>
      <c r="M104" s="33" t="s">
        <v>294</v>
      </c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4" s="35">
        <f>IFERROR(_xlfn.XLOOKUP(PA[[#This Row],[Affected Equipment ]],'Basic Data'!N:N,'Basic Data'!Q:Q),"")</f>
        <v>6527.4649999999992</v>
      </c>
      <c r="V104" s="39">
        <f ca="1">IFERROR(_xlfn.XLOOKUP(PA[[#This Row],[Affected Equipment ]],'Basic Data'!N:N,'Basic Data'!R:R),"")</f>
        <v>0.16647449630196376</v>
      </c>
      <c r="W104" s="36" t="s">
        <v>345</v>
      </c>
      <c r="X104" s="40"/>
      <c r="Y104" s="40" t="s">
        <v>346</v>
      </c>
      <c r="Z104" s="46">
        <v>0.54374999999999996</v>
      </c>
      <c r="AA104" s="46">
        <v>0.54374999999999996</v>
      </c>
      <c r="AB104" s="46">
        <v>0.54374999999999996</v>
      </c>
      <c r="AC104" s="46">
        <v>0.5756944444444444</v>
      </c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0.76666666666666661</v>
      </c>
      <c r="AG104" s="44">
        <f>IFERROR((PA[[#This Row],[Work Completion time on fault]]-PA[[#This Row],[Fault Time]])*24,"")</f>
        <v>0.76666666666666661</v>
      </c>
      <c r="AH104" s="348" t="s">
        <v>347</v>
      </c>
      <c r="AI104" s="33" t="s">
        <v>298</v>
      </c>
      <c r="AJ104" s="35">
        <f ca="1">IFERROR(PA[[#This Row],[Breakdown Time]]*PA[[#This Row],[Plant Equivalent Weightage]],"")</f>
        <v>0.12763044716483887</v>
      </c>
      <c r="AK104" s="36">
        <v>0.41501597666666667</v>
      </c>
      <c r="AL104" s="51">
        <f>IFERROR((_xlfn.XLOOKUP($G104,'Modelling New'!D:D,'Modelling New'!$O:$O)*PA[[#This Row],[Lost PoA(kWh/m2)]]*PA[[#This Row],[DC Capacity Affected (kW)]]),"")</f>
        <v>1732.423100695363</v>
      </c>
      <c r="AM104" s="33"/>
      <c r="AN104" s="33"/>
      <c r="AO104" s="33"/>
      <c r="AP104" s="33"/>
    </row>
    <row r="105" spans="1:42">
      <c r="A105" s="30">
        <v>104</v>
      </c>
      <c r="B105" s="31">
        <v>45801</v>
      </c>
      <c r="C105" s="32">
        <f>YEAR(PA[[#This Row],[Date]])+IF(MONTH(PA[[#This Row],[Date]])&gt;=4,1,0)</f>
        <v>2026</v>
      </c>
      <c r="D105" s="32">
        <f>YEAR(PA[[#This Row],[Date]])</f>
        <v>2025</v>
      </c>
      <c r="E105" s="33" t="s">
        <v>219</v>
      </c>
      <c r="F105" s="33" t="s">
        <v>219</v>
      </c>
      <c r="G105" s="196">
        <f>PA[[#This Row],[Date]]-DAY(PA[[#This Row],[Date]])+1</f>
        <v>45778</v>
      </c>
      <c r="H105" s="32">
        <f>DAY(EOMONTH(PA[[#This Row],[Month Year]],0))</f>
        <v>31</v>
      </c>
      <c r="I105" s="122">
        <v>0.26319444444444445</v>
      </c>
      <c r="J105" s="122">
        <v>0.73611111111111116</v>
      </c>
      <c r="K105" s="35">
        <f>IFERROR((PA[[#This Row],[Sunset Time (POA&lt;20 W/m2)]]-PA[[#This Row],[Sunrise Time (POA&gt;20 W/m2)]])*24,"")</f>
        <v>11.350000000000001</v>
      </c>
      <c r="L105" s="33" t="s">
        <v>303</v>
      </c>
      <c r="M105" s="33" t="s">
        <v>294</v>
      </c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5" s="35">
        <f>IFERROR(_xlfn.XLOOKUP(PA[[#This Row],[Affected Equipment ]],'Basic Data'!N:N,'Basic Data'!Q:Q),"")</f>
        <v>5104</v>
      </c>
      <c r="V105" s="39">
        <f ca="1">IFERROR(_xlfn.XLOOKUP(PA[[#This Row],[Affected Equipment ]],'Basic Data'!N:N,'Basic Data'!R:R),"")</f>
        <v>0.13017087477684264</v>
      </c>
      <c r="W105" s="36" t="s">
        <v>345</v>
      </c>
      <c r="X105" s="40"/>
      <c r="Y105" s="40" t="s">
        <v>346</v>
      </c>
      <c r="Z105" s="46">
        <v>0.54374999999999996</v>
      </c>
      <c r="AA105" s="46">
        <v>0.54374999999999996</v>
      </c>
      <c r="AB105" s="46">
        <v>0.54374999999999996</v>
      </c>
      <c r="AC105" s="46">
        <v>0.56597222222222221</v>
      </c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0.5333333333333341</v>
      </c>
      <c r="AG105" s="44">
        <f>IFERROR((PA[[#This Row],[Work Completion time on fault]]-PA[[#This Row],[Fault Time]])*24,"")</f>
        <v>0.5333333333333341</v>
      </c>
      <c r="AH105" s="348" t="s">
        <v>347</v>
      </c>
      <c r="AI105" s="33" t="s">
        <v>298</v>
      </c>
      <c r="AJ105" s="35">
        <f ca="1">IFERROR(PA[[#This Row],[Breakdown Time]]*PA[[#This Row],[Plant Equivalent Weightage]],"")</f>
        <v>6.9424466547649513E-2</v>
      </c>
      <c r="AK105" s="36">
        <v>0.35819696666666667</v>
      </c>
      <c r="AL105" s="51">
        <f>IFERROR((_xlfn.XLOOKUP($G105,'Modelling New'!D:D,'Modelling New'!$O:$O)*PA[[#This Row],[Lost PoA(kWh/m2)]]*PA[[#This Row],[DC Capacity Affected (kW)]]),"")</f>
        <v>1169.1686667446018</v>
      </c>
      <c r="AM105" s="33"/>
      <c r="AN105" s="33"/>
      <c r="AO105" s="33"/>
      <c r="AP105" s="33"/>
    </row>
    <row r="106" spans="1:42">
      <c r="A106" s="30">
        <v>105</v>
      </c>
      <c r="B106" s="31">
        <v>45801</v>
      </c>
      <c r="C106" s="32">
        <f>YEAR(PA[[#This Row],[Date]])+IF(MONTH(PA[[#This Row],[Date]])&gt;=4,1,0)</f>
        <v>2026</v>
      </c>
      <c r="D106" s="32">
        <f>YEAR(PA[[#This Row],[Date]])</f>
        <v>2025</v>
      </c>
      <c r="E106" s="33" t="s">
        <v>219</v>
      </c>
      <c r="F106" s="33" t="s">
        <v>219</v>
      </c>
      <c r="G106" s="196">
        <f>PA[[#This Row],[Date]]-DAY(PA[[#This Row],[Date]])+1</f>
        <v>45778</v>
      </c>
      <c r="H106" s="32">
        <f>DAY(EOMONTH(PA[[#This Row],[Month Year]],0))</f>
        <v>31</v>
      </c>
      <c r="I106" s="122">
        <v>0.26319444444444445</v>
      </c>
      <c r="J106" s="122">
        <v>0.73611111111111116</v>
      </c>
      <c r="K106" s="35">
        <f>IFERROR((PA[[#This Row],[Sunset Time (POA&lt;20 W/m2)]]-PA[[#This Row],[Sunrise Time (POA&gt;20 W/m2)]])*24,"")</f>
        <v>11.350000000000001</v>
      </c>
      <c r="L106" s="33" t="s">
        <v>303</v>
      </c>
      <c r="M106" s="33" t="s">
        <v>299</v>
      </c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6" s="35">
        <f>IFERROR(_xlfn.XLOOKUP(PA[[#This Row],[Affected Equipment ]],'Basic Data'!N:N,'Basic Data'!Q:Q),"")</f>
        <v>5104</v>
      </c>
      <c r="V106" s="39">
        <f ca="1">IFERROR(_xlfn.XLOOKUP(PA[[#This Row],[Affected Equipment ]],'Basic Data'!N:N,'Basic Data'!R:R),"")</f>
        <v>0.13017087477684264</v>
      </c>
      <c r="W106" s="36" t="s">
        <v>345</v>
      </c>
      <c r="X106" s="40"/>
      <c r="Y106" s="40" t="s">
        <v>346</v>
      </c>
      <c r="Z106" s="46">
        <v>0.54374999999999996</v>
      </c>
      <c r="AA106" s="46">
        <v>0.54374999999999996</v>
      </c>
      <c r="AB106" s="46">
        <v>0.54374999999999996</v>
      </c>
      <c r="AC106" s="46">
        <v>0.56597222222222221</v>
      </c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0.5333333333333341</v>
      </c>
      <c r="AG106" s="44">
        <f>IFERROR((PA[[#This Row],[Work Completion time on fault]]-PA[[#This Row],[Fault Time]])*24,"")</f>
        <v>0.5333333333333341</v>
      </c>
      <c r="AH106" s="348" t="s">
        <v>347</v>
      </c>
      <c r="AI106" s="33" t="s">
        <v>298</v>
      </c>
      <c r="AJ106" s="35">
        <f ca="1">IFERROR(PA[[#This Row],[Breakdown Time]]*PA[[#This Row],[Plant Equivalent Weightage]],"")</f>
        <v>6.9424466547649513E-2</v>
      </c>
      <c r="AK106" s="36">
        <v>0.35819696666666667</v>
      </c>
      <c r="AL106" s="51">
        <f>IFERROR((_xlfn.XLOOKUP($G106,'Modelling New'!D:D,'Modelling New'!$O:$O)*PA[[#This Row],[Lost PoA(kWh/m2)]]*PA[[#This Row],[DC Capacity Affected (kW)]]),"")</f>
        <v>1169.1686667446018</v>
      </c>
      <c r="AM106" s="33"/>
      <c r="AN106" s="33"/>
      <c r="AO106" s="33"/>
      <c r="AP106" s="33"/>
    </row>
    <row r="107" spans="1:42">
      <c r="A107" s="30">
        <v>106</v>
      </c>
      <c r="B107" s="31">
        <v>45802</v>
      </c>
      <c r="C107" s="32">
        <f>YEAR(PA[[#This Row],[Date]])+IF(MONTH(PA[[#This Row],[Date]])&gt;=4,1,0)</f>
        <v>2026</v>
      </c>
      <c r="D107" s="32">
        <f>YEAR(PA[[#This Row],[Date]])</f>
        <v>2025</v>
      </c>
      <c r="E107" s="33" t="s">
        <v>219</v>
      </c>
      <c r="F107" s="33" t="s">
        <v>219</v>
      </c>
      <c r="G107" s="196">
        <f>PA[[#This Row],[Date]]-DAY(PA[[#This Row],[Date]])+1</f>
        <v>45778</v>
      </c>
      <c r="H107" s="32">
        <f>DAY(EOMONTH(PA[[#This Row],[Month Year]],0))</f>
        <v>31</v>
      </c>
      <c r="I107" s="122">
        <v>0.25277777777777777</v>
      </c>
      <c r="J107" s="122">
        <v>0.75972222222222219</v>
      </c>
      <c r="K107" s="35">
        <f>IFERROR((PA[[#This Row],[Sunset Time (POA&lt;20 W/m2)]]-PA[[#This Row],[Sunrise Time (POA&gt;20 W/m2)]])*24,"")</f>
        <v>12.166666666666666</v>
      </c>
      <c r="L107" s="33" t="s">
        <v>303</v>
      </c>
      <c r="M107" s="33" t="s">
        <v>294</v>
      </c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7" s="35">
        <f>IFERROR(_xlfn.XLOOKUP(PA[[#This Row],[Affected Equipment ]],'Basic Data'!N:N,'Basic Data'!Q:Q),"")</f>
        <v>5104</v>
      </c>
      <c r="V107" s="39">
        <f ca="1">IFERROR(_xlfn.XLOOKUP(PA[[#This Row],[Affected Equipment ]],'Basic Data'!N:N,'Basic Data'!R:R),"")</f>
        <v>0.13017087477684264</v>
      </c>
      <c r="W107" s="36" t="s">
        <v>295</v>
      </c>
      <c r="X107" s="40"/>
      <c r="Y107" s="347" t="s">
        <v>334</v>
      </c>
      <c r="Z107" s="46">
        <v>0.5131944444444444</v>
      </c>
      <c r="AA107" s="46">
        <v>0.5131944444444444</v>
      </c>
      <c r="AB107" s="46">
        <v>0.5131944444444444</v>
      </c>
      <c r="AC107" s="46">
        <v>0.53749999999999998</v>
      </c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0.58333333333333393</v>
      </c>
      <c r="AG107" s="44">
        <f>IFERROR((PA[[#This Row],[Work Completion time on fault]]-PA[[#This Row],[Fault Time]])*24,"")</f>
        <v>0.58333333333333393</v>
      </c>
      <c r="AH107" s="36" t="s">
        <v>297</v>
      </c>
      <c r="AI107" s="33" t="s">
        <v>298</v>
      </c>
      <c r="AJ107" s="35">
        <f ca="1">IFERROR(PA[[#This Row],[Breakdown Time]]*PA[[#This Row],[Plant Equivalent Weightage]],"")</f>
        <v>7.5933010286491617E-2</v>
      </c>
      <c r="AK107" s="36">
        <v>0.42487921499999998</v>
      </c>
      <c r="AL107" s="51">
        <f>IFERROR((_xlfn.XLOOKUP($G107,'Modelling New'!D:D,'Modelling New'!$O:$O)*PA[[#This Row],[Lost PoA(kWh/m2)]]*PA[[#This Row],[DC Capacity Affected (kW)]]),"")</f>
        <v>1386.8220882822743</v>
      </c>
      <c r="AM107" s="33"/>
      <c r="AN107" s="33"/>
      <c r="AO107" s="33"/>
      <c r="AP107" s="33"/>
    </row>
    <row r="108" spans="1:42">
      <c r="A108" s="30">
        <v>107</v>
      </c>
      <c r="B108" s="31">
        <v>45802</v>
      </c>
      <c r="C108" s="32">
        <f>YEAR(PA[[#This Row],[Date]])+IF(MONTH(PA[[#This Row],[Date]])&gt;=4,1,0)</f>
        <v>2026</v>
      </c>
      <c r="D108" s="32">
        <f>YEAR(PA[[#This Row],[Date]])</f>
        <v>2025</v>
      </c>
      <c r="E108" s="33" t="s">
        <v>219</v>
      </c>
      <c r="F108" s="33" t="s">
        <v>219</v>
      </c>
      <c r="G108" s="196">
        <f>PA[[#This Row],[Date]]-DAY(PA[[#This Row],[Date]])+1</f>
        <v>45778</v>
      </c>
      <c r="H108" s="32">
        <f>DAY(EOMONTH(PA[[#This Row],[Month Year]],0))</f>
        <v>31</v>
      </c>
      <c r="I108" s="122">
        <v>0.25277777777777777</v>
      </c>
      <c r="J108" s="122">
        <v>0.75972222222222219</v>
      </c>
      <c r="K108" s="35">
        <f>IFERROR((PA[[#This Row],[Sunset Time (POA&lt;20 W/m2)]]-PA[[#This Row],[Sunrise Time (POA&gt;20 W/m2)]])*24,"")</f>
        <v>12.166666666666666</v>
      </c>
      <c r="L108" s="33" t="s">
        <v>303</v>
      </c>
      <c r="M108" s="33" t="s">
        <v>299</v>
      </c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8" s="35">
        <f>IFERROR(_xlfn.XLOOKUP(PA[[#This Row],[Affected Equipment ]],'Basic Data'!N:N,'Basic Data'!Q:Q),"")</f>
        <v>5104</v>
      </c>
      <c r="V108" s="39">
        <f ca="1">IFERROR(_xlfn.XLOOKUP(PA[[#This Row],[Affected Equipment ]],'Basic Data'!N:N,'Basic Data'!R:R),"")</f>
        <v>0.13017087477684264</v>
      </c>
      <c r="W108" s="36" t="s">
        <v>295</v>
      </c>
      <c r="X108" s="40"/>
      <c r="Y108" s="347" t="s">
        <v>334</v>
      </c>
      <c r="Z108" s="46">
        <v>0.5131944444444444</v>
      </c>
      <c r="AA108" s="46">
        <v>0.5131944444444444</v>
      </c>
      <c r="AB108" s="46">
        <v>0.5131944444444444</v>
      </c>
      <c r="AC108" s="46">
        <v>0.53749999999999998</v>
      </c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0.58333333333333393</v>
      </c>
      <c r="AG108" s="44">
        <f>IFERROR((PA[[#This Row],[Work Completion time on fault]]-PA[[#This Row],[Fault Time]])*24,"")</f>
        <v>0.58333333333333393</v>
      </c>
      <c r="AH108" s="36" t="s">
        <v>297</v>
      </c>
      <c r="AI108" s="33" t="s">
        <v>298</v>
      </c>
      <c r="AJ108" s="35">
        <f ca="1">IFERROR(PA[[#This Row],[Breakdown Time]]*PA[[#This Row],[Plant Equivalent Weightage]],"")</f>
        <v>7.5933010286491617E-2</v>
      </c>
      <c r="AK108" s="36">
        <v>0.42487921499999998</v>
      </c>
      <c r="AL108" s="51">
        <f>IFERROR((_xlfn.XLOOKUP($G108,'Modelling New'!D:D,'Modelling New'!$O:$O)*PA[[#This Row],[Lost PoA(kWh/m2)]]*PA[[#This Row],[DC Capacity Affected (kW)]]),"")</f>
        <v>1386.8220882822743</v>
      </c>
      <c r="AM108" s="33"/>
      <c r="AN108" s="33"/>
      <c r="AO108" s="33"/>
      <c r="AP108" s="33"/>
    </row>
    <row r="109" spans="1:42">
      <c r="A109" s="30">
        <v>108</v>
      </c>
      <c r="B109" s="31">
        <v>45807</v>
      </c>
      <c r="C109" s="32">
        <f>YEAR(PA[[#This Row],[Date]])+IF(MONTH(PA[[#This Row],[Date]])&gt;=4,1,0)</f>
        <v>2026</v>
      </c>
      <c r="D109" s="32">
        <f>YEAR(PA[[#This Row],[Date]])</f>
        <v>2025</v>
      </c>
      <c r="E109" s="33" t="s">
        <v>219</v>
      </c>
      <c r="F109" s="33" t="s">
        <v>219</v>
      </c>
      <c r="G109" s="196">
        <f>PA[[#This Row],[Date]]-DAY(PA[[#This Row],[Date]])+1</f>
        <v>45778</v>
      </c>
      <c r="H109" s="32">
        <f>DAY(EOMONTH(PA[[#This Row],[Month Year]],0))</f>
        <v>31</v>
      </c>
      <c r="I109" s="122">
        <v>0.25416666666666665</v>
      </c>
      <c r="J109" s="122">
        <v>0.77083333333333337</v>
      </c>
      <c r="K109" s="35">
        <f>IFERROR((PA[[#This Row],[Sunset Time (POA&lt;20 W/m2)]]-PA[[#This Row],[Sunrise Time (POA&gt;20 W/m2)]])*24,"")</f>
        <v>12.400000000000002</v>
      </c>
      <c r="L109" s="33" t="s">
        <v>303</v>
      </c>
      <c r="M109" s="33" t="s">
        <v>294</v>
      </c>
      <c r="N109" s="33" t="s">
        <v>316</v>
      </c>
      <c r="O109" s="36" t="s">
        <v>344</v>
      </c>
      <c r="P109" s="36" t="s">
        <v>348</v>
      </c>
      <c r="Q109" s="33"/>
      <c r="R109" s="32">
        <f>IF((PA[[#This Row],[String Type(If String BD)]]&amp;PA[[#This Row],[Equipment (If any BD other than PV  array and inv)]])="",1,0)</f>
        <v>0</v>
      </c>
      <c r="S109" s="32">
        <f>IF(PA[[#This Row],[String Type(If String BD)]]="",1,0)</f>
        <v>0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09" s="35">
        <f>IFERROR(_xlfn.XLOOKUP(PA[[#This Row],[Affected Equipment ]],'Basic Data'!N:N,'Basic Data'!Q:Q),"")</f>
        <v>31.9</v>
      </c>
      <c r="V109" s="39">
        <f ca="1">IFERROR(_xlfn.XLOOKUP(PA[[#This Row],[Affected Equipment ]],'Basic Data'!N:N,'Basic Data'!R:R),"")</f>
        <v>8.1356796735526649E-4</v>
      </c>
      <c r="W109" s="36" t="s">
        <v>349</v>
      </c>
      <c r="X109" s="40"/>
      <c r="Y109" s="40" t="s">
        <v>350</v>
      </c>
      <c r="Z109" s="46">
        <v>0.25416666666666665</v>
      </c>
      <c r="AA109" s="46">
        <v>0.25416666666666665</v>
      </c>
      <c r="AB109" s="46">
        <v>0.25416666666666665</v>
      </c>
      <c r="AC109" s="46">
        <v>0.67013888888888884</v>
      </c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9.9833333333333325</v>
      </c>
      <c r="AG109" s="44">
        <f>IFERROR((PA[[#This Row],[Work Completion time on fault]]-PA[[#This Row],[Fault Time]])*24,"")</f>
        <v>9.9833333333333325</v>
      </c>
      <c r="AH109" s="36" t="s">
        <v>351</v>
      </c>
      <c r="AI109" s="33" t="s">
        <v>298</v>
      </c>
      <c r="AJ109" s="35">
        <f ca="1">IFERROR(PA[[#This Row],[Breakdown Time]]*PA[[#This Row],[Plant Equivalent Weightage]],"")</f>
        <v>8.1221202074300766E-3</v>
      </c>
      <c r="AK109" s="36">
        <v>3.1901918500000002</v>
      </c>
      <c r="AL109" s="51">
        <f>IFERROR((_xlfn.XLOOKUP($G109,'Modelling New'!D:D,'Modelling New'!$O:$O)*PA[[#This Row],[Lost PoA(kWh/m2)]]*PA[[#This Row],[DC Capacity Affected (kW)]]),"")</f>
        <v>65.080680097490955</v>
      </c>
      <c r="AM109" s="33"/>
      <c r="AN109" s="33"/>
      <c r="AO109" s="33"/>
      <c r="AP109" s="33"/>
    </row>
    <row r="110" spans="1:42">
      <c r="A110" s="30">
        <v>109</v>
      </c>
      <c r="B110" s="31">
        <v>45811</v>
      </c>
      <c r="C110" s="32">
        <f>YEAR(PA[[#This Row],[Date]])+IF(MONTH(PA[[#This Row],[Date]])&gt;=4,1,0)</f>
        <v>2026</v>
      </c>
      <c r="D110" s="32">
        <f>YEAR(PA[[#This Row],[Date]])</f>
        <v>2025</v>
      </c>
      <c r="E110" s="33" t="s">
        <v>219</v>
      </c>
      <c r="F110" s="33" t="s">
        <v>219</v>
      </c>
      <c r="G110" s="196">
        <f>PA[[#This Row],[Date]]-DAY(PA[[#This Row],[Date]])+1</f>
        <v>45809</v>
      </c>
      <c r="H110" s="32">
        <f>DAY(EOMONTH(PA[[#This Row],[Month Year]],0))</f>
        <v>30</v>
      </c>
      <c r="I110" s="122">
        <v>0.25069444444444444</v>
      </c>
      <c r="J110" s="122">
        <v>0.77430555555555558</v>
      </c>
      <c r="K110" s="35">
        <f>IFERROR((PA[[#This Row],[Sunset Time (POA&lt;20 W/m2)]]-PA[[#This Row],[Sunrise Time (POA&gt;20 W/m2)]])*24,"")</f>
        <v>12.566666666666666</v>
      </c>
      <c r="L110" s="33" t="s">
        <v>293</v>
      </c>
      <c r="M110" s="33" t="s">
        <v>294</v>
      </c>
      <c r="N110" s="33" t="s">
        <v>320</v>
      </c>
      <c r="O110" s="36" t="s">
        <v>352</v>
      </c>
      <c r="P110" s="36" t="s">
        <v>348</v>
      </c>
      <c r="Q110" s="33"/>
      <c r="R110" s="32">
        <f>IF((PA[[#This Row],[String Type(If String BD)]]&amp;PA[[#This Row],[Equipment (If any BD other than PV  array and inv)]])="",1,0)</f>
        <v>0</v>
      </c>
      <c r="S110" s="32">
        <f>IF(PA[[#This Row],[String Type(If String BD)]]="",1,0)</f>
        <v>0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0" s="35">
        <f>IFERROR(_xlfn.XLOOKUP(PA[[#This Row],[Affected Equipment ]],'Basic Data'!N:N,'Basic Data'!Q:Q),"")</f>
        <v>31.9</v>
      </c>
      <c r="V110" s="39">
        <f ca="1">IFERROR(_xlfn.XLOOKUP(PA[[#This Row],[Affected Equipment ]],'Basic Data'!N:N,'Basic Data'!R:R),"")</f>
        <v>8.1356796735526649E-4</v>
      </c>
      <c r="W110" s="36" t="s">
        <v>349</v>
      </c>
      <c r="X110" s="40"/>
      <c r="Y110" s="40" t="s">
        <v>350</v>
      </c>
      <c r="Z110" s="46">
        <v>0.25069444444444444</v>
      </c>
      <c r="AA110" s="46">
        <v>0.25069444444444444</v>
      </c>
      <c r="AB110" s="46">
        <v>0.25069444444444444</v>
      </c>
      <c r="AC110" s="46">
        <v>0.73611111111111116</v>
      </c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11.650000000000002</v>
      </c>
      <c r="AG110" s="44">
        <f>IFERROR((PA[[#This Row],[Work Completion time on fault]]-PA[[#This Row],[Fault Time]])*24,"")</f>
        <v>11.650000000000002</v>
      </c>
      <c r="AH110" s="36" t="s">
        <v>351</v>
      </c>
      <c r="AI110" s="33" t="s">
        <v>298</v>
      </c>
      <c r="AJ110" s="35">
        <f ca="1">IFERROR(PA[[#This Row],[Breakdown Time]]*PA[[#This Row],[Plant Equivalent Weightage]],"")</f>
        <v>9.478066819688857E-3</v>
      </c>
      <c r="AK110" s="36">
        <v>6.0187588333333339</v>
      </c>
      <c r="AL110" s="51">
        <f>IFERROR((_xlfn.XLOOKUP($G110,'Modelling New'!D:D,'Modelling New'!$O:$O)*PA[[#This Row],[Lost PoA(kWh/m2)]]*PA[[#This Row],[DC Capacity Affected (kW)]]),"")</f>
        <v>147.12683579034939</v>
      </c>
      <c r="AM110" s="33"/>
      <c r="AN110" s="33"/>
      <c r="AO110" s="33"/>
      <c r="AP110" s="33"/>
    </row>
    <row r="111" spans="1:42">
      <c r="A111" s="30">
        <v>110</v>
      </c>
      <c r="B111" s="31">
        <v>45813</v>
      </c>
      <c r="C111" s="32">
        <f>YEAR(PA[[#This Row],[Date]])+IF(MONTH(PA[[#This Row],[Date]])&gt;=4,1,0)</f>
        <v>2026</v>
      </c>
      <c r="D111" s="32">
        <f>YEAR(PA[[#This Row],[Date]])</f>
        <v>2025</v>
      </c>
      <c r="E111" s="33" t="s">
        <v>219</v>
      </c>
      <c r="F111" s="33" t="s">
        <v>219</v>
      </c>
      <c r="G111" s="196">
        <f>PA[[#This Row],[Date]]-DAY(PA[[#This Row],[Date]])+1</f>
        <v>45809</v>
      </c>
      <c r="H111" s="32">
        <f>DAY(EOMONTH(PA[[#This Row],[Month Year]],0))</f>
        <v>30</v>
      </c>
      <c r="I111" s="122">
        <v>0.26041666666666669</v>
      </c>
      <c r="J111" s="122">
        <v>0.77083333333333337</v>
      </c>
      <c r="K111" s="35">
        <f>IFERROR((PA[[#This Row],[Sunset Time (POA&lt;20 W/m2)]]-PA[[#This Row],[Sunrise Time (POA&gt;20 W/m2)]])*24,"")</f>
        <v>12.250000000000002</v>
      </c>
      <c r="L111" s="33" t="s">
        <v>293</v>
      </c>
      <c r="M111" s="33" t="s">
        <v>294</v>
      </c>
      <c r="N111" s="33" t="s">
        <v>316</v>
      </c>
      <c r="O111" s="36" t="s">
        <v>326</v>
      </c>
      <c r="P111" s="36" t="s">
        <v>327</v>
      </c>
      <c r="Q111" s="33"/>
      <c r="R111" s="32">
        <f>IF((PA[[#This Row],[String Type(If String BD)]]&amp;PA[[#This Row],[Equipment (If any BD other than PV  array and inv)]])="",1,0)</f>
        <v>0</v>
      </c>
      <c r="S111" s="32">
        <f>IF(PA[[#This Row],[String Type(If String BD)]]="",1,0)</f>
        <v>0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1" s="35">
        <f>IFERROR(_xlfn.XLOOKUP(PA[[#This Row],[Affected Equipment ]],'Basic Data'!N:N,'Basic Data'!Q:Q),"")</f>
        <v>15.95</v>
      </c>
      <c r="V111" s="39">
        <f ca="1">IFERROR(_xlfn.XLOOKUP(PA[[#This Row],[Affected Equipment ]],'Basic Data'!N:N,'Basic Data'!R:R),"")</f>
        <v>4.0678398367763324E-4</v>
      </c>
      <c r="W111" s="36" t="s">
        <v>349</v>
      </c>
      <c r="X111" s="40"/>
      <c r="Y111" s="40" t="s">
        <v>353</v>
      </c>
      <c r="Z111" s="46">
        <v>0.26041666666666669</v>
      </c>
      <c r="AA111" s="46">
        <v>0.26041666666666669</v>
      </c>
      <c r="AB111" s="46">
        <v>0.26041666666666669</v>
      </c>
      <c r="AC111" s="46">
        <v>0.58333333333333337</v>
      </c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7.75</v>
      </c>
      <c r="AG111" s="44">
        <f>IFERROR((PA[[#This Row],[Work Completion time on fault]]-PA[[#This Row],[Fault Time]])*24,"")</f>
        <v>7.75</v>
      </c>
      <c r="AH111" s="36" t="s">
        <v>354</v>
      </c>
      <c r="AI111" s="33" t="s">
        <v>298</v>
      </c>
      <c r="AJ111" s="35">
        <f ca="1">IFERROR(PA[[#This Row],[Breakdown Time]]*PA[[#This Row],[Plant Equivalent Weightage]],"")</f>
        <v>3.1525758735016576E-3</v>
      </c>
      <c r="AK111" s="36">
        <v>4.9279999999999999</v>
      </c>
      <c r="AL111" s="51">
        <f>IFERROR((_xlfn.XLOOKUP($G111,'Modelling New'!D:D,'Modelling New'!$O:$O)*PA[[#This Row],[Lost PoA(kWh/m2)]]*PA[[#This Row],[DC Capacity Affected (kW)]]),"")</f>
        <v>60.231774262111159</v>
      </c>
      <c r="AM111" s="33"/>
      <c r="AN111" s="33"/>
      <c r="AO111" s="33"/>
      <c r="AP111" s="33"/>
    </row>
    <row r="112" spans="1:42">
      <c r="A112" s="30">
        <v>111</v>
      </c>
      <c r="B112" s="31">
        <v>45813</v>
      </c>
      <c r="C112" s="32">
        <f>YEAR(PA[[#This Row],[Date]])+IF(MONTH(PA[[#This Row],[Date]])&gt;=4,1,0)</f>
        <v>2026</v>
      </c>
      <c r="D112" s="32">
        <f>YEAR(PA[[#This Row],[Date]])</f>
        <v>2025</v>
      </c>
      <c r="E112" s="33" t="s">
        <v>219</v>
      </c>
      <c r="F112" s="33" t="s">
        <v>219</v>
      </c>
      <c r="G112" s="196">
        <f>PA[[#This Row],[Date]]-DAY(PA[[#This Row],[Date]])+1</f>
        <v>45809</v>
      </c>
      <c r="H112" s="32">
        <f>DAY(EOMONTH(PA[[#This Row],[Month Year]],0))</f>
        <v>30</v>
      </c>
      <c r="I112" s="122">
        <v>0.26041666666666669</v>
      </c>
      <c r="J112" s="122">
        <v>0.77083333333333337</v>
      </c>
      <c r="K112" s="35">
        <f>IFERROR((PA[[#This Row],[Sunset Time (POA&lt;20 W/m2)]]-PA[[#This Row],[Sunrise Time (POA&gt;20 W/m2)]])*24,"")</f>
        <v>12.250000000000002</v>
      </c>
      <c r="L112" s="33" t="s">
        <v>293</v>
      </c>
      <c r="M112" s="33" t="s">
        <v>294</v>
      </c>
      <c r="N112" s="33" t="s">
        <v>316</v>
      </c>
      <c r="O112" s="36" t="s">
        <v>326</v>
      </c>
      <c r="P112" s="36" t="s">
        <v>327</v>
      </c>
      <c r="Q112" s="33"/>
      <c r="R112" s="32">
        <f>IF((PA[[#This Row],[String Type(If String BD)]]&amp;PA[[#This Row],[Equipment (If any BD other than PV  array and inv)]])="",1,0)</f>
        <v>0</v>
      </c>
      <c r="S112" s="32">
        <f>IF(PA[[#This Row],[String Type(If String BD)]]="",1,0)</f>
        <v>0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2" s="35">
        <f>IFERROR(_xlfn.XLOOKUP(PA[[#This Row],[Affected Equipment ]],'Basic Data'!N:N,'Basic Data'!Q:Q),"")</f>
        <v>15.95</v>
      </c>
      <c r="V112" s="39">
        <f ca="1">IFERROR(_xlfn.XLOOKUP(PA[[#This Row],[Affected Equipment ]],'Basic Data'!N:N,'Basic Data'!R:R),"")</f>
        <v>4.0678398367763324E-4</v>
      </c>
      <c r="W112" s="36" t="s">
        <v>349</v>
      </c>
      <c r="X112" s="40"/>
      <c r="Y112" s="40" t="s">
        <v>353</v>
      </c>
      <c r="Z112" s="46">
        <v>0.26041666666666669</v>
      </c>
      <c r="AA112" s="46">
        <v>0.26041666666666669</v>
      </c>
      <c r="AB112" s="46">
        <v>0.26041666666666669</v>
      </c>
      <c r="AC112" s="46">
        <v>0.58333333333333337</v>
      </c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7.75</v>
      </c>
      <c r="AG112" s="44">
        <f>IFERROR((PA[[#This Row],[Work Completion time on fault]]-PA[[#This Row],[Fault Time]])*24,"")</f>
        <v>7.75</v>
      </c>
      <c r="AH112" s="36" t="s">
        <v>354</v>
      </c>
      <c r="AI112" s="33" t="s">
        <v>298</v>
      </c>
      <c r="AJ112" s="35">
        <f ca="1">IFERROR(PA[[#This Row],[Breakdown Time]]*PA[[#This Row],[Plant Equivalent Weightage]],"")</f>
        <v>3.1525758735016576E-3</v>
      </c>
      <c r="AK112" s="36">
        <v>4.9279999999999999</v>
      </c>
      <c r="AL112" s="51">
        <f>IFERROR((_xlfn.XLOOKUP($G112,'Modelling New'!D:D,'Modelling New'!$O:$O)*PA[[#This Row],[Lost PoA(kWh/m2)]]*PA[[#This Row],[DC Capacity Affected (kW)]]),"")</f>
        <v>60.231774262111159</v>
      </c>
      <c r="AM112" s="33"/>
      <c r="AN112" s="33"/>
      <c r="AO112" s="33"/>
      <c r="AP112" s="33"/>
    </row>
    <row r="113" spans="1:42">
      <c r="A113" s="30">
        <v>112</v>
      </c>
      <c r="B113" s="31">
        <v>45817</v>
      </c>
      <c r="C113" s="32">
        <f>YEAR(PA[[#This Row],[Date]])+IF(MONTH(PA[[#This Row],[Date]])&gt;=4,1,0)</f>
        <v>2026</v>
      </c>
      <c r="D113" s="32">
        <f>YEAR(PA[[#This Row],[Date]])</f>
        <v>2025</v>
      </c>
      <c r="E113" s="33" t="s">
        <v>219</v>
      </c>
      <c r="F113" s="33" t="s">
        <v>219</v>
      </c>
      <c r="G113" s="196">
        <f>PA[[#This Row],[Date]]-DAY(PA[[#This Row],[Date]])+1</f>
        <v>45809</v>
      </c>
      <c r="H113" s="32">
        <f>DAY(EOMONTH(PA[[#This Row],[Month Year]],0))</f>
        <v>30</v>
      </c>
      <c r="I113" s="122">
        <v>0.25138888888888888</v>
      </c>
      <c r="J113" s="122">
        <v>0.75763888888888886</v>
      </c>
      <c r="K113" s="35">
        <f>IFERROR((PA[[#This Row],[Sunset Time (POA&lt;20 W/m2)]]-PA[[#This Row],[Sunrise Time (POA&gt;20 W/m2)]])*24,"")</f>
        <v>12.149999999999999</v>
      </c>
      <c r="L113" s="33" t="s">
        <v>302</v>
      </c>
      <c r="M113" s="33" t="s">
        <v>294</v>
      </c>
      <c r="N113" s="33" t="s">
        <v>316</v>
      </c>
      <c r="O113" s="36" t="s">
        <v>331</v>
      </c>
      <c r="P113" s="36" t="s">
        <v>348</v>
      </c>
      <c r="Q113" s="33"/>
      <c r="R113" s="32">
        <f>IF((PA[[#This Row],[String Type(If String BD)]]&amp;PA[[#This Row],[Equipment (If any BD other than PV  array and inv)]])="",1,0)</f>
        <v>0</v>
      </c>
      <c r="S113" s="32">
        <f>IF(PA[[#This Row],[String Type(If String BD)]]="",1,0)</f>
        <v>0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3" s="35">
        <f>IFERROR(_xlfn.XLOOKUP(PA[[#This Row],[Affected Equipment ]],'Basic Data'!N:N,'Basic Data'!Q:Q),"")</f>
        <v>31.9</v>
      </c>
      <c r="V113" s="39">
        <f ca="1">IFERROR(_xlfn.XLOOKUP(PA[[#This Row],[Affected Equipment ]],'Basic Data'!N:N,'Basic Data'!R:R),"")</f>
        <v>8.1356796735526649E-4</v>
      </c>
      <c r="W113" s="36" t="s">
        <v>349</v>
      </c>
      <c r="X113" s="40"/>
      <c r="Y113" s="40" t="s">
        <v>355</v>
      </c>
      <c r="Z113" s="46">
        <v>0.33333333333333331</v>
      </c>
      <c r="AA113" s="46">
        <v>0.33333333333333331</v>
      </c>
      <c r="AB113" s="46">
        <v>0.33333333333333331</v>
      </c>
      <c r="AC113" s="46">
        <v>0.68680555555555556</v>
      </c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8.4833333333333343</v>
      </c>
      <c r="AG113" s="44">
        <f>IFERROR((PA[[#This Row],[Work Completion time on fault]]-PA[[#This Row],[Fault Time]])*24,"")</f>
        <v>8.4833333333333343</v>
      </c>
      <c r="AH113" s="36" t="s">
        <v>356</v>
      </c>
      <c r="AI113" s="33" t="s">
        <v>298</v>
      </c>
      <c r="AJ113" s="35">
        <f ca="1">IFERROR(PA[[#This Row],[Breakdown Time]]*PA[[#This Row],[Plant Equivalent Weightage]],"")</f>
        <v>6.9017682563971778E-3</v>
      </c>
      <c r="AK113" s="36">
        <v>5.55</v>
      </c>
      <c r="AL113" s="51">
        <f>IFERROR((_xlfn.XLOOKUP($G113,'Modelling New'!D:D,'Modelling New'!$O:$O)*PA[[#This Row],[Lost PoA(kWh/m2)]]*PA[[#This Row],[DC Capacity Affected (kW)]]),"")</f>
        <v>135.66816037123255</v>
      </c>
      <c r="AM113" s="33"/>
      <c r="AN113" s="33"/>
      <c r="AO113" s="33"/>
      <c r="AP113" s="33"/>
    </row>
    <row r="114" spans="1:42">
      <c r="A114" s="30">
        <v>113</v>
      </c>
      <c r="B114" s="31">
        <v>45820</v>
      </c>
      <c r="C114" s="32">
        <f>YEAR(PA[[#This Row],[Date]])+IF(MONTH(PA[[#This Row],[Date]])&gt;=4,1,0)</f>
        <v>2026</v>
      </c>
      <c r="D114" s="32">
        <f>YEAR(PA[[#This Row],[Date]])</f>
        <v>2025</v>
      </c>
      <c r="E114" s="33" t="s">
        <v>219</v>
      </c>
      <c r="F114" s="33" t="s">
        <v>219</v>
      </c>
      <c r="G114" s="196">
        <f>PA[[#This Row],[Date]]-DAY(PA[[#This Row],[Date]])+1</f>
        <v>45809</v>
      </c>
      <c r="H114" s="32">
        <f>DAY(EOMONTH(PA[[#This Row],[Month Year]],0))</f>
        <v>30</v>
      </c>
      <c r="I114" s="122">
        <v>0.25416666666666665</v>
      </c>
      <c r="J114" s="122">
        <v>0.76875000000000004</v>
      </c>
      <c r="K114" s="35">
        <f>IFERROR((PA[[#This Row],[Sunset Time (POA&lt;20 W/m2)]]-PA[[#This Row],[Sunrise Time (POA&gt;20 W/m2)]])*24,"")</f>
        <v>12.350000000000001</v>
      </c>
      <c r="L114" s="33" t="s">
        <v>300</v>
      </c>
      <c r="M114" s="33" t="s">
        <v>299</v>
      </c>
      <c r="N114" s="33" t="s">
        <v>313</v>
      </c>
      <c r="O114" s="36" t="s">
        <v>352</v>
      </c>
      <c r="P114" s="36" t="s">
        <v>357</v>
      </c>
      <c r="Q114" s="33"/>
      <c r="R114" s="32">
        <f>IF((PA[[#This Row],[String Type(If String BD)]]&amp;PA[[#This Row],[Equipment (If any BD other than PV  array and inv)]])="",1,0)</f>
        <v>0</v>
      </c>
      <c r="S114" s="32">
        <f>IF(PA[[#This Row],[String Type(If String BD)]]="",1,0)</f>
        <v>0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114" s="35">
        <f>IFERROR(_xlfn.XLOOKUP(PA[[#This Row],[Affected Equipment ]],'Basic Data'!N:N,'Basic Data'!Q:Q),"")</f>
        <v>31.61</v>
      </c>
      <c r="V114" s="39">
        <f ca="1">IFERROR(_xlfn.XLOOKUP(PA[[#This Row],[Affected Equipment ]],'Basic Data'!N:N,'Basic Data'!R:R),"")</f>
        <v>8.0617189492476413E-4</v>
      </c>
      <c r="W114" s="36" t="s">
        <v>349</v>
      </c>
      <c r="X114" s="40"/>
      <c r="Y114" s="40" t="s">
        <v>358</v>
      </c>
      <c r="Z114" s="46">
        <v>0.29166666666666669</v>
      </c>
      <c r="AA114" s="46">
        <v>0.29166666666666669</v>
      </c>
      <c r="AB114" s="46">
        <v>0.29166666666666669</v>
      </c>
      <c r="AC114" s="46">
        <v>0.67986111111111114</v>
      </c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9.3166666666666664</v>
      </c>
      <c r="AG114" s="44">
        <f>IFERROR((PA[[#This Row],[Work Completion time on fault]]-PA[[#This Row],[Fault Time]])*24,"")</f>
        <v>9.3166666666666664</v>
      </c>
      <c r="AH114" s="344" t="s">
        <v>359</v>
      </c>
      <c r="AI114" s="33" t="s">
        <v>298</v>
      </c>
      <c r="AJ114" s="35">
        <f ca="1">IFERROR(PA[[#This Row],[Breakdown Time]]*PA[[#This Row],[Plant Equivalent Weightage]],"")</f>
        <v>7.5108348210490526E-3</v>
      </c>
      <c r="AK114" s="36">
        <v>3.39</v>
      </c>
      <c r="AL114" s="51">
        <f>IFERROR((_xlfn.XLOOKUP($G114,'Modelling New'!D:D,'Modelling New'!$O:$O)*PA[[#This Row],[Lost PoA(kWh/m2)]]*PA[[#This Row],[DC Capacity Affected (kW)]]),"")</f>
        <v>82.114237409949439</v>
      </c>
      <c r="AM114" s="33"/>
      <c r="AN114" s="33"/>
      <c r="AO114" s="33">
        <v>4218</v>
      </c>
      <c r="AP114" s="33" t="s">
        <v>360</v>
      </c>
    </row>
    <row r="115" spans="1:42">
      <c r="A115" s="30">
        <v>114</v>
      </c>
      <c r="B115" s="31">
        <v>45821</v>
      </c>
      <c r="C115" s="32">
        <f>YEAR(PA[[#This Row],[Date]])+IF(MONTH(PA[[#This Row],[Date]])&gt;=4,1,0)</f>
        <v>2026</v>
      </c>
      <c r="D115" s="32">
        <f>YEAR(PA[[#This Row],[Date]])</f>
        <v>2025</v>
      </c>
      <c r="E115" s="33" t="s">
        <v>219</v>
      </c>
      <c r="F115" s="33" t="s">
        <v>219</v>
      </c>
      <c r="G115" s="196">
        <f>PA[[#This Row],[Date]]-DAY(PA[[#This Row],[Date]])+1</f>
        <v>45809</v>
      </c>
      <c r="H115" s="32">
        <f>DAY(EOMONTH(PA[[#This Row],[Month Year]],0))</f>
        <v>30</v>
      </c>
      <c r="I115" s="122">
        <v>0.25416666666666665</v>
      </c>
      <c r="J115" s="122">
        <v>0.76736111111111116</v>
      </c>
      <c r="K115" s="35">
        <f>IFERROR((PA[[#This Row],[Sunset Time (POA&lt;20 W/m2)]]-PA[[#This Row],[Sunrise Time (POA&gt;20 W/m2)]])*24,"")</f>
        <v>12.316666666666668</v>
      </c>
      <c r="L115" s="33" t="s">
        <v>303</v>
      </c>
      <c r="M115" s="33" t="s">
        <v>294</v>
      </c>
      <c r="N115" s="33" t="s">
        <v>320</v>
      </c>
      <c r="O115" s="36" t="s">
        <v>361</v>
      </c>
      <c r="P115" s="36" t="s">
        <v>348</v>
      </c>
      <c r="Q115" s="33"/>
      <c r="R115" s="32">
        <f>IF((PA[[#This Row],[String Type(If String BD)]]&amp;PA[[#This Row],[Equipment (If any BD other than PV  array and inv)]])="",1,0)</f>
        <v>0</v>
      </c>
      <c r="S115" s="32">
        <f>IF(PA[[#This Row],[String Type(If String BD)]]="",1,0)</f>
        <v>0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5" s="35">
        <f>IFERROR(_xlfn.XLOOKUP(PA[[#This Row],[Affected Equipment ]],'Basic Data'!N:N,'Basic Data'!Q:Q),"")</f>
        <v>31.9</v>
      </c>
      <c r="V115" s="39">
        <f ca="1">IFERROR(_xlfn.XLOOKUP(PA[[#This Row],[Affected Equipment ]],'Basic Data'!N:N,'Basic Data'!R:R),"")</f>
        <v>8.1356796735526649E-4</v>
      </c>
      <c r="W115" s="36" t="s">
        <v>349</v>
      </c>
      <c r="X115" s="40"/>
      <c r="Y115" s="40" t="s">
        <v>362</v>
      </c>
      <c r="Z115" s="46">
        <v>0.33333333333333331</v>
      </c>
      <c r="AA115" s="46">
        <v>0.33333333333333331</v>
      </c>
      <c r="AB115" s="46">
        <v>0.33333333333333331</v>
      </c>
      <c r="AC115" s="46">
        <v>0.65972222222222221</v>
      </c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7.8333333333333339</v>
      </c>
      <c r="AG115" s="44">
        <f>IFERROR((PA[[#This Row],[Work Completion time on fault]]-PA[[#This Row],[Fault Time]])*24,"")</f>
        <v>7.8333333333333339</v>
      </c>
      <c r="AH115" s="344" t="s">
        <v>363</v>
      </c>
      <c r="AI115" s="33" t="s">
        <v>298</v>
      </c>
      <c r="AJ115" s="35">
        <f ca="1">IFERROR(PA[[#This Row],[Breakdown Time]]*PA[[#This Row],[Plant Equivalent Weightage]],"")</f>
        <v>6.3729490776162547E-3</v>
      </c>
      <c r="AK115" s="36">
        <v>3.98</v>
      </c>
      <c r="AL115" s="51">
        <f>IFERROR((_xlfn.XLOOKUP($G115,'Modelling New'!D:D,'Modelling New'!$O:$O)*PA[[#This Row],[Lost PoA(kWh/m2)]]*PA[[#This Row],[DC Capacity Affected (kW)]]),"")</f>
        <v>97.289960050000985</v>
      </c>
      <c r="AM115" s="33"/>
      <c r="AN115" s="33"/>
      <c r="AO115" s="33">
        <v>4250</v>
      </c>
      <c r="AP115" s="33" t="s">
        <v>364</v>
      </c>
    </row>
    <row r="116" spans="1:42">
      <c r="A116" s="30">
        <v>115</v>
      </c>
      <c r="B116" s="31">
        <v>45821</v>
      </c>
      <c r="C116" s="32">
        <f>YEAR(PA[[#This Row],[Date]])+IF(MONTH(PA[[#This Row],[Date]])&gt;=4,1,0)</f>
        <v>2026</v>
      </c>
      <c r="D116" s="32">
        <f>YEAR(PA[[#This Row],[Date]])</f>
        <v>2025</v>
      </c>
      <c r="E116" s="33" t="s">
        <v>219</v>
      </c>
      <c r="F116" s="33" t="s">
        <v>219</v>
      </c>
      <c r="G116" s="196">
        <f>PA[[#This Row],[Date]]-DAY(PA[[#This Row],[Date]])+1</f>
        <v>45809</v>
      </c>
      <c r="H116" s="32">
        <f>DAY(EOMONTH(PA[[#This Row],[Month Year]],0))</f>
        <v>30</v>
      </c>
      <c r="I116" s="122">
        <v>0.25416666666666665</v>
      </c>
      <c r="J116" s="122">
        <v>0.76736111111111116</v>
      </c>
      <c r="K116" s="35">
        <f>IFERROR((PA[[#This Row],[Sunset Time (POA&lt;20 W/m2)]]-PA[[#This Row],[Sunrise Time (POA&gt;20 W/m2)]])*24,"")</f>
        <v>12.316666666666668</v>
      </c>
      <c r="L116" s="33" t="s">
        <v>303</v>
      </c>
      <c r="M116" s="33" t="s">
        <v>294</v>
      </c>
      <c r="N116" s="33" t="s">
        <v>320</v>
      </c>
      <c r="O116" s="36" t="s">
        <v>361</v>
      </c>
      <c r="P116" s="36" t="s">
        <v>348</v>
      </c>
      <c r="Q116" s="33"/>
      <c r="R116" s="32">
        <f>IF((PA[[#This Row],[String Type(If String BD)]]&amp;PA[[#This Row],[Equipment (If any BD other than PV  array and inv)]])="",1,0)</f>
        <v>0</v>
      </c>
      <c r="S116" s="32">
        <f>IF(PA[[#This Row],[String Type(If String BD)]]="",1,0)</f>
        <v>0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6" s="35">
        <f>IFERROR(_xlfn.XLOOKUP(PA[[#This Row],[Affected Equipment ]],'Basic Data'!N:N,'Basic Data'!Q:Q),"")</f>
        <v>31.9</v>
      </c>
      <c r="V116" s="39">
        <f ca="1">IFERROR(_xlfn.XLOOKUP(PA[[#This Row],[Affected Equipment ]],'Basic Data'!N:N,'Basic Data'!R:R),"")</f>
        <v>8.1356796735526649E-4</v>
      </c>
      <c r="W116" s="36" t="s">
        <v>349</v>
      </c>
      <c r="X116" s="40"/>
      <c r="Y116" s="40" t="s">
        <v>362</v>
      </c>
      <c r="Z116" s="46">
        <v>0.33333333333333331</v>
      </c>
      <c r="AA116" s="46">
        <v>0.33333333333333331</v>
      </c>
      <c r="AB116" s="46">
        <v>0.33333333333333331</v>
      </c>
      <c r="AC116" s="46">
        <v>0.65972222222222221</v>
      </c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7.8333333333333339</v>
      </c>
      <c r="AG116" s="44">
        <f>IFERROR((PA[[#This Row],[Work Completion time on fault]]-PA[[#This Row],[Fault Time]])*24,"")</f>
        <v>7.8333333333333339</v>
      </c>
      <c r="AH116" s="344" t="s">
        <v>363</v>
      </c>
      <c r="AI116" s="33" t="s">
        <v>298</v>
      </c>
      <c r="AJ116" s="35">
        <f ca="1">IFERROR(PA[[#This Row],[Breakdown Time]]*PA[[#This Row],[Plant Equivalent Weightage]],"")</f>
        <v>6.3729490776162547E-3</v>
      </c>
      <c r="AK116" s="36">
        <v>3.98</v>
      </c>
      <c r="AL116" s="51">
        <f>IFERROR((_xlfn.XLOOKUP($G116,'Modelling New'!D:D,'Modelling New'!$O:$O)*PA[[#This Row],[Lost PoA(kWh/m2)]]*PA[[#This Row],[DC Capacity Affected (kW)]]),"")</f>
        <v>97.289960050000985</v>
      </c>
      <c r="AM116" s="33"/>
      <c r="AN116" s="33"/>
      <c r="AO116" s="33">
        <v>4250</v>
      </c>
      <c r="AP116" s="33" t="s">
        <v>364</v>
      </c>
    </row>
    <row r="117" spans="1:42">
      <c r="A117" s="30">
        <v>116</v>
      </c>
      <c r="B117" s="31">
        <v>45834</v>
      </c>
      <c r="C117" s="32">
        <f>YEAR(PA[[#This Row],[Date]])+IF(MONTH(PA[[#This Row],[Date]])&gt;=4,1,0)</f>
        <v>2026</v>
      </c>
      <c r="D117" s="32">
        <f>YEAR(PA[[#This Row],[Date]])</f>
        <v>2025</v>
      </c>
      <c r="E117" s="33" t="s">
        <v>219</v>
      </c>
      <c r="F117" s="33" t="s">
        <v>219</v>
      </c>
      <c r="G117" s="196">
        <f>PA[[#This Row],[Date]]-DAY(PA[[#This Row],[Date]])+1</f>
        <v>45809</v>
      </c>
      <c r="H117" s="32">
        <f>DAY(EOMONTH(PA[[#This Row],[Month Year]],0))</f>
        <v>30</v>
      </c>
      <c r="I117" s="122">
        <v>0.28263888888888888</v>
      </c>
      <c r="J117" s="122">
        <v>0.7631944444444444</v>
      </c>
      <c r="K117" s="35">
        <f>IFERROR((PA[[#This Row],[Sunset Time (POA&lt;20 W/m2)]]-PA[[#This Row],[Sunrise Time (POA&gt;20 W/m2)]])*24,"")</f>
        <v>11.533333333333331</v>
      </c>
      <c r="L117" s="33" t="s">
        <v>300</v>
      </c>
      <c r="M117" s="33" t="s">
        <v>294</v>
      </c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17" s="35">
        <f>IFERROR(_xlfn.XLOOKUP(PA[[#This Row],[Affected Equipment ]],'Basic Data'!N:N,'Basic Data'!Q:Q),"")</f>
        <v>4662.4750000000004</v>
      </c>
      <c r="V117" s="39">
        <f ca="1">IFERROR(_xlfn.XLOOKUP(PA[[#This Row],[Affected Equipment ]],'Basic Data'!N:N,'Basic Data'!R:R),"")</f>
        <v>0.11891035450140271</v>
      </c>
      <c r="W117" s="36" t="s">
        <v>345</v>
      </c>
      <c r="X117" s="40"/>
      <c r="Y117" s="40" t="s">
        <v>365</v>
      </c>
      <c r="Z117" s="46">
        <v>0.28263888888888888</v>
      </c>
      <c r="AA117" s="46">
        <v>0.28263888888888888</v>
      </c>
      <c r="AB117" s="46">
        <v>0.28263888888888888</v>
      </c>
      <c r="AC117" s="46">
        <v>0.34861111111111109</v>
      </c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1.583333333333333</v>
      </c>
      <c r="AG117" s="44">
        <f>IFERROR((PA[[#This Row],[Work Completion time on fault]]-PA[[#This Row],[Fault Time]])*24,"")</f>
        <v>1.583333333333333</v>
      </c>
      <c r="AH117" s="36" t="s">
        <v>366</v>
      </c>
      <c r="AI117" s="33" t="s">
        <v>298</v>
      </c>
      <c r="AJ117" s="35">
        <f ca="1">IFERROR(PA[[#This Row],[Breakdown Time]]*PA[[#This Row],[Plant Equivalent Weightage]],"")</f>
        <v>0.18827472796055425</v>
      </c>
      <c r="AK117" s="36">
        <v>7.4765999999999999E-2</v>
      </c>
      <c r="AL117" s="51">
        <f>IFERROR((_xlfn.XLOOKUP($G117,'Modelling New'!D:D,'Modelling New'!$O:$O)*PA[[#This Row],[Lost PoA(kWh/m2)]]*PA[[#This Row],[DC Capacity Affected (kW)]]),"")</f>
        <v>267.12524437857269</v>
      </c>
      <c r="AM117" s="33"/>
      <c r="AN117" s="33"/>
      <c r="AO117" s="33">
        <v>4533</v>
      </c>
      <c r="AP117" s="33"/>
    </row>
    <row r="118" spans="1:42">
      <c r="A118" s="30">
        <v>117</v>
      </c>
      <c r="B118" s="31">
        <v>45834</v>
      </c>
      <c r="C118" s="32">
        <f>YEAR(PA[[#This Row],[Date]])+IF(MONTH(PA[[#This Row],[Date]])&gt;=4,1,0)</f>
        <v>2026</v>
      </c>
      <c r="D118" s="32">
        <f>YEAR(PA[[#This Row],[Date]])</f>
        <v>2025</v>
      </c>
      <c r="E118" s="33" t="s">
        <v>219</v>
      </c>
      <c r="F118" s="33" t="s">
        <v>219</v>
      </c>
      <c r="G118" s="196">
        <f>PA[[#This Row],[Date]]-DAY(PA[[#This Row],[Date]])+1</f>
        <v>45809</v>
      </c>
      <c r="H118" s="32">
        <f>DAY(EOMONTH(PA[[#This Row],[Month Year]],0))</f>
        <v>30</v>
      </c>
      <c r="I118" s="122">
        <v>0.28263888888888888</v>
      </c>
      <c r="J118" s="122">
        <v>0.7631944444444444</v>
      </c>
      <c r="K118" s="35">
        <f>IFERROR((PA[[#This Row],[Sunset Time (POA&lt;20 W/m2)]]-PA[[#This Row],[Sunrise Time (POA&gt;20 W/m2)]])*24,"")</f>
        <v>11.533333333333331</v>
      </c>
      <c r="L118" s="33" t="s">
        <v>300</v>
      </c>
      <c r="M118" s="33" t="s">
        <v>299</v>
      </c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18" s="35">
        <f>IFERROR(_xlfn.XLOOKUP(PA[[#This Row],[Affected Equipment ]],'Basic Data'!N:N,'Basic Data'!Q:Q),"")</f>
        <v>4662.4750000000004</v>
      </c>
      <c r="V118" s="39">
        <f ca="1">IFERROR(_xlfn.XLOOKUP(PA[[#This Row],[Affected Equipment ]],'Basic Data'!N:N,'Basic Data'!R:R),"")</f>
        <v>0.11891035450140271</v>
      </c>
      <c r="W118" s="36" t="s">
        <v>345</v>
      </c>
      <c r="X118" s="40"/>
      <c r="Y118" s="40" t="s">
        <v>365</v>
      </c>
      <c r="Z118" s="46">
        <v>0.28263888888888888</v>
      </c>
      <c r="AA118" s="46">
        <v>0.28263888888888888</v>
      </c>
      <c r="AB118" s="46">
        <v>0.28263888888888888</v>
      </c>
      <c r="AC118" s="46">
        <v>0.34861111111111109</v>
      </c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1.583333333333333</v>
      </c>
      <c r="AG118" s="44">
        <f>IFERROR((PA[[#This Row],[Work Completion time on fault]]-PA[[#This Row],[Fault Time]])*24,"")</f>
        <v>1.583333333333333</v>
      </c>
      <c r="AH118" s="36" t="s">
        <v>366</v>
      </c>
      <c r="AI118" s="33" t="s">
        <v>298</v>
      </c>
      <c r="AJ118" s="35">
        <f ca="1">IFERROR(PA[[#This Row],[Breakdown Time]]*PA[[#This Row],[Plant Equivalent Weightage]],"")</f>
        <v>0.18827472796055425</v>
      </c>
      <c r="AK118" s="36">
        <v>7.4765999999999999E-2</v>
      </c>
      <c r="AL118" s="51">
        <f>IFERROR((_xlfn.XLOOKUP($G118,'Modelling New'!D:D,'Modelling New'!$O:$O)*PA[[#This Row],[Lost PoA(kWh/m2)]]*PA[[#This Row],[DC Capacity Affected (kW)]]),"")</f>
        <v>267.12524437857269</v>
      </c>
      <c r="AM118" s="33"/>
      <c r="AN118" s="33"/>
      <c r="AO118" s="33">
        <v>4533</v>
      </c>
      <c r="AP118" s="33"/>
    </row>
    <row r="119" spans="1:42">
      <c r="A119" s="30">
        <v>118</v>
      </c>
      <c r="B119" s="31">
        <v>45834</v>
      </c>
      <c r="C119" s="32">
        <f>YEAR(PA[[#This Row],[Date]])+IF(MONTH(PA[[#This Row],[Date]])&gt;=4,1,0)</f>
        <v>2026</v>
      </c>
      <c r="D119" s="32">
        <f>YEAR(PA[[#This Row],[Date]])</f>
        <v>2025</v>
      </c>
      <c r="E119" s="33" t="s">
        <v>219</v>
      </c>
      <c r="F119" s="33" t="s">
        <v>219</v>
      </c>
      <c r="G119" s="196">
        <f>PA[[#This Row],[Date]]-DAY(PA[[#This Row],[Date]])+1</f>
        <v>45809</v>
      </c>
      <c r="H119" s="32">
        <f>DAY(EOMONTH(PA[[#This Row],[Month Year]],0))</f>
        <v>30</v>
      </c>
      <c r="I119" s="122">
        <v>0.28263888888888888</v>
      </c>
      <c r="J119" s="122">
        <v>0.7631944444444444</v>
      </c>
      <c r="K119" s="35">
        <f>IFERROR((PA[[#This Row],[Sunset Time (POA&lt;20 W/m2)]]-PA[[#This Row],[Sunrise Time (POA&gt;20 W/m2)]])*24,"")</f>
        <v>11.533333333333331</v>
      </c>
      <c r="L119" s="33" t="s">
        <v>293</v>
      </c>
      <c r="M119" s="33" t="s">
        <v>294</v>
      </c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19" s="35">
        <f>IFERROR(_xlfn.XLOOKUP(PA[[#This Row],[Affected Equipment ]],'Basic Data'!N:N,'Basic Data'!Q:Q),"")</f>
        <v>6511.66</v>
      </c>
      <c r="V119" s="39">
        <f ca="1">IFERROR(_xlfn.XLOOKUP(PA[[#This Row],[Affected Equipment ]],'Basic Data'!N:N,'Basic Data'!R:R),"")</f>
        <v>0.1660714103545014</v>
      </c>
      <c r="W119" s="36" t="s">
        <v>345</v>
      </c>
      <c r="X119" s="40"/>
      <c r="Y119" s="40" t="s">
        <v>365</v>
      </c>
      <c r="Z119" s="46">
        <v>0.28263888888888888</v>
      </c>
      <c r="AA119" s="46">
        <v>0.28263888888888888</v>
      </c>
      <c r="AB119" s="46">
        <v>0.28263888888888888</v>
      </c>
      <c r="AC119" s="46">
        <v>0.34861111111111109</v>
      </c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1.583333333333333</v>
      </c>
      <c r="AG119" s="44">
        <f>IFERROR((PA[[#This Row],[Work Completion time on fault]]-PA[[#This Row],[Fault Time]])*24,"")</f>
        <v>1.583333333333333</v>
      </c>
      <c r="AH119" s="36" t="s">
        <v>366</v>
      </c>
      <c r="AI119" s="33" t="s">
        <v>298</v>
      </c>
      <c r="AJ119" s="35">
        <f ca="1">IFERROR(PA[[#This Row],[Breakdown Time]]*PA[[#This Row],[Plant Equivalent Weightage]],"")</f>
        <v>0.26294639972796052</v>
      </c>
      <c r="AK119" s="36">
        <v>7.4765999999999999E-2</v>
      </c>
      <c r="AL119" s="51">
        <f>IFERROR((_xlfn.XLOOKUP($G119,'Modelling New'!D:D,'Modelling New'!$O:$O)*PA[[#This Row],[Lost PoA(kWh/m2)]]*PA[[#This Row],[DC Capacity Affected (kW)]]),"")</f>
        <v>373.0698328270235</v>
      </c>
      <c r="AM119" s="33"/>
      <c r="AN119" s="33"/>
      <c r="AO119" s="33">
        <v>4533</v>
      </c>
      <c r="AP119" s="33"/>
    </row>
    <row r="120" spans="1:42">
      <c r="A120" s="30">
        <v>119</v>
      </c>
      <c r="B120" s="31">
        <v>45834</v>
      </c>
      <c r="C120" s="32">
        <f>YEAR(PA[[#This Row],[Date]])+IF(MONTH(PA[[#This Row],[Date]])&gt;=4,1,0)</f>
        <v>2026</v>
      </c>
      <c r="D120" s="32">
        <f>YEAR(PA[[#This Row],[Date]])</f>
        <v>2025</v>
      </c>
      <c r="E120" s="33" t="s">
        <v>219</v>
      </c>
      <c r="F120" s="33" t="s">
        <v>219</v>
      </c>
      <c r="G120" s="196">
        <f>PA[[#This Row],[Date]]-DAY(PA[[#This Row],[Date]])+1</f>
        <v>45809</v>
      </c>
      <c r="H120" s="32">
        <f>DAY(EOMONTH(PA[[#This Row],[Month Year]],0))</f>
        <v>30</v>
      </c>
      <c r="I120" s="122">
        <v>0.28263888888888888</v>
      </c>
      <c r="J120" s="122">
        <v>0.7631944444444444</v>
      </c>
      <c r="K120" s="35">
        <f>IFERROR((PA[[#This Row],[Sunset Time (POA&lt;20 W/m2)]]-PA[[#This Row],[Sunrise Time (POA&gt;20 W/m2)]])*24,"")</f>
        <v>11.533333333333331</v>
      </c>
      <c r="L120" s="33" t="s">
        <v>293</v>
      </c>
      <c r="M120" s="33" t="s">
        <v>299</v>
      </c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0" s="35">
        <f>IFERROR(_xlfn.XLOOKUP(PA[[#This Row],[Affected Equipment ]],'Basic Data'!N:N,'Basic Data'!Q:Q),"")</f>
        <v>6495.8549999999996</v>
      </c>
      <c r="V120" s="39">
        <f ca="1">IFERROR(_xlfn.XLOOKUP(PA[[#This Row],[Affected Equipment ]],'Basic Data'!N:N,'Basic Data'!R:R),"")</f>
        <v>0.16566832440703902</v>
      </c>
      <c r="W120" s="36" t="s">
        <v>345</v>
      </c>
      <c r="X120" s="40"/>
      <c r="Y120" s="40" t="s">
        <v>365</v>
      </c>
      <c r="Z120" s="46">
        <v>0.28263888888888888</v>
      </c>
      <c r="AA120" s="46">
        <v>0.28263888888888888</v>
      </c>
      <c r="AB120" s="46">
        <v>0.28263888888888888</v>
      </c>
      <c r="AC120" s="46">
        <v>0.34861111111111109</v>
      </c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1.583333333333333</v>
      </c>
      <c r="AG120" s="44">
        <f>IFERROR((PA[[#This Row],[Work Completion time on fault]]-PA[[#This Row],[Fault Time]])*24,"")</f>
        <v>1.583333333333333</v>
      </c>
      <c r="AH120" s="36" t="s">
        <v>366</v>
      </c>
      <c r="AI120" s="33" t="s">
        <v>298</v>
      </c>
      <c r="AJ120" s="35">
        <f ca="1">IFERROR(PA[[#This Row],[Breakdown Time]]*PA[[#This Row],[Plant Equivalent Weightage]],"")</f>
        <v>0.26230818031114506</v>
      </c>
      <c r="AK120" s="36">
        <v>7.4765999999999999E-2</v>
      </c>
      <c r="AL120" s="51">
        <f>IFERROR((_xlfn.XLOOKUP($G120,'Modelling New'!D:D,'Modelling New'!$O:$O)*PA[[#This Row],[Lost PoA(kWh/m2)]]*PA[[#This Row],[DC Capacity Affected (kW)]]),"")</f>
        <v>372.16432352404524</v>
      </c>
      <c r="AM120" s="33"/>
      <c r="AN120" s="33"/>
      <c r="AO120" s="33">
        <v>4533</v>
      </c>
      <c r="AP120" s="33"/>
    </row>
    <row r="121" spans="1:42">
      <c r="A121" s="30">
        <v>120</v>
      </c>
      <c r="B121" s="31">
        <v>45834</v>
      </c>
      <c r="C121" s="32">
        <f>YEAR(PA[[#This Row],[Date]])+IF(MONTH(PA[[#This Row],[Date]])&gt;=4,1,0)</f>
        <v>2026</v>
      </c>
      <c r="D121" s="32">
        <f>YEAR(PA[[#This Row],[Date]])</f>
        <v>2025</v>
      </c>
      <c r="E121" s="33" t="s">
        <v>219</v>
      </c>
      <c r="F121" s="33" t="s">
        <v>219</v>
      </c>
      <c r="G121" s="196">
        <f>PA[[#This Row],[Date]]-DAY(PA[[#This Row],[Date]])+1</f>
        <v>45809</v>
      </c>
      <c r="H121" s="32">
        <f>DAY(EOMONTH(PA[[#This Row],[Month Year]],0))</f>
        <v>30</v>
      </c>
      <c r="I121" s="122">
        <v>0.28263888888888888</v>
      </c>
      <c r="J121" s="122">
        <v>0.7631944444444444</v>
      </c>
      <c r="K121" s="35">
        <f>IFERROR((PA[[#This Row],[Sunset Time (POA&lt;20 W/m2)]]-PA[[#This Row],[Sunrise Time (POA&gt;20 W/m2)]])*24,"")</f>
        <v>11.533333333333331</v>
      </c>
      <c r="L121" s="33" t="s">
        <v>302</v>
      </c>
      <c r="M121" s="33" t="s">
        <v>294</v>
      </c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1" s="35">
        <f>IFERROR(_xlfn.XLOOKUP(PA[[#This Row],[Affected Equipment ]],'Basic Data'!N:N,'Basic Data'!Q:Q),"")</f>
        <v>6527.4649999999992</v>
      </c>
      <c r="V121" s="39">
        <f ca="1">IFERROR(_xlfn.XLOOKUP(PA[[#This Row],[Affected Equipment ]],'Basic Data'!N:N,'Basic Data'!R:R),"")</f>
        <v>0.16647449630196376</v>
      </c>
      <c r="W121" s="36" t="s">
        <v>345</v>
      </c>
      <c r="X121" s="40"/>
      <c r="Y121" s="40" t="s">
        <v>365</v>
      </c>
      <c r="Z121" s="46">
        <v>0.28263888888888888</v>
      </c>
      <c r="AA121" s="46">
        <v>0.28263888888888888</v>
      </c>
      <c r="AB121" s="46">
        <v>0.28263888888888888</v>
      </c>
      <c r="AC121" s="46">
        <v>0.5541666666666667</v>
      </c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6.5166666666666675</v>
      </c>
      <c r="AG121" s="44">
        <f>IFERROR((PA[[#This Row],[Work Completion time on fault]]-PA[[#This Row],[Fault Time]])*24,"")</f>
        <v>6.5166666666666675</v>
      </c>
      <c r="AH121" s="36" t="s">
        <v>367</v>
      </c>
      <c r="AI121" s="33" t="s">
        <v>298</v>
      </c>
      <c r="AJ121" s="35">
        <f ca="1">IFERROR(PA[[#This Row],[Breakdown Time]]*PA[[#This Row],[Plant Equivalent Weightage]],"")</f>
        <v>1.0848588009011306</v>
      </c>
      <c r="AK121" s="36">
        <v>0.45840500000000001</v>
      </c>
      <c r="AL121" s="51">
        <f>IFERROR((_xlfn.XLOOKUP($G121,'Modelling New'!D:D,'Modelling New'!$O:$O)*PA[[#This Row],[Lost PoA(kWh/m2)]]*PA[[#This Row],[DC Capacity Affected (kW)]]),"")</f>
        <v>2292.9161210858333</v>
      </c>
      <c r="AM121" s="33"/>
      <c r="AN121" s="33"/>
      <c r="AO121" s="33">
        <v>4533</v>
      </c>
      <c r="AP121" s="33"/>
    </row>
    <row r="122" spans="1:42">
      <c r="A122" s="30">
        <v>121</v>
      </c>
      <c r="B122" s="31">
        <v>45834</v>
      </c>
      <c r="C122" s="32">
        <f>YEAR(PA[[#This Row],[Date]])+IF(MONTH(PA[[#This Row],[Date]])&gt;=4,1,0)</f>
        <v>2026</v>
      </c>
      <c r="D122" s="32">
        <f>YEAR(PA[[#This Row],[Date]])</f>
        <v>2025</v>
      </c>
      <c r="E122" s="33" t="s">
        <v>219</v>
      </c>
      <c r="F122" s="33" t="s">
        <v>219</v>
      </c>
      <c r="G122" s="196">
        <f>PA[[#This Row],[Date]]-DAY(PA[[#This Row],[Date]])+1</f>
        <v>45809</v>
      </c>
      <c r="H122" s="32">
        <f>DAY(EOMONTH(PA[[#This Row],[Month Year]],0))</f>
        <v>30</v>
      </c>
      <c r="I122" s="122">
        <v>0.28263888888888888</v>
      </c>
      <c r="J122" s="122">
        <v>0.7631944444444444</v>
      </c>
      <c r="K122" s="35">
        <f>IFERROR((PA[[#This Row],[Sunset Time (POA&lt;20 W/m2)]]-PA[[#This Row],[Sunrise Time (POA&gt;20 W/m2)]])*24,"")</f>
        <v>11.533333333333331</v>
      </c>
      <c r="L122" s="33" t="s">
        <v>303</v>
      </c>
      <c r="M122" s="33" t="s">
        <v>294</v>
      </c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22" s="35">
        <f>IFERROR(_xlfn.XLOOKUP(PA[[#This Row],[Affected Equipment ]],'Basic Data'!N:N,'Basic Data'!Q:Q),"")</f>
        <v>5104</v>
      </c>
      <c r="V122" s="39">
        <f ca="1">IFERROR(_xlfn.XLOOKUP(PA[[#This Row],[Affected Equipment ]],'Basic Data'!N:N,'Basic Data'!R:R),"")</f>
        <v>0.13017087477684264</v>
      </c>
      <c r="W122" s="36" t="s">
        <v>345</v>
      </c>
      <c r="X122" s="40"/>
      <c r="Y122" s="40" t="s">
        <v>365</v>
      </c>
      <c r="Z122" s="46">
        <v>0.28263888888888888</v>
      </c>
      <c r="AA122" s="46">
        <v>0.28263888888888888</v>
      </c>
      <c r="AB122" s="46">
        <v>0.28263888888888888</v>
      </c>
      <c r="AC122" s="46">
        <v>0.54722222222222228</v>
      </c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6.3500000000000014</v>
      </c>
      <c r="AG122" s="44">
        <f>IFERROR((PA[[#This Row],[Work Completion time on fault]]-PA[[#This Row],[Fault Time]])*24,"")</f>
        <v>6.3500000000000014</v>
      </c>
      <c r="AH122" s="36" t="s">
        <v>367</v>
      </c>
      <c r="AI122" s="33" t="s">
        <v>298</v>
      </c>
      <c r="AJ122" s="35">
        <f ca="1">IFERROR(PA[[#This Row],[Breakdown Time]]*PA[[#This Row],[Plant Equivalent Weightage]],"")</f>
        <v>0.82658505483295097</v>
      </c>
      <c r="AK122" s="36">
        <v>0.44956299999999999</v>
      </c>
      <c r="AL122" s="51">
        <f>IFERROR((_xlfn.XLOOKUP($G122,'Modelling New'!D:D,'Modelling New'!$O:$O)*PA[[#This Row],[Lost PoA(kWh/m2)]]*PA[[#This Row],[DC Capacity Affected (kW)]]),"")</f>
        <v>1758.310203415421</v>
      </c>
      <c r="AM122" s="33"/>
      <c r="AN122" s="33"/>
      <c r="AO122" s="33">
        <v>4533</v>
      </c>
      <c r="AP122" s="33"/>
    </row>
    <row r="123" spans="1:42">
      <c r="A123" s="30">
        <v>122</v>
      </c>
      <c r="B123" s="31">
        <v>45834</v>
      </c>
      <c r="C123" s="32">
        <f>YEAR(PA[[#This Row],[Date]])+IF(MONTH(PA[[#This Row],[Date]])&gt;=4,1,0)</f>
        <v>2026</v>
      </c>
      <c r="D123" s="32">
        <f>YEAR(PA[[#This Row],[Date]])</f>
        <v>2025</v>
      </c>
      <c r="E123" s="33" t="s">
        <v>219</v>
      </c>
      <c r="F123" s="33" t="s">
        <v>219</v>
      </c>
      <c r="G123" s="196">
        <f>PA[[#This Row],[Date]]-DAY(PA[[#This Row],[Date]])+1</f>
        <v>45809</v>
      </c>
      <c r="H123" s="32">
        <f>DAY(EOMONTH(PA[[#This Row],[Month Year]],0))</f>
        <v>30</v>
      </c>
      <c r="I123" s="122">
        <v>0.28263888888888888</v>
      </c>
      <c r="J123" s="122">
        <v>0.7631944444444444</v>
      </c>
      <c r="K123" s="35">
        <f>IFERROR((PA[[#This Row],[Sunset Time (POA&lt;20 W/m2)]]-PA[[#This Row],[Sunrise Time (POA&gt;20 W/m2)]])*24,"")</f>
        <v>11.533333333333331</v>
      </c>
      <c r="L123" s="33" t="s">
        <v>303</v>
      </c>
      <c r="M123" s="33" t="s">
        <v>299</v>
      </c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3" s="35">
        <f>IFERROR(_xlfn.XLOOKUP(PA[[#This Row],[Affected Equipment ]],'Basic Data'!N:N,'Basic Data'!Q:Q),"")</f>
        <v>5104</v>
      </c>
      <c r="V123" s="39">
        <f ca="1">IFERROR(_xlfn.XLOOKUP(PA[[#This Row],[Affected Equipment ]],'Basic Data'!N:N,'Basic Data'!R:R),"")</f>
        <v>0.13017087477684264</v>
      </c>
      <c r="W123" s="36" t="s">
        <v>345</v>
      </c>
      <c r="X123" s="40"/>
      <c r="Y123" s="40" t="s">
        <v>365</v>
      </c>
      <c r="Z123" s="46">
        <v>0.28263888888888888</v>
      </c>
      <c r="AA123" s="46">
        <v>0.28263888888888888</v>
      </c>
      <c r="AB123" s="46">
        <v>0.28263888888888888</v>
      </c>
      <c r="AC123" s="46">
        <v>0.34097222222222223</v>
      </c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1.4000000000000004</v>
      </c>
      <c r="AG123" s="44">
        <f>IFERROR((PA[[#This Row],[Work Completion time on fault]]-PA[[#This Row],[Fault Time]])*24,"")</f>
        <v>1.4000000000000004</v>
      </c>
      <c r="AH123" s="36" t="s">
        <v>366</v>
      </c>
      <c r="AI123" s="33" t="s">
        <v>298</v>
      </c>
      <c r="AJ123" s="35">
        <f ca="1">IFERROR(PA[[#This Row],[Breakdown Time]]*PA[[#This Row],[Plant Equivalent Weightage]],"")</f>
        <v>0.18223922468757975</v>
      </c>
      <c r="AK123" s="36">
        <v>6.2623999999999999E-2</v>
      </c>
      <c r="AL123" s="51">
        <f>IFERROR((_xlfn.XLOOKUP($G123,'Modelling New'!D:D,'Modelling New'!$O:$O)*PA[[#This Row],[Lost PoA(kWh/m2)]]*PA[[#This Row],[DC Capacity Affected (kW)]]),"")</f>
        <v>244.93211892145777</v>
      </c>
      <c r="AM123" s="33"/>
      <c r="AN123" s="33"/>
      <c r="AO123" s="33">
        <v>4533</v>
      </c>
      <c r="AP123" s="33"/>
    </row>
    <row r="124" spans="1:42">
      <c r="A124" s="30">
        <v>123</v>
      </c>
      <c r="B124" s="31">
        <v>45834</v>
      </c>
      <c r="C124" s="32">
        <f>YEAR(PA[[#This Row],[Date]])+IF(MONTH(PA[[#This Row],[Date]])&gt;=4,1,0)</f>
        <v>2026</v>
      </c>
      <c r="D124" s="32">
        <f>YEAR(PA[[#This Row],[Date]])</f>
        <v>2025</v>
      </c>
      <c r="E124" s="33" t="s">
        <v>219</v>
      </c>
      <c r="F124" s="33" t="s">
        <v>219</v>
      </c>
      <c r="G124" s="196">
        <f>PA[[#This Row],[Date]]-DAY(PA[[#This Row],[Date]])+1</f>
        <v>45809</v>
      </c>
      <c r="H124" s="32">
        <f>DAY(EOMONTH(PA[[#This Row],[Month Year]],0))</f>
        <v>30</v>
      </c>
      <c r="I124" s="122">
        <v>0.28263888888888888</v>
      </c>
      <c r="J124" s="122">
        <v>0.7631944444444444</v>
      </c>
      <c r="K124" s="35">
        <f>IFERROR((PA[[#This Row],[Sunset Time (POA&lt;20 W/m2)]]-PA[[#This Row],[Sunrise Time (POA&gt;20 W/m2)]])*24,"")</f>
        <v>11.533333333333331</v>
      </c>
      <c r="L124" s="33" t="s">
        <v>302</v>
      </c>
      <c r="M124" s="33" t="s">
        <v>294</v>
      </c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4" s="35">
        <f>IFERROR(_xlfn.XLOOKUP(PA[[#This Row],[Affected Equipment ]],'Basic Data'!N:N,'Basic Data'!Q:Q),"")</f>
        <v>6527.4649999999992</v>
      </c>
      <c r="V124" s="39">
        <f ca="1">IFERROR(_xlfn.XLOOKUP(PA[[#This Row],[Affected Equipment ]],'Basic Data'!N:N,'Basic Data'!R:R),"")</f>
        <v>0.16647449630196376</v>
      </c>
      <c r="W124" s="36" t="s">
        <v>304</v>
      </c>
      <c r="X124" s="40"/>
      <c r="Y124" s="347" t="s">
        <v>368</v>
      </c>
      <c r="Z124" s="46">
        <v>0.59930555555555554</v>
      </c>
      <c r="AA124" s="46">
        <v>0.59930555555555554</v>
      </c>
      <c r="AB124" s="46">
        <v>0.59930555555555554</v>
      </c>
      <c r="AC124" s="46">
        <v>0.61527777777777781</v>
      </c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0.38333333333333464</v>
      </c>
      <c r="AG124" s="44">
        <f>IFERROR((PA[[#This Row],[Work Completion time on fault]]-PA[[#This Row],[Fault Time]])*24,"")</f>
        <v>0.38333333333333464</v>
      </c>
      <c r="AH124" s="348" t="s">
        <v>312</v>
      </c>
      <c r="AI124" s="33" t="s">
        <v>298</v>
      </c>
      <c r="AJ124" s="35">
        <f ca="1">IFERROR(PA[[#This Row],[Breakdown Time]]*PA[[#This Row],[Plant Equivalent Weightage]],"")</f>
        <v>6.3815223582419658E-2</v>
      </c>
      <c r="AK124" s="36">
        <v>4.3240000000000001E-2</v>
      </c>
      <c r="AL124" s="51">
        <f>IFERROR((_xlfn.XLOOKUP($G124,'Modelling New'!D:D,'Modelling New'!$O:$O)*PA[[#This Row],[Lost PoA(kWh/m2)]]*PA[[#This Row],[DC Capacity Affected (kW)]]),"")</f>
        <v>216.2840568400245</v>
      </c>
      <c r="AM124" s="33"/>
      <c r="AN124" s="33"/>
      <c r="AO124" s="33"/>
      <c r="AP124" s="33"/>
    </row>
    <row r="125" spans="1:42">
      <c r="A125" s="30">
        <v>124</v>
      </c>
      <c r="B125" s="31">
        <v>45836</v>
      </c>
      <c r="C125" s="32">
        <f>YEAR(PA[[#This Row],[Date]])+IF(MONTH(PA[[#This Row],[Date]])&gt;=4,1,0)</f>
        <v>2026</v>
      </c>
      <c r="D125" s="32">
        <f>YEAR(PA[[#This Row],[Date]])</f>
        <v>2025</v>
      </c>
      <c r="E125" s="33" t="s">
        <v>219</v>
      </c>
      <c r="F125" s="33" t="s">
        <v>219</v>
      </c>
      <c r="G125" s="196">
        <f>PA[[#This Row],[Date]]-DAY(PA[[#This Row],[Date]])+1</f>
        <v>45809</v>
      </c>
      <c r="H125" s="32">
        <f>DAY(EOMONTH(PA[[#This Row],[Month Year]],0))</f>
        <v>30</v>
      </c>
      <c r="I125" s="122">
        <v>0.26458333333333334</v>
      </c>
      <c r="J125" s="122">
        <v>0.76388888888888884</v>
      </c>
      <c r="K125" s="35">
        <f>IFERROR((PA[[#This Row],[Sunset Time (POA&lt;20 W/m2)]]-PA[[#This Row],[Sunrise Time (POA&gt;20 W/m2)]])*24,"")</f>
        <v>11.983333333333333</v>
      </c>
      <c r="L125" s="33" t="s">
        <v>302</v>
      </c>
      <c r="M125" s="33" t="s">
        <v>294</v>
      </c>
      <c r="N125" s="33" t="s">
        <v>320</v>
      </c>
      <c r="O125" s="36" t="s">
        <v>331</v>
      </c>
      <c r="P125" s="36" t="s">
        <v>348</v>
      </c>
      <c r="Q125" s="33"/>
      <c r="R125" s="32">
        <f>IF((PA[[#This Row],[String Type(If String BD)]]&amp;PA[[#This Row],[Equipment (If any BD other than PV  array and inv)]])="",1,0)</f>
        <v>0</v>
      </c>
      <c r="S125" s="32">
        <f>IF(PA[[#This Row],[String Type(If String BD)]]="",1,0)</f>
        <v>0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25" s="35">
        <f>IFERROR(_xlfn.XLOOKUP(PA[[#This Row],[Affected Equipment ]],'Basic Data'!N:N,'Basic Data'!Q:Q),"")</f>
        <v>31.9</v>
      </c>
      <c r="V125" s="39">
        <f ca="1">IFERROR(_xlfn.XLOOKUP(PA[[#This Row],[Affected Equipment ]],'Basic Data'!N:N,'Basic Data'!R:R),"")</f>
        <v>8.1356796735526649E-4</v>
      </c>
      <c r="W125" s="36" t="s">
        <v>349</v>
      </c>
      <c r="X125" s="40"/>
      <c r="Y125" s="40" t="s">
        <v>369</v>
      </c>
      <c r="Z125" s="46">
        <v>0.26458333333333334</v>
      </c>
      <c r="AA125" s="46">
        <v>0.26458333333333334</v>
      </c>
      <c r="AB125" s="46">
        <v>0.26458333333333334</v>
      </c>
      <c r="AC125" s="46">
        <v>0.65277777777777779</v>
      </c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9.3166666666666664</v>
      </c>
      <c r="AG125" s="44">
        <f>IFERROR((PA[[#This Row],[Work Completion time on fault]]-PA[[#This Row],[Fault Time]])*24,"")</f>
        <v>9.3166666666666664</v>
      </c>
      <c r="AH125" s="344" t="s">
        <v>370</v>
      </c>
      <c r="AI125" s="33" t="s">
        <v>298</v>
      </c>
      <c r="AJ125" s="35">
        <f ca="1">IFERROR(PA[[#This Row],[Breakdown Time]]*PA[[#This Row],[Plant Equivalent Weightage]],"")</f>
        <v>7.5797415625265662E-3</v>
      </c>
      <c r="AK125" s="36">
        <v>4.2469999999999999</v>
      </c>
      <c r="AL125" s="51">
        <f>IFERROR((_xlfn.XLOOKUP($G125,'Modelling New'!D:D,'Modelling New'!$O:$O)*PA[[#This Row],[Lost PoA(kWh/m2)]]*PA[[#This Row],[DC Capacity Affected (kW)]]),"")</f>
        <v>103.81669857596837</v>
      </c>
      <c r="AM125" s="33"/>
      <c r="AN125" s="33"/>
      <c r="AO125" s="33">
        <v>4585</v>
      </c>
      <c r="AP125" s="33" t="s">
        <v>371</v>
      </c>
    </row>
    <row r="126" spans="1:42">
      <c r="A126" s="30">
        <v>125</v>
      </c>
      <c r="B126" s="31">
        <v>45837</v>
      </c>
      <c r="C126" s="32">
        <f>YEAR(PA[[#This Row],[Date]])+IF(MONTH(PA[[#This Row],[Date]])&gt;=4,1,0)</f>
        <v>2026</v>
      </c>
      <c r="D126" s="32">
        <f>YEAR(PA[[#This Row],[Date]])</f>
        <v>2025</v>
      </c>
      <c r="E126" s="33" t="s">
        <v>219</v>
      </c>
      <c r="F126" s="33" t="s">
        <v>219</v>
      </c>
      <c r="G126" s="196">
        <f>PA[[#This Row],[Date]]-DAY(PA[[#This Row],[Date]])+1</f>
        <v>45809</v>
      </c>
      <c r="H126" s="32">
        <f>DAY(EOMONTH(PA[[#This Row],[Month Year]],0))</f>
        <v>30</v>
      </c>
      <c r="I126" s="122">
        <v>0.27500000000000002</v>
      </c>
      <c r="J126" s="122">
        <v>0.75069444444444444</v>
      </c>
      <c r="K126" s="35">
        <f>IFERROR((PA[[#This Row],[Sunset Time (POA&lt;20 W/m2)]]-PA[[#This Row],[Sunrise Time (POA&gt;20 W/m2)]])*24,"")</f>
        <v>11.416666666666666</v>
      </c>
      <c r="L126" s="33" t="s">
        <v>300</v>
      </c>
      <c r="M126" s="33" t="s">
        <v>294</v>
      </c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160</v>
      </c>
      <c r="U126" s="35">
        <f>IFERROR(_xlfn.XLOOKUP(PA[[#This Row],[Affected Equipment ]],'Basic Data'!N:N,'Basic Data'!Q:Q),"")</f>
        <v>4662.4750000000004</v>
      </c>
      <c r="V126" s="39">
        <f ca="1">IFERROR(_xlfn.XLOOKUP(PA[[#This Row],[Affected Equipment ]],'Basic Data'!N:N,'Basic Data'!R:R),"")</f>
        <v>0.11891035450140271</v>
      </c>
      <c r="W126" s="36" t="s">
        <v>345</v>
      </c>
      <c r="X126" s="40"/>
      <c r="Y126" s="40" t="s">
        <v>372</v>
      </c>
      <c r="Z126" s="46">
        <v>0.50069444444444444</v>
      </c>
      <c r="AA126" s="46">
        <v>0.50069444444444444</v>
      </c>
      <c r="AB126" s="46">
        <v>0.50069444444444444</v>
      </c>
      <c r="AC126" s="46">
        <v>0.58125000000000004</v>
      </c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1.9333333333333345</v>
      </c>
      <c r="AG126" s="44">
        <f>IFERROR((PA[[#This Row],[Work Completion time on fault]]-PA[[#This Row],[Fault Time]])*24,"")</f>
        <v>1.9333333333333345</v>
      </c>
      <c r="AH126" s="36" t="s">
        <v>373</v>
      </c>
      <c r="AI126" s="33" t="s">
        <v>298</v>
      </c>
      <c r="AJ126" s="35">
        <f ca="1">IFERROR(PA[[#This Row],[Breakdown Time]]*PA[[#This Row],[Plant Equivalent Weightage]],"")</f>
        <v>0.22989335203604536</v>
      </c>
      <c r="AK126" s="36">
        <v>0.37616783333333331</v>
      </c>
      <c r="AL126" s="51">
        <f>IFERROR((_xlfn.XLOOKUP($G126,'Modelling New'!D:D,'Modelling New'!$O:$O)*PA[[#This Row],[Lost PoA(kWh/m2)]]*PA[[#This Row],[DC Capacity Affected (kW)]]),"")</f>
        <v>1343.978872836916</v>
      </c>
      <c r="AM126" s="33"/>
      <c r="AN126" s="33"/>
      <c r="AO126" s="33">
        <v>4611</v>
      </c>
      <c r="AP126" s="33"/>
    </row>
    <row r="127" spans="1:42">
      <c r="A127" s="30">
        <v>126</v>
      </c>
      <c r="B127" s="31">
        <v>45837</v>
      </c>
      <c r="C127" s="32">
        <f>YEAR(PA[[#This Row],[Date]])+IF(MONTH(PA[[#This Row],[Date]])&gt;=4,1,0)</f>
        <v>2026</v>
      </c>
      <c r="D127" s="32">
        <f>YEAR(PA[[#This Row],[Date]])</f>
        <v>2025</v>
      </c>
      <c r="E127" s="33" t="s">
        <v>219</v>
      </c>
      <c r="F127" s="33" t="s">
        <v>219</v>
      </c>
      <c r="G127" s="196">
        <f>PA[[#This Row],[Date]]-DAY(PA[[#This Row],[Date]])+1</f>
        <v>45809</v>
      </c>
      <c r="H127" s="32">
        <f>DAY(EOMONTH(PA[[#This Row],[Month Year]],0))</f>
        <v>30</v>
      </c>
      <c r="I127" s="122">
        <v>0.27500000000000002</v>
      </c>
      <c r="J127" s="122">
        <v>0.75069444444444444</v>
      </c>
      <c r="K127" s="35">
        <f>IFERROR((PA[[#This Row],[Sunset Time (POA&lt;20 W/m2)]]-PA[[#This Row],[Sunrise Time (POA&gt;20 W/m2)]])*24,"")</f>
        <v>11.416666666666666</v>
      </c>
      <c r="L127" s="33" t="s">
        <v>300</v>
      </c>
      <c r="M127" s="33" t="s">
        <v>299</v>
      </c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27" s="35">
        <f>IFERROR(_xlfn.XLOOKUP(PA[[#This Row],[Affected Equipment ]],'Basic Data'!N:N,'Basic Data'!Q:Q),"")</f>
        <v>4662.4750000000004</v>
      </c>
      <c r="V127" s="39">
        <f ca="1">IFERROR(_xlfn.XLOOKUP(PA[[#This Row],[Affected Equipment ]],'Basic Data'!N:N,'Basic Data'!R:R),"")</f>
        <v>0.11891035450140271</v>
      </c>
      <c r="W127" s="36" t="s">
        <v>345</v>
      </c>
      <c r="X127" s="40"/>
      <c r="Y127" s="40" t="s">
        <v>372</v>
      </c>
      <c r="Z127" s="46">
        <v>0.50069444444444444</v>
      </c>
      <c r="AA127" s="46">
        <v>0.50069444444444444</v>
      </c>
      <c r="AB127" s="46">
        <v>0.50069444444444444</v>
      </c>
      <c r="AC127" s="46">
        <v>0.58125000000000004</v>
      </c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1.9333333333333345</v>
      </c>
      <c r="AG127" s="44">
        <f>IFERROR((PA[[#This Row],[Work Completion time on fault]]-PA[[#This Row],[Fault Time]])*24,"")</f>
        <v>1.9333333333333345</v>
      </c>
      <c r="AH127" s="36" t="s">
        <v>373</v>
      </c>
      <c r="AI127" s="33" t="s">
        <v>298</v>
      </c>
      <c r="AJ127" s="35">
        <f ca="1">IFERROR(PA[[#This Row],[Breakdown Time]]*PA[[#This Row],[Plant Equivalent Weightage]],"")</f>
        <v>0.22989335203604536</v>
      </c>
      <c r="AK127" s="36">
        <v>0.37616783333333331</v>
      </c>
      <c r="AL127" s="51">
        <f>IFERROR((_xlfn.XLOOKUP($G127,'Modelling New'!D:D,'Modelling New'!$O:$O)*PA[[#This Row],[Lost PoA(kWh/m2)]]*PA[[#This Row],[DC Capacity Affected (kW)]]),"")</f>
        <v>1343.978872836916</v>
      </c>
      <c r="AM127" s="33"/>
      <c r="AN127" s="33"/>
      <c r="AO127" s="33">
        <v>4611</v>
      </c>
      <c r="AP127" s="33"/>
    </row>
    <row r="128" spans="1:42">
      <c r="A128" s="30">
        <v>127</v>
      </c>
      <c r="B128" s="31">
        <v>45837</v>
      </c>
      <c r="C128" s="32">
        <f>YEAR(PA[[#This Row],[Date]])+IF(MONTH(PA[[#This Row],[Date]])&gt;=4,1,0)</f>
        <v>2026</v>
      </c>
      <c r="D128" s="32">
        <f>YEAR(PA[[#This Row],[Date]])</f>
        <v>2025</v>
      </c>
      <c r="E128" s="33" t="s">
        <v>219</v>
      </c>
      <c r="F128" s="33" t="s">
        <v>219</v>
      </c>
      <c r="G128" s="196">
        <f>PA[[#This Row],[Date]]-DAY(PA[[#This Row],[Date]])+1</f>
        <v>45809</v>
      </c>
      <c r="H128" s="32">
        <f>DAY(EOMONTH(PA[[#This Row],[Month Year]],0))</f>
        <v>30</v>
      </c>
      <c r="I128" s="122">
        <v>0.27500000000000002</v>
      </c>
      <c r="J128" s="122">
        <v>0.75069444444444444</v>
      </c>
      <c r="K128" s="35">
        <f>IFERROR((PA[[#This Row],[Sunset Time (POA&lt;20 W/m2)]]-PA[[#This Row],[Sunrise Time (POA&gt;20 W/m2)]])*24,"")</f>
        <v>11.416666666666666</v>
      </c>
      <c r="L128" s="33" t="s">
        <v>293</v>
      </c>
      <c r="M128" s="33" t="s">
        <v>294</v>
      </c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28" s="35">
        <f>IFERROR(_xlfn.XLOOKUP(PA[[#This Row],[Affected Equipment ]],'Basic Data'!N:N,'Basic Data'!Q:Q),"")</f>
        <v>6511.66</v>
      </c>
      <c r="V128" s="39">
        <f ca="1">IFERROR(_xlfn.XLOOKUP(PA[[#This Row],[Affected Equipment ]],'Basic Data'!N:N,'Basic Data'!R:R),"")</f>
        <v>0.1660714103545014</v>
      </c>
      <c r="W128" s="36" t="s">
        <v>345</v>
      </c>
      <c r="X128" s="40"/>
      <c r="Y128" s="40" t="s">
        <v>372</v>
      </c>
      <c r="Z128" s="46">
        <v>0.50069444444444444</v>
      </c>
      <c r="AA128" s="46">
        <v>0.50069444444444444</v>
      </c>
      <c r="AB128" s="46">
        <v>0.50069444444444444</v>
      </c>
      <c r="AC128" s="46">
        <v>0.58611111111111114</v>
      </c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2.0500000000000007</v>
      </c>
      <c r="AG128" s="44">
        <f>IFERROR((PA[[#This Row],[Work Completion time on fault]]-PA[[#This Row],[Fault Time]])*24,"")</f>
        <v>2.0500000000000007</v>
      </c>
      <c r="AH128" s="36" t="s">
        <v>373</v>
      </c>
      <c r="AI128" s="33" t="s">
        <v>298</v>
      </c>
      <c r="AJ128" s="35">
        <f ca="1">IFERROR(PA[[#This Row],[Breakdown Time]]*PA[[#This Row],[Plant Equivalent Weightage]],"")</f>
        <v>0.34044639122672798</v>
      </c>
      <c r="AK128" s="36">
        <v>0.39956851166666668</v>
      </c>
      <c r="AL128" s="51">
        <f>IFERROR((_xlfn.XLOOKUP($G128,'Modelling New'!D:D,'Modelling New'!$O:$O)*PA[[#This Row],[Lost PoA(kWh/m2)]]*PA[[#This Row],[DC Capacity Affected (kW)]]),"")</f>
        <v>1993.7800317045971</v>
      </c>
      <c r="AM128" s="33"/>
      <c r="AN128" s="33"/>
      <c r="AO128" s="33">
        <v>4611</v>
      </c>
      <c r="AP128" s="33"/>
    </row>
    <row r="129" spans="1:42">
      <c r="A129" s="30">
        <v>128</v>
      </c>
      <c r="B129" s="31">
        <v>45837</v>
      </c>
      <c r="C129" s="32">
        <f>YEAR(PA[[#This Row],[Date]])+IF(MONTH(PA[[#This Row],[Date]])&gt;=4,1,0)</f>
        <v>2026</v>
      </c>
      <c r="D129" s="32">
        <f>YEAR(PA[[#This Row],[Date]])</f>
        <v>2025</v>
      </c>
      <c r="E129" s="33" t="s">
        <v>219</v>
      </c>
      <c r="F129" s="33" t="s">
        <v>219</v>
      </c>
      <c r="G129" s="196">
        <f>PA[[#This Row],[Date]]-DAY(PA[[#This Row],[Date]])+1</f>
        <v>45809</v>
      </c>
      <c r="H129" s="32">
        <f>DAY(EOMONTH(PA[[#This Row],[Month Year]],0))</f>
        <v>30</v>
      </c>
      <c r="I129" s="122">
        <v>0.27500000000000002</v>
      </c>
      <c r="J129" s="122">
        <v>0.75069444444444444</v>
      </c>
      <c r="K129" s="35">
        <f>IFERROR((PA[[#This Row],[Sunset Time (POA&lt;20 W/m2)]]-PA[[#This Row],[Sunrise Time (POA&gt;20 W/m2)]])*24,"")</f>
        <v>11.416666666666666</v>
      </c>
      <c r="L129" s="33" t="s">
        <v>293</v>
      </c>
      <c r="M129" s="33" t="s">
        <v>299</v>
      </c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9" s="35">
        <f>IFERROR(_xlfn.XLOOKUP(PA[[#This Row],[Affected Equipment ]],'Basic Data'!N:N,'Basic Data'!Q:Q),"")</f>
        <v>6495.8549999999996</v>
      </c>
      <c r="V129" s="39">
        <f ca="1">IFERROR(_xlfn.XLOOKUP(PA[[#This Row],[Affected Equipment ]],'Basic Data'!N:N,'Basic Data'!R:R),"")</f>
        <v>0.16566832440703902</v>
      </c>
      <c r="W129" s="36" t="s">
        <v>345</v>
      </c>
      <c r="X129" s="40"/>
      <c r="Y129" s="40" t="s">
        <v>372</v>
      </c>
      <c r="Z129" s="46">
        <v>0.50069444444444444</v>
      </c>
      <c r="AA129" s="46">
        <v>0.50069444444444444</v>
      </c>
      <c r="AB129" s="46">
        <v>0.50069444444444444</v>
      </c>
      <c r="AC129" s="46">
        <v>0.58611111111111114</v>
      </c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2.0500000000000007</v>
      </c>
      <c r="AG129" s="44">
        <f>IFERROR((PA[[#This Row],[Work Completion time on fault]]-PA[[#This Row],[Fault Time]])*24,"")</f>
        <v>2.0500000000000007</v>
      </c>
      <c r="AH129" s="36" t="s">
        <v>373</v>
      </c>
      <c r="AI129" s="33" t="s">
        <v>298</v>
      </c>
      <c r="AJ129" s="35">
        <f ca="1">IFERROR(PA[[#This Row],[Breakdown Time]]*PA[[#This Row],[Plant Equivalent Weightage]],"")</f>
        <v>0.3396200650344301</v>
      </c>
      <c r="AK129" s="36">
        <v>0.39956851166666668</v>
      </c>
      <c r="AL129" s="51">
        <f>IFERROR((_xlfn.XLOOKUP($G129,'Modelling New'!D:D,'Modelling New'!$O:$O)*PA[[#This Row],[Lost PoA(kWh/m2)]]*PA[[#This Row],[DC Capacity Affected (kW)]]),"")</f>
        <v>1988.9407597829841</v>
      </c>
      <c r="AM129" s="33"/>
      <c r="AN129" s="33"/>
      <c r="AO129" s="33">
        <v>4611</v>
      </c>
      <c r="AP129" s="33"/>
    </row>
    <row r="130" spans="1:42">
      <c r="A130" s="30">
        <v>129</v>
      </c>
      <c r="B130" s="31">
        <v>45837</v>
      </c>
      <c r="C130" s="32">
        <f>YEAR(PA[[#This Row],[Date]])+IF(MONTH(PA[[#This Row],[Date]])&gt;=4,1,0)</f>
        <v>2026</v>
      </c>
      <c r="D130" s="32">
        <f>YEAR(PA[[#This Row],[Date]])</f>
        <v>2025</v>
      </c>
      <c r="E130" s="33" t="s">
        <v>219</v>
      </c>
      <c r="F130" s="33" t="s">
        <v>219</v>
      </c>
      <c r="G130" s="196">
        <f>PA[[#This Row],[Date]]-DAY(PA[[#This Row],[Date]])+1</f>
        <v>45809</v>
      </c>
      <c r="H130" s="32">
        <f>DAY(EOMONTH(PA[[#This Row],[Month Year]],0))</f>
        <v>30</v>
      </c>
      <c r="I130" s="122">
        <v>0.27500000000000002</v>
      </c>
      <c r="J130" s="122">
        <v>0.75069444444444444</v>
      </c>
      <c r="K130" s="35">
        <f>IFERROR((PA[[#This Row],[Sunset Time (POA&lt;20 W/m2)]]-PA[[#This Row],[Sunrise Time (POA&gt;20 W/m2)]])*24,"")</f>
        <v>11.416666666666666</v>
      </c>
      <c r="L130" s="33" t="s">
        <v>302</v>
      </c>
      <c r="M130" s="33" t="s">
        <v>294</v>
      </c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0" s="35">
        <f>IFERROR(_xlfn.XLOOKUP(PA[[#This Row],[Affected Equipment ]],'Basic Data'!N:N,'Basic Data'!Q:Q),"")</f>
        <v>6527.4649999999992</v>
      </c>
      <c r="V130" s="39">
        <f ca="1">IFERROR(_xlfn.XLOOKUP(PA[[#This Row],[Affected Equipment ]],'Basic Data'!N:N,'Basic Data'!R:R),"")</f>
        <v>0.16647449630196376</v>
      </c>
      <c r="W130" s="36" t="s">
        <v>345</v>
      </c>
      <c r="X130" s="40"/>
      <c r="Y130" s="40" t="s">
        <v>372</v>
      </c>
      <c r="Z130" s="46">
        <v>0.50069444444444444</v>
      </c>
      <c r="AA130" s="46">
        <v>0.50069444444444444</v>
      </c>
      <c r="AB130" s="46">
        <v>0.50069444444444444</v>
      </c>
      <c r="AC130" s="46">
        <v>0.58402777777777781</v>
      </c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2.0000000000000009</v>
      </c>
      <c r="AG130" s="44">
        <f>IFERROR((PA[[#This Row],[Work Completion time on fault]]-PA[[#This Row],[Fault Time]])*24,"")</f>
        <v>2.0000000000000009</v>
      </c>
      <c r="AH130" s="36" t="s">
        <v>373</v>
      </c>
      <c r="AI130" s="33" t="s">
        <v>298</v>
      </c>
      <c r="AJ130" s="35">
        <f ca="1">IFERROR(PA[[#This Row],[Breakdown Time]]*PA[[#This Row],[Plant Equivalent Weightage]],"")</f>
        <v>0.33294899260392768</v>
      </c>
      <c r="AK130" s="36">
        <v>0.389436</v>
      </c>
      <c r="AL130" s="51">
        <f>IFERROR((_xlfn.XLOOKUP($G130,'Modelling New'!D:D,'Modelling New'!$O:$O)*PA[[#This Row],[Lost PoA(kWh/m2)]]*PA[[#This Row],[DC Capacity Affected (kW)]]),"")</f>
        <v>1947.9370480932419</v>
      </c>
      <c r="AM130" s="33"/>
      <c r="AN130" s="33"/>
      <c r="AO130" s="33">
        <v>4611</v>
      </c>
      <c r="AP130" s="33"/>
    </row>
    <row r="131" spans="1:42">
      <c r="A131" s="30">
        <v>130</v>
      </c>
      <c r="B131" s="31">
        <v>45837</v>
      </c>
      <c r="C131" s="32">
        <f>YEAR(PA[[#This Row],[Date]])+IF(MONTH(PA[[#This Row],[Date]])&gt;=4,1,0)</f>
        <v>2026</v>
      </c>
      <c r="D131" s="32">
        <f>YEAR(PA[[#This Row],[Date]])</f>
        <v>2025</v>
      </c>
      <c r="E131" s="33" t="s">
        <v>219</v>
      </c>
      <c r="F131" s="33" t="s">
        <v>219</v>
      </c>
      <c r="G131" s="196">
        <f>PA[[#This Row],[Date]]-DAY(PA[[#This Row],[Date]])+1</f>
        <v>45809</v>
      </c>
      <c r="H131" s="32">
        <f>DAY(EOMONTH(PA[[#This Row],[Month Year]],0))</f>
        <v>30</v>
      </c>
      <c r="I131" s="122">
        <v>0.27500000000000002</v>
      </c>
      <c r="J131" s="122">
        <v>0.75069444444444444</v>
      </c>
      <c r="K131" s="35">
        <f>IFERROR((PA[[#This Row],[Sunset Time (POA&lt;20 W/m2)]]-PA[[#This Row],[Sunrise Time (POA&gt;20 W/m2)]])*24,"")</f>
        <v>11.416666666666666</v>
      </c>
      <c r="L131" s="33" t="s">
        <v>303</v>
      </c>
      <c r="M131" s="33" t="s">
        <v>294</v>
      </c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1" s="35">
        <f>IFERROR(_xlfn.XLOOKUP(PA[[#This Row],[Affected Equipment ]],'Basic Data'!N:N,'Basic Data'!Q:Q),"")</f>
        <v>5104</v>
      </c>
      <c r="V131" s="39">
        <f ca="1">IFERROR(_xlfn.XLOOKUP(PA[[#This Row],[Affected Equipment ]],'Basic Data'!N:N,'Basic Data'!R:R),"")</f>
        <v>0.13017087477684264</v>
      </c>
      <c r="W131" s="36" t="s">
        <v>345</v>
      </c>
      <c r="X131" s="40"/>
      <c r="Y131" s="40" t="s">
        <v>372</v>
      </c>
      <c r="Z131" s="46">
        <v>0.50069444444444444</v>
      </c>
      <c r="AA131" s="46">
        <v>0.50069444444444444</v>
      </c>
      <c r="AB131" s="46">
        <v>0.50069444444444444</v>
      </c>
      <c r="AC131" s="46">
        <v>0.5756944444444444</v>
      </c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1.7999999999999989</v>
      </c>
      <c r="AG131" s="44">
        <f>IFERROR((PA[[#This Row],[Work Completion time on fault]]-PA[[#This Row],[Fault Time]])*24,"")</f>
        <v>1.7999999999999989</v>
      </c>
      <c r="AH131" s="36" t="s">
        <v>373</v>
      </c>
      <c r="AI131" s="33" t="s">
        <v>298</v>
      </c>
      <c r="AJ131" s="35">
        <f ca="1">IFERROR(PA[[#This Row],[Breakdown Time]]*PA[[#This Row],[Plant Equivalent Weightage]],"")</f>
        <v>0.23430757459831661</v>
      </c>
      <c r="AK131" s="36">
        <v>0.34861993333333335</v>
      </c>
      <c r="AL131" s="51">
        <f>IFERROR((_xlfn.XLOOKUP($G131,'Modelling New'!D:D,'Modelling New'!$O:$O)*PA[[#This Row],[Lost PoA(kWh/m2)]]*PA[[#This Row],[DC Capacity Affected (kW)]]),"")</f>
        <v>1363.5063070003623</v>
      </c>
      <c r="AM131" s="33"/>
      <c r="AN131" s="33"/>
      <c r="AO131" s="33">
        <v>4611</v>
      </c>
      <c r="AP131" s="33"/>
    </row>
    <row r="132" spans="1:42">
      <c r="A132" s="30">
        <v>131</v>
      </c>
      <c r="B132" s="31">
        <v>45837</v>
      </c>
      <c r="C132" s="32">
        <f>YEAR(PA[[#This Row],[Date]])+IF(MONTH(PA[[#This Row],[Date]])&gt;=4,1,0)</f>
        <v>2026</v>
      </c>
      <c r="D132" s="32">
        <f>YEAR(PA[[#This Row],[Date]])</f>
        <v>2025</v>
      </c>
      <c r="E132" s="33" t="s">
        <v>219</v>
      </c>
      <c r="F132" s="33" t="s">
        <v>219</v>
      </c>
      <c r="G132" s="196">
        <f>PA[[#This Row],[Date]]-DAY(PA[[#This Row],[Date]])+1</f>
        <v>45809</v>
      </c>
      <c r="H132" s="32">
        <f>DAY(EOMONTH(PA[[#This Row],[Month Year]],0))</f>
        <v>30</v>
      </c>
      <c r="I132" s="122">
        <v>0.27500000000000002</v>
      </c>
      <c r="J132" s="122">
        <v>0.75069444444444444</v>
      </c>
      <c r="K132" s="35">
        <f>IFERROR((PA[[#This Row],[Sunset Time (POA&lt;20 W/m2)]]-PA[[#This Row],[Sunrise Time (POA&gt;20 W/m2)]])*24,"")</f>
        <v>11.416666666666666</v>
      </c>
      <c r="L132" s="33" t="s">
        <v>303</v>
      </c>
      <c r="M132" s="33" t="s">
        <v>299</v>
      </c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2" s="35">
        <f>IFERROR(_xlfn.XLOOKUP(PA[[#This Row],[Affected Equipment ]],'Basic Data'!N:N,'Basic Data'!Q:Q),"")</f>
        <v>5104</v>
      </c>
      <c r="V132" s="39">
        <f ca="1">IFERROR(_xlfn.XLOOKUP(PA[[#This Row],[Affected Equipment ]],'Basic Data'!N:N,'Basic Data'!R:R),"")</f>
        <v>0.13017087477684264</v>
      </c>
      <c r="W132" s="36" t="s">
        <v>345</v>
      </c>
      <c r="X132" s="40"/>
      <c r="Y132" s="40" t="s">
        <v>372</v>
      </c>
      <c r="Z132" s="46">
        <v>0.50069444444444444</v>
      </c>
      <c r="AA132" s="46">
        <v>0.50069444444444444</v>
      </c>
      <c r="AB132" s="46">
        <v>0.50069444444444444</v>
      </c>
      <c r="AC132" s="46">
        <v>0.5756944444444444</v>
      </c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1.7999999999999989</v>
      </c>
      <c r="AG132" s="44">
        <f>IFERROR((PA[[#This Row],[Work Completion time on fault]]-PA[[#This Row],[Fault Time]])*24,"")</f>
        <v>1.7999999999999989</v>
      </c>
      <c r="AH132" s="36" t="s">
        <v>373</v>
      </c>
      <c r="AI132" s="33" t="s">
        <v>298</v>
      </c>
      <c r="AJ132" s="35">
        <f ca="1">IFERROR(PA[[#This Row],[Breakdown Time]]*PA[[#This Row],[Plant Equivalent Weightage]],"")</f>
        <v>0.23430757459831661</v>
      </c>
      <c r="AK132" s="36">
        <v>0.34861993333333335</v>
      </c>
      <c r="AL132" s="51">
        <f>IFERROR((_xlfn.XLOOKUP($G132,'Modelling New'!D:D,'Modelling New'!$O:$O)*PA[[#This Row],[Lost PoA(kWh/m2)]]*PA[[#This Row],[DC Capacity Affected (kW)]]),"")</f>
        <v>1363.5063070003623</v>
      </c>
      <c r="AM132" s="33"/>
      <c r="AN132" s="33"/>
      <c r="AO132" s="33">
        <v>4611</v>
      </c>
      <c r="AP132" s="33"/>
    </row>
    <row r="133" spans="1:42">
      <c r="A133" s="30">
        <v>132</v>
      </c>
      <c r="B133" s="31">
        <v>45837</v>
      </c>
      <c r="C133" s="32">
        <f>YEAR(PA[[#This Row],[Date]])+IF(MONTH(PA[[#This Row],[Date]])&gt;=4,1,0)</f>
        <v>2026</v>
      </c>
      <c r="D133" s="32">
        <f>YEAR(PA[[#This Row],[Date]])</f>
        <v>2025</v>
      </c>
      <c r="E133" s="33" t="s">
        <v>219</v>
      </c>
      <c r="F133" s="33" t="s">
        <v>219</v>
      </c>
      <c r="G133" s="196">
        <f>PA[[#This Row],[Date]]-DAY(PA[[#This Row],[Date]])+1</f>
        <v>45809</v>
      </c>
      <c r="H133" s="32">
        <f>DAY(EOMONTH(PA[[#This Row],[Month Year]],0))</f>
        <v>30</v>
      </c>
      <c r="I133" s="122">
        <v>0.27500000000000002</v>
      </c>
      <c r="J133" s="122">
        <v>0.75069444444444444</v>
      </c>
      <c r="K133" s="35">
        <f>IFERROR((PA[[#This Row],[Sunset Time (POA&lt;20 W/m2)]]-PA[[#This Row],[Sunrise Time (POA&gt;20 W/m2)]])*24,"")</f>
        <v>11.416666666666666</v>
      </c>
      <c r="L133" s="33" t="s">
        <v>300</v>
      </c>
      <c r="M133" s="33" t="s">
        <v>294</v>
      </c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33" s="35">
        <f>IFERROR(_xlfn.XLOOKUP(PA[[#This Row],[Affected Equipment ]],'Basic Data'!N:N,'Basic Data'!Q:Q),"")</f>
        <v>4662.4750000000004</v>
      </c>
      <c r="V133" s="39">
        <f ca="1">IFERROR(_xlfn.XLOOKUP(PA[[#This Row],[Affected Equipment ]],'Basic Data'!N:N,'Basic Data'!R:R),"")</f>
        <v>0.11891035450140271</v>
      </c>
      <c r="W133" s="36" t="s">
        <v>345</v>
      </c>
      <c r="X133" s="40"/>
      <c r="Y133" s="40" t="s">
        <v>372</v>
      </c>
      <c r="Z133" s="46">
        <v>0.59027777777777779</v>
      </c>
      <c r="AA133" s="46">
        <v>0.59027777777777779</v>
      </c>
      <c r="AB133" s="46">
        <v>0.59027777777777779</v>
      </c>
      <c r="AC133" s="46">
        <v>0.6791666666666667</v>
      </c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2.1333333333333337</v>
      </c>
      <c r="AG133" s="44">
        <f>IFERROR((PA[[#This Row],[Work Completion time on fault]]-PA[[#This Row],[Fault Time]])*24,"")</f>
        <v>2.1333333333333337</v>
      </c>
      <c r="AH133" s="36" t="s">
        <v>373</v>
      </c>
      <c r="AI133" s="33" t="s">
        <v>298</v>
      </c>
      <c r="AJ133" s="35">
        <f ca="1">IFERROR(PA[[#This Row],[Breakdown Time]]*PA[[#This Row],[Plant Equivalent Weightage]],"")</f>
        <v>0.25367542293632583</v>
      </c>
      <c r="AK133" s="36">
        <v>0.31530596166666669</v>
      </c>
      <c r="AL133" s="51">
        <f>IFERROR((_xlfn.XLOOKUP($G133,'Modelling New'!D:D,'Modelling New'!$O:$O)*PA[[#This Row],[Lost PoA(kWh/m2)]]*PA[[#This Row],[DC Capacity Affected (kW)]]),"")</f>
        <v>1126.5305361291123</v>
      </c>
      <c r="AM133" s="33"/>
      <c r="AN133" s="33"/>
      <c r="AO133" s="33">
        <v>4610</v>
      </c>
      <c r="AP133" s="33"/>
    </row>
    <row r="134" spans="1:42">
      <c r="A134" s="30">
        <v>133</v>
      </c>
      <c r="B134" s="31">
        <v>45837</v>
      </c>
      <c r="C134" s="32">
        <f>YEAR(PA[[#This Row],[Date]])+IF(MONTH(PA[[#This Row],[Date]])&gt;=4,1,0)</f>
        <v>2026</v>
      </c>
      <c r="D134" s="32">
        <f>YEAR(PA[[#This Row],[Date]])</f>
        <v>2025</v>
      </c>
      <c r="E134" s="33" t="s">
        <v>219</v>
      </c>
      <c r="F134" s="33" t="s">
        <v>219</v>
      </c>
      <c r="G134" s="196">
        <f>PA[[#This Row],[Date]]-DAY(PA[[#This Row],[Date]])+1</f>
        <v>45809</v>
      </c>
      <c r="H134" s="32">
        <f>DAY(EOMONTH(PA[[#This Row],[Month Year]],0))</f>
        <v>30</v>
      </c>
      <c r="I134" s="122">
        <v>0.27500000000000002</v>
      </c>
      <c r="J134" s="122">
        <v>0.75069444444444444</v>
      </c>
      <c r="K134" s="35">
        <f>IFERROR((PA[[#This Row],[Sunset Time (POA&lt;20 W/m2)]]-PA[[#This Row],[Sunrise Time (POA&gt;20 W/m2)]])*24,"")</f>
        <v>11.416666666666666</v>
      </c>
      <c r="L134" s="33" t="s">
        <v>300</v>
      </c>
      <c r="M134" s="33" t="s">
        <v>299</v>
      </c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34" s="35">
        <f>IFERROR(_xlfn.XLOOKUP(PA[[#This Row],[Affected Equipment ]],'Basic Data'!N:N,'Basic Data'!Q:Q),"")</f>
        <v>4662.4750000000004</v>
      </c>
      <c r="V134" s="39">
        <f ca="1">IFERROR(_xlfn.XLOOKUP(PA[[#This Row],[Affected Equipment ]],'Basic Data'!N:N,'Basic Data'!R:R),"")</f>
        <v>0.11891035450140271</v>
      </c>
      <c r="W134" s="36" t="s">
        <v>345</v>
      </c>
      <c r="X134" s="40"/>
      <c r="Y134" s="40" t="s">
        <v>372</v>
      </c>
      <c r="Z134" s="46">
        <v>0.59027777777777779</v>
      </c>
      <c r="AA134" s="46">
        <v>0.59027777777777779</v>
      </c>
      <c r="AB134" s="46">
        <v>0.59027777777777779</v>
      </c>
      <c r="AC134" s="46">
        <v>0.6791666666666667</v>
      </c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2.1333333333333337</v>
      </c>
      <c r="AG134" s="44">
        <f>IFERROR((PA[[#This Row],[Work Completion time on fault]]-PA[[#This Row],[Fault Time]])*24,"")</f>
        <v>2.1333333333333337</v>
      </c>
      <c r="AH134" s="36" t="s">
        <v>373</v>
      </c>
      <c r="AI134" s="33" t="s">
        <v>298</v>
      </c>
      <c r="AJ134" s="35">
        <f ca="1">IFERROR(PA[[#This Row],[Breakdown Time]]*PA[[#This Row],[Plant Equivalent Weightage]],"")</f>
        <v>0.25367542293632583</v>
      </c>
      <c r="AK134" s="36">
        <v>0.31530596166666669</v>
      </c>
      <c r="AL134" s="51">
        <f>IFERROR((_xlfn.XLOOKUP($G134,'Modelling New'!D:D,'Modelling New'!$O:$O)*PA[[#This Row],[Lost PoA(kWh/m2)]]*PA[[#This Row],[DC Capacity Affected (kW)]]),"")</f>
        <v>1126.5305361291123</v>
      </c>
      <c r="AM134" s="33"/>
      <c r="AN134" s="33"/>
      <c r="AO134" s="33">
        <v>4610</v>
      </c>
      <c r="AP134" s="33"/>
    </row>
    <row r="135" spans="1:42">
      <c r="A135" s="30">
        <v>134</v>
      </c>
      <c r="B135" s="31">
        <v>45837</v>
      </c>
      <c r="C135" s="32">
        <f>YEAR(PA[[#This Row],[Date]])+IF(MONTH(PA[[#This Row],[Date]])&gt;=4,1,0)</f>
        <v>2026</v>
      </c>
      <c r="D135" s="32">
        <f>YEAR(PA[[#This Row],[Date]])</f>
        <v>2025</v>
      </c>
      <c r="E135" s="33" t="s">
        <v>219</v>
      </c>
      <c r="F135" s="33" t="s">
        <v>219</v>
      </c>
      <c r="G135" s="196">
        <f>PA[[#This Row],[Date]]-DAY(PA[[#This Row],[Date]])+1</f>
        <v>45809</v>
      </c>
      <c r="H135" s="32">
        <f>DAY(EOMONTH(PA[[#This Row],[Month Year]],0))</f>
        <v>30</v>
      </c>
      <c r="I135" s="122">
        <v>0.27500000000000002</v>
      </c>
      <c r="J135" s="122">
        <v>0.75069444444444444</v>
      </c>
      <c r="K135" s="35">
        <f>IFERROR((PA[[#This Row],[Sunset Time (POA&lt;20 W/m2)]]-PA[[#This Row],[Sunrise Time (POA&gt;20 W/m2)]])*24,"")</f>
        <v>11.416666666666666</v>
      </c>
      <c r="L135" s="33" t="s">
        <v>293</v>
      </c>
      <c r="M135" s="33" t="s">
        <v>294</v>
      </c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35" s="35">
        <f>IFERROR(_xlfn.XLOOKUP(PA[[#This Row],[Affected Equipment ]],'Basic Data'!N:N,'Basic Data'!Q:Q),"")</f>
        <v>6511.66</v>
      </c>
      <c r="V135" s="39">
        <f ca="1">IFERROR(_xlfn.XLOOKUP(PA[[#This Row],[Affected Equipment ]],'Basic Data'!N:N,'Basic Data'!R:R),"")</f>
        <v>0.1660714103545014</v>
      </c>
      <c r="W135" s="36" t="s">
        <v>345</v>
      </c>
      <c r="X135" s="40"/>
      <c r="Y135" s="40" t="s">
        <v>372</v>
      </c>
      <c r="Z135" s="46">
        <v>0.59027777777777779</v>
      </c>
      <c r="AA135" s="46">
        <v>0.59027777777777779</v>
      </c>
      <c r="AB135" s="46">
        <v>0.59027777777777779</v>
      </c>
      <c r="AC135" s="46">
        <v>0.67291666666666672</v>
      </c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1.9833333333333343</v>
      </c>
      <c r="AG135" s="44">
        <f>IFERROR((PA[[#This Row],[Work Completion time on fault]]-PA[[#This Row],[Fault Time]])*24,"")</f>
        <v>1.9833333333333343</v>
      </c>
      <c r="AH135" s="36" t="s">
        <v>373</v>
      </c>
      <c r="AI135" s="33" t="s">
        <v>298</v>
      </c>
      <c r="AJ135" s="35">
        <f ca="1">IFERROR(PA[[#This Row],[Breakdown Time]]*PA[[#This Row],[Plant Equivalent Weightage]],"")</f>
        <v>0.32937496386976128</v>
      </c>
      <c r="AK135" s="36">
        <v>0.30112380666666666</v>
      </c>
      <c r="AL135" s="51">
        <f>IFERROR((_xlfn.XLOOKUP($G135,'Modelling New'!D:D,'Modelling New'!$O:$O)*PA[[#This Row],[Lost PoA(kWh/m2)]]*PA[[#This Row],[DC Capacity Affected (kW)]]),"")</f>
        <v>1502.5574220015819</v>
      </c>
      <c r="AM135" s="33"/>
      <c r="AN135" s="33"/>
      <c r="AO135" s="33">
        <v>4610</v>
      </c>
      <c r="AP135" s="33"/>
    </row>
    <row r="136" spans="1:42">
      <c r="A136" s="30">
        <v>135</v>
      </c>
      <c r="B136" s="31">
        <v>45837</v>
      </c>
      <c r="C136" s="32">
        <f>YEAR(PA[[#This Row],[Date]])+IF(MONTH(PA[[#This Row],[Date]])&gt;=4,1,0)</f>
        <v>2026</v>
      </c>
      <c r="D136" s="32">
        <f>YEAR(PA[[#This Row],[Date]])</f>
        <v>2025</v>
      </c>
      <c r="E136" s="33" t="s">
        <v>219</v>
      </c>
      <c r="F136" s="33" t="s">
        <v>219</v>
      </c>
      <c r="G136" s="196">
        <f>PA[[#This Row],[Date]]-DAY(PA[[#This Row],[Date]])+1</f>
        <v>45809</v>
      </c>
      <c r="H136" s="32">
        <f>DAY(EOMONTH(PA[[#This Row],[Month Year]],0))</f>
        <v>30</v>
      </c>
      <c r="I136" s="122">
        <v>0.27500000000000002</v>
      </c>
      <c r="J136" s="122">
        <v>0.75069444444444444</v>
      </c>
      <c r="K136" s="35">
        <f>IFERROR((PA[[#This Row],[Sunset Time (POA&lt;20 W/m2)]]-PA[[#This Row],[Sunrise Time (POA&gt;20 W/m2)]])*24,"")</f>
        <v>11.416666666666666</v>
      </c>
      <c r="L136" s="33" t="s">
        <v>293</v>
      </c>
      <c r="M136" s="33" t="s">
        <v>299</v>
      </c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36" s="35">
        <f>IFERROR(_xlfn.XLOOKUP(PA[[#This Row],[Affected Equipment ]],'Basic Data'!N:N,'Basic Data'!Q:Q),"")</f>
        <v>6495.8549999999996</v>
      </c>
      <c r="V136" s="39">
        <f ca="1">IFERROR(_xlfn.XLOOKUP(PA[[#This Row],[Affected Equipment ]],'Basic Data'!N:N,'Basic Data'!R:R),"")</f>
        <v>0.16566832440703902</v>
      </c>
      <c r="W136" s="36" t="s">
        <v>345</v>
      </c>
      <c r="X136" s="40"/>
      <c r="Y136" s="40" t="s">
        <v>372</v>
      </c>
      <c r="Z136" s="46">
        <v>0.59027777777777779</v>
      </c>
      <c r="AA136" s="46">
        <v>0.59027777777777779</v>
      </c>
      <c r="AB136" s="46">
        <v>0.59027777777777779</v>
      </c>
      <c r="AC136" s="46">
        <v>0.67291666666666672</v>
      </c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1.9833333333333343</v>
      </c>
      <c r="AG136" s="44">
        <f>IFERROR((PA[[#This Row],[Work Completion time on fault]]-PA[[#This Row],[Fault Time]])*24,"")</f>
        <v>1.9833333333333343</v>
      </c>
      <c r="AH136" s="36" t="s">
        <v>373</v>
      </c>
      <c r="AI136" s="33" t="s">
        <v>298</v>
      </c>
      <c r="AJ136" s="35">
        <f ca="1">IFERROR(PA[[#This Row],[Breakdown Time]]*PA[[#This Row],[Plant Equivalent Weightage]],"")</f>
        <v>0.32857551007396085</v>
      </c>
      <c r="AK136" s="36">
        <v>0.30112380666666666</v>
      </c>
      <c r="AL136" s="51">
        <f>IFERROR((_xlfn.XLOOKUP($G136,'Modelling New'!D:D,'Modelling New'!$O:$O)*PA[[#This Row],[Lost PoA(kWh/m2)]]*PA[[#This Row],[DC Capacity Affected (kW)]]),"")</f>
        <v>1498.9104379675975</v>
      </c>
      <c r="AM136" s="33"/>
      <c r="AN136" s="33"/>
      <c r="AO136" s="33">
        <v>4610</v>
      </c>
      <c r="AP136" s="33"/>
    </row>
    <row r="137" spans="1:42">
      <c r="A137" s="30">
        <v>136</v>
      </c>
      <c r="B137" s="31">
        <v>45837</v>
      </c>
      <c r="C137" s="32">
        <f>YEAR(PA[[#This Row],[Date]])+IF(MONTH(PA[[#This Row],[Date]])&gt;=4,1,0)</f>
        <v>2026</v>
      </c>
      <c r="D137" s="32">
        <f>YEAR(PA[[#This Row],[Date]])</f>
        <v>2025</v>
      </c>
      <c r="E137" s="33" t="s">
        <v>219</v>
      </c>
      <c r="F137" s="33" t="s">
        <v>219</v>
      </c>
      <c r="G137" s="196">
        <f>PA[[#This Row],[Date]]-DAY(PA[[#This Row],[Date]])+1</f>
        <v>45809</v>
      </c>
      <c r="H137" s="32">
        <f>DAY(EOMONTH(PA[[#This Row],[Month Year]],0))</f>
        <v>30</v>
      </c>
      <c r="I137" s="122">
        <v>0.27500000000000002</v>
      </c>
      <c r="J137" s="122">
        <v>0.75069444444444444</v>
      </c>
      <c r="K137" s="35">
        <f>IFERROR((PA[[#This Row],[Sunset Time (POA&lt;20 W/m2)]]-PA[[#This Row],[Sunrise Time (POA&gt;20 W/m2)]])*24,"")</f>
        <v>11.416666666666666</v>
      </c>
      <c r="L137" s="33" t="s">
        <v>302</v>
      </c>
      <c r="M137" s="33" t="s">
        <v>294</v>
      </c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7" s="35">
        <f>IFERROR(_xlfn.XLOOKUP(PA[[#This Row],[Affected Equipment ]],'Basic Data'!N:N,'Basic Data'!Q:Q),"")</f>
        <v>6527.4649999999992</v>
      </c>
      <c r="V137" s="39">
        <f ca="1">IFERROR(_xlfn.XLOOKUP(PA[[#This Row],[Affected Equipment ]],'Basic Data'!N:N,'Basic Data'!R:R),"")</f>
        <v>0.16647449630196376</v>
      </c>
      <c r="W137" s="36" t="s">
        <v>345</v>
      </c>
      <c r="X137" s="40"/>
      <c r="Y137" s="40" t="s">
        <v>372</v>
      </c>
      <c r="Z137" s="46">
        <v>0.59027777777777779</v>
      </c>
      <c r="AA137" s="46">
        <v>0.59027777777777779</v>
      </c>
      <c r="AB137" s="46">
        <v>0.59027777777777779</v>
      </c>
      <c r="AC137" s="46">
        <v>0.67708333333333337</v>
      </c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2.0833333333333339</v>
      </c>
      <c r="AG137" s="44">
        <f>IFERROR((PA[[#This Row],[Work Completion time on fault]]-PA[[#This Row],[Fault Time]])*24,"")</f>
        <v>2.0833333333333339</v>
      </c>
      <c r="AH137" s="36" t="s">
        <v>373</v>
      </c>
      <c r="AI137" s="33" t="s">
        <v>298</v>
      </c>
      <c r="AJ137" s="35">
        <f ca="1">IFERROR(PA[[#This Row],[Breakdown Time]]*PA[[#This Row],[Plant Equivalent Weightage]],"")</f>
        <v>0.34682186729575792</v>
      </c>
      <c r="AK137" s="36">
        <v>0.31083002500000001</v>
      </c>
      <c r="AL137" s="51">
        <f>IFERROR((_xlfn.XLOOKUP($G137,'Modelling New'!D:D,'Modelling New'!$O:$O)*PA[[#This Row],[Lost PoA(kWh/m2)]]*PA[[#This Row],[DC Capacity Affected (kW)]]),"")</f>
        <v>1554.7543662045848</v>
      </c>
      <c r="AM137" s="33"/>
      <c r="AN137" s="33"/>
      <c r="AO137" s="33">
        <v>4610</v>
      </c>
      <c r="AP137" s="33"/>
    </row>
    <row r="138" spans="1:42">
      <c r="A138" s="30">
        <v>137</v>
      </c>
      <c r="B138" s="31">
        <v>45837</v>
      </c>
      <c r="C138" s="32">
        <f>YEAR(PA[[#This Row],[Date]])+IF(MONTH(PA[[#This Row],[Date]])&gt;=4,1,0)</f>
        <v>2026</v>
      </c>
      <c r="D138" s="32">
        <f>YEAR(PA[[#This Row],[Date]])</f>
        <v>2025</v>
      </c>
      <c r="E138" s="33" t="s">
        <v>219</v>
      </c>
      <c r="F138" s="33" t="s">
        <v>219</v>
      </c>
      <c r="G138" s="196">
        <f>PA[[#This Row],[Date]]-DAY(PA[[#This Row],[Date]])+1</f>
        <v>45809</v>
      </c>
      <c r="H138" s="32">
        <f>DAY(EOMONTH(PA[[#This Row],[Month Year]],0))</f>
        <v>30</v>
      </c>
      <c r="I138" s="122">
        <v>0.27500000000000002</v>
      </c>
      <c r="J138" s="122">
        <v>0.75069444444444444</v>
      </c>
      <c r="K138" s="35">
        <f>IFERROR((PA[[#This Row],[Sunset Time (POA&lt;20 W/m2)]]-PA[[#This Row],[Sunrise Time (POA&gt;20 W/m2)]])*24,"")</f>
        <v>11.416666666666666</v>
      </c>
      <c r="L138" s="33" t="s">
        <v>303</v>
      </c>
      <c r="M138" s="33" t="s">
        <v>294</v>
      </c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8" s="35">
        <f>IFERROR(_xlfn.XLOOKUP(PA[[#This Row],[Affected Equipment ]],'Basic Data'!N:N,'Basic Data'!Q:Q),"")</f>
        <v>5104</v>
      </c>
      <c r="V138" s="39">
        <f ca="1">IFERROR(_xlfn.XLOOKUP(PA[[#This Row],[Affected Equipment ]],'Basic Data'!N:N,'Basic Data'!R:R),"")</f>
        <v>0.13017087477684264</v>
      </c>
      <c r="W138" s="36" t="s">
        <v>345</v>
      </c>
      <c r="X138" s="40"/>
      <c r="Y138" s="40" t="s">
        <v>372</v>
      </c>
      <c r="Z138" s="46">
        <v>0.59027777777777779</v>
      </c>
      <c r="AA138" s="46">
        <v>0.59027777777777779</v>
      </c>
      <c r="AB138" s="46">
        <v>0.59027777777777779</v>
      </c>
      <c r="AC138" s="46">
        <v>0.6694444444444444</v>
      </c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1.8999999999999986</v>
      </c>
      <c r="AG138" s="44">
        <f>IFERROR((PA[[#This Row],[Work Completion time on fault]]-PA[[#This Row],[Fault Time]])*24,"")</f>
        <v>1.8999999999999986</v>
      </c>
      <c r="AH138" s="36" t="s">
        <v>373</v>
      </c>
      <c r="AI138" s="33" t="s">
        <v>298</v>
      </c>
      <c r="AJ138" s="35">
        <f ca="1">IFERROR(PA[[#This Row],[Breakdown Time]]*PA[[#This Row],[Plant Equivalent Weightage]],"")</f>
        <v>0.24732466207600082</v>
      </c>
      <c r="AK138" s="36">
        <v>0.29203591166666665</v>
      </c>
      <c r="AL138" s="51">
        <f>IFERROR((_xlfn.XLOOKUP($G138,'Modelling New'!D:D,'Modelling New'!$O:$O)*PA[[#This Row],[Lost PoA(kWh/m2)]]*PA[[#This Row],[DC Capacity Affected (kW)]]),"")</f>
        <v>1142.1974745413313</v>
      </c>
      <c r="AM138" s="33"/>
      <c r="AN138" s="33"/>
      <c r="AO138" s="33">
        <v>4610</v>
      </c>
      <c r="AP138" s="33"/>
    </row>
    <row r="139" spans="1:42">
      <c r="A139" s="30">
        <v>138</v>
      </c>
      <c r="B139" s="31">
        <v>45837</v>
      </c>
      <c r="C139" s="32">
        <f>YEAR(PA[[#This Row],[Date]])+IF(MONTH(PA[[#This Row],[Date]])&gt;=4,1,0)</f>
        <v>2026</v>
      </c>
      <c r="D139" s="32">
        <f>YEAR(PA[[#This Row],[Date]])</f>
        <v>2025</v>
      </c>
      <c r="E139" s="33" t="s">
        <v>219</v>
      </c>
      <c r="F139" s="33" t="s">
        <v>219</v>
      </c>
      <c r="G139" s="196">
        <f>PA[[#This Row],[Date]]-DAY(PA[[#This Row],[Date]])+1</f>
        <v>45809</v>
      </c>
      <c r="H139" s="32">
        <f>DAY(EOMONTH(PA[[#This Row],[Month Year]],0))</f>
        <v>30</v>
      </c>
      <c r="I139" s="122">
        <v>0.27500000000000002</v>
      </c>
      <c r="J139" s="122">
        <v>0.75069444444444444</v>
      </c>
      <c r="K139" s="35">
        <f>IFERROR((PA[[#This Row],[Sunset Time (POA&lt;20 W/m2)]]-PA[[#This Row],[Sunrise Time (POA&gt;20 W/m2)]])*24,"")</f>
        <v>11.416666666666666</v>
      </c>
      <c r="L139" s="33" t="s">
        <v>303</v>
      </c>
      <c r="M139" s="33" t="s">
        <v>299</v>
      </c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9" s="35">
        <f>IFERROR(_xlfn.XLOOKUP(PA[[#This Row],[Affected Equipment ]],'Basic Data'!N:N,'Basic Data'!Q:Q),"")</f>
        <v>5104</v>
      </c>
      <c r="V139" s="39">
        <f ca="1">IFERROR(_xlfn.XLOOKUP(PA[[#This Row],[Affected Equipment ]],'Basic Data'!N:N,'Basic Data'!R:R),"")</f>
        <v>0.13017087477684264</v>
      </c>
      <c r="W139" s="36" t="s">
        <v>345</v>
      </c>
      <c r="X139" s="40"/>
      <c r="Y139" s="40" t="s">
        <v>372</v>
      </c>
      <c r="Z139" s="46">
        <v>0.59027777777777779</v>
      </c>
      <c r="AA139" s="46">
        <v>0.59027777777777779</v>
      </c>
      <c r="AB139" s="46">
        <v>0.59027777777777779</v>
      </c>
      <c r="AC139" s="46">
        <v>0.6694444444444444</v>
      </c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1.8999999999999986</v>
      </c>
      <c r="AG139" s="44">
        <f>IFERROR((PA[[#This Row],[Work Completion time on fault]]-PA[[#This Row],[Fault Time]])*24,"")</f>
        <v>1.8999999999999986</v>
      </c>
      <c r="AH139" s="36" t="s">
        <v>373</v>
      </c>
      <c r="AI139" s="33" t="s">
        <v>298</v>
      </c>
      <c r="AJ139" s="35">
        <f ca="1">IFERROR(PA[[#This Row],[Breakdown Time]]*PA[[#This Row],[Plant Equivalent Weightage]],"")</f>
        <v>0.24732466207600082</v>
      </c>
      <c r="AK139" s="36">
        <v>0.29203591166666665</v>
      </c>
      <c r="AL139" s="51">
        <f>IFERROR((_xlfn.XLOOKUP($G139,'Modelling New'!D:D,'Modelling New'!$O:$O)*PA[[#This Row],[Lost PoA(kWh/m2)]]*PA[[#This Row],[DC Capacity Affected (kW)]]),"")</f>
        <v>1142.1974745413313</v>
      </c>
      <c r="AM139" s="33"/>
      <c r="AN139" s="33"/>
      <c r="AO139" s="33">
        <v>4610</v>
      </c>
      <c r="AP139" s="33"/>
    </row>
    <row r="140" spans="1:42">
      <c r="A140" s="30">
        <v>139</v>
      </c>
      <c r="B140" s="31">
        <v>45839</v>
      </c>
      <c r="C140" s="32">
        <f>YEAR(PA[[#This Row],[Date]])+IF(MONTH(PA[[#This Row],[Date]])&gt;=4,1,0)</f>
        <v>2026</v>
      </c>
      <c r="D140" s="32">
        <f>YEAR(PA[[#This Row],[Date]])</f>
        <v>2025</v>
      </c>
      <c r="E140" s="33" t="s">
        <v>219</v>
      </c>
      <c r="F140" s="33" t="s">
        <v>219</v>
      </c>
      <c r="G140" s="196">
        <f>PA[[#This Row],[Date]]-DAY(PA[[#This Row],[Date]])+1</f>
        <v>45839</v>
      </c>
      <c r="H140" s="32">
        <f>DAY(EOMONTH(PA[[#This Row],[Month Year]],0))</f>
        <v>31</v>
      </c>
      <c r="I140" s="122">
        <v>0.2638888888888889</v>
      </c>
      <c r="J140" s="122">
        <v>0.75555555555555554</v>
      </c>
      <c r="K140" s="35">
        <f>IFERROR((PA[[#This Row],[Sunset Time (POA&lt;20 W/m2)]]-PA[[#This Row],[Sunrise Time (POA&gt;20 W/m2)]])*24,"")</f>
        <v>11.799999999999999</v>
      </c>
      <c r="L140" s="33" t="s">
        <v>300</v>
      </c>
      <c r="M140" s="33" t="s">
        <v>294</v>
      </c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0" s="35">
        <f>IFERROR(_xlfn.XLOOKUP(PA[[#This Row],[Affected Equipment ]],'Basic Data'!N:N,'Basic Data'!Q:Q),"")</f>
        <v>4662.4750000000004</v>
      </c>
      <c r="V140" s="39">
        <f ca="1">IFERROR(_xlfn.XLOOKUP(PA[[#This Row],[Affected Equipment ]],'Basic Data'!N:N,'Basic Data'!R:R),"")</f>
        <v>0.11891035450140271</v>
      </c>
      <c r="W140" s="36" t="s">
        <v>345</v>
      </c>
      <c r="X140" s="40"/>
      <c r="Y140" s="40" t="s">
        <v>372</v>
      </c>
      <c r="Z140" s="43">
        <v>0.54027777777777775</v>
      </c>
      <c r="AA140" s="43">
        <v>0.54027777777777775</v>
      </c>
      <c r="AB140" s="43">
        <v>0.54027777777777775</v>
      </c>
      <c r="AC140" s="46">
        <v>0.60347222222222219</v>
      </c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1.5166666666666666</v>
      </c>
      <c r="AG140" s="44">
        <f>IFERROR((PA[[#This Row],[Work Completion time on fault]]-PA[[#This Row],[Fault Time]])*24,"")</f>
        <v>1.5166666666666666</v>
      </c>
      <c r="AH140" s="36" t="s">
        <v>373</v>
      </c>
      <c r="AI140" s="33" t="s">
        <v>298</v>
      </c>
      <c r="AJ140" s="35">
        <f ca="1">IFERROR(PA[[#This Row],[Breakdown Time]]*PA[[#This Row],[Plant Equivalent Weightage]],"")</f>
        <v>0.18034737099379411</v>
      </c>
      <c r="AK140" s="36">
        <v>0.23711769199999999</v>
      </c>
      <c r="AL140" s="51">
        <f>IFERROR((_xlfn.XLOOKUP($G140,'Modelling New'!D:D,'Modelling New'!$O:$O)*PA[[#This Row],[Lost PoA(kWh/m2)]]*PA[[#This Row],[DC Capacity Affected (kW)]]),"")</f>
        <v>914.31946668425678</v>
      </c>
      <c r="AM140" s="33"/>
      <c r="AN140" s="33"/>
      <c r="AO140" s="33">
        <v>4657</v>
      </c>
      <c r="AP140" s="33"/>
    </row>
    <row r="141" spans="1:42">
      <c r="A141" s="30">
        <v>140</v>
      </c>
      <c r="B141" s="31">
        <v>45839</v>
      </c>
      <c r="C141" s="32">
        <f>YEAR(PA[[#This Row],[Date]])+IF(MONTH(PA[[#This Row],[Date]])&gt;=4,1,0)</f>
        <v>2026</v>
      </c>
      <c r="D141" s="32">
        <f>YEAR(PA[[#This Row],[Date]])</f>
        <v>2025</v>
      </c>
      <c r="E141" s="33" t="s">
        <v>219</v>
      </c>
      <c r="F141" s="33" t="s">
        <v>219</v>
      </c>
      <c r="G141" s="196">
        <f>PA[[#This Row],[Date]]-DAY(PA[[#This Row],[Date]])+1</f>
        <v>45839</v>
      </c>
      <c r="H141" s="32">
        <f>DAY(EOMONTH(PA[[#This Row],[Month Year]],0))</f>
        <v>31</v>
      </c>
      <c r="I141" s="122">
        <v>0.2638888888888889</v>
      </c>
      <c r="J141" s="122">
        <v>0.75555555555555554</v>
      </c>
      <c r="K141" s="35">
        <f>IFERROR((PA[[#This Row],[Sunset Time (POA&lt;20 W/m2)]]-PA[[#This Row],[Sunrise Time (POA&gt;20 W/m2)]])*24,"")</f>
        <v>11.799999999999999</v>
      </c>
      <c r="L141" s="33" t="s">
        <v>300</v>
      </c>
      <c r="M141" s="33" t="s">
        <v>299</v>
      </c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1" s="35">
        <f>IFERROR(_xlfn.XLOOKUP(PA[[#This Row],[Affected Equipment ]],'Basic Data'!N:N,'Basic Data'!Q:Q),"")</f>
        <v>4662.4750000000004</v>
      </c>
      <c r="V141" s="39">
        <f ca="1">IFERROR(_xlfn.XLOOKUP(PA[[#This Row],[Affected Equipment ]],'Basic Data'!N:N,'Basic Data'!R:R),"")</f>
        <v>0.11891035450140271</v>
      </c>
      <c r="W141" s="36" t="s">
        <v>345</v>
      </c>
      <c r="X141" s="40"/>
      <c r="Y141" s="40" t="s">
        <v>372</v>
      </c>
      <c r="Z141" s="43">
        <v>0.54027777777777775</v>
      </c>
      <c r="AA141" s="43">
        <v>0.54027777777777775</v>
      </c>
      <c r="AB141" s="43">
        <v>0.54027777777777775</v>
      </c>
      <c r="AC141" s="46">
        <v>0.60347222222222219</v>
      </c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1.5166666666666666</v>
      </c>
      <c r="AG141" s="44">
        <f>IFERROR((PA[[#This Row],[Work Completion time on fault]]-PA[[#This Row],[Fault Time]])*24,"")</f>
        <v>1.5166666666666666</v>
      </c>
      <c r="AH141" s="36" t="s">
        <v>373</v>
      </c>
      <c r="AI141" s="33" t="s">
        <v>298</v>
      </c>
      <c r="AJ141" s="35">
        <f ca="1">IFERROR(PA[[#This Row],[Breakdown Time]]*PA[[#This Row],[Plant Equivalent Weightage]],"")</f>
        <v>0.18034737099379411</v>
      </c>
      <c r="AK141" s="36">
        <v>0.23711769199999999</v>
      </c>
      <c r="AL141" s="51">
        <f>IFERROR((_xlfn.XLOOKUP($G141,'Modelling New'!D:D,'Modelling New'!$O:$O)*PA[[#This Row],[Lost PoA(kWh/m2)]]*PA[[#This Row],[DC Capacity Affected (kW)]]),"")</f>
        <v>914.31946668425678</v>
      </c>
      <c r="AM141" s="33"/>
      <c r="AN141" s="33"/>
      <c r="AO141" s="33">
        <v>4657</v>
      </c>
      <c r="AP141" s="33"/>
    </row>
    <row r="142" spans="1:42">
      <c r="A142" s="30">
        <v>141</v>
      </c>
      <c r="B142" s="31">
        <v>45839</v>
      </c>
      <c r="C142" s="32">
        <f>YEAR(PA[[#This Row],[Date]])+IF(MONTH(PA[[#This Row],[Date]])&gt;=4,1,0)</f>
        <v>2026</v>
      </c>
      <c r="D142" s="32">
        <f>YEAR(PA[[#This Row],[Date]])</f>
        <v>2025</v>
      </c>
      <c r="E142" s="33" t="s">
        <v>219</v>
      </c>
      <c r="F142" s="33" t="s">
        <v>219</v>
      </c>
      <c r="G142" s="196">
        <f>PA[[#This Row],[Date]]-DAY(PA[[#This Row],[Date]])+1</f>
        <v>45839</v>
      </c>
      <c r="H142" s="32">
        <f>DAY(EOMONTH(PA[[#This Row],[Month Year]],0))</f>
        <v>31</v>
      </c>
      <c r="I142" s="122">
        <v>0.2638888888888889</v>
      </c>
      <c r="J142" s="122">
        <v>0.75555555555555554</v>
      </c>
      <c r="K142" s="35">
        <f>IFERROR((PA[[#This Row],[Sunset Time (POA&lt;20 W/m2)]]-PA[[#This Row],[Sunrise Time (POA&gt;20 W/m2)]])*24,"")</f>
        <v>11.799999999999999</v>
      </c>
      <c r="L142" s="33" t="s">
        <v>293</v>
      </c>
      <c r="M142" s="33" t="s">
        <v>294</v>
      </c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2" s="35">
        <f>IFERROR(_xlfn.XLOOKUP(PA[[#This Row],[Affected Equipment ]],'Basic Data'!N:N,'Basic Data'!Q:Q),"")</f>
        <v>6511.66</v>
      </c>
      <c r="V142" s="39">
        <f ca="1">IFERROR(_xlfn.XLOOKUP(PA[[#This Row],[Affected Equipment ]],'Basic Data'!N:N,'Basic Data'!R:R),"")</f>
        <v>0.1660714103545014</v>
      </c>
      <c r="W142" s="36" t="s">
        <v>345</v>
      </c>
      <c r="X142" s="40"/>
      <c r="Y142" s="40" t="s">
        <v>372</v>
      </c>
      <c r="Z142" s="43">
        <v>0.54027777777777775</v>
      </c>
      <c r="AA142" s="43">
        <v>0.54027777777777775</v>
      </c>
      <c r="AB142" s="43">
        <v>0.54027777777777775</v>
      </c>
      <c r="AC142" s="46">
        <v>0.60555555555555551</v>
      </c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1.5666666666666664</v>
      </c>
      <c r="AG142" s="44">
        <f>IFERROR((PA[[#This Row],[Work Completion time on fault]]-PA[[#This Row],[Fault Time]])*24,"")</f>
        <v>1.5666666666666664</v>
      </c>
      <c r="AH142" s="36" t="s">
        <v>373</v>
      </c>
      <c r="AI142" s="33" t="s">
        <v>298</v>
      </c>
      <c r="AJ142" s="35">
        <f ca="1">IFERROR(PA[[#This Row],[Breakdown Time]]*PA[[#This Row],[Plant Equivalent Weightage]],"")</f>
        <v>0.26017854288871883</v>
      </c>
      <c r="AK142" s="36">
        <v>0.24000411799999999</v>
      </c>
      <c r="AL142" s="51">
        <f>IFERROR((_xlfn.XLOOKUP($G142,'Modelling New'!D:D,'Modelling New'!$O:$O)*PA[[#This Row],[Lost PoA(kWh/m2)]]*PA[[#This Row],[DC Capacity Affected (kW)]]),"")</f>
        <v>1292.4921104232983</v>
      </c>
      <c r="AM142" s="33"/>
      <c r="AN142" s="33"/>
      <c r="AO142" s="33">
        <v>4657</v>
      </c>
      <c r="AP142" s="33"/>
    </row>
    <row r="143" spans="1:42">
      <c r="A143" s="30">
        <v>142</v>
      </c>
      <c r="B143" s="31">
        <v>45839</v>
      </c>
      <c r="C143" s="32">
        <f>YEAR(PA[[#This Row],[Date]])+IF(MONTH(PA[[#This Row],[Date]])&gt;=4,1,0)</f>
        <v>2026</v>
      </c>
      <c r="D143" s="32">
        <f>YEAR(PA[[#This Row],[Date]])</f>
        <v>2025</v>
      </c>
      <c r="E143" s="33" t="s">
        <v>219</v>
      </c>
      <c r="F143" s="33" t="s">
        <v>219</v>
      </c>
      <c r="G143" s="196">
        <f>PA[[#This Row],[Date]]-DAY(PA[[#This Row],[Date]])+1</f>
        <v>45839</v>
      </c>
      <c r="H143" s="32">
        <f>DAY(EOMONTH(PA[[#This Row],[Month Year]],0))</f>
        <v>31</v>
      </c>
      <c r="I143" s="122">
        <v>0.2638888888888889</v>
      </c>
      <c r="J143" s="122">
        <v>0.75555555555555554</v>
      </c>
      <c r="K143" s="35">
        <f>IFERROR((PA[[#This Row],[Sunset Time (POA&lt;20 W/m2)]]-PA[[#This Row],[Sunrise Time (POA&gt;20 W/m2)]])*24,"")</f>
        <v>11.799999999999999</v>
      </c>
      <c r="L143" s="33" t="s">
        <v>293</v>
      </c>
      <c r="M143" s="33" t="s">
        <v>299</v>
      </c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43" s="35">
        <f>IFERROR(_xlfn.XLOOKUP(PA[[#This Row],[Affected Equipment ]],'Basic Data'!N:N,'Basic Data'!Q:Q),"")</f>
        <v>6495.8549999999996</v>
      </c>
      <c r="V143" s="39">
        <f ca="1">IFERROR(_xlfn.XLOOKUP(PA[[#This Row],[Affected Equipment ]],'Basic Data'!N:N,'Basic Data'!R:R),"")</f>
        <v>0.16566832440703902</v>
      </c>
      <c r="W143" s="36" t="s">
        <v>345</v>
      </c>
      <c r="X143" s="40"/>
      <c r="Y143" s="40" t="s">
        <v>372</v>
      </c>
      <c r="Z143" s="43">
        <v>0.54027777777777775</v>
      </c>
      <c r="AA143" s="43">
        <v>0.54027777777777775</v>
      </c>
      <c r="AB143" s="43">
        <v>0.54027777777777775</v>
      </c>
      <c r="AC143" s="46">
        <v>0.60555555555555551</v>
      </c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1.5666666666666664</v>
      </c>
      <c r="AG143" s="44">
        <f>IFERROR((PA[[#This Row],[Work Completion time on fault]]-PA[[#This Row],[Fault Time]])*24,"")</f>
        <v>1.5666666666666664</v>
      </c>
      <c r="AH143" s="36" t="s">
        <v>373</v>
      </c>
      <c r="AI143" s="33" t="s">
        <v>298</v>
      </c>
      <c r="AJ143" s="35">
        <f ca="1">IFERROR(PA[[#This Row],[Breakdown Time]]*PA[[#This Row],[Plant Equivalent Weightage]],"")</f>
        <v>0.25954704157102776</v>
      </c>
      <c r="AK143" s="36">
        <v>0.24000411799999999</v>
      </c>
      <c r="AL143" s="51">
        <f>IFERROR((_xlfn.XLOOKUP($G143,'Modelling New'!D:D,'Modelling New'!$O:$O)*PA[[#This Row],[Lost PoA(kWh/m2)]]*PA[[#This Row],[DC Capacity Affected (kW)]]),"")</f>
        <v>1289.3549936504262</v>
      </c>
      <c r="AM143" s="33"/>
      <c r="AN143" s="33"/>
      <c r="AO143" s="33">
        <v>4657</v>
      </c>
      <c r="AP143" s="33"/>
    </row>
    <row r="144" spans="1:42">
      <c r="A144" s="30">
        <v>143</v>
      </c>
      <c r="B144" s="31">
        <v>45839</v>
      </c>
      <c r="C144" s="32">
        <f>YEAR(PA[[#This Row],[Date]])+IF(MONTH(PA[[#This Row],[Date]])&gt;=4,1,0)</f>
        <v>2026</v>
      </c>
      <c r="D144" s="32">
        <f>YEAR(PA[[#This Row],[Date]])</f>
        <v>2025</v>
      </c>
      <c r="E144" s="33" t="s">
        <v>219</v>
      </c>
      <c r="F144" s="33" t="s">
        <v>219</v>
      </c>
      <c r="G144" s="196">
        <f>PA[[#This Row],[Date]]-DAY(PA[[#This Row],[Date]])+1</f>
        <v>45839</v>
      </c>
      <c r="H144" s="32">
        <f>DAY(EOMONTH(PA[[#This Row],[Month Year]],0))</f>
        <v>31</v>
      </c>
      <c r="I144" s="122">
        <v>0.2638888888888889</v>
      </c>
      <c r="J144" s="122">
        <v>0.75555555555555554</v>
      </c>
      <c r="K144" s="35">
        <f>IFERROR((PA[[#This Row],[Sunset Time (POA&lt;20 W/m2)]]-PA[[#This Row],[Sunrise Time (POA&gt;20 W/m2)]])*24,"")</f>
        <v>11.799999999999999</v>
      </c>
      <c r="L144" s="33" t="s">
        <v>302</v>
      </c>
      <c r="M144" s="33" t="s">
        <v>294</v>
      </c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44" s="35">
        <f>IFERROR(_xlfn.XLOOKUP(PA[[#This Row],[Affected Equipment ]],'Basic Data'!N:N,'Basic Data'!Q:Q),"")</f>
        <v>6527.4649999999992</v>
      </c>
      <c r="V144" s="39">
        <f ca="1">IFERROR(_xlfn.XLOOKUP(PA[[#This Row],[Affected Equipment ]],'Basic Data'!N:N,'Basic Data'!R:R),"")</f>
        <v>0.16647449630196376</v>
      </c>
      <c r="W144" s="36" t="s">
        <v>345</v>
      </c>
      <c r="X144" s="40"/>
      <c r="Y144" s="40" t="s">
        <v>372</v>
      </c>
      <c r="Z144" s="43">
        <v>0.54027777777777775</v>
      </c>
      <c r="AA144" s="43">
        <v>0.54027777777777775</v>
      </c>
      <c r="AB144" s="43">
        <v>0.54027777777777775</v>
      </c>
      <c r="AC144" s="46">
        <v>0.60277777777777775</v>
      </c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1.5</v>
      </c>
      <c r="AG144" s="44">
        <f>IFERROR((PA[[#This Row],[Work Completion time on fault]]-PA[[#This Row],[Fault Time]])*24,"")</f>
        <v>1.5</v>
      </c>
      <c r="AH144" s="36" t="s">
        <v>373</v>
      </c>
      <c r="AI144" s="33" t="s">
        <v>298</v>
      </c>
      <c r="AJ144" s="35">
        <f ca="1">IFERROR(PA[[#This Row],[Breakdown Time]]*PA[[#This Row],[Plant Equivalent Weightage]],"")</f>
        <v>0.24971174445294564</v>
      </c>
      <c r="AK144" s="36">
        <v>0.233976183</v>
      </c>
      <c r="AL144" s="51">
        <f>IFERROR((_xlfn.XLOOKUP($G144,'Modelling New'!D:D,'Modelling New'!$O:$O)*PA[[#This Row],[Lost PoA(kWh/m2)]]*PA[[#This Row],[DC Capacity Affected (kW)]]),"")</f>
        <v>1263.0882490216261</v>
      </c>
      <c r="AM144" s="33"/>
      <c r="AN144" s="33"/>
      <c r="AO144" s="33">
        <v>4657</v>
      </c>
      <c r="AP144" s="33"/>
    </row>
    <row r="145" spans="1:42">
      <c r="A145" s="30">
        <v>144</v>
      </c>
      <c r="B145" s="31">
        <v>45839</v>
      </c>
      <c r="C145" s="32">
        <f>YEAR(PA[[#This Row],[Date]])+IF(MONTH(PA[[#This Row],[Date]])&gt;=4,1,0)</f>
        <v>2026</v>
      </c>
      <c r="D145" s="32">
        <f>YEAR(PA[[#This Row],[Date]])</f>
        <v>2025</v>
      </c>
      <c r="E145" s="33" t="s">
        <v>219</v>
      </c>
      <c r="F145" s="33" t="s">
        <v>219</v>
      </c>
      <c r="G145" s="196">
        <f>PA[[#This Row],[Date]]-DAY(PA[[#This Row],[Date]])+1</f>
        <v>45839</v>
      </c>
      <c r="H145" s="32">
        <f>DAY(EOMONTH(PA[[#This Row],[Month Year]],0))</f>
        <v>31</v>
      </c>
      <c r="I145" s="122">
        <v>0.2638888888888889</v>
      </c>
      <c r="J145" s="122">
        <v>0.75555555555555554</v>
      </c>
      <c r="K145" s="35">
        <f>IFERROR((PA[[#This Row],[Sunset Time (POA&lt;20 W/m2)]]-PA[[#This Row],[Sunrise Time (POA&gt;20 W/m2)]])*24,"")</f>
        <v>11.799999999999999</v>
      </c>
      <c r="L145" s="33" t="s">
        <v>303</v>
      </c>
      <c r="M145" s="33" t="s">
        <v>294</v>
      </c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45" s="35">
        <f>IFERROR(_xlfn.XLOOKUP(PA[[#This Row],[Affected Equipment ]],'Basic Data'!N:N,'Basic Data'!Q:Q),"")</f>
        <v>5104</v>
      </c>
      <c r="V145" s="39">
        <f ca="1">IFERROR(_xlfn.XLOOKUP(PA[[#This Row],[Affected Equipment ]],'Basic Data'!N:N,'Basic Data'!R:R),"")</f>
        <v>0.13017087477684264</v>
      </c>
      <c r="W145" s="36" t="s">
        <v>345</v>
      </c>
      <c r="X145" s="40"/>
      <c r="Y145" s="40" t="s">
        <v>372</v>
      </c>
      <c r="Z145" s="43">
        <v>0.54027777777777775</v>
      </c>
      <c r="AA145" s="43">
        <v>0.54027777777777775</v>
      </c>
      <c r="AB145" s="43">
        <v>0.54027777777777775</v>
      </c>
      <c r="AC145" s="46">
        <v>0.59861111111111109</v>
      </c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1.4000000000000004</v>
      </c>
      <c r="AG145" s="44">
        <f>IFERROR((PA[[#This Row],[Work Completion time on fault]]-PA[[#This Row],[Fault Time]])*24,"")</f>
        <v>1.4000000000000004</v>
      </c>
      <c r="AH145" s="36" t="s">
        <v>373</v>
      </c>
      <c r="AI145" s="33" t="s">
        <v>298</v>
      </c>
      <c r="AJ145" s="35">
        <f ca="1">IFERROR(PA[[#This Row],[Breakdown Time]]*PA[[#This Row],[Plant Equivalent Weightage]],"")</f>
        <v>0.18223922468757975</v>
      </c>
      <c r="AK145" s="36">
        <v>0.21787252700000001</v>
      </c>
      <c r="AL145" s="51">
        <f>IFERROR((_xlfn.XLOOKUP($G145,'Modelling New'!D:D,'Modelling New'!$O:$O)*PA[[#This Row],[Lost PoA(kWh/m2)]]*PA[[#This Row],[DC Capacity Affected (kW)]]),"")</f>
        <v>919.66705145865069</v>
      </c>
      <c r="AM145" s="33"/>
      <c r="AN145" s="33"/>
      <c r="AO145" s="33">
        <v>4657</v>
      </c>
      <c r="AP145" s="33"/>
    </row>
    <row r="146" spans="1:42">
      <c r="A146" s="30">
        <v>145</v>
      </c>
      <c r="B146" s="31">
        <v>45839</v>
      </c>
      <c r="C146" s="32">
        <f>YEAR(PA[[#This Row],[Date]])+IF(MONTH(PA[[#This Row],[Date]])&gt;=4,1,0)</f>
        <v>2026</v>
      </c>
      <c r="D146" s="32">
        <f>YEAR(PA[[#This Row],[Date]])</f>
        <v>2025</v>
      </c>
      <c r="E146" s="33" t="s">
        <v>219</v>
      </c>
      <c r="F146" s="33" t="s">
        <v>219</v>
      </c>
      <c r="G146" s="196">
        <f>PA[[#This Row],[Date]]-DAY(PA[[#This Row],[Date]])+1</f>
        <v>45839</v>
      </c>
      <c r="H146" s="32">
        <f>DAY(EOMONTH(PA[[#This Row],[Month Year]],0))</f>
        <v>31</v>
      </c>
      <c r="I146" s="122">
        <v>0.2638888888888889</v>
      </c>
      <c r="J146" s="122">
        <v>0.75555555555555554</v>
      </c>
      <c r="K146" s="35">
        <f>IFERROR((PA[[#This Row],[Sunset Time (POA&lt;20 W/m2)]]-PA[[#This Row],[Sunrise Time (POA&gt;20 W/m2)]])*24,"")</f>
        <v>11.799999999999999</v>
      </c>
      <c r="L146" s="33" t="s">
        <v>303</v>
      </c>
      <c r="M146" s="33" t="s">
        <v>299</v>
      </c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46" s="35">
        <f>IFERROR(_xlfn.XLOOKUP(PA[[#This Row],[Affected Equipment ]],'Basic Data'!N:N,'Basic Data'!Q:Q),"")</f>
        <v>5104</v>
      </c>
      <c r="V146" s="39">
        <f ca="1">IFERROR(_xlfn.XLOOKUP(PA[[#This Row],[Affected Equipment ]],'Basic Data'!N:N,'Basic Data'!R:R),"")</f>
        <v>0.13017087477684264</v>
      </c>
      <c r="W146" s="36" t="s">
        <v>345</v>
      </c>
      <c r="X146" s="40"/>
      <c r="Y146" s="40" t="s">
        <v>372</v>
      </c>
      <c r="Z146" s="43">
        <v>0.54027777777777775</v>
      </c>
      <c r="AA146" s="43">
        <v>0.54027777777777775</v>
      </c>
      <c r="AB146" s="43">
        <v>0.54027777777777775</v>
      </c>
      <c r="AC146" s="46">
        <v>0.62083333333333335</v>
      </c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1.9333333333333345</v>
      </c>
      <c r="AG146" s="44">
        <f>IFERROR((PA[[#This Row],[Work Completion time on fault]]-PA[[#This Row],[Fault Time]])*24,"")</f>
        <v>1.9333333333333345</v>
      </c>
      <c r="AH146" s="36" t="s">
        <v>373</v>
      </c>
      <c r="AI146" s="33" t="s">
        <v>298</v>
      </c>
      <c r="AJ146" s="35">
        <f ca="1">IFERROR(PA[[#This Row],[Breakdown Time]]*PA[[#This Row],[Plant Equivalent Weightage]],"")</f>
        <v>0.25166369123522925</v>
      </c>
      <c r="AK146" s="36">
        <v>0.32361979800000001</v>
      </c>
      <c r="AL146" s="51">
        <f>IFERROR((_xlfn.XLOOKUP($G146,'Modelling New'!D:D,'Modelling New'!$O:$O)*PA[[#This Row],[Lost PoA(kWh/m2)]]*PA[[#This Row],[DC Capacity Affected (kW)]]),"")</f>
        <v>1366.0394429642988</v>
      </c>
      <c r="AM146" s="33"/>
      <c r="AN146" s="33"/>
      <c r="AO146" s="33">
        <v>4657</v>
      </c>
      <c r="AP146" s="33"/>
    </row>
    <row r="147" spans="1:42">
      <c r="A147" s="30">
        <v>146</v>
      </c>
      <c r="B147" s="31">
        <v>45839</v>
      </c>
      <c r="C147" s="32">
        <f>YEAR(PA[[#This Row],[Date]])+IF(MONTH(PA[[#This Row],[Date]])&gt;=4,1,0)</f>
        <v>2026</v>
      </c>
      <c r="D147" s="32">
        <f>YEAR(PA[[#This Row],[Date]])</f>
        <v>2025</v>
      </c>
      <c r="E147" s="33" t="s">
        <v>219</v>
      </c>
      <c r="F147" s="33" t="s">
        <v>219</v>
      </c>
      <c r="G147" s="196">
        <f>PA[[#This Row],[Date]]-DAY(PA[[#This Row],[Date]])+1</f>
        <v>45839</v>
      </c>
      <c r="H147" s="32">
        <f>DAY(EOMONTH(PA[[#This Row],[Month Year]],0))</f>
        <v>31</v>
      </c>
      <c r="I147" s="122">
        <v>0.2638888888888889</v>
      </c>
      <c r="J147" s="122">
        <v>0.75555555555555554</v>
      </c>
      <c r="K147" s="35">
        <f>IFERROR((PA[[#This Row],[Sunset Time (POA&lt;20 W/m2)]]-PA[[#This Row],[Sunrise Time (POA&gt;20 W/m2)]])*24,"")</f>
        <v>11.799999999999999</v>
      </c>
      <c r="L147" s="33" t="s">
        <v>300</v>
      </c>
      <c r="M147" s="33" t="s">
        <v>294</v>
      </c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7" s="35">
        <f>IFERROR(_xlfn.XLOOKUP(PA[[#This Row],[Affected Equipment ]],'Basic Data'!N:N,'Basic Data'!Q:Q),"")</f>
        <v>4662.4750000000004</v>
      </c>
      <c r="V147" s="39">
        <f ca="1">IFERROR(_xlfn.XLOOKUP(PA[[#This Row],[Affected Equipment ]],'Basic Data'!N:N,'Basic Data'!R:R),"")</f>
        <v>0.11891035450140271</v>
      </c>
      <c r="W147" s="36" t="s">
        <v>345</v>
      </c>
      <c r="X147" s="40"/>
      <c r="Y147" s="40" t="s">
        <v>372</v>
      </c>
      <c r="Z147" s="46">
        <v>0.62638888888888888</v>
      </c>
      <c r="AA147" s="46">
        <v>0.62638888888888888</v>
      </c>
      <c r="AB147" s="46">
        <v>0.62638888888888888</v>
      </c>
      <c r="AC147" s="46">
        <v>0.64513888888888893</v>
      </c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0.45000000000000107</v>
      </c>
      <c r="AG147" s="44">
        <f>IFERROR((PA[[#This Row],[Work Completion time on fault]]-PA[[#This Row],[Fault Time]])*24,"")</f>
        <v>0.45000000000000107</v>
      </c>
      <c r="AH147" s="36" t="s">
        <v>373</v>
      </c>
      <c r="AI147" s="33" t="s">
        <v>298</v>
      </c>
      <c r="AJ147" s="35">
        <f ca="1">IFERROR(PA[[#This Row],[Breakdown Time]]*PA[[#This Row],[Plant Equivalent Weightage]],"")</f>
        <v>5.3509659525631345E-2</v>
      </c>
      <c r="AK147" s="36">
        <v>8.4870783000000005E-2</v>
      </c>
      <c r="AL147" s="51">
        <f>IFERROR((_xlfn.XLOOKUP($G147,'Modelling New'!D:D,'Modelling New'!$O:$O)*PA[[#This Row],[Lost PoA(kWh/m2)]]*PA[[#This Row],[DC Capacity Affected (kW)]]),"")</f>
        <v>327.25946509986818</v>
      </c>
      <c r="AM147" s="33"/>
      <c r="AN147" s="33"/>
      <c r="AO147" s="33">
        <v>4657</v>
      </c>
      <c r="AP147" s="33"/>
    </row>
    <row r="148" spans="1:42">
      <c r="A148" s="30">
        <v>147</v>
      </c>
      <c r="B148" s="31">
        <v>45839</v>
      </c>
      <c r="C148" s="32">
        <f>YEAR(PA[[#This Row],[Date]])+IF(MONTH(PA[[#This Row],[Date]])&gt;=4,1,0)</f>
        <v>2026</v>
      </c>
      <c r="D148" s="32">
        <f>YEAR(PA[[#This Row],[Date]])</f>
        <v>2025</v>
      </c>
      <c r="E148" s="33" t="s">
        <v>219</v>
      </c>
      <c r="F148" s="33" t="s">
        <v>219</v>
      </c>
      <c r="G148" s="196">
        <f>PA[[#This Row],[Date]]-DAY(PA[[#This Row],[Date]])+1</f>
        <v>45839</v>
      </c>
      <c r="H148" s="32">
        <f>DAY(EOMONTH(PA[[#This Row],[Month Year]],0))</f>
        <v>31</v>
      </c>
      <c r="I148" s="122">
        <v>0.2638888888888889</v>
      </c>
      <c r="J148" s="122">
        <v>0.75555555555555554</v>
      </c>
      <c r="K148" s="35">
        <f>IFERROR((PA[[#This Row],[Sunset Time (POA&lt;20 W/m2)]]-PA[[#This Row],[Sunrise Time (POA&gt;20 W/m2)]])*24,"")</f>
        <v>11.799999999999999</v>
      </c>
      <c r="L148" s="33" t="s">
        <v>300</v>
      </c>
      <c r="M148" s="33" t="s">
        <v>299</v>
      </c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8" s="35">
        <f>IFERROR(_xlfn.XLOOKUP(PA[[#This Row],[Affected Equipment ]],'Basic Data'!N:N,'Basic Data'!Q:Q),"")</f>
        <v>4662.4750000000004</v>
      </c>
      <c r="V148" s="39">
        <f ca="1">IFERROR(_xlfn.XLOOKUP(PA[[#This Row],[Affected Equipment ]],'Basic Data'!N:N,'Basic Data'!R:R),"")</f>
        <v>0.11891035450140271</v>
      </c>
      <c r="W148" s="36" t="s">
        <v>345</v>
      </c>
      <c r="X148" s="40"/>
      <c r="Y148" s="40" t="s">
        <v>372</v>
      </c>
      <c r="Z148" s="46">
        <v>0.62638888888888888</v>
      </c>
      <c r="AA148" s="46">
        <v>0.62638888888888888</v>
      </c>
      <c r="AB148" s="46">
        <v>0.62638888888888888</v>
      </c>
      <c r="AC148" s="46">
        <v>0.64513888888888893</v>
      </c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0.45000000000000107</v>
      </c>
      <c r="AG148" s="44">
        <f>IFERROR((PA[[#This Row],[Work Completion time on fault]]-PA[[#This Row],[Fault Time]])*24,"")</f>
        <v>0.45000000000000107</v>
      </c>
      <c r="AH148" s="36" t="s">
        <v>373</v>
      </c>
      <c r="AI148" s="33" t="s">
        <v>298</v>
      </c>
      <c r="AJ148" s="35">
        <f ca="1">IFERROR(PA[[#This Row],[Breakdown Time]]*PA[[#This Row],[Plant Equivalent Weightage]],"")</f>
        <v>5.3509659525631345E-2</v>
      </c>
      <c r="AK148" s="36">
        <v>8.4870783000000005E-2</v>
      </c>
      <c r="AL148" s="51">
        <f>IFERROR((_xlfn.XLOOKUP($G148,'Modelling New'!D:D,'Modelling New'!$O:$O)*PA[[#This Row],[Lost PoA(kWh/m2)]]*PA[[#This Row],[DC Capacity Affected (kW)]]),"")</f>
        <v>327.25946509986818</v>
      </c>
      <c r="AM148" s="33"/>
      <c r="AN148" s="33"/>
      <c r="AO148" s="33">
        <v>4657</v>
      </c>
      <c r="AP148" s="33"/>
    </row>
    <row r="149" spans="1:42">
      <c r="A149" s="30">
        <v>148</v>
      </c>
      <c r="B149" s="31">
        <v>45839</v>
      </c>
      <c r="C149" s="32">
        <f>YEAR(PA[[#This Row],[Date]])+IF(MONTH(PA[[#This Row],[Date]])&gt;=4,1,0)</f>
        <v>2026</v>
      </c>
      <c r="D149" s="32">
        <f>YEAR(PA[[#This Row],[Date]])</f>
        <v>2025</v>
      </c>
      <c r="E149" s="33" t="s">
        <v>219</v>
      </c>
      <c r="F149" s="33" t="s">
        <v>219</v>
      </c>
      <c r="G149" s="196">
        <f>PA[[#This Row],[Date]]-DAY(PA[[#This Row],[Date]])+1</f>
        <v>45839</v>
      </c>
      <c r="H149" s="32">
        <f>DAY(EOMONTH(PA[[#This Row],[Month Year]],0))</f>
        <v>31</v>
      </c>
      <c r="I149" s="122">
        <v>0.2638888888888889</v>
      </c>
      <c r="J149" s="122">
        <v>0.75555555555555554</v>
      </c>
      <c r="K149" s="35">
        <f>IFERROR((PA[[#This Row],[Sunset Time (POA&lt;20 W/m2)]]-PA[[#This Row],[Sunrise Time (POA&gt;20 W/m2)]])*24,"")</f>
        <v>11.799999999999999</v>
      </c>
      <c r="L149" s="33" t="s">
        <v>293</v>
      </c>
      <c r="M149" s="33" t="s">
        <v>294</v>
      </c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9" s="35">
        <f>IFERROR(_xlfn.XLOOKUP(PA[[#This Row],[Affected Equipment ]],'Basic Data'!N:N,'Basic Data'!Q:Q),"")</f>
        <v>6511.66</v>
      </c>
      <c r="V149" s="39">
        <f ca="1">IFERROR(_xlfn.XLOOKUP(PA[[#This Row],[Affected Equipment ]],'Basic Data'!N:N,'Basic Data'!R:R),"")</f>
        <v>0.1660714103545014</v>
      </c>
      <c r="W149" s="36" t="s">
        <v>345</v>
      </c>
      <c r="X149" s="40"/>
      <c r="Y149" s="40" t="s">
        <v>372</v>
      </c>
      <c r="Z149" s="46">
        <v>0.62638888888888888</v>
      </c>
      <c r="AA149" s="46">
        <v>0.62638888888888888</v>
      </c>
      <c r="AB149" s="46">
        <v>0.62638888888888888</v>
      </c>
      <c r="AC149" s="46">
        <v>0.64444444444444449</v>
      </c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0.43333333333333446</v>
      </c>
      <c r="AG149" s="44">
        <f>IFERROR((PA[[#This Row],[Work Completion time on fault]]-PA[[#This Row],[Fault Time]])*24,"")</f>
        <v>0.43333333333333446</v>
      </c>
      <c r="AH149" s="36" t="s">
        <v>373</v>
      </c>
      <c r="AI149" s="33" t="s">
        <v>298</v>
      </c>
      <c r="AJ149" s="35">
        <f ca="1">IFERROR(PA[[#This Row],[Breakdown Time]]*PA[[#This Row],[Plant Equivalent Weightage]],"")</f>
        <v>7.1964277820284125E-2</v>
      </c>
      <c r="AK149" s="36">
        <v>8.1273339999999999E-2</v>
      </c>
      <c r="AL149" s="51">
        <f>IFERROR((_xlfn.XLOOKUP($G149,'Modelling New'!D:D,'Modelling New'!$O:$O)*PA[[#This Row],[Lost PoA(kWh/m2)]]*PA[[#This Row],[DC Capacity Affected (kW)]]),"")</f>
        <v>437.6806182040188</v>
      </c>
      <c r="AM149" s="33"/>
      <c r="AN149" s="33"/>
      <c r="AO149" s="33">
        <v>4657</v>
      </c>
      <c r="AP149" s="33"/>
    </row>
    <row r="150" spans="1:42">
      <c r="A150" s="30">
        <v>149</v>
      </c>
      <c r="B150" s="31">
        <v>45839</v>
      </c>
      <c r="C150" s="32">
        <f>YEAR(PA[[#This Row],[Date]])+IF(MONTH(PA[[#This Row],[Date]])&gt;=4,1,0)</f>
        <v>2026</v>
      </c>
      <c r="D150" s="32">
        <f>YEAR(PA[[#This Row],[Date]])</f>
        <v>2025</v>
      </c>
      <c r="E150" s="33" t="s">
        <v>219</v>
      </c>
      <c r="F150" s="33" t="s">
        <v>219</v>
      </c>
      <c r="G150" s="196">
        <f>PA[[#This Row],[Date]]-DAY(PA[[#This Row],[Date]])+1</f>
        <v>45839</v>
      </c>
      <c r="H150" s="32">
        <f>DAY(EOMONTH(PA[[#This Row],[Month Year]],0))</f>
        <v>31</v>
      </c>
      <c r="I150" s="122">
        <v>0.2638888888888889</v>
      </c>
      <c r="J150" s="122">
        <v>0.75555555555555554</v>
      </c>
      <c r="K150" s="35">
        <f>IFERROR((PA[[#This Row],[Sunset Time (POA&lt;20 W/m2)]]-PA[[#This Row],[Sunrise Time (POA&gt;20 W/m2)]])*24,"")</f>
        <v>11.799999999999999</v>
      </c>
      <c r="L150" s="33" t="s">
        <v>293</v>
      </c>
      <c r="M150" s="33" t="s">
        <v>299</v>
      </c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0" s="35">
        <f>IFERROR(_xlfn.XLOOKUP(PA[[#This Row],[Affected Equipment ]],'Basic Data'!N:N,'Basic Data'!Q:Q),"")</f>
        <v>6495.8549999999996</v>
      </c>
      <c r="V150" s="39">
        <f ca="1">IFERROR(_xlfn.XLOOKUP(PA[[#This Row],[Affected Equipment ]],'Basic Data'!N:N,'Basic Data'!R:R),"")</f>
        <v>0.16566832440703902</v>
      </c>
      <c r="W150" s="36" t="s">
        <v>345</v>
      </c>
      <c r="X150" s="40"/>
      <c r="Y150" s="40" t="s">
        <v>372</v>
      </c>
      <c r="Z150" s="46">
        <v>0.62638888888888888</v>
      </c>
      <c r="AA150" s="46">
        <v>0.62638888888888888</v>
      </c>
      <c r="AB150" s="46">
        <v>0.62638888888888888</v>
      </c>
      <c r="AC150" s="46">
        <v>0.64444444444444449</v>
      </c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0.43333333333333446</v>
      </c>
      <c r="AG150" s="44">
        <f>IFERROR((PA[[#This Row],[Work Completion time on fault]]-PA[[#This Row],[Fault Time]])*24,"")</f>
        <v>0.43333333333333446</v>
      </c>
      <c r="AH150" s="36" t="s">
        <v>373</v>
      </c>
      <c r="AI150" s="33" t="s">
        <v>298</v>
      </c>
      <c r="AJ150" s="35">
        <f ca="1">IFERROR(PA[[#This Row],[Breakdown Time]]*PA[[#This Row],[Plant Equivalent Weightage]],"")</f>
        <v>7.1789607243050432E-2</v>
      </c>
      <c r="AK150" s="36">
        <v>8.1273339999999999E-2</v>
      </c>
      <c r="AL150" s="51">
        <f>IFERROR((_xlfn.XLOOKUP($G150,'Modelling New'!D:D,'Modelling New'!$O:$O)*PA[[#This Row],[Lost PoA(kWh/m2)]]*PA[[#This Row],[DC Capacity Affected (kW)]]),"")</f>
        <v>436.61828660643619</v>
      </c>
      <c r="AM150" s="33"/>
      <c r="AN150" s="33"/>
      <c r="AO150" s="33">
        <v>4657</v>
      </c>
      <c r="AP150" s="33"/>
    </row>
    <row r="151" spans="1:42">
      <c r="A151" s="30">
        <v>150</v>
      </c>
      <c r="B151" s="31">
        <v>45839</v>
      </c>
      <c r="C151" s="32">
        <f>YEAR(PA[[#This Row],[Date]])+IF(MONTH(PA[[#This Row],[Date]])&gt;=4,1,0)</f>
        <v>2026</v>
      </c>
      <c r="D151" s="32">
        <f>YEAR(PA[[#This Row],[Date]])</f>
        <v>2025</v>
      </c>
      <c r="E151" s="33" t="s">
        <v>219</v>
      </c>
      <c r="F151" s="33" t="s">
        <v>219</v>
      </c>
      <c r="G151" s="196">
        <f>PA[[#This Row],[Date]]-DAY(PA[[#This Row],[Date]])+1</f>
        <v>45839</v>
      </c>
      <c r="H151" s="32">
        <f>DAY(EOMONTH(PA[[#This Row],[Month Year]],0))</f>
        <v>31</v>
      </c>
      <c r="I151" s="122">
        <v>0.2638888888888889</v>
      </c>
      <c r="J151" s="122">
        <v>0.75555555555555554</v>
      </c>
      <c r="K151" s="35">
        <f>IFERROR((PA[[#This Row],[Sunset Time (POA&lt;20 W/m2)]]-PA[[#This Row],[Sunrise Time (POA&gt;20 W/m2)]])*24,"")</f>
        <v>11.799999999999999</v>
      </c>
      <c r="L151" s="33" t="s">
        <v>302</v>
      </c>
      <c r="M151" s="33" t="s">
        <v>294</v>
      </c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1" s="35">
        <f>IFERROR(_xlfn.XLOOKUP(PA[[#This Row],[Affected Equipment ]],'Basic Data'!N:N,'Basic Data'!Q:Q),"")</f>
        <v>6527.4649999999992</v>
      </c>
      <c r="V151" s="39">
        <f ca="1">IFERROR(_xlfn.XLOOKUP(PA[[#This Row],[Affected Equipment ]],'Basic Data'!N:N,'Basic Data'!R:R),"")</f>
        <v>0.16647449630196376</v>
      </c>
      <c r="W151" s="36" t="s">
        <v>345</v>
      </c>
      <c r="X151" s="40"/>
      <c r="Y151" s="40" t="s">
        <v>372</v>
      </c>
      <c r="Z151" s="46">
        <v>0.62638888888888888</v>
      </c>
      <c r="AA151" s="46">
        <v>0.62638888888888888</v>
      </c>
      <c r="AB151" s="46">
        <v>0.62638888888888888</v>
      </c>
      <c r="AC151" s="46">
        <v>0.64236111111111116</v>
      </c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0.38333333333333464</v>
      </c>
      <c r="AG151" s="44">
        <f>IFERROR((PA[[#This Row],[Work Completion time on fault]]-PA[[#This Row],[Fault Time]])*24,"")</f>
        <v>0.38333333333333464</v>
      </c>
      <c r="AH151" s="36" t="s">
        <v>373</v>
      </c>
      <c r="AI151" s="33" t="s">
        <v>298</v>
      </c>
      <c r="AJ151" s="35">
        <f ca="1">IFERROR(PA[[#This Row],[Breakdown Time]]*PA[[#This Row],[Plant Equivalent Weightage]],"")</f>
        <v>6.3815223582419658E-2</v>
      </c>
      <c r="AK151" s="36">
        <v>7.0935888000000002E-2</v>
      </c>
      <c r="AL151" s="51">
        <f>IFERROR((_xlfn.XLOOKUP($G151,'Modelling New'!D:D,'Modelling New'!$O:$O)*PA[[#This Row],[Lost PoA(kWh/m2)]]*PA[[#This Row],[DC Capacity Affected (kW)]]),"")</f>
        <v>382.93763671969202</v>
      </c>
      <c r="AM151" s="33"/>
      <c r="AN151" s="33"/>
      <c r="AO151" s="33">
        <v>4657</v>
      </c>
      <c r="AP151" s="33"/>
    </row>
    <row r="152" spans="1:42">
      <c r="A152" s="30">
        <v>151</v>
      </c>
      <c r="B152" s="31">
        <v>45839</v>
      </c>
      <c r="C152" s="32">
        <f>YEAR(PA[[#This Row],[Date]])+IF(MONTH(PA[[#This Row],[Date]])&gt;=4,1,0)</f>
        <v>2026</v>
      </c>
      <c r="D152" s="32">
        <f>YEAR(PA[[#This Row],[Date]])</f>
        <v>2025</v>
      </c>
      <c r="E152" s="33" t="s">
        <v>219</v>
      </c>
      <c r="F152" s="33" t="s">
        <v>219</v>
      </c>
      <c r="G152" s="196">
        <f>PA[[#This Row],[Date]]-DAY(PA[[#This Row],[Date]])+1</f>
        <v>45839</v>
      </c>
      <c r="H152" s="32">
        <f>DAY(EOMONTH(PA[[#This Row],[Month Year]],0))</f>
        <v>31</v>
      </c>
      <c r="I152" s="122">
        <v>0.2638888888888889</v>
      </c>
      <c r="J152" s="122">
        <v>0.75555555555555554</v>
      </c>
      <c r="K152" s="35">
        <f>IFERROR((PA[[#This Row],[Sunset Time (POA&lt;20 W/m2)]]-PA[[#This Row],[Sunrise Time (POA&gt;20 W/m2)]])*24,"")</f>
        <v>11.799999999999999</v>
      </c>
      <c r="L152" s="33" t="s">
        <v>303</v>
      </c>
      <c r="M152" s="33" t="s">
        <v>294</v>
      </c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2" s="35">
        <f>IFERROR(_xlfn.XLOOKUP(PA[[#This Row],[Affected Equipment ]],'Basic Data'!N:N,'Basic Data'!Q:Q),"")</f>
        <v>5104</v>
      </c>
      <c r="V152" s="39">
        <f ca="1">IFERROR(_xlfn.XLOOKUP(PA[[#This Row],[Affected Equipment ]],'Basic Data'!N:N,'Basic Data'!R:R),"")</f>
        <v>0.13017087477684264</v>
      </c>
      <c r="W152" s="36" t="s">
        <v>345</v>
      </c>
      <c r="X152" s="40"/>
      <c r="Y152" s="40" t="s">
        <v>372</v>
      </c>
      <c r="Z152" s="46">
        <v>0.62638888888888888</v>
      </c>
      <c r="AA152" s="46">
        <v>0.62638888888888888</v>
      </c>
      <c r="AB152" s="46">
        <v>0.62638888888888888</v>
      </c>
      <c r="AC152" s="46">
        <v>0.64097222222222228</v>
      </c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0.35000000000000142</v>
      </c>
      <c r="AG152" s="44">
        <f>IFERROR((PA[[#This Row],[Work Completion time on fault]]-PA[[#This Row],[Fault Time]])*24,"")</f>
        <v>0.35000000000000142</v>
      </c>
      <c r="AH152" s="36" t="s">
        <v>373</v>
      </c>
      <c r="AI152" s="33" t="s">
        <v>298</v>
      </c>
      <c r="AJ152" s="35">
        <f ca="1">IFERROR(PA[[#This Row],[Breakdown Time]]*PA[[#This Row],[Plant Equivalent Weightage]],"")</f>
        <v>4.5559806171895111E-2</v>
      </c>
      <c r="AK152" s="36">
        <v>6.5984580000000001E-2</v>
      </c>
      <c r="AL152" s="51">
        <f>IFERROR((_xlfn.XLOOKUP($G152,'Modelling New'!D:D,'Modelling New'!$O:$O)*PA[[#This Row],[Lost PoA(kWh/m2)]]*PA[[#This Row],[DC Capacity Affected (kW)]]),"")</f>
        <v>278.52912418984079</v>
      </c>
      <c r="AM152" s="33"/>
      <c r="AN152" s="33"/>
      <c r="AO152" s="33">
        <v>4657</v>
      </c>
      <c r="AP152" s="33"/>
    </row>
    <row r="153" spans="1:42">
      <c r="A153" s="30">
        <v>152</v>
      </c>
      <c r="B153" s="31">
        <v>45839</v>
      </c>
      <c r="C153" s="32">
        <f>YEAR(PA[[#This Row],[Date]])+IF(MONTH(PA[[#This Row],[Date]])&gt;=4,1,0)</f>
        <v>2026</v>
      </c>
      <c r="D153" s="32">
        <f>YEAR(PA[[#This Row],[Date]])</f>
        <v>2025</v>
      </c>
      <c r="E153" s="33" t="s">
        <v>219</v>
      </c>
      <c r="F153" s="33" t="s">
        <v>219</v>
      </c>
      <c r="G153" s="196">
        <f>PA[[#This Row],[Date]]-DAY(PA[[#This Row],[Date]])+1</f>
        <v>45839</v>
      </c>
      <c r="H153" s="32">
        <f>DAY(EOMONTH(PA[[#This Row],[Month Year]],0))</f>
        <v>31</v>
      </c>
      <c r="I153" s="122">
        <v>0.2638888888888889</v>
      </c>
      <c r="J153" s="122">
        <v>0.75555555555555554</v>
      </c>
      <c r="K153" s="35">
        <f>IFERROR((PA[[#This Row],[Sunset Time (POA&lt;20 W/m2)]]-PA[[#This Row],[Sunrise Time (POA&gt;20 W/m2)]])*24,"")</f>
        <v>11.799999999999999</v>
      </c>
      <c r="L153" s="33" t="s">
        <v>303</v>
      </c>
      <c r="M153" s="33" t="s">
        <v>299</v>
      </c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53" s="35">
        <f>IFERROR(_xlfn.XLOOKUP(PA[[#This Row],[Affected Equipment ]],'Basic Data'!N:N,'Basic Data'!Q:Q),"")</f>
        <v>5104</v>
      </c>
      <c r="V153" s="39">
        <f ca="1">IFERROR(_xlfn.XLOOKUP(PA[[#This Row],[Affected Equipment ]],'Basic Data'!N:N,'Basic Data'!R:R),"")</f>
        <v>0.13017087477684264</v>
      </c>
      <c r="W153" s="36" t="s">
        <v>345</v>
      </c>
      <c r="X153" s="40"/>
      <c r="Y153" s="40" t="s">
        <v>372</v>
      </c>
      <c r="Z153" s="46">
        <v>0.62638888888888888</v>
      </c>
      <c r="AA153" s="46">
        <v>0.62638888888888888</v>
      </c>
      <c r="AB153" s="46">
        <v>0.62638888888888888</v>
      </c>
      <c r="AC153" s="46">
        <v>0.6430555555555556</v>
      </c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0.40000000000000124</v>
      </c>
      <c r="AG153" s="44">
        <f>IFERROR((PA[[#This Row],[Work Completion time on fault]]-PA[[#This Row],[Fault Time]])*24,"")</f>
        <v>0.40000000000000124</v>
      </c>
      <c r="AH153" s="36" t="s">
        <v>373</v>
      </c>
      <c r="AI153" s="33" t="s">
        <v>298</v>
      </c>
      <c r="AJ153" s="35">
        <f ca="1">IFERROR(PA[[#This Row],[Breakdown Time]]*PA[[#This Row],[Plant Equivalent Weightage]],"")</f>
        <v>5.2068349910737215E-2</v>
      </c>
      <c r="AK153" s="36">
        <v>7.3908917000000005E-2</v>
      </c>
      <c r="AL153" s="51">
        <f>IFERROR((_xlfn.XLOOKUP($G153,'Modelling New'!D:D,'Modelling New'!$O:$O)*PA[[#This Row],[Lost PoA(kWh/m2)]]*PA[[#This Row],[DC Capacity Affected (kW)]]),"")</f>
        <v>311.97873687806509</v>
      </c>
      <c r="AM153" s="33"/>
      <c r="AN153" s="33"/>
      <c r="AO153" s="33">
        <v>4657</v>
      </c>
      <c r="AP153" s="33"/>
    </row>
    <row r="154" spans="1:42">
      <c r="A154" s="30">
        <v>153</v>
      </c>
      <c r="B154" s="31">
        <v>45840</v>
      </c>
      <c r="C154" s="32">
        <f>YEAR(PA[[#This Row],[Date]])+IF(MONTH(PA[[#This Row],[Date]])&gt;=4,1,0)</f>
        <v>2026</v>
      </c>
      <c r="D154" s="32">
        <f>YEAR(PA[[#This Row],[Date]])</f>
        <v>2025</v>
      </c>
      <c r="E154" s="33" t="s">
        <v>219</v>
      </c>
      <c r="F154" s="33" t="s">
        <v>219</v>
      </c>
      <c r="G154" s="196">
        <f>PA[[#This Row],[Date]]-DAY(PA[[#This Row],[Date]])+1</f>
        <v>45839</v>
      </c>
      <c r="H154" s="32">
        <f>DAY(EOMONTH(PA[[#This Row],[Month Year]],0))</f>
        <v>31</v>
      </c>
      <c r="I154" s="122">
        <v>0.25486111111111109</v>
      </c>
      <c r="J154" s="122">
        <v>0.7319444444444444</v>
      </c>
      <c r="K154" s="35">
        <f>IFERROR((PA[[#This Row],[Sunset Time (POA&lt;20 W/m2)]]-PA[[#This Row],[Sunrise Time (POA&gt;20 W/m2)]])*24,"")</f>
        <v>11.45</v>
      </c>
      <c r="L154" s="33" t="s">
        <v>300</v>
      </c>
      <c r="M154" s="33" t="s">
        <v>294</v>
      </c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54" s="35">
        <f>IFERROR(_xlfn.XLOOKUP(PA[[#This Row],[Affected Equipment ]],'Basic Data'!N:N,'Basic Data'!Q:Q),"")</f>
        <v>4662.4750000000004</v>
      </c>
      <c r="V154" s="39">
        <f ca="1">IFERROR(_xlfn.XLOOKUP(PA[[#This Row],[Affected Equipment ]],'Basic Data'!N:N,'Basic Data'!R:R),"")</f>
        <v>0.11891035450140271</v>
      </c>
      <c r="W154" s="36" t="s">
        <v>345</v>
      </c>
      <c r="X154" s="40"/>
      <c r="Y154" s="40" t="s">
        <v>372</v>
      </c>
      <c r="Z154" s="46">
        <v>0.58402777777777781</v>
      </c>
      <c r="AA154" s="46">
        <v>0.58402777777777781</v>
      </c>
      <c r="AB154" s="46">
        <v>0.58402777777777781</v>
      </c>
      <c r="AC154" s="46">
        <v>0.60624999999999996</v>
      </c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0.53333333333333144</v>
      </c>
      <c r="AG154" s="44">
        <f>IFERROR((PA[[#This Row],[Work Completion time on fault]]-PA[[#This Row],[Fault Time]])*24,"")</f>
        <v>0.53333333333333144</v>
      </c>
      <c r="AH154" s="36" t="s">
        <v>373</v>
      </c>
      <c r="AI154" s="33" t="s">
        <v>298</v>
      </c>
      <c r="AJ154" s="35">
        <f ca="1">IFERROR(PA[[#This Row],[Breakdown Time]]*PA[[#This Row],[Plant Equivalent Weightage]],"")</f>
        <v>6.3418855734081223E-2</v>
      </c>
      <c r="AK154" s="36">
        <v>0.138228345</v>
      </c>
      <c r="AL154" s="51">
        <f>IFERROR((_xlfn.XLOOKUP($G154,'Modelling New'!D:D,'Modelling New'!$O:$O)*PA[[#This Row],[Lost PoA(kWh/m2)]]*PA[[#This Row],[DC Capacity Affected (kW)]]),"")</f>
        <v>533.00479443367499</v>
      </c>
      <c r="AM154" s="33"/>
      <c r="AN154" s="33"/>
      <c r="AO154" s="33">
        <v>4674</v>
      </c>
      <c r="AP154" s="33"/>
    </row>
    <row r="155" spans="1:42">
      <c r="A155" s="30">
        <v>154</v>
      </c>
      <c r="B155" s="31">
        <v>45840</v>
      </c>
      <c r="C155" s="32">
        <f>YEAR(PA[[#This Row],[Date]])+IF(MONTH(PA[[#This Row],[Date]])&gt;=4,1,0)</f>
        <v>2026</v>
      </c>
      <c r="D155" s="32">
        <f>YEAR(PA[[#This Row],[Date]])</f>
        <v>2025</v>
      </c>
      <c r="E155" s="33" t="s">
        <v>219</v>
      </c>
      <c r="F155" s="33" t="s">
        <v>219</v>
      </c>
      <c r="G155" s="196">
        <f>PA[[#This Row],[Date]]-DAY(PA[[#This Row],[Date]])+1</f>
        <v>45839</v>
      </c>
      <c r="H155" s="32">
        <f>DAY(EOMONTH(PA[[#This Row],[Month Year]],0))</f>
        <v>31</v>
      </c>
      <c r="I155" s="122">
        <v>0.25486111111111109</v>
      </c>
      <c r="J155" s="122">
        <v>0.7319444444444444</v>
      </c>
      <c r="K155" s="35">
        <f>IFERROR((PA[[#This Row],[Sunset Time (POA&lt;20 W/m2)]]-PA[[#This Row],[Sunrise Time (POA&gt;20 W/m2)]])*24,"")</f>
        <v>11.45</v>
      </c>
      <c r="L155" s="33" t="s">
        <v>300</v>
      </c>
      <c r="M155" s="33" t="s">
        <v>299</v>
      </c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5" s="35">
        <f>IFERROR(_xlfn.XLOOKUP(PA[[#This Row],[Affected Equipment ]],'Basic Data'!N:N,'Basic Data'!Q:Q),"")</f>
        <v>4662.4750000000004</v>
      </c>
      <c r="V155" s="39">
        <f ca="1">IFERROR(_xlfn.XLOOKUP(PA[[#This Row],[Affected Equipment ]],'Basic Data'!N:N,'Basic Data'!R:R),"")</f>
        <v>0.11891035450140271</v>
      </c>
      <c r="W155" s="36" t="s">
        <v>345</v>
      </c>
      <c r="X155" s="40"/>
      <c r="Y155" s="40" t="s">
        <v>372</v>
      </c>
      <c r="Z155" s="46">
        <v>0.58402777777777781</v>
      </c>
      <c r="AA155" s="46">
        <v>0.58402777777777781</v>
      </c>
      <c r="AB155" s="46">
        <v>0.58402777777777781</v>
      </c>
      <c r="AC155" s="46">
        <v>0.60624999999999996</v>
      </c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0.53333333333333144</v>
      </c>
      <c r="AG155" s="44">
        <f>IFERROR((PA[[#This Row],[Work Completion time on fault]]-PA[[#This Row],[Fault Time]])*24,"")</f>
        <v>0.53333333333333144</v>
      </c>
      <c r="AH155" s="36" t="s">
        <v>373</v>
      </c>
      <c r="AI155" s="33" t="s">
        <v>298</v>
      </c>
      <c r="AJ155" s="35">
        <f ca="1">IFERROR(PA[[#This Row],[Breakdown Time]]*PA[[#This Row],[Plant Equivalent Weightage]],"")</f>
        <v>6.3418855734081223E-2</v>
      </c>
      <c r="AK155" s="36">
        <v>0.138228345</v>
      </c>
      <c r="AL155" s="51">
        <f>IFERROR((_xlfn.XLOOKUP($G155,'Modelling New'!D:D,'Modelling New'!$O:$O)*PA[[#This Row],[Lost PoA(kWh/m2)]]*PA[[#This Row],[DC Capacity Affected (kW)]]),"")</f>
        <v>533.00479443367499</v>
      </c>
      <c r="AM155" s="33"/>
      <c r="AN155" s="33"/>
      <c r="AO155" s="33">
        <v>4674</v>
      </c>
      <c r="AP155" s="33"/>
    </row>
    <row r="156" spans="1:42">
      <c r="A156" s="30">
        <v>155</v>
      </c>
      <c r="B156" s="31">
        <v>45840</v>
      </c>
      <c r="C156" s="32">
        <f>YEAR(PA[[#This Row],[Date]])+IF(MONTH(PA[[#This Row],[Date]])&gt;=4,1,0)</f>
        <v>2026</v>
      </c>
      <c r="D156" s="32">
        <f>YEAR(PA[[#This Row],[Date]])</f>
        <v>2025</v>
      </c>
      <c r="E156" s="33" t="s">
        <v>219</v>
      </c>
      <c r="F156" s="33" t="s">
        <v>219</v>
      </c>
      <c r="G156" s="196">
        <f>PA[[#This Row],[Date]]-DAY(PA[[#This Row],[Date]])+1</f>
        <v>45839</v>
      </c>
      <c r="H156" s="32">
        <f>DAY(EOMONTH(PA[[#This Row],[Month Year]],0))</f>
        <v>31</v>
      </c>
      <c r="I156" s="122">
        <v>0.25486111111111109</v>
      </c>
      <c r="J156" s="122">
        <v>0.7319444444444444</v>
      </c>
      <c r="K156" s="35">
        <f>IFERROR((PA[[#This Row],[Sunset Time (POA&lt;20 W/m2)]]-PA[[#This Row],[Sunrise Time (POA&gt;20 W/m2)]])*24,"")</f>
        <v>11.45</v>
      </c>
      <c r="L156" s="33" t="s">
        <v>293</v>
      </c>
      <c r="M156" s="33" t="s">
        <v>294</v>
      </c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56" s="35">
        <f>IFERROR(_xlfn.XLOOKUP(PA[[#This Row],[Affected Equipment ]],'Basic Data'!N:N,'Basic Data'!Q:Q),"")</f>
        <v>6511.66</v>
      </c>
      <c r="V156" s="39">
        <f ca="1">IFERROR(_xlfn.XLOOKUP(PA[[#This Row],[Affected Equipment ]],'Basic Data'!N:N,'Basic Data'!R:R),"")</f>
        <v>0.1660714103545014</v>
      </c>
      <c r="W156" s="36" t="s">
        <v>345</v>
      </c>
      <c r="X156" s="40"/>
      <c r="Y156" s="40" t="s">
        <v>372</v>
      </c>
      <c r="Z156" s="46">
        <v>0.58402777777777781</v>
      </c>
      <c r="AA156" s="46">
        <v>0.58402777777777781</v>
      </c>
      <c r="AB156" s="46">
        <v>0.58402777777777781</v>
      </c>
      <c r="AC156" s="46">
        <v>0.66736111111111107</v>
      </c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1.9999999999999982</v>
      </c>
      <c r="AG156" s="44">
        <f>IFERROR((PA[[#This Row],[Work Completion time on fault]]-PA[[#This Row],[Fault Time]])*24,"")</f>
        <v>1.9999999999999982</v>
      </c>
      <c r="AH156" s="36" t="s">
        <v>373</v>
      </c>
      <c r="AI156" s="33" t="s">
        <v>298</v>
      </c>
      <c r="AJ156" s="35">
        <f ca="1">IFERROR(PA[[#This Row],[Breakdown Time]]*PA[[#This Row],[Plant Equivalent Weightage]],"")</f>
        <v>0.33214282070900253</v>
      </c>
      <c r="AK156" s="36">
        <v>0.22273204499999999</v>
      </c>
      <c r="AL156" s="51">
        <f>IFERROR((_xlfn.XLOOKUP($G156,'Modelling New'!D:D,'Modelling New'!$O:$O)*PA[[#This Row],[Lost PoA(kWh/m2)]]*PA[[#This Row],[DC Capacity Affected (kW)]]),"")</f>
        <v>1199.4769643950319</v>
      </c>
      <c r="AM156" s="33"/>
      <c r="AN156" s="33"/>
      <c r="AO156" s="33">
        <v>4674</v>
      </c>
      <c r="AP156" s="33"/>
    </row>
    <row r="157" spans="1:42">
      <c r="A157" s="30">
        <v>156</v>
      </c>
      <c r="B157" s="31">
        <v>45840</v>
      </c>
      <c r="C157" s="32">
        <f>YEAR(PA[[#This Row],[Date]])+IF(MONTH(PA[[#This Row],[Date]])&gt;=4,1,0)</f>
        <v>2026</v>
      </c>
      <c r="D157" s="32">
        <f>YEAR(PA[[#This Row],[Date]])</f>
        <v>2025</v>
      </c>
      <c r="E157" s="33" t="s">
        <v>219</v>
      </c>
      <c r="F157" s="33" t="s">
        <v>219</v>
      </c>
      <c r="G157" s="196">
        <f>PA[[#This Row],[Date]]-DAY(PA[[#This Row],[Date]])+1</f>
        <v>45839</v>
      </c>
      <c r="H157" s="32">
        <f>DAY(EOMONTH(PA[[#This Row],[Month Year]],0))</f>
        <v>31</v>
      </c>
      <c r="I157" s="122">
        <v>0.25486111111111109</v>
      </c>
      <c r="J157" s="122">
        <v>0.7319444444444444</v>
      </c>
      <c r="K157" s="35">
        <f>IFERROR((PA[[#This Row],[Sunset Time (POA&lt;20 W/m2)]]-PA[[#This Row],[Sunrise Time (POA&gt;20 W/m2)]])*24,"")</f>
        <v>11.45</v>
      </c>
      <c r="L157" s="33" t="s">
        <v>293</v>
      </c>
      <c r="M157" s="33" t="s">
        <v>299</v>
      </c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7" s="35">
        <f>IFERROR(_xlfn.XLOOKUP(PA[[#This Row],[Affected Equipment ]],'Basic Data'!N:N,'Basic Data'!Q:Q),"")</f>
        <v>6495.8549999999996</v>
      </c>
      <c r="V157" s="39">
        <f ca="1">IFERROR(_xlfn.XLOOKUP(PA[[#This Row],[Affected Equipment ]],'Basic Data'!N:N,'Basic Data'!R:R),"")</f>
        <v>0.16566832440703902</v>
      </c>
      <c r="W157" s="36" t="s">
        <v>345</v>
      </c>
      <c r="X157" s="40"/>
      <c r="Y157" s="40" t="s">
        <v>372</v>
      </c>
      <c r="Z157" s="46">
        <v>0.58402777777777781</v>
      </c>
      <c r="AA157" s="46">
        <v>0.58402777777777781</v>
      </c>
      <c r="AB157" s="46">
        <v>0.58402777777777781</v>
      </c>
      <c r="AC157" s="46">
        <v>0.66736111111111107</v>
      </c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1.9999999999999982</v>
      </c>
      <c r="AG157" s="44">
        <f>IFERROR((PA[[#This Row],[Work Completion time on fault]]-PA[[#This Row],[Fault Time]])*24,"")</f>
        <v>1.9999999999999982</v>
      </c>
      <c r="AH157" s="36" t="s">
        <v>373</v>
      </c>
      <c r="AI157" s="33" t="s">
        <v>298</v>
      </c>
      <c r="AJ157" s="35">
        <f ca="1">IFERROR(PA[[#This Row],[Breakdown Time]]*PA[[#This Row],[Plant Equivalent Weightage]],"")</f>
        <v>0.33133664881407776</v>
      </c>
      <c r="AK157" s="36">
        <v>0.22273204499999999</v>
      </c>
      <c r="AL157" s="51">
        <f>IFERROR((_xlfn.XLOOKUP($G157,'Modelling New'!D:D,'Modelling New'!$O:$O)*PA[[#This Row],[Lost PoA(kWh/m2)]]*PA[[#This Row],[DC Capacity Affected (kW)]]),"")</f>
        <v>1196.565612539704</v>
      </c>
      <c r="AM157" s="33"/>
      <c r="AN157" s="33"/>
      <c r="AO157" s="33">
        <v>4674</v>
      </c>
      <c r="AP157" s="33"/>
    </row>
    <row r="158" spans="1:42">
      <c r="A158" s="30">
        <v>157</v>
      </c>
      <c r="B158" s="31">
        <v>45840</v>
      </c>
      <c r="C158" s="32">
        <f>YEAR(PA[[#This Row],[Date]])+IF(MONTH(PA[[#This Row],[Date]])&gt;=4,1,0)</f>
        <v>2026</v>
      </c>
      <c r="D158" s="32">
        <f>YEAR(PA[[#This Row],[Date]])</f>
        <v>2025</v>
      </c>
      <c r="E158" s="33" t="s">
        <v>219</v>
      </c>
      <c r="F158" s="33" t="s">
        <v>219</v>
      </c>
      <c r="G158" s="196">
        <f>PA[[#This Row],[Date]]-DAY(PA[[#This Row],[Date]])+1</f>
        <v>45839</v>
      </c>
      <c r="H158" s="32">
        <f>DAY(EOMONTH(PA[[#This Row],[Month Year]],0))</f>
        <v>31</v>
      </c>
      <c r="I158" s="122">
        <v>0.25486111111111109</v>
      </c>
      <c r="J158" s="122">
        <v>0.7319444444444444</v>
      </c>
      <c r="K158" s="35">
        <f>IFERROR((PA[[#This Row],[Sunset Time (POA&lt;20 W/m2)]]-PA[[#This Row],[Sunrise Time (POA&gt;20 W/m2)]])*24,"")</f>
        <v>11.45</v>
      </c>
      <c r="L158" s="33" t="s">
        <v>302</v>
      </c>
      <c r="M158" s="33" t="s">
        <v>294</v>
      </c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8" s="35">
        <f>IFERROR(_xlfn.XLOOKUP(PA[[#This Row],[Affected Equipment ]],'Basic Data'!N:N,'Basic Data'!Q:Q),"")</f>
        <v>6527.4649999999992</v>
      </c>
      <c r="V158" s="39">
        <f ca="1">IFERROR(_xlfn.XLOOKUP(PA[[#This Row],[Affected Equipment ]],'Basic Data'!N:N,'Basic Data'!R:R),"")</f>
        <v>0.16647449630196376</v>
      </c>
      <c r="W158" s="36" t="s">
        <v>345</v>
      </c>
      <c r="X158" s="40"/>
      <c r="Y158" s="40" t="s">
        <v>372</v>
      </c>
      <c r="Z158" s="46">
        <v>0.58402777777777781</v>
      </c>
      <c r="AA158" s="46">
        <v>0.58402777777777781</v>
      </c>
      <c r="AB158" s="46">
        <v>0.58402777777777781</v>
      </c>
      <c r="AC158" s="46">
        <v>0.60277777777777775</v>
      </c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0.4499999999999984</v>
      </c>
      <c r="AG158" s="44">
        <f>IFERROR((PA[[#This Row],[Work Completion time on fault]]-PA[[#This Row],[Fault Time]])*24,"")</f>
        <v>0.4499999999999984</v>
      </c>
      <c r="AH158" s="36" t="s">
        <v>373</v>
      </c>
      <c r="AI158" s="33" t="s">
        <v>298</v>
      </c>
      <c r="AJ158" s="35">
        <f ca="1">IFERROR(PA[[#This Row],[Breakdown Time]]*PA[[#This Row],[Plant Equivalent Weightage]],"")</f>
        <v>7.4913523335883428E-2</v>
      </c>
      <c r="AK158" s="36">
        <v>0.129250742</v>
      </c>
      <c r="AL158" s="51">
        <f>IFERROR((_xlfn.XLOOKUP($G158,'Modelling New'!D:D,'Modelling New'!$O:$O)*PA[[#This Row],[Lost PoA(kWh/m2)]]*PA[[#This Row],[DC Capacity Affected (kW)]]),"")</f>
        <v>697.74235695402365</v>
      </c>
      <c r="AM158" s="33"/>
      <c r="AN158" s="33"/>
      <c r="AO158" s="33">
        <v>4674</v>
      </c>
      <c r="AP158" s="33"/>
    </row>
    <row r="159" spans="1:42">
      <c r="A159" s="30">
        <v>158</v>
      </c>
      <c r="B159" s="31">
        <v>45840</v>
      </c>
      <c r="C159" s="32">
        <f>YEAR(PA[[#This Row],[Date]])+IF(MONTH(PA[[#This Row],[Date]])&gt;=4,1,0)</f>
        <v>2026</v>
      </c>
      <c r="D159" s="32">
        <f>YEAR(PA[[#This Row],[Date]])</f>
        <v>2025</v>
      </c>
      <c r="E159" s="33" t="s">
        <v>219</v>
      </c>
      <c r="F159" s="33" t="s">
        <v>219</v>
      </c>
      <c r="G159" s="196">
        <f>PA[[#This Row],[Date]]-DAY(PA[[#This Row],[Date]])+1</f>
        <v>45839</v>
      </c>
      <c r="H159" s="32">
        <f>DAY(EOMONTH(PA[[#This Row],[Month Year]],0))</f>
        <v>31</v>
      </c>
      <c r="I159" s="122">
        <v>0.25486111111111109</v>
      </c>
      <c r="J159" s="122">
        <v>0.7319444444444444</v>
      </c>
      <c r="K159" s="35">
        <f>IFERROR((PA[[#This Row],[Sunset Time (POA&lt;20 W/m2)]]-PA[[#This Row],[Sunrise Time (POA&gt;20 W/m2)]])*24,"")</f>
        <v>11.45</v>
      </c>
      <c r="L159" s="33" t="s">
        <v>303</v>
      </c>
      <c r="M159" s="33" t="s">
        <v>294</v>
      </c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9" s="35">
        <f>IFERROR(_xlfn.XLOOKUP(PA[[#This Row],[Affected Equipment ]],'Basic Data'!N:N,'Basic Data'!Q:Q),"")</f>
        <v>5104</v>
      </c>
      <c r="V159" s="39">
        <f ca="1">IFERROR(_xlfn.XLOOKUP(PA[[#This Row],[Affected Equipment ]],'Basic Data'!N:N,'Basic Data'!R:R),"")</f>
        <v>0.13017087477684264</v>
      </c>
      <c r="W159" s="36" t="s">
        <v>345</v>
      </c>
      <c r="X159" s="40"/>
      <c r="Y159" s="40" t="s">
        <v>372</v>
      </c>
      <c r="Z159" s="46">
        <v>0.58402777777777781</v>
      </c>
      <c r="AA159" s="46">
        <v>0.58402777777777781</v>
      </c>
      <c r="AB159" s="46">
        <v>0.58402777777777781</v>
      </c>
      <c r="AC159" s="46">
        <v>0.60277777777777775</v>
      </c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0.4499999999999984</v>
      </c>
      <c r="AG159" s="44">
        <f>IFERROR((PA[[#This Row],[Work Completion time on fault]]-PA[[#This Row],[Fault Time]])*24,"")</f>
        <v>0.4499999999999984</v>
      </c>
      <c r="AH159" s="36" t="s">
        <v>373</v>
      </c>
      <c r="AI159" s="33" t="s">
        <v>298</v>
      </c>
      <c r="AJ159" s="35">
        <f ca="1">IFERROR(PA[[#This Row],[Breakdown Time]]*PA[[#This Row],[Plant Equivalent Weightage]],"")</f>
        <v>5.8576893649578979E-2</v>
      </c>
      <c r="AK159" s="36">
        <v>0.129250742</v>
      </c>
      <c r="AL159" s="51">
        <f>IFERROR((_xlfn.XLOOKUP($G159,'Modelling New'!D:D,'Modelling New'!$O:$O)*PA[[#This Row],[Lost PoA(kWh/m2)]]*PA[[#This Row],[DC Capacity Affected (kW)]]),"")</f>
        <v>545.58346768513309</v>
      </c>
      <c r="AM159" s="33"/>
      <c r="AN159" s="33"/>
      <c r="AO159" s="33">
        <v>4674</v>
      </c>
      <c r="AP159" s="33"/>
    </row>
    <row r="160" spans="1:42">
      <c r="A160" s="30">
        <v>159</v>
      </c>
      <c r="B160" s="31">
        <v>45840</v>
      </c>
      <c r="C160" s="32">
        <f>YEAR(PA[[#This Row],[Date]])+IF(MONTH(PA[[#This Row],[Date]])&gt;=4,1,0)</f>
        <v>2026</v>
      </c>
      <c r="D160" s="32">
        <f>YEAR(PA[[#This Row],[Date]])</f>
        <v>2025</v>
      </c>
      <c r="E160" s="33" t="s">
        <v>219</v>
      </c>
      <c r="F160" s="33" t="s">
        <v>219</v>
      </c>
      <c r="G160" s="196">
        <f>PA[[#This Row],[Date]]-DAY(PA[[#This Row],[Date]])+1</f>
        <v>45839</v>
      </c>
      <c r="H160" s="32">
        <f>DAY(EOMONTH(PA[[#This Row],[Month Year]],0))</f>
        <v>31</v>
      </c>
      <c r="I160" s="122">
        <v>0.25486111111111109</v>
      </c>
      <c r="J160" s="122">
        <v>0.7319444444444444</v>
      </c>
      <c r="K160" s="35">
        <f>IFERROR((PA[[#This Row],[Sunset Time (POA&lt;20 W/m2)]]-PA[[#This Row],[Sunrise Time (POA&gt;20 W/m2)]])*24,"")</f>
        <v>11.45</v>
      </c>
      <c r="L160" s="33" t="s">
        <v>303</v>
      </c>
      <c r="M160" s="33" t="s">
        <v>299</v>
      </c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0" s="35">
        <f>IFERROR(_xlfn.XLOOKUP(PA[[#This Row],[Affected Equipment ]],'Basic Data'!N:N,'Basic Data'!Q:Q),"")</f>
        <v>5104</v>
      </c>
      <c r="V160" s="39">
        <f ca="1">IFERROR(_xlfn.XLOOKUP(PA[[#This Row],[Affected Equipment ]],'Basic Data'!N:N,'Basic Data'!R:R),"")</f>
        <v>0.13017087477684264</v>
      </c>
      <c r="W160" s="36" t="s">
        <v>345</v>
      </c>
      <c r="X160" s="40"/>
      <c r="Y160" s="40" t="s">
        <v>372</v>
      </c>
      <c r="Z160" s="46">
        <v>0.58402777777777781</v>
      </c>
      <c r="AA160" s="46">
        <v>0.58402777777777781</v>
      </c>
      <c r="AB160" s="46">
        <v>0.58402777777777781</v>
      </c>
      <c r="AC160" s="46">
        <v>0.60486111111111107</v>
      </c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0.49999999999999822</v>
      </c>
      <c r="AG160" s="44">
        <f>IFERROR((PA[[#This Row],[Work Completion time on fault]]-PA[[#This Row],[Fault Time]])*24,"")</f>
        <v>0.49999999999999822</v>
      </c>
      <c r="AH160" s="36" t="s">
        <v>373</v>
      </c>
      <c r="AI160" s="33" t="s">
        <v>298</v>
      </c>
      <c r="AJ160" s="35">
        <f ca="1">IFERROR(PA[[#This Row],[Breakdown Time]]*PA[[#This Row],[Plant Equivalent Weightage]],"")</f>
        <v>6.5085437388421083E-2</v>
      </c>
      <c r="AK160" s="36">
        <v>0.13480704800000001</v>
      </c>
      <c r="AL160" s="51">
        <f>IFERROR((_xlfn.XLOOKUP($G160,'Modelling New'!D:D,'Modelling New'!$O:$O)*PA[[#This Row],[Lost PoA(kWh/m2)]]*PA[[#This Row],[DC Capacity Affected (kW)]]),"")</f>
        <v>569.03732681268616</v>
      </c>
      <c r="AM160" s="33"/>
      <c r="AN160" s="33"/>
      <c r="AO160" s="33">
        <v>4674</v>
      </c>
      <c r="AP160" s="33"/>
    </row>
    <row r="161" spans="1:42">
      <c r="A161" s="30">
        <v>160</v>
      </c>
      <c r="B161" s="31">
        <v>45840</v>
      </c>
      <c r="C161" s="32">
        <f>YEAR(PA[[#This Row],[Date]])+IF(MONTH(PA[[#This Row],[Date]])&gt;=4,1,0)</f>
        <v>2026</v>
      </c>
      <c r="D161" s="32">
        <f>YEAR(PA[[#This Row],[Date]])</f>
        <v>2025</v>
      </c>
      <c r="E161" s="33" t="s">
        <v>219</v>
      </c>
      <c r="F161" s="33" t="s">
        <v>219</v>
      </c>
      <c r="G161" s="196">
        <f>PA[[#This Row],[Date]]-DAY(PA[[#This Row],[Date]])+1</f>
        <v>45839</v>
      </c>
      <c r="H161" s="32">
        <f>DAY(EOMONTH(PA[[#This Row],[Month Year]],0))</f>
        <v>31</v>
      </c>
      <c r="I161" s="122">
        <v>0.25486111111111109</v>
      </c>
      <c r="J161" s="122">
        <v>0.7319444444444444</v>
      </c>
      <c r="K161" s="35">
        <f>IFERROR((PA[[#This Row],[Sunset Time (POA&lt;20 W/m2)]]-PA[[#This Row],[Sunrise Time (POA&gt;20 W/m2)]])*24,"")</f>
        <v>11.45</v>
      </c>
      <c r="L161" s="33" t="s">
        <v>302</v>
      </c>
      <c r="M161" s="33" t="s">
        <v>294</v>
      </c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1" s="35">
        <f>IFERROR(_xlfn.XLOOKUP(PA[[#This Row],[Affected Equipment ]],'Basic Data'!N:N,'Basic Data'!Q:Q),"")</f>
        <v>6527.4649999999992</v>
      </c>
      <c r="V161" s="39">
        <f ca="1">IFERROR(_xlfn.XLOOKUP(PA[[#This Row],[Affected Equipment ]],'Basic Data'!N:N,'Basic Data'!R:R),"")</f>
        <v>0.16647449630196376</v>
      </c>
      <c r="W161" s="36" t="s">
        <v>295</v>
      </c>
      <c r="X161" s="40"/>
      <c r="Y161" s="367" t="s">
        <v>754</v>
      </c>
      <c r="Z161" s="46">
        <v>0.64166666666666672</v>
      </c>
      <c r="AA161" s="46">
        <v>0.64166666666666672</v>
      </c>
      <c r="AB161" s="46">
        <v>0.64166666666666672</v>
      </c>
      <c r="AC161" s="42">
        <v>0.66319444444444442</v>
      </c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0.51666666666666483</v>
      </c>
      <c r="AG161" s="44">
        <f>IFERROR((PA[[#This Row],[Work Completion time on fault]]-PA[[#This Row],[Fault Time]])*24,"")</f>
        <v>0.51666666666666483</v>
      </c>
      <c r="AH161" s="36" t="s">
        <v>755</v>
      </c>
      <c r="AI161" s="33" t="s">
        <v>298</v>
      </c>
      <c r="AJ161" s="35">
        <f ca="1">IFERROR(PA[[#This Row],[Breakdown Time]]*PA[[#This Row],[Plant Equivalent Weightage]],"")</f>
        <v>8.6011823089347642E-2</v>
      </c>
      <c r="AK161" s="36">
        <v>1.8622637000000001E-2</v>
      </c>
      <c r="AL161" s="51">
        <f>IFERROR((_xlfn.XLOOKUP($G161,'Modelling New'!D:D,'Modelling New'!$O:$O)*PA[[#This Row],[Lost PoA(kWh/m2)]]*PA[[#This Row],[DC Capacity Affected (kW)]]),"")</f>
        <v>100.53174497891244</v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>
        <v>45841</v>
      </c>
      <c r="C162" s="32">
        <f>YEAR(PA[[#This Row],[Date]])+IF(MONTH(PA[[#This Row],[Date]])&gt;=4,1,0)</f>
        <v>2026</v>
      </c>
      <c r="D162" s="32">
        <f>YEAR(PA[[#This Row],[Date]])</f>
        <v>2025</v>
      </c>
      <c r="E162" s="33" t="s">
        <v>219</v>
      </c>
      <c r="F162" s="33" t="s">
        <v>219</v>
      </c>
      <c r="G162" s="196">
        <f>PA[[#This Row],[Date]]-DAY(PA[[#This Row],[Date]])+1</f>
        <v>45839</v>
      </c>
      <c r="H162" s="32">
        <f>DAY(EOMONTH(PA[[#This Row],[Month Year]],0))</f>
        <v>31</v>
      </c>
      <c r="I162" s="122">
        <v>0.25763888888888886</v>
      </c>
      <c r="J162" s="122">
        <v>0.77152777777777781</v>
      </c>
      <c r="K162" s="35">
        <f>IFERROR((PA[[#This Row],[Sunset Time (POA&lt;20 W/m2)]]-PA[[#This Row],[Sunrise Time (POA&gt;20 W/m2)]])*24,"")</f>
        <v>12.333333333333336</v>
      </c>
      <c r="L162" s="33" t="s">
        <v>303</v>
      </c>
      <c r="M162" s="33" t="s">
        <v>299</v>
      </c>
      <c r="N162" s="33" t="s">
        <v>313</v>
      </c>
      <c r="O162" s="36" t="s">
        <v>352</v>
      </c>
      <c r="P162" s="36" t="s">
        <v>348</v>
      </c>
      <c r="Q162" s="33"/>
      <c r="R162" s="32">
        <f>IF((PA[[#This Row],[String Type(If String BD)]]&amp;PA[[#This Row],[Equipment (If any BD other than PV  array and inv)]])="",1,0)</f>
        <v>0</v>
      </c>
      <c r="S162" s="32">
        <f>IF(PA[[#This Row],[String Type(If String BD)]]="",1,0)</f>
        <v>0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62" s="35">
        <f>IFERROR(_xlfn.XLOOKUP(PA[[#This Row],[Affected Equipment ]],'Basic Data'!N:N,'Basic Data'!Q:Q),"")</f>
        <v>31.9</v>
      </c>
      <c r="V162" s="39">
        <f ca="1">IFERROR(_xlfn.XLOOKUP(PA[[#This Row],[Affected Equipment ]],'Basic Data'!N:N,'Basic Data'!R:R),"")</f>
        <v>8.1356796735526649E-4</v>
      </c>
      <c r="W162" s="36" t="s">
        <v>349</v>
      </c>
      <c r="X162" s="40"/>
      <c r="Y162" s="40" t="s">
        <v>350</v>
      </c>
      <c r="Z162" s="46">
        <v>0.25763888888888886</v>
      </c>
      <c r="AA162" s="46">
        <v>0.25763888888888886</v>
      </c>
      <c r="AB162" s="46">
        <v>0.25763888888888886</v>
      </c>
      <c r="AC162" s="42">
        <v>0.66666666666666663</v>
      </c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9.8166666666666664</v>
      </c>
      <c r="AG162" s="44">
        <f>IFERROR((PA[[#This Row],[Work Completion time on fault]]-PA[[#This Row],[Fault Time]])*24,"")</f>
        <v>9.8166666666666664</v>
      </c>
      <c r="AH162" s="36" t="s">
        <v>351</v>
      </c>
      <c r="AI162" s="33" t="s">
        <v>298</v>
      </c>
      <c r="AJ162" s="35">
        <f ca="1">IFERROR(PA[[#This Row],[Breakdown Time]]*PA[[#This Row],[Plant Equivalent Weightage]],"")</f>
        <v>7.9865255462041995E-3</v>
      </c>
      <c r="AK162" s="36">
        <v>3.644533</v>
      </c>
      <c r="AL162" s="51">
        <f>IFERROR((_xlfn.XLOOKUP($G162,'Modelling New'!D:D,'Modelling New'!$O:$O)*PA[[#This Row],[Lost PoA(kWh/m2)]]*PA[[#This Row],[DC Capacity Affected (kW)]]),"")</f>
        <v>96.150171048578045</v>
      </c>
      <c r="AM162" s="33"/>
      <c r="AN162" s="33"/>
      <c r="AO162" s="33">
        <v>4703</v>
      </c>
      <c r="AP162" s="33" t="s">
        <v>756</v>
      </c>
    </row>
    <row r="163" spans="1:42">
      <c r="A163" s="30">
        <f t="shared" si="0"/>
        <v>162</v>
      </c>
      <c r="B163" s="31">
        <v>45844</v>
      </c>
      <c r="C163" s="32">
        <f>YEAR(PA[[#This Row],[Date]])+IF(MONTH(PA[[#This Row],[Date]])&gt;=4,1,0)</f>
        <v>2026</v>
      </c>
      <c r="D163" s="32">
        <f>YEAR(PA[[#This Row],[Date]])</f>
        <v>2025</v>
      </c>
      <c r="E163" s="33" t="s">
        <v>219</v>
      </c>
      <c r="F163" s="33" t="s">
        <v>219</v>
      </c>
      <c r="G163" s="196">
        <f>PA[[#This Row],[Date]]-DAY(PA[[#This Row],[Date]])+1</f>
        <v>45839</v>
      </c>
      <c r="H163" s="32">
        <f>DAY(EOMONTH(PA[[#This Row],[Month Year]],0))</f>
        <v>31</v>
      </c>
      <c r="I163" s="122">
        <v>0.27291666666666664</v>
      </c>
      <c r="J163" s="122">
        <v>0.74861111111111112</v>
      </c>
      <c r="K163" s="35">
        <f>IFERROR((PA[[#This Row],[Sunset Time (POA&lt;20 W/m2)]]-PA[[#This Row],[Sunrise Time (POA&gt;20 W/m2)]])*24,"")</f>
        <v>11.416666666666668</v>
      </c>
      <c r="L163" s="33" t="s">
        <v>300</v>
      </c>
      <c r="M163" s="33" t="s">
        <v>294</v>
      </c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63" s="35">
        <f>IFERROR(_xlfn.XLOOKUP(PA[[#This Row],[Affected Equipment ]],'Basic Data'!N:N,'Basic Data'!Q:Q),"")</f>
        <v>4662.4750000000004</v>
      </c>
      <c r="V163" s="39">
        <f ca="1">IFERROR(_xlfn.XLOOKUP(PA[[#This Row],[Affected Equipment ]],'Basic Data'!N:N,'Basic Data'!R:R),"")</f>
        <v>0.11891035450140271</v>
      </c>
      <c r="W163" s="36" t="s">
        <v>345</v>
      </c>
      <c r="X163" s="40"/>
      <c r="Y163" s="40" t="s">
        <v>372</v>
      </c>
      <c r="Z163" s="42">
        <v>0.58333333333333337</v>
      </c>
      <c r="AA163" s="42">
        <v>0.58333333333333337</v>
      </c>
      <c r="AB163" s="42">
        <v>0.58333333333333337</v>
      </c>
      <c r="AC163" s="42">
        <v>0.61111111111111116</v>
      </c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0.66666666666666696</v>
      </c>
      <c r="AG163" s="44">
        <f>IFERROR((PA[[#This Row],[Work Completion time on fault]]-PA[[#This Row],[Fault Time]])*24,"")</f>
        <v>0.66666666666666696</v>
      </c>
      <c r="AH163" s="36" t="s">
        <v>373</v>
      </c>
      <c r="AI163" s="33" t="s">
        <v>298</v>
      </c>
      <c r="AJ163" s="35">
        <f ca="1">IFERROR(PA[[#This Row],[Breakdown Time]]*PA[[#This Row],[Plant Equivalent Weightage]],"")</f>
        <v>7.9273569667601837E-2</v>
      </c>
      <c r="AK163" s="36">
        <v>0.25965670000000002</v>
      </c>
      <c r="AL163" s="51">
        <f>IFERROR((_xlfn.XLOOKUP($G163,'Modelling New'!D:D,'Modelling New'!$O:$O)*PA[[#This Row],[Lost PoA(kWh/m2)]]*PA[[#This Row],[DC Capacity Affected (kW)]]),"")</f>
        <v>1001.2292775901094</v>
      </c>
      <c r="AM163" s="33"/>
      <c r="AN163" s="33"/>
      <c r="AO163" s="33">
        <v>4774</v>
      </c>
      <c r="AP163" s="33" t="s">
        <v>757</v>
      </c>
    </row>
    <row r="164" spans="1:42">
      <c r="A164" s="30">
        <f t="shared" si="0"/>
        <v>163</v>
      </c>
      <c r="B164" s="31">
        <v>45844</v>
      </c>
      <c r="C164" s="32">
        <f>YEAR(PA[[#This Row],[Date]])+IF(MONTH(PA[[#This Row],[Date]])&gt;=4,1,0)</f>
        <v>2026</v>
      </c>
      <c r="D164" s="32">
        <f>YEAR(PA[[#This Row],[Date]])</f>
        <v>2025</v>
      </c>
      <c r="E164" s="33" t="s">
        <v>219</v>
      </c>
      <c r="F164" s="33" t="s">
        <v>219</v>
      </c>
      <c r="G164" s="196">
        <f>PA[[#This Row],[Date]]-DAY(PA[[#This Row],[Date]])+1</f>
        <v>45839</v>
      </c>
      <c r="H164" s="32">
        <f>DAY(EOMONTH(PA[[#This Row],[Month Year]],0))</f>
        <v>31</v>
      </c>
      <c r="I164" s="122">
        <v>0.27291666666666664</v>
      </c>
      <c r="J164" s="122">
        <v>0.74861111111111112</v>
      </c>
      <c r="K164" s="35">
        <f>IFERROR((PA[[#This Row],[Sunset Time (POA&lt;20 W/m2)]]-PA[[#This Row],[Sunrise Time (POA&gt;20 W/m2)]])*24,"")</f>
        <v>11.416666666666668</v>
      </c>
      <c r="L164" s="33" t="s">
        <v>300</v>
      </c>
      <c r="M164" s="33" t="s">
        <v>299</v>
      </c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64" s="35">
        <f>IFERROR(_xlfn.XLOOKUP(PA[[#This Row],[Affected Equipment ]],'Basic Data'!N:N,'Basic Data'!Q:Q),"")</f>
        <v>4662.4750000000004</v>
      </c>
      <c r="V164" s="39">
        <f ca="1">IFERROR(_xlfn.XLOOKUP(PA[[#This Row],[Affected Equipment ]],'Basic Data'!N:N,'Basic Data'!R:R),"")</f>
        <v>0.11891035450140271</v>
      </c>
      <c r="W164" s="36" t="s">
        <v>345</v>
      </c>
      <c r="X164" s="40"/>
      <c r="Y164" s="40" t="s">
        <v>372</v>
      </c>
      <c r="Z164" s="42">
        <v>0.58333333333333337</v>
      </c>
      <c r="AA164" s="42">
        <v>0.58333333333333337</v>
      </c>
      <c r="AB164" s="42">
        <v>0.58333333333333337</v>
      </c>
      <c r="AC164" s="42">
        <v>0.61111111111111116</v>
      </c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0.66666666666666696</v>
      </c>
      <c r="AG164" s="44">
        <f>IFERROR((PA[[#This Row],[Work Completion time on fault]]-PA[[#This Row],[Fault Time]])*24,"")</f>
        <v>0.66666666666666696</v>
      </c>
      <c r="AH164" s="36" t="s">
        <v>373</v>
      </c>
      <c r="AI164" s="33" t="s">
        <v>298</v>
      </c>
      <c r="AJ164" s="35">
        <f ca="1">IFERROR(PA[[#This Row],[Breakdown Time]]*PA[[#This Row],[Plant Equivalent Weightage]],"")</f>
        <v>7.9273569667601837E-2</v>
      </c>
      <c r="AK164" s="36">
        <v>0.25965670000000002</v>
      </c>
      <c r="AL164" s="51">
        <f>IFERROR((_xlfn.XLOOKUP($G164,'Modelling New'!D:D,'Modelling New'!$O:$O)*PA[[#This Row],[Lost PoA(kWh/m2)]]*PA[[#This Row],[DC Capacity Affected (kW)]]),"")</f>
        <v>1001.2292775901094</v>
      </c>
      <c r="AM164" s="33"/>
      <c r="AN164" s="33"/>
      <c r="AO164" s="33">
        <v>4774</v>
      </c>
      <c r="AP164" s="33" t="s">
        <v>758</v>
      </c>
    </row>
    <row r="165" spans="1:42">
      <c r="A165" s="30">
        <f t="shared" si="0"/>
        <v>164</v>
      </c>
      <c r="B165" s="31">
        <v>45844</v>
      </c>
      <c r="C165" s="32">
        <f>YEAR(PA[[#This Row],[Date]])+IF(MONTH(PA[[#This Row],[Date]])&gt;=4,1,0)</f>
        <v>2026</v>
      </c>
      <c r="D165" s="32">
        <f>YEAR(PA[[#This Row],[Date]])</f>
        <v>2025</v>
      </c>
      <c r="E165" s="33" t="s">
        <v>219</v>
      </c>
      <c r="F165" s="33" t="s">
        <v>219</v>
      </c>
      <c r="G165" s="196">
        <f>PA[[#This Row],[Date]]-DAY(PA[[#This Row],[Date]])+1</f>
        <v>45839</v>
      </c>
      <c r="H165" s="231">
        <f>DAY(EOMONTH(PA[[#This Row],[Month Year]],0))</f>
        <v>31</v>
      </c>
      <c r="I165" s="122">
        <v>0.27291666666666664</v>
      </c>
      <c r="J165" s="122">
        <v>0.74861111111111112</v>
      </c>
      <c r="K165" s="35">
        <f>IFERROR((PA[[#This Row],[Sunset Time (POA&lt;20 W/m2)]]-PA[[#This Row],[Sunrise Time (POA&gt;20 W/m2)]])*24,"")</f>
        <v>11.416666666666668</v>
      </c>
      <c r="L165" s="33" t="s">
        <v>293</v>
      </c>
      <c r="M165" s="33" t="s">
        <v>294</v>
      </c>
      <c r="N165" s="37"/>
      <c r="O165" s="38"/>
      <c r="P165" s="38"/>
      <c r="Q165" s="33"/>
      <c r="R165" s="231">
        <f>IF((PA[[#This Row],[String Type(If String BD)]]&amp;PA[[#This Row],[Equipment (If any BD other than PV  array and inv)]])="",1,0)</f>
        <v>1</v>
      </c>
      <c r="S165" s="231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5" s="233">
        <f>IFERROR(_xlfn.XLOOKUP(PA[[#This Row],[Affected Equipment ]],'Basic Data'!N:N,'Basic Data'!Q:Q),"")</f>
        <v>6511.66</v>
      </c>
      <c r="V165" s="237">
        <f ca="1">IFERROR(_xlfn.XLOOKUP(PA[[#This Row],[Affected Equipment ]],'Basic Data'!N:N,'Basic Data'!R:R),"")</f>
        <v>0.1660714103545014</v>
      </c>
      <c r="W165" s="36" t="s">
        <v>345</v>
      </c>
      <c r="X165" s="41"/>
      <c r="Y165" s="40" t="s">
        <v>372</v>
      </c>
      <c r="Z165" s="42">
        <v>0.58333333333333337</v>
      </c>
      <c r="AA165" s="42">
        <v>0.58333333333333337</v>
      </c>
      <c r="AB165" s="42">
        <v>0.58333333333333337</v>
      </c>
      <c r="AC165" s="42">
        <v>0.60555555555555551</v>
      </c>
      <c r="AD165" s="234">
        <f>IF(PA[[#This Row],[Acknowledgement Time ]]="NA","",(PA[[#This Row],[Acknowledgement Time ]]-PA[[#This Row],[Fault Time]])*24)</f>
        <v>0</v>
      </c>
      <c r="AE165" s="234">
        <f>IF(PA[[#This Row],[Work Start time on Fault]]="NA","",(PA[[#This Row],[Work Start time on Fault]]-PA[[#This Row],[Fault Time]])*24)</f>
        <v>0</v>
      </c>
      <c r="AF165" s="235">
        <f>IF(PA[[#This Row],[Status]]="Open","",(PA[[#This Row],[Work Completion time on fault]]-PA[[#This Row],[Fault Time]])*24)</f>
        <v>0.53333333333333144</v>
      </c>
      <c r="AG165" s="234">
        <f>IFERROR((PA[[#This Row],[Work Completion time on fault]]-PA[[#This Row],[Fault Time]])*24,"")</f>
        <v>0.53333333333333144</v>
      </c>
      <c r="AH165" s="36" t="s">
        <v>373</v>
      </c>
      <c r="AI165" s="33" t="s">
        <v>298</v>
      </c>
      <c r="AJ165" s="233">
        <f ca="1">IFERROR(PA[[#This Row],[Breakdown Time]]*PA[[#This Row],[Plant Equivalent Weightage]],"")</f>
        <v>8.8571418855733761E-2</v>
      </c>
      <c r="AK165" s="38">
        <v>0.245667</v>
      </c>
      <c r="AL165" s="51">
        <f>IFERROR((_xlfn.XLOOKUP($G165,'Modelling New'!D:D,'Modelling New'!$O:$O)*PA[[#This Row],[Lost PoA(kWh/m2)]]*PA[[#This Row],[DC Capacity Affected (kW)]]),"")</f>
        <v>1322.9883801050466</v>
      </c>
      <c r="AM165" s="33"/>
      <c r="AN165" s="33"/>
      <c r="AO165" s="33">
        <v>4774</v>
      </c>
      <c r="AP165" s="33" t="s">
        <v>759</v>
      </c>
    </row>
    <row r="166" spans="1:42">
      <c r="A166" s="30">
        <f t="shared" si="0"/>
        <v>165</v>
      </c>
      <c r="B166" s="31">
        <v>45844</v>
      </c>
      <c r="C166" s="32">
        <f>YEAR(PA[[#This Row],[Date]])+IF(MONTH(PA[[#This Row],[Date]])&gt;=4,1,0)</f>
        <v>2026</v>
      </c>
      <c r="D166" s="32">
        <f>YEAR(PA[[#This Row],[Date]])</f>
        <v>2025</v>
      </c>
      <c r="E166" s="33" t="s">
        <v>219</v>
      </c>
      <c r="F166" s="33" t="s">
        <v>219</v>
      </c>
      <c r="G166" s="196">
        <f>PA[[#This Row],[Date]]-DAY(PA[[#This Row],[Date]])+1</f>
        <v>45839</v>
      </c>
      <c r="H166" s="231">
        <f>DAY(EOMONTH(PA[[#This Row],[Month Year]],0))</f>
        <v>31</v>
      </c>
      <c r="I166" s="122">
        <v>0.27291666666666664</v>
      </c>
      <c r="J166" s="122">
        <v>0.74861111111111112</v>
      </c>
      <c r="K166" s="35">
        <f>IFERROR((PA[[#This Row],[Sunset Time (POA&lt;20 W/m2)]]-PA[[#This Row],[Sunrise Time (POA&gt;20 W/m2)]])*24,"")</f>
        <v>11.416666666666668</v>
      </c>
      <c r="L166" s="33" t="s">
        <v>293</v>
      </c>
      <c r="M166" s="33" t="s">
        <v>299</v>
      </c>
      <c r="N166" s="37"/>
      <c r="O166" s="38"/>
      <c r="P166" s="38"/>
      <c r="Q166" s="33"/>
      <c r="R166" s="231">
        <f>IF((PA[[#This Row],[String Type(If String BD)]]&amp;PA[[#This Row],[Equipment (If any BD other than PV  array and inv)]])="",1,0)</f>
        <v>1</v>
      </c>
      <c r="S166" s="231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66" s="233">
        <f>IFERROR(_xlfn.XLOOKUP(PA[[#This Row],[Affected Equipment ]],'Basic Data'!N:N,'Basic Data'!Q:Q),"")</f>
        <v>6495.8549999999996</v>
      </c>
      <c r="V166" s="237">
        <f ca="1">IFERROR(_xlfn.XLOOKUP(PA[[#This Row],[Affected Equipment ]],'Basic Data'!N:N,'Basic Data'!R:R),"")</f>
        <v>0.16566832440703902</v>
      </c>
      <c r="W166" s="36" t="s">
        <v>345</v>
      </c>
      <c r="X166" s="41"/>
      <c r="Y166" s="40" t="s">
        <v>372</v>
      </c>
      <c r="Z166" s="42">
        <v>0.58333333333333337</v>
      </c>
      <c r="AA166" s="42">
        <v>0.58333333333333337</v>
      </c>
      <c r="AB166" s="42">
        <v>0.58333333333333337</v>
      </c>
      <c r="AC166" s="42">
        <v>0.63958333333333328</v>
      </c>
      <c r="AD166" s="234">
        <f>IF(PA[[#This Row],[Acknowledgement Time ]]="NA","",(PA[[#This Row],[Acknowledgement Time ]]-PA[[#This Row],[Fault Time]])*24)</f>
        <v>0</v>
      </c>
      <c r="AE166" s="234">
        <f>IF(PA[[#This Row],[Work Start time on Fault]]="NA","",(PA[[#This Row],[Work Start time on Fault]]-PA[[#This Row],[Fault Time]])*24)</f>
        <v>0</v>
      </c>
      <c r="AF166" s="235">
        <f>IF(PA[[#This Row],[Status]]="Open","",(PA[[#This Row],[Work Completion time on fault]]-PA[[#This Row],[Fault Time]])*24)</f>
        <v>1.3499999999999979</v>
      </c>
      <c r="AG166" s="234">
        <f>IFERROR((PA[[#This Row],[Work Completion time on fault]]-PA[[#This Row],[Fault Time]])*24,"")</f>
        <v>1.3499999999999979</v>
      </c>
      <c r="AH166" s="36" t="s">
        <v>373</v>
      </c>
      <c r="AI166" s="33" t="s">
        <v>298</v>
      </c>
      <c r="AJ166" s="233">
        <f ca="1">IFERROR(PA[[#This Row],[Breakdown Time]]*PA[[#This Row],[Plant Equivalent Weightage]],"")</f>
        <v>0.22365223794950231</v>
      </c>
      <c r="AK166" s="38">
        <v>0.245172</v>
      </c>
      <c r="AL166" s="51">
        <f>IFERROR((_xlfn.XLOOKUP($G166,'Modelling New'!D:D,'Modelling New'!$O:$O)*PA[[#This Row],[Lost PoA(kWh/m2)]]*PA[[#This Row],[DC Capacity Affected (kW)]]),"")</f>
        <v>1317.1179942140091</v>
      </c>
      <c r="AM166" s="33"/>
      <c r="AN166" s="33"/>
      <c r="AO166" s="33">
        <v>4774</v>
      </c>
      <c r="AP166" s="33" t="s">
        <v>760</v>
      </c>
    </row>
    <row r="167" spans="1:42">
      <c r="A167" s="30">
        <f t="shared" si="0"/>
        <v>166</v>
      </c>
      <c r="B167" s="31">
        <v>45844</v>
      </c>
      <c r="C167" s="32">
        <f>YEAR(PA[[#This Row],[Date]])+IF(MONTH(PA[[#This Row],[Date]])&gt;=4,1,0)</f>
        <v>2026</v>
      </c>
      <c r="D167" s="32">
        <f>YEAR(PA[[#This Row],[Date]])</f>
        <v>2025</v>
      </c>
      <c r="E167" s="33" t="s">
        <v>219</v>
      </c>
      <c r="F167" s="33" t="s">
        <v>219</v>
      </c>
      <c r="G167" s="196">
        <f>PA[[#This Row],[Date]]-DAY(PA[[#This Row],[Date]])+1</f>
        <v>45839</v>
      </c>
      <c r="H167" s="32">
        <f>DAY(EOMONTH(PA[[#This Row],[Month Year]],0))</f>
        <v>31</v>
      </c>
      <c r="I167" s="122">
        <v>0.27291666666666664</v>
      </c>
      <c r="J167" s="122">
        <v>0.74861111111111112</v>
      </c>
      <c r="K167" s="35">
        <f>IFERROR((PA[[#This Row],[Sunset Time (POA&lt;20 W/m2)]]-PA[[#This Row],[Sunrise Time (POA&gt;20 W/m2)]])*24,"")</f>
        <v>11.416666666666668</v>
      </c>
      <c r="L167" s="33" t="s">
        <v>302</v>
      </c>
      <c r="M167" s="33" t="s">
        <v>294</v>
      </c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7" s="35">
        <f>IFERROR(_xlfn.XLOOKUP(PA[[#This Row],[Affected Equipment ]],'Basic Data'!N:N,'Basic Data'!Q:Q),"")</f>
        <v>6527.4649999999992</v>
      </c>
      <c r="V167" s="236">
        <f ca="1">IFERROR(_xlfn.XLOOKUP(PA[[#This Row],[Affected Equipment ]],'Basic Data'!N:N,'Basic Data'!R:R),"")</f>
        <v>0.16647449630196376</v>
      </c>
      <c r="W167" s="36" t="s">
        <v>345</v>
      </c>
      <c r="X167" s="40"/>
      <c r="Y167" s="40" t="s">
        <v>372</v>
      </c>
      <c r="Z167" s="42">
        <v>0.58333333333333337</v>
      </c>
      <c r="AA167" s="42">
        <v>0.58333333333333337</v>
      </c>
      <c r="AB167" s="42">
        <v>0.58333333333333337</v>
      </c>
      <c r="AC167" s="46">
        <v>0.63402777777777775</v>
      </c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1.216666666666665</v>
      </c>
      <c r="AG167" s="44">
        <f>IFERROR((PA[[#This Row],[Work Completion time on fault]]-PA[[#This Row],[Fault Time]])*24,"")</f>
        <v>1.216666666666665</v>
      </c>
      <c r="AH167" s="36" t="s">
        <v>373</v>
      </c>
      <c r="AI167" s="33" t="s">
        <v>298</v>
      </c>
      <c r="AJ167" s="35">
        <f ca="1">IFERROR(PA[[#This Row],[Breakdown Time]]*PA[[#This Row],[Plant Equivalent Weightage]],"")</f>
        <v>0.20254397050072229</v>
      </c>
      <c r="AK167" s="36">
        <v>0.304867</v>
      </c>
      <c r="AL167" s="51">
        <f>IFERROR((_xlfn.XLOOKUP($G167,'Modelling New'!D:D,'Modelling New'!$O:$O)*PA[[#This Row],[Lost PoA(kWh/m2)]]*PA[[#This Row],[DC Capacity Affected (kW)]]),"")</f>
        <v>1645.7825761456929</v>
      </c>
      <c r="AM167" s="33"/>
      <c r="AN167" s="33"/>
      <c r="AO167" s="33">
        <v>4774</v>
      </c>
      <c r="AP167" s="33" t="s">
        <v>761</v>
      </c>
    </row>
    <row r="168" spans="1:42">
      <c r="A168" s="30">
        <f t="shared" si="0"/>
        <v>167</v>
      </c>
      <c r="B168" s="31">
        <v>45844</v>
      </c>
      <c r="C168" s="32">
        <f>YEAR(PA[[#This Row],[Date]])+IF(MONTH(PA[[#This Row],[Date]])&gt;=4,1,0)</f>
        <v>2026</v>
      </c>
      <c r="D168" s="32">
        <f>YEAR(PA[[#This Row],[Date]])</f>
        <v>2025</v>
      </c>
      <c r="E168" s="33" t="s">
        <v>219</v>
      </c>
      <c r="F168" s="33" t="s">
        <v>219</v>
      </c>
      <c r="G168" s="196">
        <f>PA[[#This Row],[Date]]-DAY(PA[[#This Row],[Date]])+1</f>
        <v>45839</v>
      </c>
      <c r="H168" s="32">
        <f>DAY(EOMONTH(PA[[#This Row],[Month Year]],0))</f>
        <v>31</v>
      </c>
      <c r="I168" s="122">
        <v>0.27291666666666664</v>
      </c>
      <c r="J168" s="122">
        <v>0.74861111111111112</v>
      </c>
      <c r="K168" s="35">
        <f>IFERROR((PA[[#This Row],[Sunset Time (POA&lt;20 W/m2)]]-PA[[#This Row],[Sunrise Time (POA&gt;20 W/m2)]])*24,"")</f>
        <v>11.416666666666668</v>
      </c>
      <c r="L168" s="33" t="s">
        <v>303</v>
      </c>
      <c r="M168" s="33" t="s">
        <v>294</v>
      </c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68" s="35">
        <f>IFERROR(_xlfn.XLOOKUP(PA[[#This Row],[Affected Equipment ]],'Basic Data'!N:N,'Basic Data'!Q:Q),"")</f>
        <v>5104</v>
      </c>
      <c r="V168" s="236">
        <f ca="1">IFERROR(_xlfn.XLOOKUP(PA[[#This Row],[Affected Equipment ]],'Basic Data'!N:N,'Basic Data'!R:R),"")</f>
        <v>0.13017087477684264</v>
      </c>
      <c r="W168" s="36" t="s">
        <v>345</v>
      </c>
      <c r="X168" s="40"/>
      <c r="Y168" s="40" t="s">
        <v>372</v>
      </c>
      <c r="Z168" s="42">
        <v>0.58333333333333337</v>
      </c>
      <c r="AA168" s="42">
        <v>0.58333333333333337</v>
      </c>
      <c r="AB168" s="42">
        <v>0.58333333333333337</v>
      </c>
      <c r="AC168" s="46">
        <v>0.60972222222222228</v>
      </c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0.63333333333333375</v>
      </c>
      <c r="AG168" s="44">
        <f>IFERROR((PA[[#This Row],[Work Completion time on fault]]-PA[[#This Row],[Fault Time]])*24,"")</f>
        <v>0.63333333333333375</v>
      </c>
      <c r="AH168" s="36" t="s">
        <v>373</v>
      </c>
      <c r="AI168" s="33" t="s">
        <v>298</v>
      </c>
      <c r="AJ168" s="35">
        <f ca="1">IFERROR(PA[[#This Row],[Breakdown Time]]*PA[[#This Row],[Plant Equivalent Weightage]],"")</f>
        <v>8.2441554025333721E-2</v>
      </c>
      <c r="AK168" s="36">
        <v>0.32970699999999997</v>
      </c>
      <c r="AL168" s="51">
        <f>IFERROR((_xlfn.XLOOKUP($G168,'Modelling New'!D:D,'Modelling New'!$O:$O)*PA[[#This Row],[Lost PoA(kWh/m2)]]*PA[[#This Row],[DC Capacity Affected (kW)]]),"")</f>
        <v>1391.7342801797001</v>
      </c>
      <c r="AM168" s="33"/>
      <c r="AN168" s="33"/>
      <c r="AO168" s="33">
        <v>4774</v>
      </c>
      <c r="AP168" s="33" t="s">
        <v>762</v>
      </c>
    </row>
    <row r="169" spans="1:42">
      <c r="A169" s="30">
        <f t="shared" si="0"/>
        <v>168</v>
      </c>
      <c r="B169" s="31">
        <v>45844</v>
      </c>
      <c r="C169" s="32">
        <f>YEAR(PA[[#This Row],[Date]])+IF(MONTH(PA[[#This Row],[Date]])&gt;=4,1,0)</f>
        <v>2026</v>
      </c>
      <c r="D169" s="32">
        <f>YEAR(PA[[#This Row],[Date]])</f>
        <v>2025</v>
      </c>
      <c r="E169" s="33" t="s">
        <v>219</v>
      </c>
      <c r="F169" s="33" t="s">
        <v>219</v>
      </c>
      <c r="G169" s="196">
        <f>PA[[#This Row],[Date]]-DAY(PA[[#This Row],[Date]])+1</f>
        <v>45839</v>
      </c>
      <c r="H169" s="32">
        <f>DAY(EOMONTH(PA[[#This Row],[Month Year]],0))</f>
        <v>31</v>
      </c>
      <c r="I169" s="122">
        <v>0.27291666666666664</v>
      </c>
      <c r="J169" s="122">
        <v>0.74861111111111112</v>
      </c>
      <c r="K169" s="35">
        <f>IFERROR((PA[[#This Row],[Sunset Time (POA&lt;20 W/m2)]]-PA[[#This Row],[Sunrise Time (POA&gt;20 W/m2)]])*24,"")</f>
        <v>11.416666666666668</v>
      </c>
      <c r="L169" s="33" t="s">
        <v>303</v>
      </c>
      <c r="M169" s="33" t="s">
        <v>299</v>
      </c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9" s="35">
        <f>IFERROR(_xlfn.XLOOKUP(PA[[#This Row],[Affected Equipment ]],'Basic Data'!N:N,'Basic Data'!Q:Q),"")</f>
        <v>5104</v>
      </c>
      <c r="V169" s="236">
        <f ca="1">IFERROR(_xlfn.XLOOKUP(PA[[#This Row],[Affected Equipment ]],'Basic Data'!N:N,'Basic Data'!R:R),"")</f>
        <v>0.13017087477684264</v>
      </c>
      <c r="W169" s="36" t="s">
        <v>345</v>
      </c>
      <c r="X169" s="40"/>
      <c r="Y169" s="40" t="s">
        <v>372</v>
      </c>
      <c r="Z169" s="42">
        <v>0.58333333333333337</v>
      </c>
      <c r="AA169" s="42">
        <v>0.58333333333333337</v>
      </c>
      <c r="AB169" s="42">
        <v>0.58333333333333337</v>
      </c>
      <c r="AC169" s="46">
        <v>0.62708333333333333</v>
      </c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1.0499999999999989</v>
      </c>
      <c r="AG169" s="44">
        <f>IFERROR((PA[[#This Row],[Work Completion time on fault]]-PA[[#This Row],[Fault Time]])*24,"")</f>
        <v>1.0499999999999989</v>
      </c>
      <c r="AH169" s="36" t="s">
        <v>373</v>
      </c>
      <c r="AI169" s="33" t="s">
        <v>298</v>
      </c>
      <c r="AJ169" s="35">
        <f ca="1">IFERROR(PA[[#This Row],[Breakdown Time]]*PA[[#This Row],[Plant Equivalent Weightage]],"")</f>
        <v>0.13667941851568463</v>
      </c>
      <c r="AK169" s="36">
        <v>0.32569900000000002</v>
      </c>
      <c r="AL169" s="51">
        <f>IFERROR((_xlfn.XLOOKUP($G169,'Modelling New'!D:D,'Modelling New'!$O:$O)*PA[[#This Row],[Lost PoA(kWh/m2)]]*PA[[#This Row],[DC Capacity Affected (kW)]]),"")</f>
        <v>1374.816013370199</v>
      </c>
      <c r="AM169" s="33"/>
      <c r="AN169" s="33"/>
      <c r="AO169" s="33">
        <v>4774</v>
      </c>
      <c r="AP169" s="33" t="s">
        <v>763</v>
      </c>
    </row>
    <row r="170" spans="1:42">
      <c r="A170" s="30">
        <f t="shared" si="0"/>
        <v>169</v>
      </c>
      <c r="B170" s="31">
        <v>45846</v>
      </c>
      <c r="C170" s="32">
        <f>YEAR(PA[[#This Row],[Date]])+IF(MONTH(PA[[#This Row],[Date]])&gt;=4,1,0)</f>
        <v>2026</v>
      </c>
      <c r="D170" s="32">
        <f>YEAR(PA[[#This Row],[Date]])</f>
        <v>2025</v>
      </c>
      <c r="E170" s="33" t="s">
        <v>219</v>
      </c>
      <c r="F170" s="33" t="s">
        <v>219</v>
      </c>
      <c r="G170" s="196">
        <f>PA[[#This Row],[Date]]-DAY(PA[[#This Row],[Date]])+1</f>
        <v>45839</v>
      </c>
      <c r="H170" s="32">
        <f>DAY(EOMONTH(PA[[#This Row],[Month Year]],0))</f>
        <v>31</v>
      </c>
      <c r="I170" s="122">
        <v>0.26805555555555555</v>
      </c>
      <c r="J170" s="122">
        <v>0.75347222222222221</v>
      </c>
      <c r="K170" s="35">
        <f>IFERROR((PA[[#This Row],[Sunset Time (POA&lt;20 W/m2)]]-PA[[#This Row],[Sunrise Time (POA&gt;20 W/m2)]])*24,"")</f>
        <v>11.65</v>
      </c>
      <c r="L170" s="33" t="s">
        <v>303</v>
      </c>
      <c r="M170" s="33" t="s">
        <v>299</v>
      </c>
      <c r="N170" s="33" t="s">
        <v>322</v>
      </c>
      <c r="O170" s="36" t="s">
        <v>331</v>
      </c>
      <c r="P170" s="36" t="s">
        <v>348</v>
      </c>
      <c r="Q170" s="33"/>
      <c r="R170" s="32">
        <f>IF((PA[[#This Row],[String Type(If String BD)]]&amp;PA[[#This Row],[Equipment (If any BD other than PV  array and inv)]])="",1,0)</f>
        <v>0</v>
      </c>
      <c r="S170" s="32">
        <f>IF(PA[[#This Row],[String Type(If String BD)]]="",1,0)</f>
        <v>0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70" s="35">
        <f>IFERROR(_xlfn.XLOOKUP(PA[[#This Row],[Affected Equipment ]],'Basic Data'!N:N,'Basic Data'!Q:Q),"")</f>
        <v>31.9</v>
      </c>
      <c r="V170" s="236">
        <f ca="1">IFERROR(_xlfn.XLOOKUP(PA[[#This Row],[Affected Equipment ]],'Basic Data'!N:N,'Basic Data'!R:R),"")</f>
        <v>8.1356796735526649E-4</v>
      </c>
      <c r="W170" s="36" t="s">
        <v>349</v>
      </c>
      <c r="X170" s="40"/>
      <c r="Y170" s="40" t="s">
        <v>358</v>
      </c>
      <c r="Z170" s="46">
        <v>0.26805555555555555</v>
      </c>
      <c r="AA170" s="46">
        <v>0.26805555555555555</v>
      </c>
      <c r="AB170" s="46">
        <v>0.26805555555555555</v>
      </c>
      <c r="AC170" s="46">
        <v>0.67361111111111116</v>
      </c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9.7333333333333343</v>
      </c>
      <c r="AG170" s="44">
        <f>IFERROR((PA[[#This Row],[Work Completion time on fault]]-PA[[#This Row],[Fault Time]])*24,"")</f>
        <v>9.7333333333333343</v>
      </c>
      <c r="AH170" s="344" t="s">
        <v>359</v>
      </c>
      <c r="AI170" s="33" t="s">
        <v>298</v>
      </c>
      <c r="AJ170" s="35">
        <f ca="1">IFERROR(PA[[#This Row],[Breakdown Time]]*PA[[#This Row],[Plant Equivalent Weightage]],"")</f>
        <v>7.9187282155912617E-3</v>
      </c>
      <c r="AK170" s="36">
        <v>1.6</v>
      </c>
      <c r="AL170" s="51">
        <f>IFERROR((_xlfn.XLOOKUP($G170,'Modelling New'!D:D,'Modelling New'!$O:$O)*PA[[#This Row],[Lost PoA(kWh/m2)]]*PA[[#This Row],[DC Capacity Affected (kW)]]),"")</f>
        <v>42.211244534683836</v>
      </c>
      <c r="AM170" s="33"/>
      <c r="AN170" s="33"/>
      <c r="AO170" s="33">
        <v>4829</v>
      </c>
      <c r="AP170" s="33" t="s">
        <v>764</v>
      </c>
    </row>
    <row r="171" spans="1:42">
      <c r="A171" s="30">
        <f t="shared" si="0"/>
        <v>170</v>
      </c>
      <c r="B171" s="31">
        <v>45848</v>
      </c>
      <c r="C171" s="32">
        <f>YEAR(PA[[#This Row],[Date]])+IF(MONTH(PA[[#This Row],[Date]])&gt;=4,1,0)</f>
        <v>2026</v>
      </c>
      <c r="D171" s="32">
        <f>YEAR(PA[[#This Row],[Date]])</f>
        <v>2025</v>
      </c>
      <c r="E171" s="33" t="s">
        <v>219</v>
      </c>
      <c r="F171" s="33" t="s">
        <v>219</v>
      </c>
      <c r="G171" s="196">
        <f>PA[[#This Row],[Date]]-DAY(PA[[#This Row],[Date]])+1</f>
        <v>45839</v>
      </c>
      <c r="H171" s="32">
        <f>DAY(EOMONTH(PA[[#This Row],[Month Year]],0))</f>
        <v>31</v>
      </c>
      <c r="I171" s="122">
        <v>0.32361111111111113</v>
      </c>
      <c r="J171" s="122">
        <v>0.76527777777777772</v>
      </c>
      <c r="K171" s="35">
        <f>IFERROR((PA[[#This Row],[Sunset Time (POA&lt;20 W/m2)]]-PA[[#This Row],[Sunrise Time (POA&gt;20 W/m2)]])*24,"")</f>
        <v>10.599999999999998</v>
      </c>
      <c r="L171" s="33" t="s">
        <v>300</v>
      </c>
      <c r="M171" s="33" t="s">
        <v>294</v>
      </c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71" s="35">
        <f>IFERROR(_xlfn.XLOOKUP(PA[[#This Row],[Affected Equipment ]],'Basic Data'!N:N,'Basic Data'!Q:Q),"")</f>
        <v>4662.4750000000004</v>
      </c>
      <c r="V171" s="236">
        <f ca="1">IFERROR(_xlfn.XLOOKUP(PA[[#This Row],[Affected Equipment ]],'Basic Data'!N:N,'Basic Data'!R:R),"")</f>
        <v>0.11891035450140271</v>
      </c>
      <c r="W171" s="36" t="s">
        <v>345</v>
      </c>
      <c r="X171" s="40"/>
      <c r="Y171" s="40" t="s">
        <v>372</v>
      </c>
      <c r="Z171" s="46">
        <v>0.60624999999999996</v>
      </c>
      <c r="AA171" s="46">
        <v>0.60624999999999996</v>
      </c>
      <c r="AB171" s="46">
        <v>0.60624999999999996</v>
      </c>
      <c r="AC171" s="46">
        <v>0.63541666666666663</v>
      </c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0.70000000000000018</v>
      </c>
      <c r="AG171" s="44">
        <f>IFERROR((PA[[#This Row],[Work Completion time on fault]]-PA[[#This Row],[Fault Time]])*24,"")</f>
        <v>0.70000000000000018</v>
      </c>
      <c r="AH171" s="36" t="s">
        <v>373</v>
      </c>
      <c r="AI171" s="33" t="s">
        <v>298</v>
      </c>
      <c r="AJ171" s="35">
        <f ca="1">IFERROR(PA[[#This Row],[Breakdown Time]]*PA[[#This Row],[Plant Equivalent Weightage]],"")</f>
        <v>8.3237248150981921E-2</v>
      </c>
      <c r="AK171" s="36">
        <v>0.18508670499999999</v>
      </c>
      <c r="AL171" s="51">
        <f>IFERROR((_xlfn.XLOOKUP($G171,'Modelling New'!D:D,'Modelling New'!$O:$O)*PA[[#This Row],[Lost PoA(kWh/m2)]]*PA[[#This Row],[DC Capacity Affected (kW)]]),"")</f>
        <v>713.68937500431798</v>
      </c>
      <c r="AM171" s="33"/>
      <c r="AN171" s="33"/>
      <c r="AO171" s="33">
        <v>4876</v>
      </c>
      <c r="AP171" s="33" t="s">
        <v>765</v>
      </c>
    </row>
    <row r="172" spans="1:42">
      <c r="A172" s="30">
        <f t="shared" si="0"/>
        <v>171</v>
      </c>
      <c r="B172" s="31">
        <v>45848</v>
      </c>
      <c r="C172" s="32">
        <f>YEAR(PA[[#This Row],[Date]])+IF(MONTH(PA[[#This Row],[Date]])&gt;=4,1,0)</f>
        <v>2026</v>
      </c>
      <c r="D172" s="32">
        <f>YEAR(PA[[#This Row],[Date]])</f>
        <v>2025</v>
      </c>
      <c r="E172" s="33" t="s">
        <v>219</v>
      </c>
      <c r="F172" s="33" t="s">
        <v>219</v>
      </c>
      <c r="G172" s="196">
        <f>PA[[#This Row],[Date]]-DAY(PA[[#This Row],[Date]])+1</f>
        <v>45839</v>
      </c>
      <c r="H172" s="231">
        <f>DAY(EOMONTH(PA[[#This Row],[Month Year]],0))</f>
        <v>31</v>
      </c>
      <c r="I172" s="122">
        <v>0.32361111111111113</v>
      </c>
      <c r="J172" s="122">
        <v>0.76527777777777772</v>
      </c>
      <c r="K172" s="35">
        <f>IFERROR((PA[[#This Row],[Sunset Time (POA&lt;20 W/m2)]]-PA[[#This Row],[Sunrise Time (POA&gt;20 W/m2)]])*24,"")</f>
        <v>10.599999999999998</v>
      </c>
      <c r="L172" s="33" t="s">
        <v>300</v>
      </c>
      <c r="M172" s="33" t="s">
        <v>299</v>
      </c>
      <c r="N172" s="33"/>
      <c r="O172" s="36"/>
      <c r="P172" s="36"/>
      <c r="Q172" s="37"/>
      <c r="R172" s="231">
        <f>IF((PA[[#This Row],[String Type(If String BD)]]&amp;PA[[#This Row],[Equipment (If any BD other than PV  array and inv)]])="",1,0)</f>
        <v>1</v>
      </c>
      <c r="S172" s="231">
        <f>IF(PA[[#This Row],[String Type(If String BD)]]="",1,0)</f>
        <v>1</v>
      </c>
      <c r="T1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72" s="233">
        <f>IFERROR(_xlfn.XLOOKUP(PA[[#This Row],[Affected Equipment ]],'Basic Data'!N:N,'Basic Data'!Q:Q),"")</f>
        <v>4662.4750000000004</v>
      </c>
      <c r="V172" s="237">
        <f ca="1">IFERROR(_xlfn.XLOOKUP(PA[[#This Row],[Affected Equipment ]],'Basic Data'!N:N,'Basic Data'!R:R),"")</f>
        <v>0.11891035450140271</v>
      </c>
      <c r="W172" s="36" t="s">
        <v>345</v>
      </c>
      <c r="X172" s="41"/>
      <c r="Y172" s="40" t="s">
        <v>372</v>
      </c>
      <c r="Z172" s="46">
        <v>0.60624999999999996</v>
      </c>
      <c r="AA172" s="46">
        <v>0.60624999999999996</v>
      </c>
      <c r="AB172" s="46">
        <v>0.60624999999999996</v>
      </c>
      <c r="AC172" s="46">
        <v>0.63472222222222219</v>
      </c>
      <c r="AD172" s="234">
        <f>IF(PA[[#This Row],[Acknowledgement Time ]]="NA","",(PA[[#This Row],[Acknowledgement Time ]]-PA[[#This Row],[Fault Time]])*24)</f>
        <v>0</v>
      </c>
      <c r="AE172" s="234">
        <f>IF(PA[[#This Row],[Work Start time on Fault]]="NA","",(PA[[#This Row],[Work Start time on Fault]]-PA[[#This Row],[Fault Time]])*24)</f>
        <v>0</v>
      </c>
      <c r="AF172" s="235">
        <f>IF(PA[[#This Row],[Status]]="Open","",(PA[[#This Row],[Work Completion time on fault]]-PA[[#This Row],[Fault Time]])*24)</f>
        <v>0.68333333333333357</v>
      </c>
      <c r="AG172" s="234">
        <f>IFERROR((PA[[#This Row],[Work Completion time on fault]]-PA[[#This Row],[Fault Time]])*24,"")</f>
        <v>0.68333333333333357</v>
      </c>
      <c r="AH172" s="36" t="s">
        <v>373</v>
      </c>
      <c r="AI172" s="33" t="s">
        <v>298</v>
      </c>
      <c r="AJ172" s="233">
        <f ca="1">IFERROR(PA[[#This Row],[Breakdown Time]]*PA[[#This Row],[Plant Equivalent Weightage]],"")</f>
        <v>8.1255408909291879E-2</v>
      </c>
      <c r="AK172" s="38">
        <v>0.180891197</v>
      </c>
      <c r="AL172" s="51">
        <f>IFERROR((_xlfn.XLOOKUP($G172,'Modelling New'!D:D,'Modelling New'!$O:$O)*PA[[#This Row],[Lost PoA(kWh/m2)]]*PA[[#This Row],[DC Capacity Affected (kW)]]),"")</f>
        <v>697.51160857670982</v>
      </c>
      <c r="AM172" s="33"/>
      <c r="AN172" s="33"/>
      <c r="AO172" s="33">
        <v>4876</v>
      </c>
      <c r="AP172" s="33" t="s">
        <v>765</v>
      </c>
    </row>
    <row r="173" spans="1:42">
      <c r="A173" s="30">
        <f t="shared" si="0"/>
        <v>172</v>
      </c>
      <c r="B173" s="31">
        <v>45848</v>
      </c>
      <c r="C173" s="32">
        <f>YEAR(PA[[#This Row],[Date]])+IF(MONTH(PA[[#This Row],[Date]])&gt;=4,1,0)</f>
        <v>2026</v>
      </c>
      <c r="D173" s="32">
        <f>YEAR(PA[[#This Row],[Date]])</f>
        <v>2025</v>
      </c>
      <c r="E173" s="33" t="s">
        <v>219</v>
      </c>
      <c r="F173" s="33" t="s">
        <v>219</v>
      </c>
      <c r="G173" s="196">
        <f>PA[[#This Row],[Date]]-DAY(PA[[#This Row],[Date]])+1</f>
        <v>45839</v>
      </c>
      <c r="H173" s="231">
        <f>DAY(EOMONTH(PA[[#This Row],[Month Year]],0))</f>
        <v>31</v>
      </c>
      <c r="I173" s="122">
        <v>0.32361111111111113</v>
      </c>
      <c r="J173" s="122">
        <v>0.76527777777777772</v>
      </c>
      <c r="K173" s="35">
        <f>IFERROR((PA[[#This Row],[Sunset Time (POA&lt;20 W/m2)]]-PA[[#This Row],[Sunrise Time (POA&gt;20 W/m2)]])*24,"")</f>
        <v>10.599999999999998</v>
      </c>
      <c r="L173" s="37" t="s">
        <v>293</v>
      </c>
      <c r="M173" s="33" t="s">
        <v>294</v>
      </c>
      <c r="N173" s="33"/>
      <c r="O173" s="38"/>
      <c r="P173" s="38"/>
      <c r="Q173" s="37"/>
      <c r="R173" s="231">
        <f>IF((PA[[#This Row],[String Type(If String BD)]]&amp;PA[[#This Row],[Equipment (If any BD other than PV  array and inv)]])="",1,0)</f>
        <v>1</v>
      </c>
      <c r="S173" s="231">
        <f>IF(PA[[#This Row],[String Type(If String BD)]]="",1,0)</f>
        <v>1</v>
      </c>
      <c r="T17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73" s="233">
        <f>IFERROR(_xlfn.XLOOKUP(PA[[#This Row],[Affected Equipment ]],'Basic Data'!N:N,'Basic Data'!Q:Q),"")</f>
        <v>6511.66</v>
      </c>
      <c r="V173" s="237">
        <f ca="1">IFERROR(_xlfn.XLOOKUP(PA[[#This Row],[Affected Equipment ]],'Basic Data'!N:N,'Basic Data'!R:R),"")</f>
        <v>0.1660714103545014</v>
      </c>
      <c r="W173" s="36" t="s">
        <v>345</v>
      </c>
      <c r="X173" s="41"/>
      <c r="Y173" s="40" t="s">
        <v>372</v>
      </c>
      <c r="Z173" s="46">
        <v>0.60624999999999996</v>
      </c>
      <c r="AA173" s="46">
        <v>0.60624999999999996</v>
      </c>
      <c r="AB173" s="46">
        <v>0.60624999999999996</v>
      </c>
      <c r="AC173" s="47">
        <v>0.63263888888888886</v>
      </c>
      <c r="AD173" s="234">
        <f>IF(PA[[#This Row],[Acknowledgement Time ]]="NA","",(PA[[#This Row],[Acknowledgement Time ]]-PA[[#This Row],[Fault Time]])*24)</f>
        <v>0</v>
      </c>
      <c r="AE173" s="234">
        <f>IF(PA[[#This Row],[Work Start time on Fault]]="NA","",(PA[[#This Row],[Work Start time on Fault]]-PA[[#This Row],[Fault Time]])*24)</f>
        <v>0</v>
      </c>
      <c r="AF173" s="235">
        <f>IF(PA[[#This Row],[Status]]="Open","",(PA[[#This Row],[Work Completion time on fault]]-PA[[#This Row],[Fault Time]])*24)</f>
        <v>0.63333333333333375</v>
      </c>
      <c r="AG173" s="234">
        <f>IFERROR((PA[[#This Row],[Work Completion time on fault]]-PA[[#This Row],[Fault Time]])*24,"")</f>
        <v>0.63333333333333375</v>
      </c>
      <c r="AH173" s="36" t="s">
        <v>373</v>
      </c>
      <c r="AI173" s="33" t="s">
        <v>298</v>
      </c>
      <c r="AJ173" s="233">
        <f ca="1">IFERROR(PA[[#This Row],[Breakdown Time]]*PA[[#This Row],[Plant Equivalent Weightage]],"")</f>
        <v>0.10517855989118428</v>
      </c>
      <c r="AK173" s="38">
        <v>0.16826694</v>
      </c>
      <c r="AL173" s="51">
        <f>IFERROR((_xlfn.XLOOKUP($G173,'Modelling New'!D:D,'Modelling New'!$O:$O)*PA[[#This Row],[Lost PoA(kWh/m2)]]*PA[[#This Row],[DC Capacity Affected (kW)]]),"")</f>
        <v>906.16650333920734</v>
      </c>
      <c r="AM173" s="33"/>
      <c r="AN173" s="33"/>
      <c r="AO173" s="33">
        <v>4876</v>
      </c>
      <c r="AP173" s="33" t="s">
        <v>765</v>
      </c>
    </row>
    <row r="174" spans="1:42">
      <c r="A174" s="30">
        <f t="shared" si="0"/>
        <v>173</v>
      </c>
      <c r="B174" s="31">
        <v>45848</v>
      </c>
      <c r="C174" s="32">
        <f>YEAR(PA[[#This Row],[Date]])+IF(MONTH(PA[[#This Row],[Date]])&gt;=4,1,0)</f>
        <v>2026</v>
      </c>
      <c r="D174" s="32">
        <f>YEAR(PA[[#This Row],[Date]])</f>
        <v>2025</v>
      </c>
      <c r="E174" s="33" t="s">
        <v>219</v>
      </c>
      <c r="F174" s="33" t="s">
        <v>219</v>
      </c>
      <c r="G174" s="196">
        <f>PA[[#This Row],[Date]]-DAY(PA[[#This Row],[Date]])+1</f>
        <v>45839</v>
      </c>
      <c r="H174" s="231">
        <f>DAY(EOMONTH(PA[[#This Row],[Month Year]],0))</f>
        <v>31</v>
      </c>
      <c r="I174" s="122">
        <v>0.32361111111111113</v>
      </c>
      <c r="J174" s="122">
        <v>0.76527777777777772</v>
      </c>
      <c r="K174" s="35">
        <f>IFERROR((PA[[#This Row],[Sunset Time (POA&lt;20 W/m2)]]-PA[[#This Row],[Sunrise Time (POA&gt;20 W/m2)]])*24,"")</f>
        <v>10.599999999999998</v>
      </c>
      <c r="L174" s="37" t="s">
        <v>293</v>
      </c>
      <c r="M174" s="33" t="s">
        <v>299</v>
      </c>
      <c r="N174" s="33"/>
      <c r="O174" s="36"/>
      <c r="P174" s="38"/>
      <c r="Q174" s="37"/>
      <c r="R174" s="231">
        <f>IF((PA[[#This Row],[String Type(If String BD)]]&amp;PA[[#This Row],[Equipment (If any BD other than PV  array and inv)]])="",1,0)</f>
        <v>1</v>
      </c>
      <c r="S174" s="231">
        <f>IF(PA[[#This Row],[String Type(If String BD)]]="",1,0)</f>
        <v>1</v>
      </c>
      <c r="T17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4" s="233">
        <f>IFERROR(_xlfn.XLOOKUP(PA[[#This Row],[Affected Equipment ]],'Basic Data'!N:N,'Basic Data'!Q:Q),"")</f>
        <v>6495.8549999999996</v>
      </c>
      <c r="V174" s="237">
        <f ca="1">IFERROR(_xlfn.XLOOKUP(PA[[#This Row],[Affected Equipment ]],'Basic Data'!N:N,'Basic Data'!R:R),"")</f>
        <v>0.16566832440703902</v>
      </c>
      <c r="W174" s="36" t="s">
        <v>345</v>
      </c>
      <c r="X174" s="41"/>
      <c r="Y174" s="40" t="s">
        <v>372</v>
      </c>
      <c r="Z174" s="46">
        <v>0.60624999999999996</v>
      </c>
      <c r="AA174" s="46">
        <v>0.60624999999999996</v>
      </c>
      <c r="AB174" s="46">
        <v>0.60624999999999996</v>
      </c>
      <c r="AC174" s="47">
        <v>0.6333333333333333</v>
      </c>
      <c r="AD174" s="234">
        <f>IF(PA[[#This Row],[Acknowledgement Time ]]="NA","",(PA[[#This Row],[Acknowledgement Time ]]-PA[[#This Row],[Fault Time]])*24)</f>
        <v>0</v>
      </c>
      <c r="AE174" s="234">
        <f>IF(PA[[#This Row],[Work Start time on Fault]]="NA","",(PA[[#This Row],[Work Start time on Fault]]-PA[[#This Row],[Fault Time]])*24)</f>
        <v>0</v>
      </c>
      <c r="AF174" s="235">
        <f>IF(PA[[#This Row],[Status]]="Open","",(PA[[#This Row],[Work Completion time on fault]]-PA[[#This Row],[Fault Time]])*24)</f>
        <v>0.65000000000000036</v>
      </c>
      <c r="AG174" s="234">
        <f>IFERROR((PA[[#This Row],[Work Completion time on fault]]-PA[[#This Row],[Fault Time]])*24,"")</f>
        <v>0.65000000000000036</v>
      </c>
      <c r="AH174" s="36" t="s">
        <v>373</v>
      </c>
      <c r="AI174" s="33" t="s">
        <v>298</v>
      </c>
      <c r="AJ174" s="233">
        <f ca="1">IFERROR(PA[[#This Row],[Breakdown Time]]*PA[[#This Row],[Plant Equivalent Weightage]],"")</f>
        <v>0.10768441086457542</v>
      </c>
      <c r="AK174" s="38">
        <v>0.172472763</v>
      </c>
      <c r="AL174" s="51">
        <f>IFERROR((_xlfn.XLOOKUP($G174,'Modelling New'!D:D,'Modelling New'!$O:$O)*PA[[#This Row],[Lost PoA(kWh/m2)]]*PA[[#This Row],[DC Capacity Affected (kW)]]),"")</f>
        <v>926.56167775728102</v>
      </c>
      <c r="AM174" s="37"/>
      <c r="AN174" s="37"/>
      <c r="AO174" s="33">
        <v>4876</v>
      </c>
      <c r="AP174" s="33" t="s">
        <v>765</v>
      </c>
    </row>
    <row r="175" spans="1:42">
      <c r="A175" s="30">
        <f t="shared" si="0"/>
        <v>174</v>
      </c>
      <c r="B175" s="31">
        <v>45848</v>
      </c>
      <c r="C175" s="32">
        <f>YEAR(PA[[#This Row],[Date]])+IF(MONTH(PA[[#This Row],[Date]])&gt;=4,1,0)</f>
        <v>2026</v>
      </c>
      <c r="D175" s="32">
        <f>YEAR(PA[[#This Row],[Date]])</f>
        <v>2025</v>
      </c>
      <c r="E175" s="33" t="s">
        <v>219</v>
      </c>
      <c r="F175" s="33" t="s">
        <v>219</v>
      </c>
      <c r="G175" s="196">
        <f>PA[[#This Row],[Date]]-DAY(PA[[#This Row],[Date]])+1</f>
        <v>45839</v>
      </c>
      <c r="H175" s="32">
        <f>DAY(EOMONTH(PA[[#This Row],[Month Year]],0))</f>
        <v>31</v>
      </c>
      <c r="I175" s="122">
        <v>0.32361111111111113</v>
      </c>
      <c r="J175" s="122">
        <v>0.76527777777777772</v>
      </c>
      <c r="K175" s="35">
        <f>IFERROR((PA[[#This Row],[Sunset Time (POA&lt;20 W/m2)]]-PA[[#This Row],[Sunrise Time (POA&gt;20 W/m2)]])*24,"")</f>
        <v>10.599999999999998</v>
      </c>
      <c r="L175" s="37" t="s">
        <v>302</v>
      </c>
      <c r="M175" s="33" t="s">
        <v>294</v>
      </c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75" s="35">
        <f>IFERROR(_xlfn.XLOOKUP(PA[[#This Row],[Affected Equipment ]],'Basic Data'!N:N,'Basic Data'!Q:Q),"")</f>
        <v>6527.4649999999992</v>
      </c>
      <c r="V175" s="236">
        <f ca="1">IFERROR(_xlfn.XLOOKUP(PA[[#This Row],[Affected Equipment ]],'Basic Data'!N:N,'Basic Data'!R:R),"")</f>
        <v>0.16647449630196376</v>
      </c>
      <c r="W175" s="36" t="s">
        <v>345</v>
      </c>
      <c r="X175" s="40"/>
      <c r="Y175" s="40" t="s">
        <v>372</v>
      </c>
      <c r="Z175" s="46">
        <v>0.60624999999999996</v>
      </c>
      <c r="AA175" s="46">
        <v>0.60624999999999996</v>
      </c>
      <c r="AB175" s="46">
        <v>0.60624999999999996</v>
      </c>
      <c r="AC175" s="46">
        <v>0.63263888888888886</v>
      </c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0.63333333333333375</v>
      </c>
      <c r="AG175" s="44">
        <f>IFERROR((PA[[#This Row],[Work Completion time on fault]]-PA[[#This Row],[Fault Time]])*24,"")</f>
        <v>0.63333333333333375</v>
      </c>
      <c r="AH175" s="36" t="s">
        <v>373</v>
      </c>
      <c r="AI175" s="33" t="s">
        <v>298</v>
      </c>
      <c r="AJ175" s="35">
        <f ca="1">IFERROR(PA[[#This Row],[Breakdown Time]]*PA[[#This Row],[Plant Equivalent Weightage]],"")</f>
        <v>0.10543384765791045</v>
      </c>
      <c r="AK175" s="36">
        <v>0.16826694</v>
      </c>
      <c r="AL175" s="51">
        <f>IFERROR((_xlfn.XLOOKUP($G175,'Modelling New'!D:D,'Modelling New'!$O:$O)*PA[[#This Row],[Lost PoA(kWh/m2)]]*PA[[#This Row],[DC Capacity Affected (kW)]]),"")</f>
        <v>908.36593659973926</v>
      </c>
      <c r="AM175" s="33"/>
      <c r="AN175" s="33"/>
      <c r="AO175" s="33">
        <v>4876</v>
      </c>
      <c r="AP175" s="33" t="s">
        <v>765</v>
      </c>
    </row>
    <row r="176" spans="1:42">
      <c r="A176" s="30">
        <f t="shared" si="0"/>
        <v>175</v>
      </c>
      <c r="B176" s="31">
        <v>45848</v>
      </c>
      <c r="C176" s="32">
        <f>YEAR(PA[[#This Row],[Date]])+IF(MONTH(PA[[#This Row],[Date]])&gt;=4,1,0)</f>
        <v>2026</v>
      </c>
      <c r="D176" s="32">
        <f>YEAR(PA[[#This Row],[Date]])</f>
        <v>2025</v>
      </c>
      <c r="E176" s="33" t="s">
        <v>219</v>
      </c>
      <c r="F176" s="33" t="s">
        <v>219</v>
      </c>
      <c r="G176" s="196">
        <f>PA[[#This Row],[Date]]-DAY(PA[[#This Row],[Date]])+1</f>
        <v>45839</v>
      </c>
      <c r="H176" s="231">
        <f>DAY(EOMONTH(PA[[#This Row],[Month Year]],0))</f>
        <v>31</v>
      </c>
      <c r="I176" s="122">
        <v>0.32361111111111113</v>
      </c>
      <c r="J176" s="122">
        <v>0.76527777777777772</v>
      </c>
      <c r="K176" s="35">
        <f>IFERROR((PA[[#This Row],[Sunset Time (POA&lt;20 W/m2)]]-PA[[#This Row],[Sunrise Time (POA&gt;20 W/m2)]])*24,"")</f>
        <v>10.599999999999998</v>
      </c>
      <c r="L176" s="37" t="s">
        <v>303</v>
      </c>
      <c r="M176" s="33" t="s">
        <v>294</v>
      </c>
      <c r="N176" s="33"/>
      <c r="O176" s="36"/>
      <c r="P176" s="36"/>
      <c r="Q176" s="37"/>
      <c r="R176" s="231">
        <f>IF((PA[[#This Row],[String Type(If String BD)]]&amp;PA[[#This Row],[Equipment (If any BD other than PV  array and inv)]])="",1,0)</f>
        <v>1</v>
      </c>
      <c r="S176" s="231">
        <f>IF(PA[[#This Row],[String Type(If String BD)]]="",1,0)</f>
        <v>1</v>
      </c>
      <c r="T17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6" s="233">
        <f>IFERROR(_xlfn.XLOOKUP(PA[[#This Row],[Affected Equipment ]],'Basic Data'!N:N,'Basic Data'!Q:Q),"")</f>
        <v>5104</v>
      </c>
      <c r="V176" s="237">
        <f ca="1">IFERROR(_xlfn.XLOOKUP(PA[[#This Row],[Affected Equipment ]],'Basic Data'!N:N,'Basic Data'!R:R),"")</f>
        <v>0.13017087477684264</v>
      </c>
      <c r="W176" s="36" t="s">
        <v>345</v>
      </c>
      <c r="X176" s="41"/>
      <c r="Y176" s="40" t="s">
        <v>372</v>
      </c>
      <c r="Z176" s="46">
        <v>0.60624999999999996</v>
      </c>
      <c r="AA176" s="46">
        <v>0.60624999999999996</v>
      </c>
      <c r="AB176" s="46">
        <v>0.60624999999999996</v>
      </c>
      <c r="AC176" s="47">
        <v>0.63194444444444442</v>
      </c>
      <c r="AD176" s="234">
        <f>IF(PA[[#This Row],[Acknowledgement Time ]]="NA","",(PA[[#This Row],[Acknowledgement Time ]]-PA[[#This Row],[Fault Time]])*24)</f>
        <v>0</v>
      </c>
      <c r="AE176" s="234">
        <f>IF(PA[[#This Row],[Work Start time on Fault]]="NA","",(PA[[#This Row],[Work Start time on Fault]]-PA[[#This Row],[Fault Time]])*24)</f>
        <v>0</v>
      </c>
      <c r="AF176" s="235">
        <f>IF(PA[[#This Row],[Status]]="Open","",(PA[[#This Row],[Work Completion time on fault]]-PA[[#This Row],[Fault Time]])*24)</f>
        <v>0.61666666666666714</v>
      </c>
      <c r="AG176" s="234">
        <f>IFERROR((PA[[#This Row],[Work Completion time on fault]]-PA[[#This Row],[Fault Time]])*24,"")</f>
        <v>0.61666666666666714</v>
      </c>
      <c r="AH176" s="36" t="s">
        <v>373</v>
      </c>
      <c r="AI176" s="33" t="s">
        <v>298</v>
      </c>
      <c r="AJ176" s="233">
        <f ca="1">IFERROR(PA[[#This Row],[Breakdown Time]]*PA[[#This Row],[Plant Equivalent Weightage]],"")</f>
        <v>8.0272039445719687E-2</v>
      </c>
      <c r="AK176" s="38">
        <v>0.16406226500000001</v>
      </c>
      <c r="AL176" s="51">
        <f>IFERROR((_xlfn.XLOOKUP($G176,'Modelling New'!D:D,'Modelling New'!$O:$O)*PA[[#This Row],[Lost PoA(kWh/m2)]]*PA[[#This Row],[DC Capacity Affected (kW)]]),"")</f>
        <v>692.52723868291014</v>
      </c>
      <c r="AM176" s="33"/>
      <c r="AN176" s="33"/>
      <c r="AO176" s="33">
        <v>4876</v>
      </c>
      <c r="AP176" s="33" t="s">
        <v>765</v>
      </c>
    </row>
    <row r="177" spans="1:42">
      <c r="A177" s="30">
        <f t="shared" si="0"/>
        <v>176</v>
      </c>
      <c r="B177" s="31">
        <v>45848</v>
      </c>
      <c r="C177" s="32">
        <f>YEAR(PA[[#This Row],[Date]])+IF(MONTH(PA[[#This Row],[Date]])&gt;=4,1,0)</f>
        <v>2026</v>
      </c>
      <c r="D177" s="32">
        <f>YEAR(PA[[#This Row],[Date]])</f>
        <v>2025</v>
      </c>
      <c r="E177" s="33" t="s">
        <v>219</v>
      </c>
      <c r="F177" s="33" t="s">
        <v>219</v>
      </c>
      <c r="G177" s="196">
        <f>PA[[#This Row],[Date]]-DAY(PA[[#This Row],[Date]])+1</f>
        <v>45839</v>
      </c>
      <c r="H177" s="231">
        <f>DAY(EOMONTH(PA[[#This Row],[Month Year]],0))</f>
        <v>31</v>
      </c>
      <c r="I177" s="122">
        <v>0.32361111111111113</v>
      </c>
      <c r="J177" s="122">
        <v>0.76527777777777772</v>
      </c>
      <c r="K177" s="35">
        <f>IFERROR((PA[[#This Row],[Sunset Time (POA&lt;20 W/m2)]]-PA[[#This Row],[Sunrise Time (POA&gt;20 W/m2)]])*24,"")</f>
        <v>10.599999999999998</v>
      </c>
      <c r="L177" s="37" t="s">
        <v>303</v>
      </c>
      <c r="M177" s="33" t="s">
        <v>299</v>
      </c>
      <c r="N177" s="33"/>
      <c r="O177" s="36"/>
      <c r="P177" s="36"/>
      <c r="Q177" s="37"/>
      <c r="R177" s="231">
        <f>IF((PA[[#This Row],[String Type(If String BD)]]&amp;PA[[#This Row],[Equipment (If any BD other than PV  array and inv)]])="",1,0)</f>
        <v>1</v>
      </c>
      <c r="S177" s="231">
        <f>IF(PA[[#This Row],[String Type(If String BD)]]="",1,0)</f>
        <v>1</v>
      </c>
      <c r="T17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7" s="233">
        <f>IFERROR(_xlfn.XLOOKUP(PA[[#This Row],[Affected Equipment ]],'Basic Data'!N:N,'Basic Data'!Q:Q),"")</f>
        <v>5104</v>
      </c>
      <c r="V177" s="237">
        <f ca="1">IFERROR(_xlfn.XLOOKUP(PA[[#This Row],[Affected Equipment ]],'Basic Data'!N:N,'Basic Data'!R:R),"")</f>
        <v>0.13017087477684264</v>
      </c>
      <c r="W177" s="36" t="s">
        <v>345</v>
      </c>
      <c r="X177" s="41"/>
      <c r="Y177" s="40" t="s">
        <v>372</v>
      </c>
      <c r="Z177" s="46">
        <v>0.60624999999999996</v>
      </c>
      <c r="AA177" s="46">
        <v>0.60624999999999996</v>
      </c>
      <c r="AB177" s="46">
        <v>0.60624999999999996</v>
      </c>
      <c r="AC177" s="47">
        <v>0.63194444444444442</v>
      </c>
      <c r="AD177" s="234">
        <f>IF(PA[[#This Row],[Acknowledgement Time ]]="NA","",(PA[[#This Row],[Acknowledgement Time ]]-PA[[#This Row],[Fault Time]])*24)</f>
        <v>0</v>
      </c>
      <c r="AE177" s="234">
        <f>IF(PA[[#This Row],[Work Start time on Fault]]="NA","",(PA[[#This Row],[Work Start time on Fault]]-PA[[#This Row],[Fault Time]])*24)</f>
        <v>0</v>
      </c>
      <c r="AF177" s="235">
        <f>IF(PA[[#This Row],[Status]]="Open","",(PA[[#This Row],[Work Completion time on fault]]-PA[[#This Row],[Fault Time]])*24)</f>
        <v>0.61666666666666714</v>
      </c>
      <c r="AG177" s="234">
        <f>IFERROR((PA[[#This Row],[Work Completion time on fault]]-PA[[#This Row],[Fault Time]])*24,"")</f>
        <v>0.61666666666666714</v>
      </c>
      <c r="AH177" s="36" t="s">
        <v>373</v>
      </c>
      <c r="AI177" s="33" t="s">
        <v>298</v>
      </c>
      <c r="AJ177" s="233">
        <f ca="1">IFERROR(PA[[#This Row],[Breakdown Time]]*PA[[#This Row],[Plant Equivalent Weightage]],"")</f>
        <v>8.0272039445719687E-2</v>
      </c>
      <c r="AK177" s="38">
        <v>0.16406226500000001</v>
      </c>
      <c r="AL177" s="51">
        <f>IFERROR((_xlfn.XLOOKUP($G177,'Modelling New'!D:D,'Modelling New'!$O:$O)*PA[[#This Row],[Lost PoA(kWh/m2)]]*PA[[#This Row],[DC Capacity Affected (kW)]]),"")</f>
        <v>692.52723868291014</v>
      </c>
      <c r="AM177" s="33"/>
      <c r="AN177" s="33"/>
      <c r="AO177" s="33">
        <v>4876</v>
      </c>
      <c r="AP177" s="33" t="s">
        <v>765</v>
      </c>
    </row>
    <row r="178" spans="1:42">
      <c r="A178" s="30">
        <f t="shared" si="0"/>
        <v>177</v>
      </c>
      <c r="B178" s="166">
        <v>45850</v>
      </c>
      <c r="C178" s="32">
        <f>YEAR(PA[[#This Row],[Date]])+IF(MONTH(PA[[#This Row],[Date]])&gt;=4,1,0)</f>
        <v>2026</v>
      </c>
      <c r="D178" s="32">
        <f>YEAR(PA[[#This Row],[Date]])</f>
        <v>2025</v>
      </c>
      <c r="E178" s="33" t="s">
        <v>219</v>
      </c>
      <c r="F178" s="33" t="s">
        <v>219</v>
      </c>
      <c r="G178" s="196">
        <f>PA[[#This Row],[Date]]-DAY(PA[[#This Row],[Date]])+1</f>
        <v>45839</v>
      </c>
      <c r="H178" s="32">
        <f>DAY(EOMONTH(PA[[#This Row],[Month Year]],0))</f>
        <v>31</v>
      </c>
      <c r="I178" s="122">
        <v>0.25069444444444444</v>
      </c>
      <c r="J178" s="122">
        <v>0.77638888888888891</v>
      </c>
      <c r="K178" s="35">
        <f>IFERROR((PA[[#This Row],[Sunset Time (POA&lt;20 W/m2)]]-PA[[#This Row],[Sunrise Time (POA&gt;20 W/m2)]])*24,"")</f>
        <v>12.616666666666667</v>
      </c>
      <c r="L178" s="37" t="s">
        <v>303</v>
      </c>
      <c r="M178" s="33" t="s">
        <v>766</v>
      </c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8" s="35">
        <f>IFERROR(_xlfn.XLOOKUP(PA[[#This Row],[Affected Equipment ]],'Basic Data'!N:N,'Basic Data'!Q:Q),"")</f>
        <v>5104</v>
      </c>
      <c r="V178" s="236">
        <f ca="1">IFERROR(_xlfn.XLOOKUP(PA[[#This Row],[Affected Equipment ]],'Basic Data'!N:N,'Basic Data'!R:R),"")</f>
        <v>0.13017087477684264</v>
      </c>
      <c r="W178" s="36" t="s">
        <v>295</v>
      </c>
      <c r="X178" s="40"/>
      <c r="Y178" s="372" t="s">
        <v>768</v>
      </c>
      <c r="Z178" s="46">
        <v>0.5493055555555556</v>
      </c>
      <c r="AA178" s="46">
        <v>0.5493055555555556</v>
      </c>
      <c r="AB178" s="46">
        <v>0.5493055555555556</v>
      </c>
      <c r="AC178" s="46">
        <v>0.57638888888888884</v>
      </c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0.64999999999999769</v>
      </c>
      <c r="AG178" s="44">
        <f>IFERROR((PA[[#This Row],[Work Completion time on fault]]-PA[[#This Row],[Fault Time]])*24,"")</f>
        <v>0.64999999999999769</v>
      </c>
      <c r="AH178" s="36" t="s">
        <v>297</v>
      </c>
      <c r="AI178" s="33" t="s">
        <v>298</v>
      </c>
      <c r="AJ178" s="35">
        <f ca="1">IFERROR(PA[[#This Row],[Breakdown Time]]*PA[[#This Row],[Plant Equivalent Weightage]],"")</f>
        <v>8.4611068604947409E-2</v>
      </c>
      <c r="AK178" s="36">
        <v>0.50744973199999999</v>
      </c>
      <c r="AL178" s="51">
        <f>IFERROR((_xlfn.XLOOKUP($G178,'Modelling New'!D:D,'Modelling New'!$O:$O)*PA[[#This Row],[Lost PoA(kWh/m2)]]*PA[[#This Row],[DC Capacity Affected (kW)]]),"")</f>
        <v>2142.0084726511777</v>
      </c>
      <c r="AM178" s="33"/>
      <c r="AN178" s="33"/>
      <c r="AO178" s="33">
        <v>4932</v>
      </c>
      <c r="AP178" s="33" t="s">
        <v>769</v>
      </c>
    </row>
    <row r="179" spans="1:42">
      <c r="A179" s="30">
        <f t="shared" si="0"/>
        <v>178</v>
      </c>
      <c r="B179" s="166">
        <v>45850</v>
      </c>
      <c r="C179" s="32">
        <f>YEAR(PA[[#This Row],[Date]])+IF(MONTH(PA[[#This Row],[Date]])&gt;=4,1,0)</f>
        <v>2026</v>
      </c>
      <c r="D179" s="32">
        <f>YEAR(PA[[#This Row],[Date]])</f>
        <v>2025</v>
      </c>
      <c r="E179" s="33" t="s">
        <v>219</v>
      </c>
      <c r="F179" s="33" t="s">
        <v>219</v>
      </c>
      <c r="G179" s="196">
        <f>PA[[#This Row],[Date]]-DAY(PA[[#This Row],[Date]])+1</f>
        <v>45839</v>
      </c>
      <c r="H179" s="32">
        <f>DAY(EOMONTH(PA[[#This Row],[Month Year]],0))</f>
        <v>31</v>
      </c>
      <c r="I179" s="122">
        <v>0.25069444444444444</v>
      </c>
      <c r="J179" s="122">
        <v>0.77638888888888891</v>
      </c>
      <c r="K179" s="35">
        <f>IFERROR((PA[[#This Row],[Sunset Time (POA&lt;20 W/m2)]]-PA[[#This Row],[Sunrise Time (POA&gt;20 W/m2)]])*24,"")</f>
        <v>12.616666666666667</v>
      </c>
      <c r="L179" s="37" t="s">
        <v>303</v>
      </c>
      <c r="M179" s="33" t="s">
        <v>767</v>
      </c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9" s="35">
        <f>IFERROR(_xlfn.XLOOKUP(PA[[#This Row],[Affected Equipment ]],'Basic Data'!N:N,'Basic Data'!Q:Q),"")</f>
        <v>5104</v>
      </c>
      <c r="V179" s="236">
        <f ca="1">IFERROR(_xlfn.XLOOKUP(PA[[#This Row],[Affected Equipment ]],'Basic Data'!N:N,'Basic Data'!R:R),"")</f>
        <v>0.13017087477684264</v>
      </c>
      <c r="W179" s="36" t="s">
        <v>295</v>
      </c>
      <c r="X179" s="40"/>
      <c r="Y179" s="372" t="s">
        <v>768</v>
      </c>
      <c r="Z179" s="46">
        <v>0.5493055555555556</v>
      </c>
      <c r="AA179" s="46">
        <v>0.5493055555555556</v>
      </c>
      <c r="AB179" s="46">
        <v>0.5493055555555556</v>
      </c>
      <c r="AC179" s="46">
        <v>0.57638888888888884</v>
      </c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0.64999999999999769</v>
      </c>
      <c r="AG179" s="44">
        <f>IFERROR((PA[[#This Row],[Work Completion time on fault]]-PA[[#This Row],[Fault Time]])*24,"")</f>
        <v>0.64999999999999769</v>
      </c>
      <c r="AH179" s="36" t="s">
        <v>297</v>
      </c>
      <c r="AI179" s="33" t="s">
        <v>298</v>
      </c>
      <c r="AJ179" s="35">
        <f ca="1">IFERROR(PA[[#This Row],[Breakdown Time]]*PA[[#This Row],[Plant Equivalent Weightage]],"")</f>
        <v>8.4611068604947409E-2</v>
      </c>
      <c r="AK179" s="36">
        <v>0.50744973199999999</v>
      </c>
      <c r="AL179" s="51">
        <f>IFERROR((_xlfn.XLOOKUP($G179,'Modelling New'!D:D,'Modelling New'!$O:$O)*PA[[#This Row],[Lost PoA(kWh/m2)]]*PA[[#This Row],[DC Capacity Affected (kW)]]),"")</f>
        <v>2142.0084726511777</v>
      </c>
      <c r="AM179" s="33"/>
      <c r="AN179" s="33"/>
      <c r="AO179" s="33">
        <v>4932</v>
      </c>
      <c r="AP179" s="33" t="s">
        <v>769</v>
      </c>
    </row>
    <row r="180" spans="1:42">
      <c r="A180" s="30">
        <f t="shared" si="0"/>
        <v>179</v>
      </c>
      <c r="B180" s="166">
        <v>45852</v>
      </c>
      <c r="C180" s="32">
        <f>YEAR(PA[[#This Row],[Date]])+IF(MONTH(PA[[#This Row],[Date]])&gt;=4,1,0)</f>
        <v>2026</v>
      </c>
      <c r="D180" s="32">
        <f>YEAR(PA[[#This Row],[Date]])</f>
        <v>2025</v>
      </c>
      <c r="E180" s="33" t="s">
        <v>219</v>
      </c>
      <c r="F180" s="33" t="s">
        <v>219</v>
      </c>
      <c r="G180" s="196">
        <f>PA[[#This Row],[Date]]-DAY(PA[[#This Row],[Date]])+1</f>
        <v>45839</v>
      </c>
      <c r="H180" s="231">
        <f>DAY(EOMONTH(PA[[#This Row],[Month Year]],0))</f>
        <v>31</v>
      </c>
      <c r="I180" s="122">
        <v>0.25347222222222221</v>
      </c>
      <c r="J180" s="122">
        <v>0.78125</v>
      </c>
      <c r="K180" s="35">
        <f>IFERROR((PA[[#This Row],[Sunset Time (POA&lt;20 W/m2)]]-PA[[#This Row],[Sunrise Time (POA&gt;20 W/m2)]])*24,"")</f>
        <v>12.666666666666668</v>
      </c>
      <c r="L180" s="33" t="s">
        <v>300</v>
      </c>
      <c r="M180" s="33" t="s">
        <v>294</v>
      </c>
      <c r="N180" s="33"/>
      <c r="O180" s="36"/>
      <c r="P180" s="36"/>
      <c r="Q180" s="37"/>
      <c r="R180" s="231">
        <f>IF((PA[[#This Row],[String Type(If String BD)]]&amp;PA[[#This Row],[Equipment (If any BD other than PV  array and inv)]])="",1,0)</f>
        <v>1</v>
      </c>
      <c r="S180" s="231">
        <f>IF(PA[[#This Row],[String Type(If String BD)]]="",1,0)</f>
        <v>1</v>
      </c>
      <c r="T18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0" s="233">
        <f>IFERROR(_xlfn.XLOOKUP(PA[[#This Row],[Affected Equipment ]],'Basic Data'!N:N,'Basic Data'!Q:Q),"")</f>
        <v>4662.4750000000004</v>
      </c>
      <c r="V180" s="237">
        <f ca="1">IFERROR(_xlfn.XLOOKUP(PA[[#This Row],[Affected Equipment ]],'Basic Data'!N:N,'Basic Data'!R:R),"")</f>
        <v>0.11891035450140271</v>
      </c>
      <c r="W180" s="38" t="s">
        <v>345</v>
      </c>
      <c r="X180" s="41"/>
      <c r="Y180" s="373" t="s">
        <v>770</v>
      </c>
      <c r="Z180" s="47">
        <v>0.71805555555555556</v>
      </c>
      <c r="AA180" s="47">
        <v>0.71805555555555556</v>
      </c>
      <c r="AB180" s="47">
        <v>0.71805555555555556</v>
      </c>
      <c r="AC180" s="47">
        <v>0.78125</v>
      </c>
      <c r="AD180" s="234">
        <f>IF(PA[[#This Row],[Acknowledgement Time ]]="NA","",(PA[[#This Row],[Acknowledgement Time ]]-PA[[#This Row],[Fault Time]])*24)</f>
        <v>0</v>
      </c>
      <c r="AE180" s="234">
        <f>IF(PA[[#This Row],[Work Start time on Fault]]="NA","",(PA[[#This Row],[Work Start time on Fault]]-PA[[#This Row],[Fault Time]])*24)</f>
        <v>0</v>
      </c>
      <c r="AF180" s="235">
        <f>IF(PA[[#This Row],[Status]]="Open","",(PA[[#This Row],[Work Completion time on fault]]-PA[[#This Row],[Fault Time]])*24)</f>
        <v>1.5166666666666666</v>
      </c>
      <c r="AG180" s="234">
        <f>IFERROR((PA[[#This Row],[Work Completion time on fault]]-PA[[#This Row],[Fault Time]])*24,"")</f>
        <v>1.5166666666666666</v>
      </c>
      <c r="AH180" s="374" t="s">
        <v>315</v>
      </c>
      <c r="AI180" s="33" t="s">
        <v>298</v>
      </c>
      <c r="AJ180" s="233">
        <f ca="1">IFERROR(PA[[#This Row],[Breakdown Time]]*PA[[#This Row],[Plant Equivalent Weightage]],"")</f>
        <v>0.18034737099379411</v>
      </c>
      <c r="AK180" s="38">
        <v>0.26106169299999998</v>
      </c>
      <c r="AL180" s="51">
        <f>IFERROR((_xlfn.XLOOKUP($G180,'Modelling New'!D:D,'Modelling New'!$O:$O)*PA[[#This Row],[Lost PoA(kWh/m2)]]*PA[[#This Row],[DC Capacity Affected (kW)]]),"")</f>
        <v>1006.6468929507342</v>
      </c>
      <c r="AM180" s="33"/>
      <c r="AN180" s="33"/>
      <c r="AO180" s="33">
        <v>4988</v>
      </c>
      <c r="AP180" s="375" t="s">
        <v>771</v>
      </c>
    </row>
    <row r="181" spans="1:42">
      <c r="A181" s="30">
        <f t="shared" si="0"/>
        <v>180</v>
      </c>
      <c r="B181" s="166">
        <v>45852</v>
      </c>
      <c r="C181" s="32">
        <f>YEAR(PA[[#This Row],[Date]])+IF(MONTH(PA[[#This Row],[Date]])&gt;=4,1,0)</f>
        <v>2026</v>
      </c>
      <c r="D181" s="32">
        <f>YEAR(PA[[#This Row],[Date]])</f>
        <v>2025</v>
      </c>
      <c r="E181" s="33" t="s">
        <v>219</v>
      </c>
      <c r="F181" s="33" t="s">
        <v>219</v>
      </c>
      <c r="G181" s="196">
        <f>PA[[#This Row],[Date]]-DAY(PA[[#This Row],[Date]])+1</f>
        <v>45839</v>
      </c>
      <c r="H181" s="32">
        <f>DAY(EOMONTH(PA[[#This Row],[Month Year]],0))</f>
        <v>31</v>
      </c>
      <c r="I181" s="122">
        <v>0.25347222222222221</v>
      </c>
      <c r="J181" s="122">
        <v>0.78125</v>
      </c>
      <c r="K181" s="35">
        <f>IFERROR((PA[[#This Row],[Sunset Time (POA&lt;20 W/m2)]]-PA[[#This Row],[Sunrise Time (POA&gt;20 W/m2)]])*24,"")</f>
        <v>12.666666666666668</v>
      </c>
      <c r="L181" s="33" t="s">
        <v>300</v>
      </c>
      <c r="M181" s="33" t="s">
        <v>299</v>
      </c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1" s="35">
        <f>IFERROR(_xlfn.XLOOKUP(PA[[#This Row],[Affected Equipment ]],'Basic Data'!N:N,'Basic Data'!Q:Q),"")</f>
        <v>4662.4750000000004</v>
      </c>
      <c r="V181" s="236">
        <f ca="1">IFERROR(_xlfn.XLOOKUP(PA[[#This Row],[Affected Equipment ]],'Basic Data'!N:N,'Basic Data'!R:R),"")</f>
        <v>0.11891035450140271</v>
      </c>
      <c r="W181" s="38" t="s">
        <v>345</v>
      </c>
      <c r="X181" s="40"/>
      <c r="Y181" s="373" t="s">
        <v>770</v>
      </c>
      <c r="Z181" s="47">
        <v>0.71805555555555556</v>
      </c>
      <c r="AA181" s="47">
        <v>0.71805555555555556</v>
      </c>
      <c r="AB181" s="47">
        <v>0.71805555555555556</v>
      </c>
      <c r="AC181" s="47">
        <v>0.78125</v>
      </c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1.5166666666666666</v>
      </c>
      <c r="AG181" s="44">
        <f>IFERROR((PA[[#This Row],[Work Completion time on fault]]-PA[[#This Row],[Fault Time]])*24,"")</f>
        <v>1.5166666666666666</v>
      </c>
      <c r="AH181" s="374" t="s">
        <v>315</v>
      </c>
      <c r="AI181" s="33" t="s">
        <v>298</v>
      </c>
      <c r="AJ181" s="35">
        <f ca="1">IFERROR(PA[[#This Row],[Breakdown Time]]*PA[[#This Row],[Plant Equivalent Weightage]],"")</f>
        <v>0.18034737099379411</v>
      </c>
      <c r="AK181" s="38">
        <v>0.26106169299999998</v>
      </c>
      <c r="AL181" s="51">
        <f>IFERROR((_xlfn.XLOOKUP($G181,'Modelling New'!D:D,'Modelling New'!$O:$O)*PA[[#This Row],[Lost PoA(kWh/m2)]]*PA[[#This Row],[DC Capacity Affected (kW)]]),"")</f>
        <v>1006.6468929507342</v>
      </c>
      <c r="AM181" s="33"/>
      <c r="AN181" s="33"/>
      <c r="AO181" s="33">
        <v>4988</v>
      </c>
      <c r="AP181" s="375" t="s">
        <v>771</v>
      </c>
    </row>
    <row r="182" spans="1:42">
      <c r="A182" s="30">
        <f t="shared" si="0"/>
        <v>181</v>
      </c>
      <c r="B182" s="166">
        <v>45852</v>
      </c>
      <c r="C182" s="32">
        <f>YEAR(PA[[#This Row],[Date]])+IF(MONTH(PA[[#This Row],[Date]])&gt;=4,1,0)</f>
        <v>2026</v>
      </c>
      <c r="D182" s="32">
        <f>YEAR(PA[[#This Row],[Date]])</f>
        <v>2025</v>
      </c>
      <c r="E182" s="33" t="s">
        <v>219</v>
      </c>
      <c r="F182" s="33" t="s">
        <v>219</v>
      </c>
      <c r="G182" s="196">
        <f>PA[[#This Row],[Date]]-DAY(PA[[#This Row],[Date]])+1</f>
        <v>45839</v>
      </c>
      <c r="H182" s="32">
        <f>DAY(EOMONTH(PA[[#This Row],[Month Year]],0))</f>
        <v>31</v>
      </c>
      <c r="I182" s="122">
        <v>0.25347222222222221</v>
      </c>
      <c r="J182" s="122">
        <v>0.78125</v>
      </c>
      <c r="K182" s="35">
        <f>IFERROR((PA[[#This Row],[Sunset Time (POA&lt;20 W/m2)]]-PA[[#This Row],[Sunrise Time (POA&gt;20 W/m2)]])*24,"")</f>
        <v>12.666666666666668</v>
      </c>
      <c r="L182" s="37" t="s">
        <v>293</v>
      </c>
      <c r="M182" s="33" t="s">
        <v>294</v>
      </c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2" s="35">
        <f>IFERROR(_xlfn.XLOOKUP(PA[[#This Row],[Affected Equipment ]],'Basic Data'!N:N,'Basic Data'!Q:Q),"")</f>
        <v>6511.66</v>
      </c>
      <c r="V182" s="236">
        <f ca="1">IFERROR(_xlfn.XLOOKUP(PA[[#This Row],[Affected Equipment ]],'Basic Data'!N:N,'Basic Data'!R:R),"")</f>
        <v>0.1660714103545014</v>
      </c>
      <c r="W182" s="38" t="s">
        <v>345</v>
      </c>
      <c r="X182" s="40"/>
      <c r="Y182" s="373" t="s">
        <v>770</v>
      </c>
      <c r="Z182" s="47">
        <v>0.71805555555555556</v>
      </c>
      <c r="AA182" s="47">
        <v>0.71805555555555556</v>
      </c>
      <c r="AB182" s="47">
        <v>0.71805555555555556</v>
      </c>
      <c r="AC182" s="47">
        <v>0.78125</v>
      </c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1.5166666666666666</v>
      </c>
      <c r="AG182" s="44">
        <f>IFERROR((PA[[#This Row],[Work Completion time on fault]]-PA[[#This Row],[Fault Time]])*24,"")</f>
        <v>1.5166666666666666</v>
      </c>
      <c r="AH182" s="374" t="s">
        <v>315</v>
      </c>
      <c r="AI182" s="33" t="s">
        <v>298</v>
      </c>
      <c r="AJ182" s="35">
        <f ca="1">IFERROR(PA[[#This Row],[Breakdown Time]]*PA[[#This Row],[Plant Equivalent Weightage]],"")</f>
        <v>0.25187497237099377</v>
      </c>
      <c r="AK182" s="38">
        <v>0.26106169299999998</v>
      </c>
      <c r="AL182" s="51">
        <f>IFERROR((_xlfn.XLOOKUP($G182,'Modelling New'!D:D,'Modelling New'!$O:$O)*PA[[#This Row],[Lost PoA(kWh/m2)]]*PA[[#This Row],[DC Capacity Affected (kW)]]),"")</f>
        <v>1405.8932877820421</v>
      </c>
      <c r="AM182" s="33"/>
      <c r="AN182" s="33"/>
      <c r="AO182" s="33">
        <v>4988</v>
      </c>
      <c r="AP182" s="375" t="s">
        <v>771</v>
      </c>
    </row>
    <row r="183" spans="1:42">
      <c r="A183" s="30">
        <f t="shared" si="0"/>
        <v>182</v>
      </c>
      <c r="B183" s="166">
        <v>45852</v>
      </c>
      <c r="C183" s="32">
        <f>YEAR(PA[[#This Row],[Date]])+IF(MONTH(PA[[#This Row],[Date]])&gt;=4,1,0)</f>
        <v>2026</v>
      </c>
      <c r="D183" s="32">
        <f>YEAR(PA[[#This Row],[Date]])</f>
        <v>2025</v>
      </c>
      <c r="E183" s="33" t="s">
        <v>219</v>
      </c>
      <c r="F183" s="33" t="s">
        <v>219</v>
      </c>
      <c r="G183" s="196">
        <f>PA[[#This Row],[Date]]-DAY(PA[[#This Row],[Date]])+1</f>
        <v>45839</v>
      </c>
      <c r="H183" s="32">
        <f>DAY(EOMONTH(PA[[#This Row],[Month Year]],0))</f>
        <v>31</v>
      </c>
      <c r="I183" s="122">
        <v>0.25347222222222221</v>
      </c>
      <c r="J183" s="122">
        <v>0.78125</v>
      </c>
      <c r="K183" s="35">
        <f>IFERROR((PA[[#This Row],[Sunset Time (POA&lt;20 W/m2)]]-PA[[#This Row],[Sunrise Time (POA&gt;20 W/m2)]])*24,"")</f>
        <v>12.666666666666668</v>
      </c>
      <c r="L183" s="37" t="s">
        <v>293</v>
      </c>
      <c r="M183" s="33" t="s">
        <v>299</v>
      </c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83" s="35">
        <f>IFERROR(_xlfn.XLOOKUP(PA[[#This Row],[Affected Equipment ]],'Basic Data'!N:N,'Basic Data'!Q:Q),"")</f>
        <v>6495.8549999999996</v>
      </c>
      <c r="V183" s="236">
        <f ca="1">IFERROR(_xlfn.XLOOKUP(PA[[#This Row],[Affected Equipment ]],'Basic Data'!N:N,'Basic Data'!R:R),"")</f>
        <v>0.16566832440703902</v>
      </c>
      <c r="W183" s="38" t="s">
        <v>345</v>
      </c>
      <c r="X183" s="40"/>
      <c r="Y183" s="373" t="s">
        <v>770</v>
      </c>
      <c r="Z183" s="47">
        <v>0.71805555555555556</v>
      </c>
      <c r="AA183" s="47">
        <v>0.71805555555555556</v>
      </c>
      <c r="AB183" s="47">
        <v>0.71805555555555556</v>
      </c>
      <c r="AC183" s="47">
        <v>0.78125</v>
      </c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1.5166666666666666</v>
      </c>
      <c r="AG183" s="44">
        <f>IFERROR((PA[[#This Row],[Work Completion time on fault]]-PA[[#This Row],[Fault Time]])*24,"")</f>
        <v>1.5166666666666666</v>
      </c>
      <c r="AH183" s="374" t="s">
        <v>315</v>
      </c>
      <c r="AI183" s="33" t="s">
        <v>298</v>
      </c>
      <c r="AJ183" s="35">
        <f ca="1">IFERROR(PA[[#This Row],[Breakdown Time]]*PA[[#This Row],[Plant Equivalent Weightage]],"")</f>
        <v>0.25126362535067581</v>
      </c>
      <c r="AK183" s="38">
        <v>0.26106169299999998</v>
      </c>
      <c r="AL183" s="51">
        <f>IFERROR((_xlfn.XLOOKUP($G183,'Modelling New'!D:D,'Modelling New'!$O:$O)*PA[[#This Row],[Lost PoA(kWh/m2)]]*PA[[#This Row],[DC Capacity Affected (kW)]]),"")</f>
        <v>1402.4809254330567</v>
      </c>
      <c r="AM183" s="37"/>
      <c r="AN183" s="37"/>
      <c r="AO183" s="33">
        <v>4988</v>
      </c>
      <c r="AP183" s="375" t="s">
        <v>771</v>
      </c>
    </row>
    <row r="184" spans="1:42">
      <c r="A184" s="30">
        <f t="shared" si="0"/>
        <v>183</v>
      </c>
      <c r="B184" s="166">
        <v>45852</v>
      </c>
      <c r="C184" s="32">
        <f>YEAR(PA[[#This Row],[Date]])+IF(MONTH(PA[[#This Row],[Date]])&gt;=4,1,0)</f>
        <v>2026</v>
      </c>
      <c r="D184" s="32">
        <f>YEAR(PA[[#This Row],[Date]])</f>
        <v>2025</v>
      </c>
      <c r="E184" s="33" t="s">
        <v>219</v>
      </c>
      <c r="F184" s="33" t="s">
        <v>219</v>
      </c>
      <c r="G184" s="196">
        <f>PA[[#This Row],[Date]]-DAY(PA[[#This Row],[Date]])+1</f>
        <v>45839</v>
      </c>
      <c r="H184" s="32">
        <f>DAY(EOMONTH(PA[[#This Row],[Month Year]],0))</f>
        <v>31</v>
      </c>
      <c r="I184" s="122">
        <v>0.25347222222222221</v>
      </c>
      <c r="J184" s="122">
        <v>0.78125</v>
      </c>
      <c r="K184" s="35">
        <f>IFERROR((PA[[#This Row],[Sunset Time (POA&lt;20 W/m2)]]-PA[[#This Row],[Sunrise Time (POA&gt;20 W/m2)]])*24,"")</f>
        <v>12.666666666666668</v>
      </c>
      <c r="L184" s="37" t="s">
        <v>302</v>
      </c>
      <c r="M184" s="33" t="s">
        <v>294</v>
      </c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4" s="35">
        <f>IFERROR(_xlfn.XLOOKUP(PA[[#This Row],[Affected Equipment ]],'Basic Data'!N:N,'Basic Data'!Q:Q),"")</f>
        <v>6527.4649999999992</v>
      </c>
      <c r="V184" s="236">
        <f ca="1">IFERROR(_xlfn.XLOOKUP(PA[[#This Row],[Affected Equipment ]],'Basic Data'!N:N,'Basic Data'!R:R),"")</f>
        <v>0.16647449630196376</v>
      </c>
      <c r="W184" s="38" t="s">
        <v>345</v>
      </c>
      <c r="X184" s="40"/>
      <c r="Y184" s="373" t="s">
        <v>770</v>
      </c>
      <c r="Z184" s="47">
        <v>0.71805555555555556</v>
      </c>
      <c r="AA184" s="47">
        <v>0.71805555555555556</v>
      </c>
      <c r="AB184" s="47">
        <v>0.71805555555555556</v>
      </c>
      <c r="AC184" s="47">
        <v>0.78125</v>
      </c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1.5166666666666666</v>
      </c>
      <c r="AG184" s="44">
        <f>IFERROR((PA[[#This Row],[Work Completion time on fault]]-PA[[#This Row],[Fault Time]])*24,"")</f>
        <v>1.5166666666666666</v>
      </c>
      <c r="AH184" s="374" t="s">
        <v>315</v>
      </c>
      <c r="AI184" s="33" t="s">
        <v>298</v>
      </c>
      <c r="AJ184" s="35">
        <f ca="1">IFERROR(PA[[#This Row],[Breakdown Time]]*PA[[#This Row],[Plant Equivalent Weightage]],"")</f>
        <v>0.25248631939131166</v>
      </c>
      <c r="AK184" s="38">
        <v>0.26106169299999998</v>
      </c>
      <c r="AL184" s="51">
        <f>IFERROR((_xlfn.XLOOKUP($G184,'Modelling New'!D:D,'Modelling New'!$O:$O)*PA[[#This Row],[Lost PoA(kWh/m2)]]*PA[[#This Row],[DC Capacity Affected (kW)]]),"")</f>
        <v>1409.3056501310275</v>
      </c>
      <c r="AM184" s="33"/>
      <c r="AN184" s="33"/>
      <c r="AO184" s="33">
        <v>4988</v>
      </c>
      <c r="AP184" s="375" t="s">
        <v>771</v>
      </c>
    </row>
    <row r="185" spans="1:42">
      <c r="A185" s="30">
        <f t="shared" si="0"/>
        <v>184</v>
      </c>
      <c r="B185" s="166">
        <v>45852</v>
      </c>
      <c r="C185" s="32">
        <f>YEAR(PA[[#This Row],[Date]])+IF(MONTH(PA[[#This Row],[Date]])&gt;=4,1,0)</f>
        <v>2026</v>
      </c>
      <c r="D185" s="32">
        <f>YEAR(PA[[#This Row],[Date]])</f>
        <v>2025</v>
      </c>
      <c r="E185" s="33" t="s">
        <v>219</v>
      </c>
      <c r="F185" s="33" t="s">
        <v>219</v>
      </c>
      <c r="G185" s="196">
        <f>PA[[#This Row],[Date]]-DAY(PA[[#This Row],[Date]])+1</f>
        <v>45839</v>
      </c>
      <c r="H185" s="231">
        <f>DAY(EOMONTH(PA[[#This Row],[Month Year]],0))</f>
        <v>31</v>
      </c>
      <c r="I185" s="122">
        <v>0.25347222222222221</v>
      </c>
      <c r="J185" s="122">
        <v>0.78125</v>
      </c>
      <c r="K185" s="35">
        <f>IFERROR((PA[[#This Row],[Sunset Time (POA&lt;20 W/m2)]]-PA[[#This Row],[Sunrise Time (POA&gt;20 W/m2)]])*24,"")</f>
        <v>12.666666666666668</v>
      </c>
      <c r="L185" s="37" t="s">
        <v>303</v>
      </c>
      <c r="M185" s="33" t="s">
        <v>294</v>
      </c>
      <c r="N185" s="33"/>
      <c r="O185" s="36"/>
      <c r="P185" s="38"/>
      <c r="Q185" s="37"/>
      <c r="R185" s="231">
        <f>IF((PA[[#This Row],[String Type(If String BD)]]&amp;PA[[#This Row],[Equipment (If any BD other than PV  array and inv)]])="",1,0)</f>
        <v>1</v>
      </c>
      <c r="S185" s="231">
        <f>IF(PA[[#This Row],[String Type(If String BD)]]="",1,0)</f>
        <v>1</v>
      </c>
      <c r="T18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85" s="233">
        <f>IFERROR(_xlfn.XLOOKUP(PA[[#This Row],[Affected Equipment ]],'Basic Data'!N:N,'Basic Data'!Q:Q),"")</f>
        <v>5104</v>
      </c>
      <c r="V185" s="237">
        <f ca="1">IFERROR(_xlfn.XLOOKUP(PA[[#This Row],[Affected Equipment ]],'Basic Data'!N:N,'Basic Data'!R:R),"")</f>
        <v>0.13017087477684264</v>
      </c>
      <c r="W185" s="38" t="s">
        <v>345</v>
      </c>
      <c r="X185" s="41"/>
      <c r="Y185" s="373" t="s">
        <v>770</v>
      </c>
      <c r="Z185" s="47">
        <v>0.71736111111111112</v>
      </c>
      <c r="AA185" s="47">
        <v>0.71736111111111112</v>
      </c>
      <c r="AB185" s="47">
        <v>0.71736111111111112</v>
      </c>
      <c r="AC185" s="47">
        <v>0.78125</v>
      </c>
      <c r="AD185" s="234">
        <f>IF(PA[[#This Row],[Acknowledgement Time ]]="NA","",(PA[[#This Row],[Acknowledgement Time ]]-PA[[#This Row],[Fault Time]])*24)</f>
        <v>0</v>
      </c>
      <c r="AE185" s="234">
        <f>IF(PA[[#This Row],[Work Start time on Fault]]="NA","",(PA[[#This Row],[Work Start time on Fault]]-PA[[#This Row],[Fault Time]])*24)</f>
        <v>0</v>
      </c>
      <c r="AF185" s="235">
        <f>IF(PA[[#This Row],[Status]]="Open","",(PA[[#This Row],[Work Completion time on fault]]-PA[[#This Row],[Fault Time]])*24)</f>
        <v>1.5333333333333332</v>
      </c>
      <c r="AG185" s="234">
        <f>IFERROR((PA[[#This Row],[Work Completion time on fault]]-PA[[#This Row],[Fault Time]])*24,"")</f>
        <v>1.5333333333333332</v>
      </c>
      <c r="AH185" s="374" t="s">
        <v>315</v>
      </c>
      <c r="AI185" s="33" t="s">
        <v>298</v>
      </c>
      <c r="AJ185" s="233">
        <f ca="1">IFERROR(PA[[#This Row],[Breakdown Time]]*PA[[#This Row],[Plant Equivalent Weightage]],"")</f>
        <v>0.19959534132449203</v>
      </c>
      <c r="AK185" s="38">
        <v>0.26717140299999997</v>
      </c>
      <c r="AL185" s="51">
        <f>IFERROR((_xlfn.XLOOKUP($G185,'Modelling New'!D:D,'Modelling New'!$O:$O)*PA[[#This Row],[Lost PoA(kWh/m2)]]*PA[[#This Row],[DC Capacity Affected (kW)]]),"")</f>
        <v>1127.7637424707559</v>
      </c>
      <c r="AM185" s="33"/>
      <c r="AN185" s="33"/>
      <c r="AO185" s="33">
        <v>4988</v>
      </c>
      <c r="AP185" s="375" t="s">
        <v>771</v>
      </c>
    </row>
    <row r="186" spans="1:42">
      <c r="A186" s="30">
        <f t="shared" si="0"/>
        <v>185</v>
      </c>
      <c r="B186" s="166">
        <v>45852</v>
      </c>
      <c r="C186" s="32">
        <f>YEAR(PA[[#This Row],[Date]])+IF(MONTH(PA[[#This Row],[Date]])&gt;=4,1,0)</f>
        <v>2026</v>
      </c>
      <c r="D186" s="32">
        <f>YEAR(PA[[#This Row],[Date]])</f>
        <v>2025</v>
      </c>
      <c r="E186" s="33" t="s">
        <v>219</v>
      </c>
      <c r="F186" s="33" t="s">
        <v>219</v>
      </c>
      <c r="G186" s="196">
        <f>PA[[#This Row],[Date]]-DAY(PA[[#This Row],[Date]])+1</f>
        <v>45839</v>
      </c>
      <c r="H186" s="231">
        <f>DAY(EOMONTH(PA[[#This Row],[Month Year]],0))</f>
        <v>31</v>
      </c>
      <c r="I186" s="122">
        <v>0.25347222222222221</v>
      </c>
      <c r="J186" s="122">
        <v>0.78125</v>
      </c>
      <c r="K186" s="35">
        <f>IFERROR((PA[[#This Row],[Sunset Time (POA&lt;20 W/m2)]]-PA[[#This Row],[Sunrise Time (POA&gt;20 W/m2)]])*24,"")</f>
        <v>12.666666666666668</v>
      </c>
      <c r="L186" s="37" t="s">
        <v>303</v>
      </c>
      <c r="M186" s="33" t="s">
        <v>299</v>
      </c>
      <c r="N186" s="33"/>
      <c r="O186" s="36"/>
      <c r="P186" s="38"/>
      <c r="Q186" s="37"/>
      <c r="R186" s="231">
        <f>IF((PA[[#This Row],[String Type(If String BD)]]&amp;PA[[#This Row],[Equipment (If any BD other than PV  array and inv)]])="",1,0)</f>
        <v>1</v>
      </c>
      <c r="S186" s="231">
        <f>IF(PA[[#This Row],[String Type(If String BD)]]="",1,0)</f>
        <v>1</v>
      </c>
      <c r="T18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86" s="233">
        <f>IFERROR(_xlfn.XLOOKUP(PA[[#This Row],[Affected Equipment ]],'Basic Data'!N:N,'Basic Data'!Q:Q),"")</f>
        <v>5104</v>
      </c>
      <c r="V186" s="237">
        <f ca="1">IFERROR(_xlfn.XLOOKUP(PA[[#This Row],[Affected Equipment ]],'Basic Data'!N:N,'Basic Data'!R:R),"")</f>
        <v>0.13017087477684264</v>
      </c>
      <c r="W186" s="38" t="s">
        <v>345</v>
      </c>
      <c r="X186" s="41"/>
      <c r="Y186" s="373" t="s">
        <v>770</v>
      </c>
      <c r="Z186" s="47">
        <v>0.71736111111111112</v>
      </c>
      <c r="AA186" s="47">
        <v>0.71736111111111112</v>
      </c>
      <c r="AB186" s="47">
        <v>0.71736111111111112</v>
      </c>
      <c r="AC186" s="47">
        <v>0.78125</v>
      </c>
      <c r="AD186" s="234">
        <f>IF(PA[[#This Row],[Acknowledgement Time ]]="NA","",(PA[[#This Row],[Acknowledgement Time ]]-PA[[#This Row],[Fault Time]])*24)</f>
        <v>0</v>
      </c>
      <c r="AE186" s="234">
        <f>IF(PA[[#This Row],[Work Start time on Fault]]="NA","",(PA[[#This Row],[Work Start time on Fault]]-PA[[#This Row],[Fault Time]])*24)</f>
        <v>0</v>
      </c>
      <c r="AF186" s="235">
        <f>IF(PA[[#This Row],[Status]]="Open","",(PA[[#This Row],[Work Completion time on fault]]-PA[[#This Row],[Fault Time]])*24)</f>
        <v>1.5333333333333332</v>
      </c>
      <c r="AG186" s="234">
        <f>IFERROR((PA[[#This Row],[Work Completion time on fault]]-PA[[#This Row],[Fault Time]])*24,"")</f>
        <v>1.5333333333333332</v>
      </c>
      <c r="AH186" s="374" t="s">
        <v>315</v>
      </c>
      <c r="AI186" s="33" t="s">
        <v>298</v>
      </c>
      <c r="AJ186" s="233">
        <f ca="1">IFERROR(PA[[#This Row],[Breakdown Time]]*PA[[#This Row],[Plant Equivalent Weightage]],"")</f>
        <v>0.19959534132449203</v>
      </c>
      <c r="AK186" s="38">
        <v>0.26717140299999997</v>
      </c>
      <c r="AL186" s="51">
        <f>IFERROR((_xlfn.XLOOKUP($G186,'Modelling New'!D:D,'Modelling New'!$O:$O)*PA[[#This Row],[Lost PoA(kWh/m2)]]*PA[[#This Row],[DC Capacity Affected (kW)]]),"")</f>
        <v>1127.7637424707559</v>
      </c>
      <c r="AM186" s="33"/>
      <c r="AN186" s="33"/>
      <c r="AO186" s="33">
        <v>4988</v>
      </c>
      <c r="AP186" s="375" t="s">
        <v>771</v>
      </c>
    </row>
    <row r="187" spans="1:42">
      <c r="A187" s="30">
        <f t="shared" si="0"/>
        <v>186</v>
      </c>
      <c r="B187" s="166">
        <v>45856</v>
      </c>
      <c r="C187" s="32">
        <f>YEAR(PA[[#This Row],[Date]])+IF(MONTH(PA[[#This Row],[Date]])&gt;=4,1,0)</f>
        <v>2026</v>
      </c>
      <c r="D187" s="32">
        <f>YEAR(PA[[#This Row],[Date]])</f>
        <v>2025</v>
      </c>
      <c r="E187" s="33" t="s">
        <v>219</v>
      </c>
      <c r="F187" s="33" t="s">
        <v>219</v>
      </c>
      <c r="G187" s="196">
        <f>PA[[#This Row],[Date]]-DAY(PA[[#This Row],[Date]])+1</f>
        <v>45839</v>
      </c>
      <c r="H187" s="231">
        <f>DAY(EOMONTH(PA[[#This Row],[Month Year]],0))</f>
        <v>31</v>
      </c>
      <c r="I187" s="122">
        <v>0.26180555555555557</v>
      </c>
      <c r="J187" s="122">
        <v>0.77152777777777781</v>
      </c>
      <c r="K187" s="35">
        <f>IFERROR((PA[[#This Row],[Sunset Time (POA&lt;20 W/m2)]]-PA[[#This Row],[Sunrise Time (POA&gt;20 W/m2)]])*24,"")</f>
        <v>12.233333333333333</v>
      </c>
      <c r="L187" s="37" t="s">
        <v>300</v>
      </c>
      <c r="M187" s="37" t="s">
        <v>294</v>
      </c>
      <c r="N187" s="33"/>
      <c r="O187" s="36"/>
      <c r="P187" s="36"/>
      <c r="Q187" s="37"/>
      <c r="R187" s="231">
        <f>IF((PA[[#This Row],[String Type(If String BD)]]&amp;PA[[#This Row],[Equipment (If any BD other than PV  array and inv)]])="",1,0)</f>
        <v>1</v>
      </c>
      <c r="S187" s="231">
        <f>IF(PA[[#This Row],[String Type(If String BD)]]="",1,0)</f>
        <v>1</v>
      </c>
      <c r="T18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7" s="233">
        <f>IFERROR(_xlfn.XLOOKUP(PA[[#This Row],[Affected Equipment ]],'Basic Data'!N:N,'Basic Data'!Q:Q),"")</f>
        <v>4662.4750000000004</v>
      </c>
      <c r="V187" s="237">
        <f ca="1">IFERROR(_xlfn.XLOOKUP(PA[[#This Row],[Affected Equipment ]],'Basic Data'!N:N,'Basic Data'!R:R),"")</f>
        <v>0.11891035450140271</v>
      </c>
      <c r="W187" s="38" t="s">
        <v>345</v>
      </c>
      <c r="X187" s="41"/>
      <c r="Y187" s="373" t="s">
        <v>770</v>
      </c>
      <c r="Z187" s="47">
        <v>0.7319444444444444</v>
      </c>
      <c r="AA187" s="47">
        <v>0.7319444444444444</v>
      </c>
      <c r="AB187" s="47">
        <v>0.7319444444444444</v>
      </c>
      <c r="AC187" s="47">
        <v>0.77152777777777781</v>
      </c>
      <c r="AD187" s="234">
        <f>IF(PA[[#This Row],[Acknowledgement Time ]]="NA","",(PA[[#This Row],[Acknowledgement Time ]]-PA[[#This Row],[Fault Time]])*24)</f>
        <v>0</v>
      </c>
      <c r="AE187" s="234">
        <f>IF(PA[[#This Row],[Work Start time on Fault]]="NA","",(PA[[#This Row],[Work Start time on Fault]]-PA[[#This Row],[Fault Time]])*24)</f>
        <v>0</v>
      </c>
      <c r="AF187" s="235">
        <f>IF(PA[[#This Row],[Status]]="Open","",(PA[[#This Row],[Work Completion time on fault]]-PA[[#This Row],[Fault Time]])*24)</f>
        <v>0.95000000000000195</v>
      </c>
      <c r="AG187" s="234">
        <f>IFERROR((PA[[#This Row],[Work Completion time on fault]]-PA[[#This Row],[Fault Time]])*24,"")</f>
        <v>0.95000000000000195</v>
      </c>
      <c r="AH187" s="374" t="s">
        <v>315</v>
      </c>
      <c r="AI187" s="33" t="s">
        <v>298</v>
      </c>
      <c r="AJ187" s="233">
        <f ca="1">IFERROR(PA[[#This Row],[Breakdown Time]]*PA[[#This Row],[Plant Equivalent Weightage]],"")</f>
        <v>0.1129648367763328</v>
      </c>
      <c r="AK187" s="38">
        <v>6.1838157999999997E-2</v>
      </c>
      <c r="AL187" s="51">
        <f>IFERROR((_xlfn.XLOOKUP($G187,'Modelling New'!D:D,'Modelling New'!$O:$O)*PA[[#This Row],[Lost PoA(kWh/m2)]]*PA[[#This Row],[DC Capacity Affected (kW)]]),"")</f>
        <v>238.44628026868952</v>
      </c>
      <c r="AM187" s="33"/>
      <c r="AN187" s="33"/>
      <c r="AO187" s="33">
        <v>5097</v>
      </c>
      <c r="AP187" s="33" t="s">
        <v>772</v>
      </c>
    </row>
    <row r="188" spans="1:42">
      <c r="A188" s="30">
        <f t="shared" si="0"/>
        <v>187</v>
      </c>
      <c r="B188" s="166">
        <v>45856</v>
      </c>
      <c r="C188" s="32">
        <f>YEAR(PA[[#This Row],[Date]])+IF(MONTH(PA[[#This Row],[Date]])&gt;=4,1,0)</f>
        <v>2026</v>
      </c>
      <c r="D188" s="32">
        <f>YEAR(PA[[#This Row],[Date]])</f>
        <v>2025</v>
      </c>
      <c r="E188" s="33" t="s">
        <v>219</v>
      </c>
      <c r="F188" s="33" t="s">
        <v>219</v>
      </c>
      <c r="G188" s="196">
        <f>PA[[#This Row],[Date]]-DAY(PA[[#This Row],[Date]])+1</f>
        <v>45839</v>
      </c>
      <c r="H188" s="231">
        <f>DAY(EOMONTH(PA[[#This Row],[Month Year]],0))</f>
        <v>31</v>
      </c>
      <c r="I188" s="122">
        <v>0.26180555555555557</v>
      </c>
      <c r="J188" s="122">
        <v>0.77152777777777781</v>
      </c>
      <c r="K188" s="35">
        <f>IFERROR((PA[[#This Row],[Sunset Time (POA&lt;20 W/m2)]]-PA[[#This Row],[Sunrise Time (POA&gt;20 W/m2)]])*24,"")</f>
        <v>12.233333333333333</v>
      </c>
      <c r="L188" s="37" t="s">
        <v>300</v>
      </c>
      <c r="M188" s="37" t="s">
        <v>299</v>
      </c>
      <c r="N188" s="33"/>
      <c r="O188" s="36"/>
      <c r="P188" s="38"/>
      <c r="Q188" s="37"/>
      <c r="R188" s="231">
        <f>IF((PA[[#This Row],[String Type(If String BD)]]&amp;PA[[#This Row],[Equipment (If any BD other than PV  array and inv)]])="",1,0)</f>
        <v>1</v>
      </c>
      <c r="S188" s="231">
        <f>IF(PA[[#This Row],[String Type(If String BD)]]="",1,0)</f>
        <v>1</v>
      </c>
      <c r="T18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8" s="233">
        <f>IFERROR(_xlfn.XLOOKUP(PA[[#This Row],[Affected Equipment ]],'Basic Data'!N:N,'Basic Data'!Q:Q),"")</f>
        <v>4662.4750000000004</v>
      </c>
      <c r="V188" s="237">
        <f ca="1">IFERROR(_xlfn.XLOOKUP(PA[[#This Row],[Affected Equipment ]],'Basic Data'!N:N,'Basic Data'!R:R),"")</f>
        <v>0.11891035450140271</v>
      </c>
      <c r="W188" s="38" t="s">
        <v>345</v>
      </c>
      <c r="X188" s="41"/>
      <c r="Y188" s="373" t="s">
        <v>770</v>
      </c>
      <c r="Z188" s="47">
        <v>0.7319444444444444</v>
      </c>
      <c r="AA188" s="47">
        <v>0.7319444444444444</v>
      </c>
      <c r="AB188" s="47">
        <v>0.7319444444444444</v>
      </c>
      <c r="AC188" s="47">
        <v>0.77152777777777781</v>
      </c>
      <c r="AD188" s="234">
        <f>IF(PA[[#This Row],[Acknowledgement Time ]]="NA","",(PA[[#This Row],[Acknowledgement Time ]]-PA[[#This Row],[Fault Time]])*24)</f>
        <v>0</v>
      </c>
      <c r="AE188" s="234">
        <f>IF(PA[[#This Row],[Work Start time on Fault]]="NA","",(PA[[#This Row],[Work Start time on Fault]]-PA[[#This Row],[Fault Time]])*24)</f>
        <v>0</v>
      </c>
      <c r="AF188" s="235">
        <f>IF(PA[[#This Row],[Status]]="Open","",(PA[[#This Row],[Work Completion time on fault]]-PA[[#This Row],[Fault Time]])*24)</f>
        <v>0.95000000000000195</v>
      </c>
      <c r="AG188" s="234">
        <f>IFERROR((PA[[#This Row],[Work Completion time on fault]]-PA[[#This Row],[Fault Time]])*24,"")</f>
        <v>0.95000000000000195</v>
      </c>
      <c r="AH188" s="374" t="s">
        <v>315</v>
      </c>
      <c r="AI188" s="33" t="s">
        <v>298</v>
      </c>
      <c r="AJ188" s="233">
        <f ca="1">IFERROR(PA[[#This Row],[Breakdown Time]]*PA[[#This Row],[Plant Equivalent Weightage]],"")</f>
        <v>0.1129648367763328</v>
      </c>
      <c r="AK188" s="38">
        <v>6.1838157999999997E-2</v>
      </c>
      <c r="AL188" s="51">
        <f>IFERROR((_xlfn.XLOOKUP($G188,'Modelling New'!D:D,'Modelling New'!$O:$O)*PA[[#This Row],[Lost PoA(kWh/m2)]]*PA[[#This Row],[DC Capacity Affected (kW)]]),"")</f>
        <v>238.44628026868952</v>
      </c>
      <c r="AM188" s="33"/>
      <c r="AN188" s="33"/>
      <c r="AO188" s="33">
        <v>5097</v>
      </c>
      <c r="AP188" s="33" t="s">
        <v>772</v>
      </c>
    </row>
    <row r="189" spans="1:42">
      <c r="A189" s="30">
        <f t="shared" si="0"/>
        <v>188</v>
      </c>
      <c r="B189" s="166">
        <v>45856</v>
      </c>
      <c r="C189" s="32">
        <f>YEAR(PA[[#This Row],[Date]])+IF(MONTH(PA[[#This Row],[Date]])&gt;=4,1,0)</f>
        <v>2026</v>
      </c>
      <c r="D189" s="32">
        <f>YEAR(PA[[#This Row],[Date]])</f>
        <v>2025</v>
      </c>
      <c r="E189" s="33" t="s">
        <v>219</v>
      </c>
      <c r="F189" s="33" t="s">
        <v>219</v>
      </c>
      <c r="G189" s="196">
        <f>PA[[#This Row],[Date]]-DAY(PA[[#This Row],[Date]])+1</f>
        <v>45839</v>
      </c>
      <c r="H189" s="32">
        <f>DAY(EOMONTH(PA[[#This Row],[Month Year]],0))</f>
        <v>31</v>
      </c>
      <c r="I189" s="122">
        <v>0.26180555555555557</v>
      </c>
      <c r="J189" s="122">
        <v>0.77152777777777781</v>
      </c>
      <c r="K189" s="35">
        <f>IFERROR((PA[[#This Row],[Sunset Time (POA&lt;20 W/m2)]]-PA[[#This Row],[Sunrise Time (POA&gt;20 W/m2)]])*24,"")</f>
        <v>12.233333333333333</v>
      </c>
      <c r="L189" s="37" t="s">
        <v>293</v>
      </c>
      <c r="M189" s="37" t="s">
        <v>294</v>
      </c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9" s="35">
        <f>IFERROR(_xlfn.XLOOKUP(PA[[#This Row],[Affected Equipment ]],'Basic Data'!N:N,'Basic Data'!Q:Q),"")</f>
        <v>6511.66</v>
      </c>
      <c r="V189" s="236">
        <f ca="1">IFERROR(_xlfn.XLOOKUP(PA[[#This Row],[Affected Equipment ]],'Basic Data'!N:N,'Basic Data'!R:R),"")</f>
        <v>0.1660714103545014</v>
      </c>
      <c r="W189" s="36" t="s">
        <v>345</v>
      </c>
      <c r="X189" s="40"/>
      <c r="Y189" s="373" t="s">
        <v>770</v>
      </c>
      <c r="Z189" s="47">
        <v>0.73194444444444395</v>
      </c>
      <c r="AA189" s="47">
        <v>0.73194444444444395</v>
      </c>
      <c r="AB189" s="47">
        <v>0.73194444444444395</v>
      </c>
      <c r="AC189" s="47">
        <v>0.77152777777777781</v>
      </c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0.95000000000001261</v>
      </c>
      <c r="AG189" s="44">
        <f>IFERROR((PA[[#This Row],[Work Completion time on fault]]-PA[[#This Row],[Fault Time]])*24,"")</f>
        <v>0.95000000000001261</v>
      </c>
      <c r="AH189" s="374" t="s">
        <v>315</v>
      </c>
      <c r="AI189" s="33" t="s">
        <v>298</v>
      </c>
      <c r="AJ189" s="35">
        <f ca="1">IFERROR(PA[[#This Row],[Breakdown Time]]*PA[[#This Row],[Plant Equivalent Weightage]],"")</f>
        <v>0.15776783983677842</v>
      </c>
      <c r="AK189" s="38">
        <v>6.1838157999999997E-2</v>
      </c>
      <c r="AL189" s="51">
        <f>IFERROR((_xlfn.XLOOKUP($G189,'Modelling New'!D:D,'Modelling New'!$O:$O)*PA[[#This Row],[Lost PoA(kWh/m2)]]*PA[[#This Row],[DC Capacity Affected (kW)]]),"")</f>
        <v>333.01649990067824</v>
      </c>
      <c r="AM189" s="33"/>
      <c r="AN189" s="33"/>
      <c r="AO189" s="33">
        <v>5097</v>
      </c>
      <c r="AP189" s="33" t="s">
        <v>772</v>
      </c>
    </row>
    <row r="190" spans="1:42">
      <c r="A190" s="30">
        <f t="shared" si="0"/>
        <v>189</v>
      </c>
      <c r="B190" s="166">
        <v>45856</v>
      </c>
      <c r="C190" s="32">
        <f>YEAR(PA[[#This Row],[Date]])+IF(MONTH(PA[[#This Row],[Date]])&gt;=4,1,0)</f>
        <v>2026</v>
      </c>
      <c r="D190" s="32">
        <f>YEAR(PA[[#This Row],[Date]])</f>
        <v>2025</v>
      </c>
      <c r="E190" s="33" t="s">
        <v>219</v>
      </c>
      <c r="F190" s="33" t="s">
        <v>219</v>
      </c>
      <c r="G190" s="196">
        <f>PA[[#This Row],[Date]]-DAY(PA[[#This Row],[Date]])+1</f>
        <v>45839</v>
      </c>
      <c r="H190" s="32">
        <f>DAY(EOMONTH(PA[[#This Row],[Month Year]],0))</f>
        <v>31</v>
      </c>
      <c r="I190" s="122">
        <v>0.26180555555555557</v>
      </c>
      <c r="J190" s="122">
        <v>0.77152777777777781</v>
      </c>
      <c r="K190" s="35">
        <f>IFERROR((PA[[#This Row],[Sunset Time (POA&lt;20 W/m2)]]-PA[[#This Row],[Sunrise Time (POA&gt;20 W/m2)]])*24,"")</f>
        <v>12.233333333333333</v>
      </c>
      <c r="L190" s="37" t="s">
        <v>293</v>
      </c>
      <c r="M190" s="37" t="s">
        <v>299</v>
      </c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0" s="35">
        <f>IFERROR(_xlfn.XLOOKUP(PA[[#This Row],[Affected Equipment ]],'Basic Data'!N:N,'Basic Data'!Q:Q),"")</f>
        <v>6495.8549999999996</v>
      </c>
      <c r="V190" s="236">
        <f ca="1">IFERROR(_xlfn.XLOOKUP(PA[[#This Row],[Affected Equipment ]],'Basic Data'!N:N,'Basic Data'!R:R),"")</f>
        <v>0.16566832440703902</v>
      </c>
      <c r="W190" s="36" t="s">
        <v>345</v>
      </c>
      <c r="X190" s="40"/>
      <c r="Y190" s="373" t="s">
        <v>770</v>
      </c>
      <c r="Z190" s="47">
        <v>0.73194444444444395</v>
      </c>
      <c r="AA190" s="47">
        <v>0.73194444444444395</v>
      </c>
      <c r="AB190" s="47">
        <v>0.73194444444444395</v>
      </c>
      <c r="AC190" s="47">
        <v>0.77152777777777781</v>
      </c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0.95000000000001261</v>
      </c>
      <c r="AG190" s="44">
        <f>IFERROR((PA[[#This Row],[Work Completion time on fault]]-PA[[#This Row],[Fault Time]])*24,"")</f>
        <v>0.95000000000001261</v>
      </c>
      <c r="AH190" s="374" t="s">
        <v>315</v>
      </c>
      <c r="AI190" s="33" t="s">
        <v>298</v>
      </c>
      <c r="AJ190" s="35">
        <f ca="1">IFERROR(PA[[#This Row],[Breakdown Time]]*PA[[#This Row],[Plant Equivalent Weightage]],"")</f>
        <v>0.15738490818668915</v>
      </c>
      <c r="AK190" s="38">
        <v>6.1838157999999997E-2</v>
      </c>
      <c r="AL190" s="51">
        <f>IFERROR((_xlfn.XLOOKUP($G190,'Modelling New'!D:D,'Modelling New'!$O:$O)*PA[[#This Row],[Lost PoA(kWh/m2)]]*PA[[#This Row],[DC Capacity Affected (kW)]]),"")</f>
        <v>332.20820742519112</v>
      </c>
      <c r="AM190" s="33"/>
      <c r="AN190" s="33"/>
      <c r="AO190" s="33">
        <v>5097</v>
      </c>
      <c r="AP190" s="33" t="s">
        <v>772</v>
      </c>
    </row>
    <row r="191" spans="1:42">
      <c r="A191" s="30">
        <f t="shared" si="0"/>
        <v>190</v>
      </c>
      <c r="B191" s="166">
        <v>45856</v>
      </c>
      <c r="C191" s="32">
        <f>YEAR(PA[[#This Row],[Date]])+IF(MONTH(PA[[#This Row],[Date]])&gt;=4,1,0)</f>
        <v>2026</v>
      </c>
      <c r="D191" s="32">
        <f>YEAR(PA[[#This Row],[Date]])</f>
        <v>2025</v>
      </c>
      <c r="E191" s="33" t="s">
        <v>219</v>
      </c>
      <c r="F191" s="33" t="s">
        <v>219</v>
      </c>
      <c r="G191" s="196">
        <f>PA[[#This Row],[Date]]-DAY(PA[[#This Row],[Date]])+1</f>
        <v>45839</v>
      </c>
      <c r="H191" s="32">
        <f>DAY(EOMONTH(PA[[#This Row],[Month Year]],0))</f>
        <v>31</v>
      </c>
      <c r="I191" s="122">
        <v>0.26180555555555557</v>
      </c>
      <c r="J191" s="122">
        <v>0.77152777777777781</v>
      </c>
      <c r="K191" s="35">
        <f>IFERROR((PA[[#This Row],[Sunset Time (POA&lt;20 W/m2)]]-PA[[#This Row],[Sunrise Time (POA&gt;20 W/m2)]])*24,"")</f>
        <v>12.233333333333333</v>
      </c>
      <c r="L191" s="37" t="s">
        <v>302</v>
      </c>
      <c r="M191" s="37" t="s">
        <v>294</v>
      </c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1" s="35">
        <f>IFERROR(_xlfn.XLOOKUP(PA[[#This Row],[Affected Equipment ]],'Basic Data'!N:N,'Basic Data'!Q:Q),"")</f>
        <v>6527.4649999999992</v>
      </c>
      <c r="V191" s="236">
        <f ca="1">IFERROR(_xlfn.XLOOKUP(PA[[#This Row],[Affected Equipment ]],'Basic Data'!N:N,'Basic Data'!R:R),"")</f>
        <v>0.16647449630196376</v>
      </c>
      <c r="W191" s="36" t="s">
        <v>345</v>
      </c>
      <c r="X191" s="40"/>
      <c r="Y191" s="373" t="s">
        <v>770</v>
      </c>
      <c r="Z191" s="47">
        <v>0.73194444444444395</v>
      </c>
      <c r="AA191" s="47">
        <v>0.73194444444444395</v>
      </c>
      <c r="AB191" s="47">
        <v>0.73194444444444395</v>
      </c>
      <c r="AC191" s="47">
        <v>0.77152777777777781</v>
      </c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0.95000000000001261</v>
      </c>
      <c r="AG191" s="44">
        <f>IFERROR((PA[[#This Row],[Work Completion time on fault]]-PA[[#This Row],[Fault Time]])*24,"")</f>
        <v>0.95000000000001261</v>
      </c>
      <c r="AH191" s="374" t="s">
        <v>315</v>
      </c>
      <c r="AI191" s="33" t="s">
        <v>298</v>
      </c>
      <c r="AJ191" s="35">
        <f ca="1">IFERROR(PA[[#This Row],[Breakdown Time]]*PA[[#This Row],[Plant Equivalent Weightage]],"")</f>
        <v>0.15815077148686768</v>
      </c>
      <c r="AK191" s="38">
        <v>6.1838157999999997E-2</v>
      </c>
      <c r="AL191" s="51">
        <f>IFERROR((_xlfn.XLOOKUP($G191,'Modelling New'!D:D,'Modelling New'!$O:$O)*PA[[#This Row],[Lost PoA(kWh/m2)]]*PA[[#This Row],[DC Capacity Affected (kW)]]),"")</f>
        <v>333.82479237616531</v>
      </c>
      <c r="AM191" s="33"/>
      <c r="AN191" s="33"/>
      <c r="AO191" s="33">
        <v>5097</v>
      </c>
      <c r="AP191" s="33" t="s">
        <v>772</v>
      </c>
    </row>
    <row r="192" spans="1:42">
      <c r="A192" s="30">
        <f t="shared" si="0"/>
        <v>191</v>
      </c>
      <c r="B192" s="166">
        <v>45856</v>
      </c>
      <c r="C192" s="32">
        <f>YEAR(PA[[#This Row],[Date]])+IF(MONTH(PA[[#This Row],[Date]])&gt;=4,1,0)</f>
        <v>2026</v>
      </c>
      <c r="D192" s="32">
        <f>YEAR(PA[[#This Row],[Date]])</f>
        <v>2025</v>
      </c>
      <c r="E192" s="33" t="s">
        <v>219</v>
      </c>
      <c r="F192" s="33" t="s">
        <v>219</v>
      </c>
      <c r="G192" s="196">
        <f>PA[[#This Row],[Date]]-DAY(PA[[#This Row],[Date]])+1</f>
        <v>45839</v>
      </c>
      <c r="H192" s="231">
        <f>DAY(EOMONTH(PA[[#This Row],[Month Year]],0))</f>
        <v>31</v>
      </c>
      <c r="I192" s="122">
        <v>0.26180555555555557</v>
      </c>
      <c r="J192" s="122">
        <v>0.77152777777777781</v>
      </c>
      <c r="K192" s="35">
        <f>IFERROR((PA[[#This Row],[Sunset Time (POA&lt;20 W/m2)]]-PA[[#This Row],[Sunrise Time (POA&gt;20 W/m2)]])*24,"")</f>
        <v>12.233333333333333</v>
      </c>
      <c r="L192" s="37" t="s">
        <v>303</v>
      </c>
      <c r="M192" s="37" t="s">
        <v>294</v>
      </c>
      <c r="N192" s="33"/>
      <c r="O192" s="38"/>
      <c r="P192" s="38"/>
      <c r="Q192" s="37"/>
      <c r="R192" s="231">
        <f>IF((PA[[#This Row],[String Type(If String BD)]]&amp;PA[[#This Row],[Equipment (If any BD other than PV  array and inv)]])="",1,0)</f>
        <v>1</v>
      </c>
      <c r="S192" s="231">
        <f>IF(PA[[#This Row],[String Type(If String BD)]]="",1,0)</f>
        <v>1</v>
      </c>
      <c r="T1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2" s="233">
        <f>IFERROR(_xlfn.XLOOKUP(PA[[#This Row],[Affected Equipment ]],'Basic Data'!N:N,'Basic Data'!Q:Q),"")</f>
        <v>5104</v>
      </c>
      <c r="V192" s="237">
        <f ca="1">IFERROR(_xlfn.XLOOKUP(PA[[#This Row],[Affected Equipment ]],'Basic Data'!N:N,'Basic Data'!R:R),"")</f>
        <v>0.13017087477684264</v>
      </c>
      <c r="W192" s="38" t="s">
        <v>345</v>
      </c>
      <c r="X192" s="41"/>
      <c r="Y192" s="373" t="s">
        <v>770</v>
      </c>
      <c r="Z192" s="47">
        <v>0.73194444444444395</v>
      </c>
      <c r="AA192" s="47">
        <v>0.73194444444444395</v>
      </c>
      <c r="AB192" s="47">
        <v>0.73194444444444395</v>
      </c>
      <c r="AC192" s="47">
        <v>0.77152777777777781</v>
      </c>
      <c r="AD192" s="234">
        <f>IF(PA[[#This Row],[Acknowledgement Time ]]="NA","",(PA[[#This Row],[Acknowledgement Time ]]-PA[[#This Row],[Fault Time]])*24)</f>
        <v>0</v>
      </c>
      <c r="AE192" s="234">
        <f>IF(PA[[#This Row],[Work Start time on Fault]]="NA","",(PA[[#This Row],[Work Start time on Fault]]-PA[[#This Row],[Fault Time]])*24)</f>
        <v>0</v>
      </c>
      <c r="AF192" s="235">
        <f>IF(PA[[#This Row],[Status]]="Open","",(PA[[#This Row],[Work Completion time on fault]]-PA[[#This Row],[Fault Time]])*24)</f>
        <v>0.95000000000001261</v>
      </c>
      <c r="AG192" s="234">
        <f>IFERROR((PA[[#This Row],[Work Completion time on fault]]-PA[[#This Row],[Fault Time]])*24,"")</f>
        <v>0.95000000000001261</v>
      </c>
      <c r="AH192" s="374" t="s">
        <v>315</v>
      </c>
      <c r="AI192" s="33" t="s">
        <v>298</v>
      </c>
      <c r="AJ192" s="233">
        <f ca="1">IFERROR(PA[[#This Row],[Breakdown Time]]*PA[[#This Row],[Plant Equivalent Weightage]],"")</f>
        <v>0.12366233103800214</v>
      </c>
      <c r="AK192" s="38">
        <v>6.1838157999999997E-2</v>
      </c>
      <c r="AL192" s="51">
        <f>IFERROR((_xlfn.XLOOKUP($G192,'Modelling New'!D:D,'Modelling New'!$O:$O)*PA[[#This Row],[Lost PoA(kWh/m2)]]*PA[[#This Row],[DC Capacity Affected (kW)]]),"")</f>
        <v>261.0265608912415</v>
      </c>
      <c r="AM192" s="33"/>
      <c r="AN192" s="33"/>
      <c r="AO192" s="33">
        <v>5097</v>
      </c>
      <c r="AP192" s="33" t="s">
        <v>772</v>
      </c>
    </row>
    <row r="193" spans="1:42">
      <c r="A193" s="30">
        <f t="shared" si="0"/>
        <v>192</v>
      </c>
      <c r="B193" s="166">
        <v>45856</v>
      </c>
      <c r="C193" s="32">
        <f>YEAR(PA[[#This Row],[Date]])+IF(MONTH(PA[[#This Row],[Date]])&gt;=4,1,0)</f>
        <v>2026</v>
      </c>
      <c r="D193" s="32">
        <f>YEAR(PA[[#This Row],[Date]])</f>
        <v>2025</v>
      </c>
      <c r="E193" s="33" t="s">
        <v>219</v>
      </c>
      <c r="F193" s="33" t="s">
        <v>219</v>
      </c>
      <c r="G193" s="196">
        <f>PA[[#This Row],[Date]]-DAY(PA[[#This Row],[Date]])+1</f>
        <v>45839</v>
      </c>
      <c r="H193" s="32">
        <f>DAY(EOMONTH(PA[[#This Row],[Month Year]],0))</f>
        <v>31</v>
      </c>
      <c r="I193" s="122">
        <v>0.26180555555555557</v>
      </c>
      <c r="J193" s="122">
        <v>0.77152777777777781</v>
      </c>
      <c r="K193" s="35">
        <f>IFERROR((PA[[#This Row],[Sunset Time (POA&lt;20 W/m2)]]-PA[[#This Row],[Sunrise Time (POA&gt;20 W/m2)]])*24,"")</f>
        <v>12.233333333333333</v>
      </c>
      <c r="L193" s="37" t="s">
        <v>303</v>
      </c>
      <c r="M193" s="37" t="s">
        <v>299</v>
      </c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93" s="35">
        <f>IFERROR(_xlfn.XLOOKUP(PA[[#This Row],[Affected Equipment ]],'Basic Data'!N:N,'Basic Data'!Q:Q),"")</f>
        <v>5104</v>
      </c>
      <c r="V193" s="236">
        <f ca="1">IFERROR(_xlfn.XLOOKUP(PA[[#This Row],[Affected Equipment ]],'Basic Data'!N:N,'Basic Data'!R:R),"")</f>
        <v>0.13017087477684264</v>
      </c>
      <c r="W193" s="36" t="s">
        <v>345</v>
      </c>
      <c r="X193" s="40"/>
      <c r="Y193" s="373" t="s">
        <v>770</v>
      </c>
      <c r="Z193" s="47">
        <v>0.73194444444444395</v>
      </c>
      <c r="AA193" s="47">
        <v>0.73194444444444395</v>
      </c>
      <c r="AB193" s="47">
        <v>0.73194444444444395</v>
      </c>
      <c r="AC193" s="47">
        <v>0.77152777777777781</v>
      </c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0.95000000000001261</v>
      </c>
      <c r="AG193" s="44">
        <f>IFERROR((PA[[#This Row],[Work Completion time on fault]]-PA[[#This Row],[Fault Time]])*24,"")</f>
        <v>0.95000000000001261</v>
      </c>
      <c r="AH193" s="374" t="s">
        <v>315</v>
      </c>
      <c r="AI193" s="33" t="s">
        <v>298</v>
      </c>
      <c r="AJ193" s="35">
        <f ca="1">IFERROR(PA[[#This Row],[Breakdown Time]]*PA[[#This Row],[Plant Equivalent Weightage]],"")</f>
        <v>0.12366233103800214</v>
      </c>
      <c r="AK193" s="38">
        <v>6.1838157999999997E-2</v>
      </c>
      <c r="AL193" s="51">
        <f>IFERROR((_xlfn.XLOOKUP($G193,'Modelling New'!D:D,'Modelling New'!$O:$O)*PA[[#This Row],[Lost PoA(kWh/m2)]]*PA[[#This Row],[DC Capacity Affected (kW)]]),"")</f>
        <v>261.0265608912415</v>
      </c>
      <c r="AM193" s="33"/>
      <c r="AN193" s="33"/>
      <c r="AO193" s="33">
        <v>5097</v>
      </c>
      <c r="AP193" s="33" t="s">
        <v>772</v>
      </c>
    </row>
    <row r="194" spans="1:42">
      <c r="A194" s="30">
        <f t="shared" si="0"/>
        <v>193</v>
      </c>
      <c r="B194" s="166">
        <v>45861</v>
      </c>
      <c r="C194" s="32">
        <f>YEAR(PA[[#This Row],[Date]])+IF(MONTH(PA[[#This Row],[Date]])&gt;=4,1,0)</f>
        <v>2026</v>
      </c>
      <c r="D194" s="32">
        <f>YEAR(PA[[#This Row],[Date]])</f>
        <v>2025</v>
      </c>
      <c r="E194" s="33" t="s">
        <v>219</v>
      </c>
      <c r="F194" s="33" t="s">
        <v>219</v>
      </c>
      <c r="G194" s="196">
        <f>PA[[#This Row],[Date]]-DAY(PA[[#This Row],[Date]])+1</f>
        <v>45839</v>
      </c>
      <c r="H194" s="231">
        <f>DAY(EOMONTH(PA[[#This Row],[Month Year]],0))</f>
        <v>31</v>
      </c>
      <c r="I194" s="122">
        <v>0.25972222222222224</v>
      </c>
      <c r="J194" s="122">
        <v>0.74722222222222223</v>
      </c>
      <c r="K194" s="35">
        <f>IFERROR((PA[[#This Row],[Sunset Time (POA&lt;20 W/m2)]]-PA[[#This Row],[Sunrise Time (POA&gt;20 W/m2)]])*24,"")</f>
        <v>11.7</v>
      </c>
      <c r="L194" s="37" t="s">
        <v>300</v>
      </c>
      <c r="M194" s="37" t="s">
        <v>294</v>
      </c>
      <c r="N194" s="33"/>
      <c r="O194" s="36"/>
      <c r="P194" s="38"/>
      <c r="Q194" s="37"/>
      <c r="R194" s="231">
        <f>IF((PA[[#This Row],[String Type(If String BD)]]&amp;PA[[#This Row],[Equipment (If any BD other than PV  array and inv)]])="",1,0)</f>
        <v>1</v>
      </c>
      <c r="S194" s="231">
        <f>IF(PA[[#This Row],[String Type(If String BD)]]="",1,0)</f>
        <v>1</v>
      </c>
      <c r="T19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94" s="233">
        <f>IFERROR(_xlfn.XLOOKUP(PA[[#This Row],[Affected Equipment ]],'Basic Data'!N:N,'Basic Data'!Q:Q),"")</f>
        <v>4662.4750000000004</v>
      </c>
      <c r="V194" s="237">
        <f ca="1">IFERROR(_xlfn.XLOOKUP(PA[[#This Row],[Affected Equipment ]],'Basic Data'!N:N,'Basic Data'!R:R),"")</f>
        <v>0.11891035450140271</v>
      </c>
      <c r="W194" s="36" t="s">
        <v>345</v>
      </c>
      <c r="X194" s="41"/>
      <c r="Y194" s="40" t="s">
        <v>372</v>
      </c>
      <c r="Z194" s="46">
        <v>0.53819444444444442</v>
      </c>
      <c r="AA194" s="46">
        <v>0.53819444444444442</v>
      </c>
      <c r="AB194" s="46">
        <v>0.53819444444444442</v>
      </c>
      <c r="AC194" s="46">
        <v>0.55555555555555558</v>
      </c>
      <c r="AD194" s="234">
        <f>IF(PA[[#This Row],[Acknowledgement Time ]]="NA","",(PA[[#This Row],[Acknowledgement Time ]]-PA[[#This Row],[Fault Time]])*24)</f>
        <v>0</v>
      </c>
      <c r="AE194" s="234">
        <f>IF(PA[[#This Row],[Work Start time on Fault]]="NA","",(PA[[#This Row],[Work Start time on Fault]]-PA[[#This Row],[Fault Time]])*24)</f>
        <v>0</v>
      </c>
      <c r="AF194" s="235">
        <f>IF(PA[[#This Row],[Status]]="Open","",(PA[[#This Row],[Work Completion time on fault]]-PA[[#This Row],[Fault Time]])*24)</f>
        <v>0.41666666666666785</v>
      </c>
      <c r="AG194" s="234">
        <f>IFERROR((PA[[#This Row],[Work Completion time on fault]]-PA[[#This Row],[Fault Time]])*24,"")</f>
        <v>0.41666666666666785</v>
      </c>
      <c r="AH194" s="36" t="s">
        <v>297</v>
      </c>
      <c r="AI194" s="33" t="s">
        <v>298</v>
      </c>
      <c r="AJ194" s="233">
        <f ca="1">IFERROR(PA[[#This Row],[Breakdown Time]]*PA[[#This Row],[Plant Equivalent Weightage]],"")</f>
        <v>4.9545981042251268E-2</v>
      </c>
      <c r="AK194" s="38">
        <v>0.23861199999999999</v>
      </c>
      <c r="AL194" s="51">
        <f>IFERROR((_xlfn.XLOOKUP($G194,'Modelling New'!D:D,'Modelling New'!$O:$O)*PA[[#This Row],[Lost PoA(kWh/m2)]]*PA[[#This Row],[DC Capacity Affected (kW)]]),"")</f>
        <v>920.08147829164875</v>
      </c>
      <c r="AM194" s="33"/>
      <c r="AN194" s="33"/>
      <c r="AO194" s="33">
        <v>5212</v>
      </c>
      <c r="AP194" s="33" t="s">
        <v>773</v>
      </c>
    </row>
    <row r="195" spans="1:42">
      <c r="A195" s="30">
        <f t="shared" si="0"/>
        <v>194</v>
      </c>
      <c r="B195" s="166">
        <v>45861</v>
      </c>
      <c r="C195" s="32">
        <f>YEAR(PA[[#This Row],[Date]])+IF(MONTH(PA[[#This Row],[Date]])&gt;=4,1,0)</f>
        <v>2026</v>
      </c>
      <c r="D195" s="32">
        <f>YEAR(PA[[#This Row],[Date]])</f>
        <v>2025</v>
      </c>
      <c r="E195" s="33" t="s">
        <v>219</v>
      </c>
      <c r="F195" s="33" t="s">
        <v>219</v>
      </c>
      <c r="G195" s="196">
        <f>PA[[#This Row],[Date]]-DAY(PA[[#This Row],[Date]])+1</f>
        <v>45839</v>
      </c>
      <c r="H195" s="231">
        <f>DAY(EOMONTH(PA[[#This Row],[Month Year]],0))</f>
        <v>31</v>
      </c>
      <c r="I195" s="122">
        <v>0.25972222222222224</v>
      </c>
      <c r="J195" s="122">
        <v>0.74722222222222223</v>
      </c>
      <c r="K195" s="35">
        <f>IFERROR((PA[[#This Row],[Sunset Time (POA&lt;20 W/m2)]]-PA[[#This Row],[Sunrise Time (POA&gt;20 W/m2)]])*24,"")</f>
        <v>11.7</v>
      </c>
      <c r="L195" s="37" t="s">
        <v>300</v>
      </c>
      <c r="M195" s="37" t="s">
        <v>299</v>
      </c>
      <c r="N195" s="33"/>
      <c r="O195" s="36"/>
      <c r="P195" s="38"/>
      <c r="Q195" s="37"/>
      <c r="R195" s="231">
        <f>IF((PA[[#This Row],[String Type(If String BD)]]&amp;PA[[#This Row],[Equipment (If any BD other than PV  array and inv)]])="",1,0)</f>
        <v>1</v>
      </c>
      <c r="S195" s="231">
        <f>IF(PA[[#This Row],[String Type(If String BD)]]="",1,0)</f>
        <v>1</v>
      </c>
      <c r="T19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95" s="233">
        <f>IFERROR(_xlfn.XLOOKUP(PA[[#This Row],[Affected Equipment ]],'Basic Data'!N:N,'Basic Data'!Q:Q),"")</f>
        <v>4662.4750000000004</v>
      </c>
      <c r="V195" s="237">
        <f ca="1">IFERROR(_xlfn.XLOOKUP(PA[[#This Row],[Affected Equipment ]],'Basic Data'!N:N,'Basic Data'!R:R),"")</f>
        <v>0.11891035450140271</v>
      </c>
      <c r="W195" s="36" t="s">
        <v>345</v>
      </c>
      <c r="X195" s="41"/>
      <c r="Y195" s="40" t="s">
        <v>372</v>
      </c>
      <c r="Z195" s="46">
        <v>0.53819444444444442</v>
      </c>
      <c r="AA195" s="46">
        <v>0.53819444444444442</v>
      </c>
      <c r="AB195" s="46">
        <v>0.53819444444444442</v>
      </c>
      <c r="AC195" s="46">
        <v>0.55555555555555558</v>
      </c>
      <c r="AD195" s="234">
        <f>IF(PA[[#This Row],[Acknowledgement Time ]]="NA","",(PA[[#This Row],[Acknowledgement Time ]]-PA[[#This Row],[Fault Time]])*24)</f>
        <v>0</v>
      </c>
      <c r="AE195" s="234">
        <f>IF(PA[[#This Row],[Work Start time on Fault]]="NA","",(PA[[#This Row],[Work Start time on Fault]]-PA[[#This Row],[Fault Time]])*24)</f>
        <v>0</v>
      </c>
      <c r="AF195" s="235">
        <f>IF(PA[[#This Row],[Status]]="Open","",(PA[[#This Row],[Work Completion time on fault]]-PA[[#This Row],[Fault Time]])*24)</f>
        <v>0.41666666666666785</v>
      </c>
      <c r="AG195" s="234">
        <f>IFERROR((PA[[#This Row],[Work Completion time on fault]]-PA[[#This Row],[Fault Time]])*24,"")</f>
        <v>0.41666666666666785</v>
      </c>
      <c r="AH195" s="36" t="s">
        <v>297</v>
      </c>
      <c r="AI195" s="33" t="s">
        <v>298</v>
      </c>
      <c r="AJ195" s="233">
        <f ca="1">IFERROR(PA[[#This Row],[Breakdown Time]]*PA[[#This Row],[Plant Equivalent Weightage]],"")</f>
        <v>4.9545981042251268E-2</v>
      </c>
      <c r="AK195" s="38">
        <v>0.23861199999999999</v>
      </c>
      <c r="AL195" s="51">
        <f>IFERROR((_xlfn.XLOOKUP($G195,'Modelling New'!D:D,'Modelling New'!$O:$O)*PA[[#This Row],[Lost PoA(kWh/m2)]]*PA[[#This Row],[DC Capacity Affected (kW)]]),"")</f>
        <v>920.08147829164875</v>
      </c>
      <c r="AM195" s="33"/>
      <c r="AN195" s="33"/>
      <c r="AO195" s="33">
        <v>5212</v>
      </c>
      <c r="AP195" s="33" t="s">
        <v>774</v>
      </c>
    </row>
    <row r="196" spans="1:42">
      <c r="A196" s="30">
        <f t="shared" si="0"/>
        <v>195</v>
      </c>
      <c r="B196" s="166">
        <v>45861</v>
      </c>
      <c r="C196" s="32">
        <f>YEAR(PA[[#This Row],[Date]])+IF(MONTH(PA[[#This Row],[Date]])&gt;=4,1,0)</f>
        <v>2026</v>
      </c>
      <c r="D196" s="32">
        <f>YEAR(PA[[#This Row],[Date]])</f>
        <v>2025</v>
      </c>
      <c r="E196" s="33" t="s">
        <v>219</v>
      </c>
      <c r="F196" s="33" t="s">
        <v>219</v>
      </c>
      <c r="G196" s="196">
        <f>PA[[#This Row],[Date]]-DAY(PA[[#This Row],[Date]])+1</f>
        <v>45839</v>
      </c>
      <c r="H196" s="231">
        <f>DAY(EOMONTH(PA[[#This Row],[Month Year]],0))</f>
        <v>31</v>
      </c>
      <c r="I196" s="122">
        <v>0.25972222222222224</v>
      </c>
      <c r="J196" s="122">
        <v>0.74722222222222223</v>
      </c>
      <c r="K196" s="35">
        <f>IFERROR((PA[[#This Row],[Sunset Time (POA&lt;20 W/m2)]]-PA[[#This Row],[Sunrise Time (POA&gt;20 W/m2)]])*24,"")</f>
        <v>11.7</v>
      </c>
      <c r="L196" s="37" t="s">
        <v>293</v>
      </c>
      <c r="M196" s="37" t="s">
        <v>294</v>
      </c>
      <c r="N196" s="33"/>
      <c r="O196" s="38"/>
      <c r="P196" s="38"/>
      <c r="Q196" s="37"/>
      <c r="R196" s="231">
        <f>IF((PA[[#This Row],[String Type(If String BD)]]&amp;PA[[#This Row],[Equipment (If any BD other than PV  array and inv)]])="",1,0)</f>
        <v>1</v>
      </c>
      <c r="S196" s="231">
        <f>IF(PA[[#This Row],[String Type(If String BD)]]="",1,0)</f>
        <v>1</v>
      </c>
      <c r="T19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96" s="233">
        <f>IFERROR(_xlfn.XLOOKUP(PA[[#This Row],[Affected Equipment ]],'Basic Data'!N:N,'Basic Data'!Q:Q),"")</f>
        <v>6511.66</v>
      </c>
      <c r="V196" s="237">
        <f ca="1">IFERROR(_xlfn.XLOOKUP(PA[[#This Row],[Affected Equipment ]],'Basic Data'!N:N,'Basic Data'!R:R),"")</f>
        <v>0.1660714103545014</v>
      </c>
      <c r="W196" s="36" t="s">
        <v>345</v>
      </c>
      <c r="X196" s="41"/>
      <c r="Y196" s="40" t="s">
        <v>372</v>
      </c>
      <c r="Z196" s="46">
        <v>0.53819444444444442</v>
      </c>
      <c r="AA196" s="46">
        <v>0.53819444444444442</v>
      </c>
      <c r="AB196" s="46">
        <v>0.53819444444444442</v>
      </c>
      <c r="AC196" s="47">
        <v>0.5541666666666667</v>
      </c>
      <c r="AD196" s="234">
        <f>IF(PA[[#This Row],[Acknowledgement Time ]]="NA","",(PA[[#This Row],[Acknowledgement Time ]]-PA[[#This Row],[Fault Time]])*24)</f>
        <v>0</v>
      </c>
      <c r="AE196" s="234">
        <f>IF(PA[[#This Row],[Work Start time on Fault]]="NA","",(PA[[#This Row],[Work Start time on Fault]]-PA[[#This Row],[Fault Time]])*24)</f>
        <v>0</v>
      </c>
      <c r="AF196" s="235">
        <f>IF(PA[[#This Row],[Status]]="Open","",(PA[[#This Row],[Work Completion time on fault]]-PA[[#This Row],[Fault Time]])*24)</f>
        <v>0.38333333333333464</v>
      </c>
      <c r="AG196" s="234">
        <f>IFERROR((PA[[#This Row],[Work Completion time on fault]]-PA[[#This Row],[Fault Time]])*24,"")</f>
        <v>0.38333333333333464</v>
      </c>
      <c r="AH196" s="36" t="s">
        <v>297</v>
      </c>
      <c r="AI196" s="33" t="s">
        <v>298</v>
      </c>
      <c r="AJ196" s="233">
        <f ca="1">IFERROR(PA[[#This Row],[Breakdown Time]]*PA[[#This Row],[Plant Equivalent Weightage]],"")</f>
        <v>6.3660707302559086E-2</v>
      </c>
      <c r="AK196" s="38">
        <v>0.21325554999999999</v>
      </c>
      <c r="AL196" s="51">
        <f>IFERROR((_xlfn.XLOOKUP($G196,'Modelling New'!D:D,'Modelling New'!$O:$O)*PA[[#This Row],[Lost PoA(kWh/m2)]]*PA[[#This Row],[DC Capacity Affected (kW)]]),"")</f>
        <v>1148.4432774565194</v>
      </c>
      <c r="AM196" s="33"/>
      <c r="AN196" s="33"/>
      <c r="AO196" s="33">
        <v>5212</v>
      </c>
      <c r="AP196" s="33" t="s">
        <v>775</v>
      </c>
    </row>
    <row r="197" spans="1:42">
      <c r="A197" s="30">
        <f t="shared" si="0"/>
        <v>196</v>
      </c>
      <c r="B197" s="166">
        <v>45861</v>
      </c>
      <c r="C197" s="32">
        <f>YEAR(PA[[#This Row],[Date]])+IF(MONTH(PA[[#This Row],[Date]])&gt;=4,1,0)</f>
        <v>2026</v>
      </c>
      <c r="D197" s="32">
        <f>YEAR(PA[[#This Row],[Date]])</f>
        <v>2025</v>
      </c>
      <c r="E197" s="33" t="s">
        <v>219</v>
      </c>
      <c r="F197" s="33" t="s">
        <v>219</v>
      </c>
      <c r="G197" s="196">
        <f>PA[[#This Row],[Date]]-DAY(PA[[#This Row],[Date]])+1</f>
        <v>45839</v>
      </c>
      <c r="H197" s="32">
        <f>DAY(EOMONTH(PA[[#This Row],[Month Year]],0))</f>
        <v>31</v>
      </c>
      <c r="I197" s="122">
        <v>0.25972222222222224</v>
      </c>
      <c r="J197" s="122">
        <v>0.74722222222222223</v>
      </c>
      <c r="K197" s="35">
        <f>IFERROR((PA[[#This Row],[Sunset Time (POA&lt;20 W/m2)]]-PA[[#This Row],[Sunrise Time (POA&gt;20 W/m2)]])*24,"")</f>
        <v>11.7</v>
      </c>
      <c r="L197" s="37" t="s">
        <v>293</v>
      </c>
      <c r="M197" s="37" t="s">
        <v>299</v>
      </c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7" s="35">
        <f>IFERROR(_xlfn.XLOOKUP(PA[[#This Row],[Affected Equipment ]],'Basic Data'!N:N,'Basic Data'!Q:Q),"")</f>
        <v>6495.8549999999996</v>
      </c>
      <c r="V197" s="236">
        <f ca="1">IFERROR(_xlfn.XLOOKUP(PA[[#This Row],[Affected Equipment ]],'Basic Data'!N:N,'Basic Data'!R:R),"")</f>
        <v>0.16566832440703902</v>
      </c>
      <c r="W197" s="36" t="s">
        <v>345</v>
      </c>
      <c r="X197" s="40"/>
      <c r="Y197" s="40" t="s">
        <v>372</v>
      </c>
      <c r="Z197" s="46">
        <v>0.53819444444444442</v>
      </c>
      <c r="AA197" s="46">
        <v>0.53819444444444442</v>
      </c>
      <c r="AB197" s="46">
        <v>0.53819444444444442</v>
      </c>
      <c r="AC197" s="47">
        <v>0.5541666666666667</v>
      </c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0.38333333333333464</v>
      </c>
      <c r="AG197" s="44">
        <f>IFERROR((PA[[#This Row],[Work Completion time on fault]]-PA[[#This Row],[Fault Time]])*24,"")</f>
        <v>0.38333333333333464</v>
      </c>
      <c r="AH197" s="36" t="s">
        <v>297</v>
      </c>
      <c r="AI197" s="33" t="s">
        <v>298</v>
      </c>
      <c r="AJ197" s="35">
        <f ca="1">IFERROR(PA[[#This Row],[Breakdown Time]]*PA[[#This Row],[Plant Equivalent Weightage]],"")</f>
        <v>6.3506191022698513E-2</v>
      </c>
      <c r="AK197" s="38">
        <v>0.21325554999999999</v>
      </c>
      <c r="AL197" s="51">
        <f>IFERROR((_xlfn.XLOOKUP($G197,'Modelling New'!D:D,'Modelling New'!$O:$O)*PA[[#This Row],[Lost PoA(kWh/m2)]]*PA[[#This Row],[DC Capacity Affected (kW)]]),"")</f>
        <v>1145.6557937733724</v>
      </c>
      <c r="AM197" s="33"/>
      <c r="AN197" s="33"/>
      <c r="AO197" s="33">
        <v>5212</v>
      </c>
      <c r="AP197" s="33" t="s">
        <v>776</v>
      </c>
    </row>
    <row r="198" spans="1:42">
      <c r="A198" s="30">
        <f t="shared" si="0"/>
        <v>197</v>
      </c>
      <c r="B198" s="166">
        <v>45861</v>
      </c>
      <c r="C198" s="32">
        <f>YEAR(PA[[#This Row],[Date]])+IF(MONTH(PA[[#This Row],[Date]])&gt;=4,1,0)</f>
        <v>2026</v>
      </c>
      <c r="D198" s="32">
        <f>YEAR(PA[[#This Row],[Date]])</f>
        <v>2025</v>
      </c>
      <c r="E198" s="33" t="s">
        <v>219</v>
      </c>
      <c r="F198" s="33" t="s">
        <v>219</v>
      </c>
      <c r="G198" s="196">
        <f>PA[[#This Row],[Date]]-DAY(PA[[#This Row],[Date]])+1</f>
        <v>45839</v>
      </c>
      <c r="H198" s="32">
        <f>DAY(EOMONTH(PA[[#This Row],[Month Year]],0))</f>
        <v>31</v>
      </c>
      <c r="I198" s="122">
        <v>0.25972222222222224</v>
      </c>
      <c r="J198" s="122">
        <v>0.74722222222222223</v>
      </c>
      <c r="K198" s="35">
        <f>IFERROR((PA[[#This Row],[Sunset Time (POA&lt;20 W/m2)]]-PA[[#This Row],[Sunrise Time (POA&gt;20 W/m2)]])*24,"")</f>
        <v>11.7</v>
      </c>
      <c r="L198" s="37" t="s">
        <v>302</v>
      </c>
      <c r="M198" s="37" t="s">
        <v>294</v>
      </c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8" s="35">
        <f>IFERROR(_xlfn.XLOOKUP(PA[[#This Row],[Affected Equipment ]],'Basic Data'!N:N,'Basic Data'!Q:Q),"")</f>
        <v>6527.4649999999992</v>
      </c>
      <c r="V198" s="236">
        <f ca="1">IFERROR(_xlfn.XLOOKUP(PA[[#This Row],[Affected Equipment ]],'Basic Data'!N:N,'Basic Data'!R:R),"")</f>
        <v>0.16647449630196376</v>
      </c>
      <c r="W198" s="36" t="s">
        <v>345</v>
      </c>
      <c r="X198" s="40"/>
      <c r="Y198" s="40" t="s">
        <v>372</v>
      </c>
      <c r="Z198" s="46">
        <v>0.53819444444444442</v>
      </c>
      <c r="AA198" s="46">
        <v>0.53819444444444442</v>
      </c>
      <c r="AB198" s="46">
        <v>0.53819444444444442</v>
      </c>
      <c r="AC198" s="47">
        <v>0.5541666666666667</v>
      </c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0.38333333333333464</v>
      </c>
      <c r="AG198" s="44">
        <f>IFERROR((PA[[#This Row],[Work Completion time on fault]]-PA[[#This Row],[Fault Time]])*24,"")</f>
        <v>0.38333333333333464</v>
      </c>
      <c r="AH198" s="36" t="s">
        <v>297</v>
      </c>
      <c r="AI198" s="33" t="s">
        <v>298</v>
      </c>
      <c r="AJ198" s="35">
        <f ca="1">IFERROR(PA[[#This Row],[Breakdown Time]]*PA[[#This Row],[Plant Equivalent Weightage]],"")</f>
        <v>6.3815223582419658E-2</v>
      </c>
      <c r="AK198" s="38">
        <v>0.21325554999999999</v>
      </c>
      <c r="AL198" s="51">
        <f>IFERROR((_xlfn.XLOOKUP($G198,'Modelling New'!D:D,'Modelling New'!$O:$O)*PA[[#This Row],[Lost PoA(kWh/m2)]]*PA[[#This Row],[DC Capacity Affected (kW)]]),"")</f>
        <v>1151.2307611396661</v>
      </c>
      <c r="AM198" s="33"/>
      <c r="AN198" s="33"/>
      <c r="AO198" s="33">
        <v>5212</v>
      </c>
      <c r="AP198" s="33" t="s">
        <v>777</v>
      </c>
    </row>
    <row r="199" spans="1:42">
      <c r="A199" s="30">
        <f t="shared" si="0"/>
        <v>198</v>
      </c>
      <c r="B199" s="166">
        <v>45861</v>
      </c>
      <c r="C199" s="32">
        <f>YEAR(PA[[#This Row],[Date]])+IF(MONTH(PA[[#This Row],[Date]])&gt;=4,1,0)</f>
        <v>2026</v>
      </c>
      <c r="D199" s="32">
        <f>YEAR(PA[[#This Row],[Date]])</f>
        <v>2025</v>
      </c>
      <c r="E199" s="33" t="s">
        <v>219</v>
      </c>
      <c r="F199" s="33" t="s">
        <v>219</v>
      </c>
      <c r="G199" s="196">
        <f>PA[[#This Row],[Date]]-DAY(PA[[#This Row],[Date]])+1</f>
        <v>45839</v>
      </c>
      <c r="H199" s="32">
        <f>DAY(EOMONTH(PA[[#This Row],[Month Year]],0))</f>
        <v>31</v>
      </c>
      <c r="I199" s="122">
        <v>0.25972222222222224</v>
      </c>
      <c r="J199" s="122">
        <v>0.74722222222222223</v>
      </c>
      <c r="K199" s="35">
        <f>IFERROR((PA[[#This Row],[Sunset Time (POA&lt;20 W/m2)]]-PA[[#This Row],[Sunrise Time (POA&gt;20 W/m2)]])*24,"")</f>
        <v>11.7</v>
      </c>
      <c r="L199" s="37" t="s">
        <v>303</v>
      </c>
      <c r="M199" s="37" t="s">
        <v>294</v>
      </c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9" s="35">
        <f>IFERROR(_xlfn.XLOOKUP(PA[[#This Row],[Affected Equipment ]],'Basic Data'!N:N,'Basic Data'!Q:Q),"")</f>
        <v>5104</v>
      </c>
      <c r="V199" s="236">
        <f ca="1">IFERROR(_xlfn.XLOOKUP(PA[[#This Row],[Affected Equipment ]],'Basic Data'!N:N,'Basic Data'!R:R),"")</f>
        <v>0.13017087477684264</v>
      </c>
      <c r="W199" s="36" t="s">
        <v>345</v>
      </c>
      <c r="X199" s="40"/>
      <c r="Y199" s="40" t="s">
        <v>372</v>
      </c>
      <c r="Z199" s="46">
        <v>0.53819444444444442</v>
      </c>
      <c r="AA199" s="46">
        <v>0.53819444444444442</v>
      </c>
      <c r="AB199" s="46">
        <v>0.53819444444444442</v>
      </c>
      <c r="AC199" s="47">
        <v>0.5541666666666667</v>
      </c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0.38333333333333464</v>
      </c>
      <c r="AG199" s="44">
        <f>IFERROR((PA[[#This Row],[Work Completion time on fault]]-PA[[#This Row],[Fault Time]])*24,"")</f>
        <v>0.38333333333333464</v>
      </c>
      <c r="AH199" s="36" t="s">
        <v>297</v>
      </c>
      <c r="AI199" s="33" t="s">
        <v>298</v>
      </c>
      <c r="AJ199" s="35">
        <f ca="1">IFERROR(PA[[#This Row],[Breakdown Time]]*PA[[#This Row],[Plant Equivalent Weightage]],"")</f>
        <v>4.989883533112318E-2</v>
      </c>
      <c r="AK199" s="38">
        <v>0.21325554999999999</v>
      </c>
      <c r="AL199" s="51">
        <f>IFERROR((_xlfn.XLOOKUP($G199,'Modelling New'!D:D,'Modelling New'!$O:$O)*PA[[#This Row],[Lost PoA(kWh/m2)]]*PA[[#This Row],[DC Capacity Affected (kW)]]),"")</f>
        <v>900.17821694284942</v>
      </c>
      <c r="AM199" s="33"/>
      <c r="AN199" s="33"/>
      <c r="AO199" s="33">
        <v>5212</v>
      </c>
      <c r="AP199" s="33" t="s">
        <v>778</v>
      </c>
    </row>
    <row r="200" spans="1:42">
      <c r="A200" s="30">
        <f t="shared" si="0"/>
        <v>199</v>
      </c>
      <c r="B200" s="166">
        <v>45861</v>
      </c>
      <c r="C200" s="32">
        <f>YEAR(PA[[#This Row],[Date]])+IF(MONTH(PA[[#This Row],[Date]])&gt;=4,1,0)</f>
        <v>2026</v>
      </c>
      <c r="D200" s="32">
        <f>YEAR(PA[[#This Row],[Date]])</f>
        <v>2025</v>
      </c>
      <c r="E200" s="33" t="s">
        <v>219</v>
      </c>
      <c r="F200" s="33" t="s">
        <v>219</v>
      </c>
      <c r="G200" s="196">
        <f>PA[[#This Row],[Date]]-DAY(PA[[#This Row],[Date]])+1</f>
        <v>45839</v>
      </c>
      <c r="H200" s="32">
        <f>DAY(EOMONTH(PA[[#This Row],[Month Year]],0))</f>
        <v>31</v>
      </c>
      <c r="I200" s="122">
        <v>0.25972222222222224</v>
      </c>
      <c r="J200" s="122">
        <v>0.74722222222222223</v>
      </c>
      <c r="K200" s="35">
        <f>IFERROR((PA[[#This Row],[Sunset Time (POA&lt;20 W/m2)]]-PA[[#This Row],[Sunrise Time (POA&gt;20 W/m2)]])*24,"")</f>
        <v>11.7</v>
      </c>
      <c r="L200" s="37" t="s">
        <v>303</v>
      </c>
      <c r="M200" s="37" t="s">
        <v>299</v>
      </c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0" s="35">
        <f>IFERROR(_xlfn.XLOOKUP(PA[[#This Row],[Affected Equipment ]],'Basic Data'!N:N,'Basic Data'!Q:Q),"")</f>
        <v>5104</v>
      </c>
      <c r="V200" s="236">
        <f ca="1">IFERROR(_xlfn.XLOOKUP(PA[[#This Row],[Affected Equipment ]],'Basic Data'!N:N,'Basic Data'!R:R),"")</f>
        <v>0.13017087477684264</v>
      </c>
      <c r="W200" s="36" t="s">
        <v>345</v>
      </c>
      <c r="X200" s="40"/>
      <c r="Y200" s="40" t="s">
        <v>372</v>
      </c>
      <c r="Z200" s="46">
        <v>0.53819444444444442</v>
      </c>
      <c r="AA200" s="46">
        <v>0.53819444444444442</v>
      </c>
      <c r="AB200" s="46">
        <v>0.53819444444444442</v>
      </c>
      <c r="AC200" s="47">
        <v>0.5541666666666667</v>
      </c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0.38333333333333464</v>
      </c>
      <c r="AG200" s="44">
        <f>IFERROR((PA[[#This Row],[Work Completion time on fault]]-PA[[#This Row],[Fault Time]])*24,"")</f>
        <v>0.38333333333333464</v>
      </c>
      <c r="AH200" s="36" t="s">
        <v>297</v>
      </c>
      <c r="AI200" s="33" t="s">
        <v>298</v>
      </c>
      <c r="AJ200" s="35">
        <f ca="1">IFERROR(PA[[#This Row],[Breakdown Time]]*PA[[#This Row],[Plant Equivalent Weightage]],"")</f>
        <v>4.989883533112318E-2</v>
      </c>
      <c r="AK200" s="38">
        <v>0.21325554999999999</v>
      </c>
      <c r="AL200" s="51">
        <f>IFERROR((_xlfn.XLOOKUP($G200,'Modelling New'!D:D,'Modelling New'!$O:$O)*PA[[#This Row],[Lost PoA(kWh/m2)]]*PA[[#This Row],[DC Capacity Affected (kW)]]),"")</f>
        <v>900.17821694284942</v>
      </c>
      <c r="AM200" s="33"/>
      <c r="AN200" s="33"/>
      <c r="AO200" s="33">
        <v>5212</v>
      </c>
      <c r="AP200" s="33" t="s">
        <v>779</v>
      </c>
    </row>
    <row r="201" spans="1:42">
      <c r="A201" s="30">
        <f t="shared" si="0"/>
        <v>200</v>
      </c>
      <c r="B201" s="166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219</v>
      </c>
      <c r="F201" s="33" t="s">
        <v>219</v>
      </c>
      <c r="G201" s="196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36" t="str">
        <f>IFERROR(_xlfn.XLOOKUP(PA[[#This Row],[Affected Equipment ]],'Basic Data'!N:N,'Basic Data'!R:R),"")</f>
        <v/>
      </c>
      <c r="W201" s="36"/>
      <c r="X201" s="40"/>
      <c r="Y201" s="350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344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6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219</v>
      </c>
      <c r="F202" s="33" t="s">
        <v>219</v>
      </c>
      <c r="G202" s="196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36" t="str">
        <f>IFERROR(_xlfn.XLOOKUP(PA[[#This Row],[Affected Equipment ]],'Basic Data'!N:N,'Basic Data'!R:R),"")</f>
        <v/>
      </c>
      <c r="W202" s="36"/>
      <c r="X202" s="40"/>
      <c r="Y202" s="350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6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219</v>
      </c>
      <c r="F203" s="33" t="s">
        <v>219</v>
      </c>
      <c r="G203" s="196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36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6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219</v>
      </c>
      <c r="F204" s="33" t="s">
        <v>219</v>
      </c>
      <c r="G204" s="196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36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6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219</v>
      </c>
      <c r="F205" s="33" t="s">
        <v>219</v>
      </c>
      <c r="G205" s="196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36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6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219</v>
      </c>
      <c r="F206" s="33" t="s">
        <v>219</v>
      </c>
      <c r="G206" s="196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36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6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219</v>
      </c>
      <c r="F207" s="33" t="s">
        <v>219</v>
      </c>
      <c r="G207" s="196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36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219</v>
      </c>
      <c r="F208" s="33" t="s">
        <v>219</v>
      </c>
      <c r="G208" s="196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36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6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219</v>
      </c>
      <c r="F209" s="33" t="s">
        <v>219</v>
      </c>
      <c r="G209" s="196">
        <f>PA[[#This Row],[Date]]-DAY(PA[[#This Row],[Date]])+1</f>
        <v>1</v>
      </c>
      <c r="H209" s="231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31">
        <f>IF((PA[[#This Row],[String Type(If String BD)]]&amp;PA[[#This Row],[Equipment (If any BD other than PV  array and inv)]])="",1,0)</f>
        <v>1</v>
      </c>
      <c r="S209" s="231">
        <f>IF(PA[[#This Row],[String Type(If String BD)]]="",1,0)</f>
        <v>1</v>
      </c>
      <c r="T2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33" t="str">
        <f>IFERROR(_xlfn.XLOOKUP(PA[[#This Row],[Affected Equipment ]],'Basic Data'!N:N,'Basic Data'!Q:Q),"")</f>
        <v/>
      </c>
      <c r="V209" s="237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34">
        <f>IF(PA[[#This Row],[Acknowledgement Time ]]="NA","",(PA[[#This Row],[Acknowledgement Time ]]-PA[[#This Row],[Fault Time]])*24)</f>
        <v>0</v>
      </c>
      <c r="AE209" s="234">
        <f>IF(PA[[#This Row],[Work Start time on Fault]]="NA","",(PA[[#This Row],[Work Start time on Fault]]-PA[[#This Row],[Fault Time]])*24)</f>
        <v>0</v>
      </c>
      <c r="AF209" s="235">
        <f>IF(PA[[#This Row],[Status]]="Open","",(PA[[#This Row],[Work Completion time on fault]]-PA[[#This Row],[Fault Time]])*24)</f>
        <v>0</v>
      </c>
      <c r="AG209" s="234">
        <f>IFERROR((PA[[#This Row],[Work Completion time on fault]]-PA[[#This Row],[Fault Time]])*24,"")</f>
        <v>0</v>
      </c>
      <c r="AH209" s="36"/>
      <c r="AI209" s="33"/>
      <c r="AJ209" s="233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6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219</v>
      </c>
      <c r="F210" s="33" t="s">
        <v>219</v>
      </c>
      <c r="G210" s="196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36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6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219</v>
      </c>
      <c r="F211" s="33" t="s">
        <v>219</v>
      </c>
      <c r="G211" s="196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36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6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219</v>
      </c>
      <c r="F212" s="33" t="s">
        <v>219</v>
      </c>
      <c r="G212" s="196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36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6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219</v>
      </c>
      <c r="F213" s="33" t="s">
        <v>219</v>
      </c>
      <c r="G213" s="196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36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6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219</v>
      </c>
      <c r="F214" s="33" t="s">
        <v>219</v>
      </c>
      <c r="G214" s="196">
        <f>PA[[#This Row],[Date]]-DAY(PA[[#This Row],[Date]])+1</f>
        <v>1</v>
      </c>
      <c r="H214" s="231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31">
        <f>IF((PA[[#This Row],[String Type(If String BD)]]&amp;PA[[#This Row],[Equipment (If any BD other than PV  array and inv)]])="",1,0)</f>
        <v>1</v>
      </c>
      <c r="S214" s="231">
        <f>IF(PA[[#This Row],[String Type(If String BD)]]="",1,0)</f>
        <v>1</v>
      </c>
      <c r="T21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33" t="str">
        <f>IFERROR(_xlfn.XLOOKUP(PA[[#This Row],[Affected Equipment ]],'Basic Data'!N:N,'Basic Data'!Q:Q),"")</f>
        <v/>
      </c>
      <c r="V214" s="237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34">
        <f>IF(PA[[#This Row],[Acknowledgement Time ]]="NA","",(PA[[#This Row],[Acknowledgement Time ]]-PA[[#This Row],[Fault Time]])*24)</f>
        <v>0</v>
      </c>
      <c r="AE214" s="234">
        <f>IF(PA[[#This Row],[Work Start time on Fault]]="NA","",(PA[[#This Row],[Work Start time on Fault]]-PA[[#This Row],[Fault Time]])*24)</f>
        <v>0</v>
      </c>
      <c r="AF214" s="235">
        <f>IF(PA[[#This Row],[Status]]="Open","",(PA[[#This Row],[Work Completion time on fault]]-PA[[#This Row],[Fault Time]])*24)</f>
        <v>0</v>
      </c>
      <c r="AG214" s="234">
        <f>IFERROR((PA[[#This Row],[Work Completion time on fault]]-PA[[#This Row],[Fault Time]])*24,"")</f>
        <v>0</v>
      </c>
      <c r="AH214" s="36"/>
      <c r="AI214" s="33"/>
      <c r="AJ214" s="233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6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219</v>
      </c>
      <c r="F215" s="33" t="s">
        <v>219</v>
      </c>
      <c r="G215" s="196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36" t="str">
        <f>IFERROR(_xlfn.XLOOKUP(PA[[#This Row],[Affected Equipment ]],'Basic Data'!N:N,'Basic Data'!R:R),"")</f>
        <v/>
      </c>
      <c r="W215" s="36"/>
      <c r="X215" s="40"/>
      <c r="Y215" s="350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344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6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219</v>
      </c>
      <c r="F216" s="33" t="s">
        <v>219</v>
      </c>
      <c r="G216" s="196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36" t="str">
        <f>IFERROR(_xlfn.XLOOKUP(PA[[#This Row],[Affected Equipment ]],'Basic Data'!N:N,'Basic Data'!R:R),"")</f>
        <v/>
      </c>
      <c r="W216" s="36"/>
      <c r="X216" s="40"/>
      <c r="Y216" s="350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6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219</v>
      </c>
      <c r="F217" s="33" t="s">
        <v>219</v>
      </c>
      <c r="G217" s="196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36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6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219</v>
      </c>
      <c r="F218" s="33" t="s">
        <v>219</v>
      </c>
      <c r="G218" s="196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36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6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219</v>
      </c>
      <c r="F219" s="33" t="s">
        <v>219</v>
      </c>
      <c r="G219" s="196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36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6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219</v>
      </c>
      <c r="F220" s="33" t="s">
        <v>219</v>
      </c>
      <c r="G220" s="196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36" t="str">
        <f>IFERROR(_xlfn.XLOOKUP(PA[[#This Row],[Affected Equipment ]],'Basic Data'!N:N,'Basic Data'!R:R),"")</f>
        <v/>
      </c>
      <c r="W220" s="36"/>
      <c r="X220" s="40"/>
      <c r="Y220" s="350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6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219</v>
      </c>
      <c r="F221" s="33" t="s">
        <v>219</v>
      </c>
      <c r="G221" s="196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36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344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219</v>
      </c>
      <c r="F222" s="33" t="s">
        <v>219</v>
      </c>
      <c r="G222" s="196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36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344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219</v>
      </c>
      <c r="F223" s="33" t="s">
        <v>219</v>
      </c>
      <c r="G223" s="196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36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344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6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219</v>
      </c>
      <c r="F224" s="33" t="s">
        <v>219</v>
      </c>
      <c r="G224" s="196">
        <f>PA[[#This Row],[Date]]-DAY(PA[[#This Row],[Date]])+1</f>
        <v>1</v>
      </c>
      <c r="H224" s="231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31">
        <f>IF((PA[[#This Row],[String Type(If String BD)]]&amp;PA[[#This Row],[Equipment (If any BD other than PV  array and inv)]])="",1,0)</f>
        <v>1</v>
      </c>
      <c r="S224" s="231">
        <f>IF(PA[[#This Row],[String Type(If String BD)]]="",1,0)</f>
        <v>1</v>
      </c>
      <c r="T2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33" t="str">
        <f>IFERROR(_xlfn.XLOOKUP(PA[[#This Row],[Affected Equipment ]],'Basic Data'!N:N,'Basic Data'!Q:Q),"")</f>
        <v/>
      </c>
      <c r="V224" s="237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34">
        <f>IF(PA[[#This Row],[Acknowledgement Time ]]="NA","",(PA[[#This Row],[Acknowledgement Time ]]-PA[[#This Row],[Fault Time]])*24)</f>
        <v>0</v>
      </c>
      <c r="AE224" s="234">
        <f>IF(PA[[#This Row],[Work Start time on Fault]]="NA","",(PA[[#This Row],[Work Start time on Fault]]-PA[[#This Row],[Fault Time]])*24)</f>
        <v>0</v>
      </c>
      <c r="AF224" s="235">
        <f>IF(PA[[#This Row],[Status]]="Open","",(PA[[#This Row],[Work Completion time on fault]]-PA[[#This Row],[Fault Time]])*24)</f>
        <v>0</v>
      </c>
      <c r="AG224" s="234">
        <f>IFERROR((PA[[#This Row],[Work Completion time on fault]]-PA[[#This Row],[Fault Time]])*24,"")</f>
        <v>0</v>
      </c>
      <c r="AH224" s="344"/>
      <c r="AI224" s="33"/>
      <c r="AJ224" s="233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6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219</v>
      </c>
      <c r="F225" s="33" t="s">
        <v>219</v>
      </c>
      <c r="G225" s="196">
        <f>PA[[#This Row],[Date]]-DAY(PA[[#This Row],[Date]])+1</f>
        <v>1</v>
      </c>
      <c r="H225" s="231">
        <f>DAY(EOMONTH(PA[[#This Row],[Month Year]],0))</f>
        <v>31</v>
      </c>
      <c r="I225" s="232"/>
      <c r="J225" s="232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31">
        <f>IF((PA[[#This Row],[String Type(If String BD)]]&amp;PA[[#This Row],[Equipment (If any BD other than PV  array and inv)]])="",1,0)</f>
        <v>1</v>
      </c>
      <c r="S225" s="231">
        <f>IF(PA[[#This Row],[String Type(If String BD)]]="",1,0)</f>
        <v>1</v>
      </c>
      <c r="T22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33" t="str">
        <f>IFERROR(_xlfn.XLOOKUP(PA[[#This Row],[Affected Equipment ]],'Basic Data'!N:N,'Basic Data'!Q:Q),"")</f>
        <v/>
      </c>
      <c r="V225" s="237" t="str">
        <f>IFERROR(_xlfn.XLOOKUP(PA[[#This Row],[Affected Equipment ]],'Basic Data'!N:N,'Basic Data'!R:R),"")</f>
        <v/>
      </c>
      <c r="W225" s="36"/>
      <c r="X225" s="41"/>
      <c r="Y225" s="350"/>
      <c r="Z225" s="49"/>
      <c r="AA225" s="49"/>
      <c r="AB225" s="49"/>
      <c r="AC225" s="47"/>
      <c r="AD225" s="234">
        <f>IF(PA[[#This Row],[Acknowledgement Time ]]="NA","",(PA[[#This Row],[Acknowledgement Time ]]-PA[[#This Row],[Fault Time]])*24)</f>
        <v>0</v>
      </c>
      <c r="AE225" s="234">
        <f>IF(PA[[#This Row],[Work Start time on Fault]]="NA","",(PA[[#This Row],[Work Start time on Fault]]-PA[[#This Row],[Fault Time]])*24)</f>
        <v>0</v>
      </c>
      <c r="AF225" s="235">
        <f>IF(PA[[#This Row],[Status]]="Open","",(PA[[#This Row],[Work Completion time on fault]]-PA[[#This Row],[Fault Time]])*24)</f>
        <v>0</v>
      </c>
      <c r="AG225" s="234">
        <f>IFERROR((PA[[#This Row],[Work Completion time on fault]]-PA[[#This Row],[Fault Time]])*24,"")</f>
        <v>0</v>
      </c>
      <c r="AH225" s="36"/>
      <c r="AI225" s="33"/>
      <c r="AJ225" s="233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6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219</v>
      </c>
      <c r="F226" s="33" t="s">
        <v>219</v>
      </c>
      <c r="G226" s="196">
        <f>PA[[#This Row],[Date]]-DAY(PA[[#This Row],[Date]])+1</f>
        <v>1</v>
      </c>
      <c r="H226" s="231">
        <f>DAY(EOMONTH(PA[[#This Row],[Month Year]],0))</f>
        <v>31</v>
      </c>
      <c r="I226" s="232"/>
      <c r="J226" s="232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31">
        <f>IF((PA[[#This Row],[String Type(If String BD)]]&amp;PA[[#This Row],[Equipment (If any BD other than PV  array and inv)]])="",1,0)</f>
        <v>1</v>
      </c>
      <c r="S226" s="231">
        <f>IF(PA[[#This Row],[String Type(If String BD)]]="",1,0)</f>
        <v>1</v>
      </c>
      <c r="T22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33" t="str">
        <f>IFERROR(_xlfn.XLOOKUP(PA[[#This Row],[Affected Equipment ]],'Basic Data'!N:N,'Basic Data'!Q:Q),"")</f>
        <v/>
      </c>
      <c r="V226" s="237" t="str">
        <f>IFERROR(_xlfn.XLOOKUP(PA[[#This Row],[Affected Equipment ]],'Basic Data'!N:N,'Basic Data'!R:R),"")</f>
        <v/>
      </c>
      <c r="W226" s="36"/>
      <c r="X226" s="41"/>
      <c r="Y226" s="350"/>
      <c r="Z226" s="49"/>
      <c r="AA226" s="49"/>
      <c r="AB226" s="49"/>
      <c r="AC226" s="47"/>
      <c r="AD226" s="234">
        <f>IF(PA[[#This Row],[Acknowledgement Time ]]="NA","",(PA[[#This Row],[Acknowledgement Time ]]-PA[[#This Row],[Fault Time]])*24)</f>
        <v>0</v>
      </c>
      <c r="AE226" s="234">
        <f>IF(PA[[#This Row],[Work Start time on Fault]]="NA","",(PA[[#This Row],[Work Start time on Fault]]-PA[[#This Row],[Fault Time]])*24)</f>
        <v>0</v>
      </c>
      <c r="AF226" s="235">
        <f>IF(PA[[#This Row],[Status]]="Open","",(PA[[#This Row],[Work Completion time on fault]]-PA[[#This Row],[Fault Time]])*24)</f>
        <v>0</v>
      </c>
      <c r="AG226" s="234">
        <f>IFERROR((PA[[#This Row],[Work Completion time on fault]]-PA[[#This Row],[Fault Time]])*24,"")</f>
        <v>0</v>
      </c>
      <c r="AH226" s="36"/>
      <c r="AI226" s="33"/>
      <c r="AJ226" s="233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6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219</v>
      </c>
      <c r="F227" s="33" t="s">
        <v>219</v>
      </c>
      <c r="G227" s="196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36" t="str">
        <f>IFERROR(_xlfn.XLOOKUP(PA[[#This Row],[Affected Equipment ]],'Basic Data'!N:N,'Basic Data'!R:R),"")</f>
        <v/>
      </c>
      <c r="W227" s="36"/>
      <c r="X227" s="40"/>
      <c r="Y227" s="350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6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219</v>
      </c>
      <c r="F228" s="33" t="s">
        <v>219</v>
      </c>
      <c r="G228" s="196">
        <f>PA[[#This Row],[Date]]-DAY(PA[[#This Row],[Date]])+1</f>
        <v>1</v>
      </c>
      <c r="H228" s="231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31">
        <f>IF((PA[[#This Row],[String Type(If String BD)]]&amp;PA[[#This Row],[Equipment (If any BD other than PV  array and inv)]])="",1,0)</f>
        <v>1</v>
      </c>
      <c r="S228" s="231">
        <f>IF(PA[[#This Row],[String Type(If String BD)]]="",1,0)</f>
        <v>1</v>
      </c>
      <c r="T2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33" t="str">
        <f>IFERROR(_xlfn.XLOOKUP(PA[[#This Row],[Affected Equipment ]],'Basic Data'!N:N,'Basic Data'!Q:Q),"")</f>
        <v/>
      </c>
      <c r="V228" s="237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34">
        <f>IF(PA[[#This Row],[Acknowledgement Time ]]="NA","",(PA[[#This Row],[Acknowledgement Time ]]-PA[[#This Row],[Fault Time]])*24)</f>
        <v>0</v>
      </c>
      <c r="AE228" s="234">
        <f>IF(PA[[#This Row],[Work Start time on Fault]]="NA","",(PA[[#This Row],[Work Start time on Fault]]-PA[[#This Row],[Fault Time]])*24)</f>
        <v>0</v>
      </c>
      <c r="AF228" s="235">
        <f>IF(PA[[#This Row],[Status]]="Open","",(PA[[#This Row],[Work Completion time on fault]]-PA[[#This Row],[Fault Time]])*24)</f>
        <v>0</v>
      </c>
      <c r="AG228" s="234">
        <f>IFERROR((PA[[#This Row],[Work Completion time on fault]]-PA[[#This Row],[Fault Time]])*24,"")</f>
        <v>0</v>
      </c>
      <c r="AH228" s="344"/>
      <c r="AI228" s="33"/>
      <c r="AJ228" s="233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6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219</v>
      </c>
      <c r="F229" s="33" t="s">
        <v>219</v>
      </c>
      <c r="G229" s="196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36" t="str">
        <f>IFERROR(_xlfn.XLOOKUP(PA[[#This Row],[Affected Equipment ]],'Basic Data'!N:N,'Basic Data'!R:R),"")</f>
        <v/>
      </c>
      <c r="W229" s="36"/>
      <c r="X229" s="40"/>
      <c r="Y229" s="350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6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219</v>
      </c>
      <c r="F230" s="33" t="s">
        <v>219</v>
      </c>
      <c r="G230" s="196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36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344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6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219</v>
      </c>
      <c r="F231" s="33" t="s">
        <v>219</v>
      </c>
      <c r="G231" s="196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36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344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6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219</v>
      </c>
      <c r="F232" s="33" t="s">
        <v>219</v>
      </c>
      <c r="G232" s="196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36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6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219</v>
      </c>
      <c r="F233" s="33" t="s">
        <v>219</v>
      </c>
      <c r="G233" s="196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36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6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219</v>
      </c>
      <c r="F234" s="33" t="s">
        <v>219</v>
      </c>
      <c r="G234" s="196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36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6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219</v>
      </c>
      <c r="F235" s="33" t="s">
        <v>219</v>
      </c>
      <c r="G235" s="196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36" t="str">
        <f>IFERROR(_xlfn.XLOOKUP(PA[[#This Row],[Affected Equipment ]],'Basic Data'!N:N,'Basic Data'!R:R),"")</f>
        <v/>
      </c>
      <c r="W235" s="36"/>
      <c r="X235" s="40"/>
      <c r="Y235" s="350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6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219</v>
      </c>
      <c r="F236" s="33" t="s">
        <v>219</v>
      </c>
      <c r="G236" s="196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36" t="str">
        <f>IFERROR(_xlfn.XLOOKUP(PA[[#This Row],[Affected Equipment ]],'Basic Data'!N:N,'Basic Data'!R:R),"")</f>
        <v/>
      </c>
      <c r="W236" s="36"/>
      <c r="X236" s="40"/>
      <c r="Y236" s="350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6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219</v>
      </c>
      <c r="F237" s="33" t="s">
        <v>219</v>
      </c>
      <c r="G237" s="196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36" t="str">
        <f>IFERROR(_xlfn.XLOOKUP(PA[[#This Row],[Affected Equipment ]],'Basic Data'!N:N,'Basic Data'!R:R),"")</f>
        <v/>
      </c>
      <c r="W237" s="36"/>
      <c r="X237" s="40"/>
      <c r="Y237" s="350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6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219</v>
      </c>
      <c r="F238" s="33" t="s">
        <v>219</v>
      </c>
      <c r="G238" s="196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36" t="str">
        <f>IFERROR(_xlfn.XLOOKUP(PA[[#This Row],[Affected Equipment ]],'Basic Data'!N:N,'Basic Data'!R:R),"")</f>
        <v/>
      </c>
      <c r="W238" s="36"/>
      <c r="X238" s="40"/>
      <c r="Y238" s="350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6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219</v>
      </c>
      <c r="F239" s="33" t="s">
        <v>219</v>
      </c>
      <c r="G239" s="196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36" t="str">
        <f>IFERROR(_xlfn.XLOOKUP(PA[[#This Row],[Affected Equipment ]],'Basic Data'!N:N,'Basic Data'!R:R),"")</f>
        <v/>
      </c>
      <c r="W239" s="36"/>
      <c r="X239" s="40"/>
      <c r="Y239" s="350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6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219</v>
      </c>
      <c r="F240" s="33" t="s">
        <v>219</v>
      </c>
      <c r="G240" s="196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36" t="str">
        <f>IFERROR(_xlfn.XLOOKUP(PA[[#This Row],[Affected Equipment ]],'Basic Data'!N:N,'Basic Data'!R:R),"")</f>
        <v/>
      </c>
      <c r="W240" s="36"/>
      <c r="X240" s="40"/>
      <c r="Y240" s="350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219</v>
      </c>
      <c r="F241" s="33" t="s">
        <v>219</v>
      </c>
      <c r="G241" s="196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36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6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219</v>
      </c>
      <c r="F242" s="33" t="s">
        <v>219</v>
      </c>
      <c r="G242" s="196">
        <f>PA[[#This Row],[Date]]-DAY(PA[[#This Row],[Date]])+1</f>
        <v>1</v>
      </c>
      <c r="H242" s="231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31">
        <f>IF((PA[[#This Row],[String Type(If String BD)]]&amp;PA[[#This Row],[Equipment (If any BD other than PV  array and inv)]])="",1,0)</f>
        <v>1</v>
      </c>
      <c r="S242" s="231">
        <f>IF(PA[[#This Row],[String Type(If String BD)]]="",1,0)</f>
        <v>1</v>
      </c>
      <c r="T2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33" t="str">
        <f>IFERROR(_xlfn.XLOOKUP(PA[[#This Row],[Affected Equipment ]],'Basic Data'!N:N,'Basic Data'!Q:Q),"")</f>
        <v/>
      </c>
      <c r="V242" s="237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34">
        <f>IF(PA[[#This Row],[Acknowledgement Time ]]="NA","",(PA[[#This Row],[Acknowledgement Time ]]-PA[[#This Row],[Fault Time]])*24)</f>
        <v>0</v>
      </c>
      <c r="AE242" s="234">
        <f>IF(PA[[#This Row],[Work Start time on Fault]]="NA","",(PA[[#This Row],[Work Start time on Fault]]-PA[[#This Row],[Fault Time]])*24)</f>
        <v>0</v>
      </c>
      <c r="AF242" s="235">
        <f>IF(PA[[#This Row],[Status]]="Open","",(PA[[#This Row],[Work Completion time on fault]]-PA[[#This Row],[Fault Time]])*24)</f>
        <v>0</v>
      </c>
      <c r="AG242" s="234">
        <f>IFERROR((PA[[#This Row],[Work Completion time on fault]]-PA[[#This Row],[Fault Time]])*24,"")</f>
        <v>0</v>
      </c>
      <c r="AH242" s="36"/>
      <c r="AI242" s="33"/>
      <c r="AJ242" s="233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219</v>
      </c>
      <c r="F243" s="33" t="s">
        <v>219</v>
      </c>
      <c r="G243" s="196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36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219</v>
      </c>
      <c r="F244" s="33" t="s">
        <v>219</v>
      </c>
      <c r="G244" s="196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36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219</v>
      </c>
      <c r="F245" s="33" t="s">
        <v>219</v>
      </c>
      <c r="G245" s="196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36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219</v>
      </c>
      <c r="F246" s="33" t="s">
        <v>219</v>
      </c>
      <c r="G246" s="196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36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219</v>
      </c>
      <c r="F247" s="33" t="s">
        <v>219</v>
      </c>
      <c r="G247" s="196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36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6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219</v>
      </c>
      <c r="F248" s="33" t="s">
        <v>219</v>
      </c>
      <c r="G248" s="196">
        <f>PA[[#This Row],[Date]]-DAY(PA[[#This Row],[Date]])+1</f>
        <v>1</v>
      </c>
      <c r="H248" s="231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31">
        <f>IF((PA[[#This Row],[String Type(If String BD)]]&amp;PA[[#This Row],[Equipment (If any BD other than PV  array and inv)]])="",1,0)</f>
        <v>1</v>
      </c>
      <c r="S248" s="231">
        <f>IF(PA[[#This Row],[String Type(If String BD)]]="",1,0)</f>
        <v>1</v>
      </c>
      <c r="T2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33" t="str">
        <f>IFERROR(_xlfn.XLOOKUP(PA[[#This Row],[Affected Equipment ]],'Basic Data'!N:N,'Basic Data'!Q:Q),"")</f>
        <v/>
      </c>
      <c r="V248" s="237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34">
        <f>IF(PA[[#This Row],[Acknowledgement Time ]]="NA","",(PA[[#This Row],[Acknowledgement Time ]]-PA[[#This Row],[Fault Time]])*24)</f>
        <v>0</v>
      </c>
      <c r="AE248" s="234">
        <f>IF(PA[[#This Row],[Work Start time on Fault]]="NA","",(PA[[#This Row],[Work Start time on Fault]]-PA[[#This Row],[Fault Time]])*24)</f>
        <v>0</v>
      </c>
      <c r="AF248" s="235">
        <f>IF(PA[[#This Row],[Status]]="Open","",(PA[[#This Row],[Work Completion time on fault]]-PA[[#This Row],[Fault Time]])*24)</f>
        <v>0</v>
      </c>
      <c r="AG248" s="234">
        <f>IFERROR((PA[[#This Row],[Work Completion time on fault]]-PA[[#This Row],[Fault Time]])*24,"")</f>
        <v>0</v>
      </c>
      <c r="AH248" s="36"/>
      <c r="AI248" s="33"/>
      <c r="AJ248" s="233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6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219</v>
      </c>
      <c r="F249" s="33" t="s">
        <v>219</v>
      </c>
      <c r="G249" s="196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36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219</v>
      </c>
      <c r="F250" s="33" t="s">
        <v>219</v>
      </c>
      <c r="G250" s="196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36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6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219</v>
      </c>
      <c r="F251" s="33" t="s">
        <v>219</v>
      </c>
      <c r="G251" s="196">
        <f>PA[[#This Row],[Date]]-DAY(PA[[#This Row],[Date]])+1</f>
        <v>1</v>
      </c>
      <c r="H251" s="231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31">
        <f>IF((PA[[#This Row],[String Type(If String BD)]]&amp;PA[[#This Row],[Equipment (If any BD other than PV  array and inv)]])="",1,0)</f>
        <v>1</v>
      </c>
      <c r="S251" s="231">
        <f>IF(PA[[#This Row],[String Type(If String BD)]]="",1,0)</f>
        <v>1</v>
      </c>
      <c r="T2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33" t="str">
        <f>IFERROR(_xlfn.XLOOKUP(PA[[#This Row],[Affected Equipment ]],'Basic Data'!N:N,'Basic Data'!Q:Q),"")</f>
        <v/>
      </c>
      <c r="V251" s="237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34">
        <f>IF(PA[[#This Row],[Acknowledgement Time ]]="NA","",(PA[[#This Row],[Acknowledgement Time ]]-PA[[#This Row],[Fault Time]])*24)</f>
        <v>0</v>
      </c>
      <c r="AE251" s="234">
        <f>IF(PA[[#This Row],[Work Start time on Fault]]="NA","",(PA[[#This Row],[Work Start time on Fault]]-PA[[#This Row],[Fault Time]])*24)</f>
        <v>0</v>
      </c>
      <c r="AF251" s="235">
        <f>IF(PA[[#This Row],[Status]]="Open","",(PA[[#This Row],[Work Completion time on fault]]-PA[[#This Row],[Fault Time]])*24)</f>
        <v>0</v>
      </c>
      <c r="AG251" s="234">
        <f>IFERROR((PA[[#This Row],[Work Completion time on fault]]-PA[[#This Row],[Fault Time]])*24,"")</f>
        <v>0</v>
      </c>
      <c r="AH251" s="36"/>
      <c r="AI251" s="33"/>
      <c r="AJ251" s="233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219</v>
      </c>
      <c r="F252" s="33" t="s">
        <v>219</v>
      </c>
      <c r="G252" s="196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36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219</v>
      </c>
      <c r="F253" s="33" t="s">
        <v>219</v>
      </c>
      <c r="G253" s="196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36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6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219</v>
      </c>
      <c r="F254" s="33" t="s">
        <v>219</v>
      </c>
      <c r="G254" s="196">
        <f>PA[[#This Row],[Date]]-DAY(PA[[#This Row],[Date]])+1</f>
        <v>1</v>
      </c>
      <c r="H254" s="231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31">
        <f>IF((PA[[#This Row],[String Type(If String BD)]]&amp;PA[[#This Row],[Equipment (If any BD other than PV  array and inv)]])="",1,0)</f>
        <v>1</v>
      </c>
      <c r="S254" s="231">
        <f>IF(PA[[#This Row],[String Type(If String BD)]]="",1,0)</f>
        <v>1</v>
      </c>
      <c r="T2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33" t="str">
        <f>IFERROR(_xlfn.XLOOKUP(PA[[#This Row],[Affected Equipment ]],'Basic Data'!N:N,'Basic Data'!Q:Q),"")</f>
        <v/>
      </c>
      <c r="V254" s="237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34">
        <f>IF(PA[[#This Row],[Acknowledgement Time ]]="NA","",(PA[[#This Row],[Acknowledgement Time ]]-PA[[#This Row],[Fault Time]])*24)</f>
        <v>0</v>
      </c>
      <c r="AE254" s="234">
        <f>IF(PA[[#This Row],[Work Start time on Fault]]="NA","",(PA[[#This Row],[Work Start time on Fault]]-PA[[#This Row],[Fault Time]])*24)</f>
        <v>0</v>
      </c>
      <c r="AF254" s="235">
        <f>IF(PA[[#This Row],[Status]]="Open","",(PA[[#This Row],[Work Completion time on fault]]-PA[[#This Row],[Fault Time]])*24)</f>
        <v>0</v>
      </c>
      <c r="AG254" s="234">
        <f>IFERROR((PA[[#This Row],[Work Completion time on fault]]-PA[[#This Row],[Fault Time]])*24,"")</f>
        <v>0</v>
      </c>
      <c r="AH254" s="36"/>
      <c r="AI254" s="33"/>
      <c r="AJ254" s="233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6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219</v>
      </c>
      <c r="F255" s="33" t="s">
        <v>219</v>
      </c>
      <c r="G255" s="196">
        <f>PA[[#This Row],[Date]]-DAY(PA[[#This Row],[Date]])+1</f>
        <v>1</v>
      </c>
      <c r="H255" s="231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31">
        <f>IF((PA[[#This Row],[String Type(If String BD)]]&amp;PA[[#This Row],[Equipment (If any BD other than PV  array and inv)]])="",1,0)</f>
        <v>1</v>
      </c>
      <c r="S255" s="231">
        <f>IF(PA[[#This Row],[String Type(If String BD)]]="",1,0)</f>
        <v>1</v>
      </c>
      <c r="T2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33" t="str">
        <f>IFERROR(_xlfn.XLOOKUP(PA[[#This Row],[Affected Equipment ]],'Basic Data'!N:N,'Basic Data'!Q:Q),"")</f>
        <v/>
      </c>
      <c r="V255" s="237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34">
        <f>IF(PA[[#This Row],[Acknowledgement Time ]]="NA","",(PA[[#This Row],[Acknowledgement Time ]]-PA[[#This Row],[Fault Time]])*24)</f>
        <v>0</v>
      </c>
      <c r="AE255" s="234">
        <f>IF(PA[[#This Row],[Work Start time on Fault]]="NA","",(PA[[#This Row],[Work Start time on Fault]]-PA[[#This Row],[Fault Time]])*24)</f>
        <v>0</v>
      </c>
      <c r="AF255" s="235">
        <f>IF(PA[[#This Row],[Status]]="Open","",(PA[[#This Row],[Work Completion time on fault]]-PA[[#This Row],[Fault Time]])*24)</f>
        <v>0</v>
      </c>
      <c r="AG255" s="234">
        <f>IFERROR((PA[[#This Row],[Work Completion time on fault]]-PA[[#This Row],[Fault Time]])*24,"")</f>
        <v>0</v>
      </c>
      <c r="AH255" s="344"/>
      <c r="AI255" s="33"/>
      <c r="AJ255" s="233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6"/>
      <c r="C256" s="241">
        <f>YEAR(PA[[#This Row],[Date]])+IF(MONTH(PA[[#This Row],[Date]])&gt;=4,1,0)</f>
        <v>1900</v>
      </c>
      <c r="D256" s="241">
        <f>YEAR(PA[[#This Row],[Date]])</f>
        <v>1900</v>
      </c>
      <c r="E256" s="33" t="s">
        <v>219</v>
      </c>
      <c r="F256" s="33" t="s">
        <v>219</v>
      </c>
      <c r="G256" s="196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36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6"/>
      <c r="C257" s="240">
        <f>YEAR(PA[[#This Row],[Date]])+IF(MONTH(PA[[#This Row],[Date]])&gt;=4,1,0)</f>
        <v>1900</v>
      </c>
      <c r="D257" s="240">
        <f>YEAR(PA[[#This Row],[Date]])</f>
        <v>1900</v>
      </c>
      <c r="E257" s="33" t="s">
        <v>219</v>
      </c>
      <c r="F257" s="33" t="s">
        <v>219</v>
      </c>
      <c r="G257" s="196">
        <f>PA[[#This Row],[Date]]-DAY(PA[[#This Row],[Date]])+1</f>
        <v>1</v>
      </c>
      <c r="H257" s="231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31">
        <f>IF((PA[[#This Row],[String Type(If String BD)]]&amp;PA[[#This Row],[Equipment (If any BD other than PV  array and inv)]])="",1,0)</f>
        <v>1</v>
      </c>
      <c r="S257" s="231">
        <f>IF(PA[[#This Row],[String Type(If String BD)]]="",1,0)</f>
        <v>1</v>
      </c>
      <c r="T2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33" t="str">
        <f>IFERROR(_xlfn.XLOOKUP(PA[[#This Row],[Affected Equipment ]],'Basic Data'!N:N,'Basic Data'!Q:Q),"")</f>
        <v/>
      </c>
      <c r="V257" s="237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34">
        <f>IF(PA[[#This Row],[Acknowledgement Time ]]="NA","",(PA[[#This Row],[Acknowledgement Time ]]-PA[[#This Row],[Fault Time]])*24)</f>
        <v>0</v>
      </c>
      <c r="AE257" s="234">
        <f>IF(PA[[#This Row],[Work Start time on Fault]]="NA","",(PA[[#This Row],[Work Start time on Fault]]-PA[[#This Row],[Fault Time]])*24)</f>
        <v>0</v>
      </c>
      <c r="AF257" s="235">
        <f>IF(PA[[#This Row],[Status]]="Open","",(PA[[#This Row],[Work Completion time on fault]]-PA[[#This Row],[Fault Time]])*24)</f>
        <v>0</v>
      </c>
      <c r="AG257" s="234">
        <f>IFERROR((PA[[#This Row],[Work Completion time on fault]]-PA[[#This Row],[Fault Time]])*24,"")</f>
        <v>0</v>
      </c>
      <c r="AH257" s="36"/>
      <c r="AI257" s="33"/>
      <c r="AJ257" s="233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6"/>
      <c r="C258" s="240">
        <f>YEAR(PA[[#This Row],[Date]])+IF(MONTH(PA[[#This Row],[Date]])&gt;=4,1,0)</f>
        <v>1900</v>
      </c>
      <c r="D258" s="240">
        <f>YEAR(PA[[#This Row],[Date]])</f>
        <v>1900</v>
      </c>
      <c r="E258" s="33" t="s">
        <v>219</v>
      </c>
      <c r="F258" s="33" t="s">
        <v>219</v>
      </c>
      <c r="G258" s="196">
        <f>PA[[#This Row],[Date]]-DAY(PA[[#This Row],[Date]])+1</f>
        <v>1</v>
      </c>
      <c r="H258" s="231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31">
        <f>IF((PA[[#This Row],[String Type(If String BD)]]&amp;PA[[#This Row],[Equipment (If any BD other than PV  array and inv)]])="",1,0)</f>
        <v>1</v>
      </c>
      <c r="S258" s="231">
        <f>IF(PA[[#This Row],[String Type(If String BD)]]="",1,0)</f>
        <v>1</v>
      </c>
      <c r="T2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33" t="str">
        <f>IFERROR(_xlfn.XLOOKUP(PA[[#This Row],[Affected Equipment ]],'Basic Data'!N:N,'Basic Data'!Q:Q),"")</f>
        <v/>
      </c>
      <c r="V258" s="237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34">
        <f>IF(PA[[#This Row],[Acknowledgement Time ]]="NA","",(PA[[#This Row],[Acknowledgement Time ]]-PA[[#This Row],[Fault Time]])*24)</f>
        <v>0</v>
      </c>
      <c r="AE258" s="234">
        <f>IF(PA[[#This Row],[Work Start time on Fault]]="NA","",(PA[[#This Row],[Work Start time on Fault]]-PA[[#This Row],[Fault Time]])*24)</f>
        <v>0</v>
      </c>
      <c r="AF258" s="235">
        <f>IF(PA[[#This Row],[Status]]="Open","",(PA[[#This Row],[Work Completion time on fault]]-PA[[#This Row],[Fault Time]])*24)</f>
        <v>0</v>
      </c>
      <c r="AG258" s="234">
        <f>IFERROR((PA[[#This Row],[Work Completion time on fault]]-PA[[#This Row],[Fault Time]])*24,"")</f>
        <v>0</v>
      </c>
      <c r="AH258" s="36"/>
      <c r="AI258" s="33"/>
      <c r="AJ258" s="233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6"/>
      <c r="C259" s="241">
        <f>YEAR(PA[[#This Row],[Date]])+IF(MONTH(PA[[#This Row],[Date]])&gt;=4,1,0)</f>
        <v>1900</v>
      </c>
      <c r="D259" s="241">
        <f>YEAR(PA[[#This Row],[Date]])</f>
        <v>1900</v>
      </c>
      <c r="E259" s="33" t="s">
        <v>219</v>
      </c>
      <c r="F259" s="33" t="s">
        <v>219</v>
      </c>
      <c r="G259" s="196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36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6"/>
      <c r="C260" s="241">
        <f>YEAR(PA[[#This Row],[Date]])+IF(MONTH(PA[[#This Row],[Date]])&gt;=4,1,0)</f>
        <v>1900</v>
      </c>
      <c r="D260" s="241">
        <f>YEAR(PA[[#This Row],[Date]])</f>
        <v>1900</v>
      </c>
      <c r="E260" s="33" t="s">
        <v>219</v>
      </c>
      <c r="F260" s="33" t="s">
        <v>219</v>
      </c>
      <c r="G260" s="196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36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6"/>
      <c r="C261" s="241">
        <f>YEAR(PA[[#This Row],[Date]])+IF(MONTH(PA[[#This Row],[Date]])&gt;=4,1,0)</f>
        <v>1900</v>
      </c>
      <c r="D261" s="241">
        <f>YEAR(PA[[#This Row],[Date]])</f>
        <v>1900</v>
      </c>
      <c r="E261" s="33" t="s">
        <v>219</v>
      </c>
      <c r="F261" s="33" t="s">
        <v>219</v>
      </c>
      <c r="G261" s="196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36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6"/>
      <c r="C262" s="241">
        <f>YEAR(PA[[#This Row],[Date]])+IF(MONTH(PA[[#This Row],[Date]])&gt;=4,1,0)</f>
        <v>1900</v>
      </c>
      <c r="D262" s="241">
        <f>YEAR(PA[[#This Row],[Date]])</f>
        <v>1900</v>
      </c>
      <c r="E262" s="33" t="s">
        <v>219</v>
      </c>
      <c r="F262" s="33" t="s">
        <v>219</v>
      </c>
      <c r="G262" s="196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36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6"/>
      <c r="C263" s="240">
        <f>YEAR(PA[[#This Row],[Date]])+IF(MONTH(PA[[#This Row],[Date]])&gt;=4,1,0)</f>
        <v>1900</v>
      </c>
      <c r="D263" s="240">
        <f>YEAR(PA[[#This Row],[Date]])</f>
        <v>1900</v>
      </c>
      <c r="E263" s="33" t="s">
        <v>219</v>
      </c>
      <c r="F263" s="33" t="s">
        <v>219</v>
      </c>
      <c r="G263" s="196">
        <f>PA[[#This Row],[Date]]-DAY(PA[[#This Row],[Date]])+1</f>
        <v>1</v>
      </c>
      <c r="H263" s="231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31">
        <f>IF((PA[[#This Row],[String Type(If String BD)]]&amp;PA[[#This Row],[Equipment (If any BD other than PV  array and inv)]])="",1,0)</f>
        <v>1</v>
      </c>
      <c r="S263" s="231">
        <f>IF(PA[[#This Row],[String Type(If String BD)]]="",1,0)</f>
        <v>1</v>
      </c>
      <c r="T2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33" t="str">
        <f>IFERROR(_xlfn.XLOOKUP(PA[[#This Row],[Affected Equipment ]],'Basic Data'!N:N,'Basic Data'!Q:Q),"")</f>
        <v/>
      </c>
      <c r="V263" s="237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34">
        <f>IF(PA[[#This Row],[Acknowledgement Time ]]="NA","",(PA[[#This Row],[Acknowledgement Time ]]-PA[[#This Row],[Fault Time]])*24)</f>
        <v>0</v>
      </c>
      <c r="AE263" s="234">
        <f>IF(PA[[#This Row],[Work Start time on Fault]]="NA","",(PA[[#This Row],[Work Start time on Fault]]-PA[[#This Row],[Fault Time]])*24)</f>
        <v>0</v>
      </c>
      <c r="AF263" s="235">
        <f>IF(PA[[#This Row],[Status]]="Open","",(PA[[#This Row],[Work Completion time on fault]]-PA[[#This Row],[Fault Time]])*24)</f>
        <v>0</v>
      </c>
      <c r="AG263" s="234">
        <f>IFERROR((PA[[#This Row],[Work Completion time on fault]]-PA[[#This Row],[Fault Time]])*24,"")</f>
        <v>0</v>
      </c>
      <c r="AH263" s="36"/>
      <c r="AI263" s="33"/>
      <c r="AJ263" s="233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6"/>
      <c r="C264" s="241">
        <f>YEAR(PA[[#This Row],[Date]])+IF(MONTH(PA[[#This Row],[Date]])&gt;=4,1,0)</f>
        <v>1900</v>
      </c>
      <c r="D264" s="241">
        <f>YEAR(PA[[#This Row],[Date]])</f>
        <v>1900</v>
      </c>
      <c r="E264" s="33" t="s">
        <v>219</v>
      </c>
      <c r="F264" s="33" t="s">
        <v>219</v>
      </c>
      <c r="G264" s="196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36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6"/>
      <c r="C265" s="241">
        <f>YEAR(PA[[#This Row],[Date]])+IF(MONTH(PA[[#This Row],[Date]])&gt;=4,1,0)</f>
        <v>1900</v>
      </c>
      <c r="D265" s="241">
        <f>YEAR(PA[[#This Row],[Date]])</f>
        <v>1900</v>
      </c>
      <c r="E265" s="33" t="s">
        <v>219</v>
      </c>
      <c r="F265" s="33" t="s">
        <v>219</v>
      </c>
      <c r="G265" s="196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36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6"/>
      <c r="C266" s="241">
        <f>YEAR(PA[[#This Row],[Date]])+IF(MONTH(PA[[#This Row],[Date]])&gt;=4,1,0)</f>
        <v>1900</v>
      </c>
      <c r="D266" s="241">
        <f>YEAR(PA[[#This Row],[Date]])</f>
        <v>1900</v>
      </c>
      <c r="E266" s="33" t="s">
        <v>219</v>
      </c>
      <c r="F266" s="33" t="s">
        <v>219</v>
      </c>
      <c r="G266" s="196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36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344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6"/>
      <c r="C267" s="241">
        <f>YEAR(PA[[#This Row],[Date]])+IF(MONTH(PA[[#This Row],[Date]])&gt;=4,1,0)</f>
        <v>1900</v>
      </c>
      <c r="D267" s="241">
        <f>YEAR(PA[[#This Row],[Date]])</f>
        <v>1900</v>
      </c>
      <c r="E267" s="33" t="s">
        <v>219</v>
      </c>
      <c r="F267" s="33" t="s">
        <v>219</v>
      </c>
      <c r="G267" s="196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36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6"/>
      <c r="C268" s="241">
        <f>YEAR(PA[[#This Row],[Date]])+IF(MONTH(PA[[#This Row],[Date]])&gt;=4,1,0)</f>
        <v>1900</v>
      </c>
      <c r="D268" s="241">
        <f>YEAR(PA[[#This Row],[Date]])</f>
        <v>1900</v>
      </c>
      <c r="E268" s="33" t="s">
        <v>219</v>
      </c>
      <c r="F268" s="33" t="s">
        <v>219</v>
      </c>
      <c r="G268" s="196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36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6"/>
      <c r="C269" s="241">
        <f>YEAR(PA[[#This Row],[Date]])+IF(MONTH(PA[[#This Row],[Date]])&gt;=4,1,0)</f>
        <v>1900</v>
      </c>
      <c r="D269" s="241">
        <f>YEAR(PA[[#This Row],[Date]])</f>
        <v>1900</v>
      </c>
      <c r="E269" s="33" t="s">
        <v>219</v>
      </c>
      <c r="F269" s="33" t="s">
        <v>219</v>
      </c>
      <c r="G269" s="196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36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6"/>
      <c r="C270" s="241">
        <f>YEAR(PA[[#This Row],[Date]])+IF(MONTH(PA[[#This Row],[Date]])&gt;=4,1,0)</f>
        <v>1900</v>
      </c>
      <c r="D270" s="241">
        <f>YEAR(PA[[#This Row],[Date]])</f>
        <v>1900</v>
      </c>
      <c r="E270" s="33" t="s">
        <v>219</v>
      </c>
      <c r="F270" s="33" t="s">
        <v>219</v>
      </c>
      <c r="G270" s="196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36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6"/>
      <c r="C271" s="241">
        <f>YEAR(PA[[#This Row],[Date]])+IF(MONTH(PA[[#This Row],[Date]])&gt;=4,1,0)</f>
        <v>1900</v>
      </c>
      <c r="D271" s="241">
        <f>YEAR(PA[[#This Row],[Date]])</f>
        <v>1900</v>
      </c>
      <c r="E271" s="33" t="s">
        <v>219</v>
      </c>
      <c r="F271" s="33" t="s">
        <v>219</v>
      </c>
      <c r="G271" s="196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36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6"/>
      <c r="C272" s="241">
        <f>YEAR(PA[[#This Row],[Date]])+IF(MONTH(PA[[#This Row],[Date]])&gt;=4,1,0)</f>
        <v>1900</v>
      </c>
      <c r="D272" s="241">
        <f>YEAR(PA[[#This Row],[Date]])</f>
        <v>1900</v>
      </c>
      <c r="E272" s="33" t="s">
        <v>219</v>
      </c>
      <c r="F272" s="33" t="s">
        <v>219</v>
      </c>
      <c r="G272" s="196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36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6"/>
      <c r="C273" s="241">
        <f>YEAR(PA[[#This Row],[Date]])+IF(MONTH(PA[[#This Row],[Date]])&gt;=4,1,0)</f>
        <v>1900</v>
      </c>
      <c r="D273" s="241">
        <f>YEAR(PA[[#This Row],[Date]])</f>
        <v>1900</v>
      </c>
      <c r="E273" s="33" t="s">
        <v>219</v>
      </c>
      <c r="F273" s="33" t="s">
        <v>219</v>
      </c>
      <c r="G273" s="196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36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6"/>
      <c r="C274" s="241">
        <f>YEAR(PA[[#This Row],[Date]])+IF(MONTH(PA[[#This Row],[Date]])&gt;=4,1,0)</f>
        <v>1900</v>
      </c>
      <c r="D274" s="241">
        <f>YEAR(PA[[#This Row],[Date]])</f>
        <v>1900</v>
      </c>
      <c r="E274" s="33" t="s">
        <v>219</v>
      </c>
      <c r="F274" s="33" t="s">
        <v>219</v>
      </c>
      <c r="G274" s="196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36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6"/>
      <c r="C275" s="241">
        <f>YEAR(PA[[#This Row],[Date]])+IF(MONTH(PA[[#This Row],[Date]])&gt;=4,1,0)</f>
        <v>1900</v>
      </c>
      <c r="D275" s="241">
        <f>YEAR(PA[[#This Row],[Date]])</f>
        <v>1900</v>
      </c>
      <c r="E275" s="33" t="s">
        <v>219</v>
      </c>
      <c r="F275" s="33" t="s">
        <v>219</v>
      </c>
      <c r="G275" s="196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36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6"/>
      <c r="C276" s="241">
        <f>YEAR(PA[[#This Row],[Date]])+IF(MONTH(PA[[#This Row],[Date]])&gt;=4,1,0)</f>
        <v>1900</v>
      </c>
      <c r="D276" s="241">
        <f>YEAR(PA[[#This Row],[Date]])</f>
        <v>1900</v>
      </c>
      <c r="E276" s="33" t="s">
        <v>219</v>
      </c>
      <c r="F276" s="33" t="s">
        <v>219</v>
      </c>
      <c r="G276" s="196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36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6"/>
      <c r="C277" s="241">
        <f>YEAR(PA[[#This Row],[Date]])+IF(MONTH(PA[[#This Row],[Date]])&gt;=4,1,0)</f>
        <v>1900</v>
      </c>
      <c r="D277" s="241">
        <f>YEAR(PA[[#This Row],[Date]])</f>
        <v>1900</v>
      </c>
      <c r="E277" s="33" t="s">
        <v>219</v>
      </c>
      <c r="F277" s="33" t="s">
        <v>219</v>
      </c>
      <c r="G277" s="196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36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41">
        <f>YEAR(PA[[#This Row],[Date]])+IF(MONTH(PA[[#This Row],[Date]])&gt;=4,1,0)</f>
        <v>1900</v>
      </c>
      <c r="D278" s="241">
        <f>YEAR(PA[[#This Row],[Date]])</f>
        <v>1900</v>
      </c>
      <c r="E278" s="33" t="s">
        <v>219</v>
      </c>
      <c r="F278" s="33" t="s">
        <v>219</v>
      </c>
      <c r="G278" s="274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36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41">
        <f>YEAR(PA[[#This Row],[Date]])+IF(MONTH(PA[[#This Row],[Date]])&gt;=4,1,0)</f>
        <v>1900</v>
      </c>
      <c r="D279" s="241">
        <f>YEAR(PA[[#This Row],[Date]])</f>
        <v>1900</v>
      </c>
      <c r="E279" s="33" t="s">
        <v>219</v>
      </c>
      <c r="F279" s="33" t="s">
        <v>219</v>
      </c>
      <c r="G279" s="274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36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41">
        <f>YEAR(PA[[#This Row],[Date]])+IF(MONTH(PA[[#This Row],[Date]])&gt;=4,1,0)</f>
        <v>1900</v>
      </c>
      <c r="D280" s="241">
        <f>YEAR(PA[[#This Row],[Date]])</f>
        <v>1900</v>
      </c>
      <c r="E280" s="33" t="s">
        <v>219</v>
      </c>
      <c r="F280" s="33" t="s">
        <v>219</v>
      </c>
      <c r="G280" s="274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36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41">
        <f>YEAR(PA[[#This Row],[Date]])+IF(MONTH(PA[[#This Row],[Date]])&gt;=4,1,0)</f>
        <v>1900</v>
      </c>
      <c r="D281" s="241">
        <f>YEAR(PA[[#This Row],[Date]])</f>
        <v>1900</v>
      </c>
      <c r="E281" s="33" t="s">
        <v>219</v>
      </c>
      <c r="F281" s="33" t="s">
        <v>219</v>
      </c>
      <c r="G281" s="274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36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41">
        <f>YEAR(PA[[#This Row],[Date]])+IF(MONTH(PA[[#This Row],[Date]])&gt;=4,1,0)</f>
        <v>1900</v>
      </c>
      <c r="D282" s="241">
        <f>YEAR(PA[[#This Row],[Date]])</f>
        <v>1900</v>
      </c>
      <c r="E282" s="33" t="s">
        <v>219</v>
      </c>
      <c r="F282" s="33" t="s">
        <v>219</v>
      </c>
      <c r="G282" s="274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36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6"/>
      <c r="C283" s="240">
        <f>YEAR(PA[[#This Row],[Date]])+IF(MONTH(PA[[#This Row],[Date]])&gt;=4,1,0)</f>
        <v>1900</v>
      </c>
      <c r="D283" s="240">
        <f>YEAR(PA[[#This Row],[Date]])</f>
        <v>1900</v>
      </c>
      <c r="E283" s="37" t="s">
        <v>219</v>
      </c>
      <c r="F283" s="37" t="s">
        <v>219</v>
      </c>
      <c r="G283" s="275">
        <f>PA[[#This Row],[Date]]-DAY(PA[[#This Row],[Date]])+1</f>
        <v>1</v>
      </c>
      <c r="H283" s="231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31">
        <f>IF((PA[[#This Row],[String Type(If String BD)]]&amp;PA[[#This Row],[Equipment (If any BD other than PV  array and inv)]])="",1,0)</f>
        <v>1</v>
      </c>
      <c r="S283" s="231">
        <f>IF(PA[[#This Row],[String Type(If String BD)]]="",1,0)</f>
        <v>1</v>
      </c>
      <c r="T28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33" t="str">
        <f>IFERROR(_xlfn.XLOOKUP(PA[[#This Row],[Affected Equipment ]],'Basic Data'!N:N,'Basic Data'!Q:Q),"")</f>
        <v/>
      </c>
      <c r="V283" s="237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34">
        <f>IF(PA[[#This Row],[Acknowledgement Time ]]="NA","",(PA[[#This Row],[Acknowledgement Time ]]-PA[[#This Row],[Fault Time]])*24)</f>
        <v>0</v>
      </c>
      <c r="AE283" s="234">
        <f>IF(PA[[#This Row],[Work Start time on Fault]]="NA","",(PA[[#This Row],[Work Start time on Fault]]-PA[[#This Row],[Fault Time]])*24)</f>
        <v>0</v>
      </c>
      <c r="AF283" s="235">
        <f>IF(PA[[#This Row],[Status]]="Open","",(PA[[#This Row],[Work Completion time on fault]]-PA[[#This Row],[Fault Time]])*24)</f>
        <v>0</v>
      </c>
      <c r="AG283" s="234">
        <f>IFERROR((PA[[#This Row],[Work Completion time on fault]]-PA[[#This Row],[Fault Time]])*24,"")</f>
        <v>0</v>
      </c>
      <c r="AH283" s="36"/>
      <c r="AI283" s="33"/>
      <c r="AJ283" s="233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6"/>
      <c r="C284" s="241">
        <f>YEAR(PA[[#This Row],[Date]])+IF(MONTH(PA[[#This Row],[Date]])&gt;=4,1,0)</f>
        <v>1900</v>
      </c>
      <c r="D284" s="241">
        <f>YEAR(PA[[#This Row],[Date]])</f>
        <v>1900</v>
      </c>
      <c r="E284" s="37" t="s">
        <v>219</v>
      </c>
      <c r="F284" s="37" t="s">
        <v>219</v>
      </c>
      <c r="G284" s="275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36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6"/>
      <c r="C285" s="241">
        <f>YEAR(PA[[#This Row],[Date]])+IF(MONTH(PA[[#This Row],[Date]])&gt;=4,1,0)</f>
        <v>1900</v>
      </c>
      <c r="D285" s="241">
        <f>YEAR(PA[[#This Row],[Date]])</f>
        <v>1900</v>
      </c>
      <c r="E285" s="37" t="s">
        <v>219</v>
      </c>
      <c r="F285" s="37" t="s">
        <v>219</v>
      </c>
      <c r="G285" s="275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36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6"/>
      <c r="C286" s="241">
        <f>YEAR(PA[[#This Row],[Date]])+IF(MONTH(PA[[#This Row],[Date]])&gt;=4,1,0)</f>
        <v>1900</v>
      </c>
      <c r="D286" s="241">
        <f>YEAR(PA[[#This Row],[Date]])</f>
        <v>1900</v>
      </c>
      <c r="E286" s="37" t="s">
        <v>219</v>
      </c>
      <c r="F286" s="37" t="s">
        <v>219</v>
      </c>
      <c r="G286" s="275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36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6"/>
      <c r="C287" s="241">
        <f>YEAR(PA[[#This Row],[Date]])+IF(MONTH(PA[[#This Row],[Date]])&gt;=4,1,0)</f>
        <v>1900</v>
      </c>
      <c r="D287" s="241">
        <f>YEAR(PA[[#This Row],[Date]])</f>
        <v>1900</v>
      </c>
      <c r="E287" s="37" t="s">
        <v>219</v>
      </c>
      <c r="F287" s="37" t="s">
        <v>219</v>
      </c>
      <c r="G287" s="275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36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6"/>
      <c r="C288" s="241">
        <f>YEAR(PA[[#This Row],[Date]])+IF(MONTH(PA[[#This Row],[Date]])&gt;=4,1,0)</f>
        <v>1900</v>
      </c>
      <c r="D288" s="241">
        <f>YEAR(PA[[#This Row],[Date]])</f>
        <v>1900</v>
      </c>
      <c r="E288" s="37" t="s">
        <v>219</v>
      </c>
      <c r="F288" s="37" t="s">
        <v>219</v>
      </c>
      <c r="G288" s="275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36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6"/>
      <c r="C289" s="241">
        <f>YEAR(PA[[#This Row],[Date]])+IF(MONTH(PA[[#This Row],[Date]])&gt;=4,1,0)</f>
        <v>1900</v>
      </c>
      <c r="D289" s="241">
        <f>YEAR(PA[[#This Row],[Date]])</f>
        <v>1900</v>
      </c>
      <c r="E289" s="37" t="s">
        <v>219</v>
      </c>
      <c r="F289" s="37" t="s">
        <v>219</v>
      </c>
      <c r="G289" s="275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36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6"/>
      <c r="C290" s="241">
        <f>YEAR(PA[[#This Row],[Date]])+IF(MONTH(PA[[#This Row],[Date]])&gt;=4,1,0)</f>
        <v>1900</v>
      </c>
      <c r="D290" s="241">
        <f>YEAR(PA[[#This Row],[Date]])</f>
        <v>1900</v>
      </c>
      <c r="E290" s="37" t="s">
        <v>219</v>
      </c>
      <c r="F290" s="37" t="s">
        <v>219</v>
      </c>
      <c r="G290" s="275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36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6"/>
      <c r="C291" s="241">
        <f>YEAR(PA[[#This Row],[Date]])+IF(MONTH(PA[[#This Row],[Date]])&gt;=4,1,0)</f>
        <v>1900</v>
      </c>
      <c r="D291" s="241">
        <f>YEAR(PA[[#This Row],[Date]])</f>
        <v>1900</v>
      </c>
      <c r="E291" s="37" t="s">
        <v>219</v>
      </c>
      <c r="F291" s="37" t="s">
        <v>219</v>
      </c>
      <c r="G291" s="275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36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6"/>
      <c r="C292" s="241">
        <f>YEAR(PA[[#This Row],[Date]])+IF(MONTH(PA[[#This Row],[Date]])&gt;=4,1,0)</f>
        <v>1900</v>
      </c>
      <c r="D292" s="241">
        <f>YEAR(PA[[#This Row],[Date]])</f>
        <v>1900</v>
      </c>
      <c r="E292" s="37" t="s">
        <v>219</v>
      </c>
      <c r="F292" s="37" t="s">
        <v>219</v>
      </c>
      <c r="G292" s="275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36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6"/>
      <c r="C293" s="241">
        <f>YEAR(PA[[#This Row],[Date]])+IF(MONTH(PA[[#This Row],[Date]])&gt;=4,1,0)</f>
        <v>1900</v>
      </c>
      <c r="D293" s="241">
        <f>YEAR(PA[[#This Row],[Date]])</f>
        <v>1900</v>
      </c>
      <c r="E293" s="37" t="s">
        <v>219</v>
      </c>
      <c r="F293" s="37" t="s">
        <v>219</v>
      </c>
      <c r="G293" s="275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36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6"/>
      <c r="C294" s="241">
        <f>YEAR(PA[[#This Row],[Date]])+IF(MONTH(PA[[#This Row],[Date]])&gt;=4,1,0)</f>
        <v>1900</v>
      </c>
      <c r="D294" s="241">
        <f>YEAR(PA[[#This Row],[Date]])</f>
        <v>1900</v>
      </c>
      <c r="E294" s="37" t="s">
        <v>219</v>
      </c>
      <c r="F294" s="37" t="s">
        <v>219</v>
      </c>
      <c r="G294" s="275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36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6"/>
      <c r="C295" s="241">
        <f>YEAR(PA[[#This Row],[Date]])+IF(MONTH(PA[[#This Row],[Date]])&gt;=4,1,0)</f>
        <v>1900</v>
      </c>
      <c r="D295" s="241">
        <f>YEAR(PA[[#This Row],[Date]])</f>
        <v>1900</v>
      </c>
      <c r="E295" s="37" t="s">
        <v>219</v>
      </c>
      <c r="F295" s="37" t="s">
        <v>219</v>
      </c>
      <c r="G295" s="275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36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6"/>
      <c r="C296" s="241">
        <f>YEAR(PA[[#This Row],[Date]])+IF(MONTH(PA[[#This Row],[Date]])&gt;=4,1,0)</f>
        <v>1900</v>
      </c>
      <c r="D296" s="241">
        <f>YEAR(PA[[#This Row],[Date]])</f>
        <v>1900</v>
      </c>
      <c r="E296" s="37" t="s">
        <v>219</v>
      </c>
      <c r="F296" s="37" t="s">
        <v>219</v>
      </c>
      <c r="G296" s="275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36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6"/>
      <c r="C297" s="240">
        <f>YEAR(PA[[#This Row],[Date]])+IF(MONTH(PA[[#This Row],[Date]])&gt;=4,1,0)</f>
        <v>1900</v>
      </c>
      <c r="D297" s="240">
        <f>YEAR(PA[[#This Row],[Date]])</f>
        <v>1900</v>
      </c>
      <c r="E297" s="37" t="s">
        <v>219</v>
      </c>
      <c r="F297" s="37" t="s">
        <v>219</v>
      </c>
      <c r="G297" s="275">
        <f>PA[[#This Row],[Date]]-DAY(PA[[#This Row],[Date]])+1</f>
        <v>1</v>
      </c>
      <c r="H297" s="231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31">
        <f>IF((PA[[#This Row],[String Type(If String BD)]]&amp;PA[[#This Row],[Equipment (If any BD other than PV  array and inv)]])="",1,0)</f>
        <v>1</v>
      </c>
      <c r="S297" s="231">
        <f>IF(PA[[#This Row],[String Type(If String BD)]]="",1,0)</f>
        <v>1</v>
      </c>
      <c r="T29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33" t="str">
        <f>IFERROR(_xlfn.XLOOKUP(PA[[#This Row],[Affected Equipment ]],'Basic Data'!N:N,'Basic Data'!Q:Q),"")</f>
        <v/>
      </c>
      <c r="V297" s="237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34">
        <f>IF(PA[[#This Row],[Acknowledgement Time ]]="NA","",(PA[[#This Row],[Acknowledgement Time ]]-PA[[#This Row],[Fault Time]])*24)</f>
        <v>0</v>
      </c>
      <c r="AE297" s="234">
        <f>IF(PA[[#This Row],[Work Start time on Fault]]="NA","",(PA[[#This Row],[Work Start time on Fault]]-PA[[#This Row],[Fault Time]])*24)</f>
        <v>0</v>
      </c>
      <c r="AF297" s="235">
        <f>IF(PA[[#This Row],[Status]]="Open","",(PA[[#This Row],[Work Completion time on fault]]-PA[[#This Row],[Fault Time]])*24)</f>
        <v>0</v>
      </c>
      <c r="AG297" s="234">
        <f>IFERROR((PA[[#This Row],[Work Completion time on fault]]-PA[[#This Row],[Fault Time]])*24,"")</f>
        <v>0</v>
      </c>
      <c r="AH297" s="36"/>
      <c r="AI297" s="33"/>
      <c r="AJ297" s="233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6"/>
      <c r="C298" s="241">
        <f>YEAR(PA[[#This Row],[Date]])+IF(MONTH(PA[[#This Row],[Date]])&gt;=4,1,0)</f>
        <v>1900</v>
      </c>
      <c r="D298" s="241">
        <f>YEAR(PA[[#This Row],[Date]])</f>
        <v>1900</v>
      </c>
      <c r="E298" s="37" t="s">
        <v>219</v>
      </c>
      <c r="F298" s="37" t="s">
        <v>219</v>
      </c>
      <c r="G298" s="275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36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6"/>
      <c r="C299" s="241">
        <f>YEAR(PA[[#This Row],[Date]])+IF(MONTH(PA[[#This Row],[Date]])&gt;=4,1,0)</f>
        <v>1900</v>
      </c>
      <c r="D299" s="241">
        <f>YEAR(PA[[#This Row],[Date]])</f>
        <v>1900</v>
      </c>
      <c r="E299" s="37" t="s">
        <v>219</v>
      </c>
      <c r="F299" s="37" t="s">
        <v>219</v>
      </c>
      <c r="G299" s="275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36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6"/>
      <c r="C300" s="241">
        <f>YEAR(PA[[#This Row],[Date]])+IF(MONTH(PA[[#This Row],[Date]])&gt;=4,1,0)</f>
        <v>1900</v>
      </c>
      <c r="D300" s="241">
        <f>YEAR(PA[[#This Row],[Date]])</f>
        <v>1900</v>
      </c>
      <c r="E300" s="37" t="s">
        <v>219</v>
      </c>
      <c r="F300" s="37" t="s">
        <v>219</v>
      </c>
      <c r="G300" s="275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36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6"/>
      <c r="C301" s="241">
        <f>YEAR(PA[[#This Row],[Date]])+IF(MONTH(PA[[#This Row],[Date]])&gt;=4,1,0)</f>
        <v>1900</v>
      </c>
      <c r="D301" s="241">
        <f>YEAR(PA[[#This Row],[Date]])</f>
        <v>1900</v>
      </c>
      <c r="E301" s="37" t="s">
        <v>219</v>
      </c>
      <c r="F301" s="37" t="s">
        <v>219</v>
      </c>
      <c r="G301" s="275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36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6"/>
      <c r="C302" s="241">
        <f>YEAR(PA[[#This Row],[Date]])+IF(MONTH(PA[[#This Row],[Date]])&gt;=4,1,0)</f>
        <v>1900</v>
      </c>
      <c r="D302" s="241">
        <f>YEAR(PA[[#This Row],[Date]])</f>
        <v>1900</v>
      </c>
      <c r="E302" s="37" t="s">
        <v>219</v>
      </c>
      <c r="F302" s="37" t="s">
        <v>219</v>
      </c>
      <c r="G302" s="275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36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6"/>
      <c r="C303" s="241">
        <f>YEAR(PA[[#This Row],[Date]])+IF(MONTH(PA[[#This Row],[Date]])&gt;=4,1,0)</f>
        <v>1900</v>
      </c>
      <c r="D303" s="241">
        <f>YEAR(PA[[#This Row],[Date]])</f>
        <v>1900</v>
      </c>
      <c r="E303" s="37" t="s">
        <v>219</v>
      </c>
      <c r="F303" s="37" t="s">
        <v>219</v>
      </c>
      <c r="G303" s="275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36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6"/>
      <c r="C304" s="241">
        <f>YEAR(PA[[#This Row],[Date]])+IF(MONTH(PA[[#This Row],[Date]])&gt;=4,1,0)</f>
        <v>1900</v>
      </c>
      <c r="D304" s="241">
        <f>YEAR(PA[[#This Row],[Date]])</f>
        <v>1900</v>
      </c>
      <c r="E304" s="37" t="s">
        <v>219</v>
      </c>
      <c r="F304" s="37" t="s">
        <v>219</v>
      </c>
      <c r="G304" s="275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36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6"/>
      <c r="C305" s="241">
        <f>YEAR(PA[[#This Row],[Date]])+IF(MONTH(PA[[#This Row],[Date]])&gt;=4,1,0)</f>
        <v>1900</v>
      </c>
      <c r="D305" s="241">
        <f>YEAR(PA[[#This Row],[Date]])</f>
        <v>1900</v>
      </c>
      <c r="E305" s="37" t="s">
        <v>219</v>
      </c>
      <c r="F305" s="37" t="s">
        <v>219</v>
      </c>
      <c r="G305" s="275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36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6"/>
      <c r="C306" s="241">
        <f>YEAR(PA[[#This Row],[Date]])+IF(MONTH(PA[[#This Row],[Date]])&gt;=4,1,0)</f>
        <v>1900</v>
      </c>
      <c r="D306" s="241">
        <f>YEAR(PA[[#This Row],[Date]])</f>
        <v>1900</v>
      </c>
      <c r="E306" s="37" t="s">
        <v>219</v>
      </c>
      <c r="F306" s="37" t="s">
        <v>219</v>
      </c>
      <c r="G306" s="275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36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6"/>
      <c r="C307" s="241">
        <f>YEAR(PA[[#This Row],[Date]])+IF(MONTH(PA[[#This Row],[Date]])&gt;=4,1,0)</f>
        <v>1900</v>
      </c>
      <c r="D307" s="241">
        <f>YEAR(PA[[#This Row],[Date]])</f>
        <v>1900</v>
      </c>
      <c r="E307" s="37" t="s">
        <v>219</v>
      </c>
      <c r="F307" s="37" t="s">
        <v>219</v>
      </c>
      <c r="G307" s="275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36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6"/>
      <c r="C308" s="241">
        <f>YEAR(PA[[#This Row],[Date]])+IF(MONTH(PA[[#This Row],[Date]])&gt;=4,1,0)</f>
        <v>1900</v>
      </c>
      <c r="D308" s="241">
        <f>YEAR(PA[[#This Row],[Date]])</f>
        <v>1900</v>
      </c>
      <c r="E308" s="37" t="s">
        <v>219</v>
      </c>
      <c r="F308" s="37" t="s">
        <v>219</v>
      </c>
      <c r="G308" s="275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36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6"/>
      <c r="C309" s="240">
        <f>YEAR(PA[[#This Row],[Date]])+IF(MONTH(PA[[#This Row],[Date]])&gt;=4,1,0)</f>
        <v>1900</v>
      </c>
      <c r="D309" s="240">
        <f>YEAR(PA[[#This Row],[Date]])</f>
        <v>1900</v>
      </c>
      <c r="E309" s="37" t="s">
        <v>219</v>
      </c>
      <c r="F309" s="37" t="s">
        <v>219</v>
      </c>
      <c r="G309" s="275">
        <f>PA[[#This Row],[Date]]-DAY(PA[[#This Row],[Date]])+1</f>
        <v>1</v>
      </c>
      <c r="H309" s="231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31">
        <f>IF((PA[[#This Row],[String Type(If String BD)]]&amp;PA[[#This Row],[Equipment (If any BD other than PV  array and inv)]])="",1,0)</f>
        <v>1</v>
      </c>
      <c r="S309" s="231">
        <f>IF(PA[[#This Row],[String Type(If String BD)]]="",1,0)</f>
        <v>1</v>
      </c>
      <c r="T3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33" t="str">
        <f>IFERROR(_xlfn.XLOOKUP(PA[[#This Row],[Affected Equipment ]],'Basic Data'!N:N,'Basic Data'!Q:Q),"")</f>
        <v/>
      </c>
      <c r="V309" s="237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34">
        <f>IF(PA[[#This Row],[Acknowledgement Time ]]="NA","",(PA[[#This Row],[Acknowledgement Time ]]-PA[[#This Row],[Fault Time]])*24)</f>
        <v>0</v>
      </c>
      <c r="AE309" s="234">
        <f>IF(PA[[#This Row],[Work Start time on Fault]]="NA","",(PA[[#This Row],[Work Start time on Fault]]-PA[[#This Row],[Fault Time]])*24)</f>
        <v>0</v>
      </c>
      <c r="AF309" s="235">
        <f>IF(PA[[#This Row],[Status]]="Open","",(PA[[#This Row],[Work Completion time on fault]]-PA[[#This Row],[Fault Time]])*24)</f>
        <v>0</v>
      </c>
      <c r="AG309" s="234">
        <f>IFERROR((PA[[#This Row],[Work Completion time on fault]]-PA[[#This Row],[Fault Time]])*24,"")</f>
        <v>0</v>
      </c>
      <c r="AH309" s="36"/>
      <c r="AI309" s="33"/>
      <c r="AJ309" s="233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6"/>
      <c r="C310" s="241">
        <f>YEAR(PA[[#This Row],[Date]])+IF(MONTH(PA[[#This Row],[Date]])&gt;=4,1,0)</f>
        <v>1900</v>
      </c>
      <c r="D310" s="241">
        <f>YEAR(PA[[#This Row],[Date]])</f>
        <v>1900</v>
      </c>
      <c r="E310" s="37" t="s">
        <v>219</v>
      </c>
      <c r="F310" s="37" t="s">
        <v>219</v>
      </c>
      <c r="G310" s="275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36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6"/>
      <c r="C311" s="241">
        <f>YEAR(PA[[#This Row],[Date]])+IF(MONTH(PA[[#This Row],[Date]])&gt;=4,1,0)</f>
        <v>1900</v>
      </c>
      <c r="D311" s="241">
        <f>YEAR(PA[[#This Row],[Date]])</f>
        <v>1900</v>
      </c>
      <c r="E311" s="37" t="s">
        <v>219</v>
      </c>
      <c r="F311" s="37" t="s">
        <v>219</v>
      </c>
      <c r="G311" s="275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36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6"/>
      <c r="C312" s="241">
        <f>YEAR(PA[[#This Row],[Date]])+IF(MONTH(PA[[#This Row],[Date]])&gt;=4,1,0)</f>
        <v>1900</v>
      </c>
      <c r="D312" s="241">
        <f>YEAR(PA[[#This Row],[Date]])</f>
        <v>1900</v>
      </c>
      <c r="E312" s="37" t="s">
        <v>219</v>
      </c>
      <c r="F312" s="37" t="s">
        <v>219</v>
      </c>
      <c r="G312" s="275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36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6"/>
      <c r="C313" s="241">
        <f>YEAR(PA[[#This Row],[Date]])+IF(MONTH(PA[[#This Row],[Date]])&gt;=4,1,0)</f>
        <v>1900</v>
      </c>
      <c r="D313" s="241">
        <f>YEAR(PA[[#This Row],[Date]])</f>
        <v>1900</v>
      </c>
      <c r="E313" s="37" t="s">
        <v>219</v>
      </c>
      <c r="F313" s="37" t="s">
        <v>219</v>
      </c>
      <c r="G313" s="275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36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6"/>
      <c r="C314" s="241">
        <f>YEAR(PA[[#This Row],[Date]])+IF(MONTH(PA[[#This Row],[Date]])&gt;=4,1,0)</f>
        <v>1900</v>
      </c>
      <c r="D314" s="241">
        <f>YEAR(PA[[#This Row],[Date]])</f>
        <v>1900</v>
      </c>
      <c r="E314" s="37" t="s">
        <v>219</v>
      </c>
      <c r="F314" s="37" t="s">
        <v>219</v>
      </c>
      <c r="G314" s="275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36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6"/>
      <c r="C315" s="241">
        <f>YEAR(PA[[#This Row],[Date]])+IF(MONTH(PA[[#This Row],[Date]])&gt;=4,1,0)</f>
        <v>1900</v>
      </c>
      <c r="D315" s="241">
        <f>YEAR(PA[[#This Row],[Date]])</f>
        <v>1900</v>
      </c>
      <c r="E315" s="37" t="s">
        <v>219</v>
      </c>
      <c r="F315" s="37" t="s">
        <v>219</v>
      </c>
      <c r="G315" s="275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36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6"/>
      <c r="C316" s="241">
        <f>YEAR(PA[[#This Row],[Date]])+IF(MONTH(PA[[#This Row],[Date]])&gt;=4,1,0)</f>
        <v>1900</v>
      </c>
      <c r="D316" s="241">
        <f>YEAR(PA[[#This Row],[Date]])</f>
        <v>1900</v>
      </c>
      <c r="E316" s="37" t="s">
        <v>219</v>
      </c>
      <c r="F316" s="37" t="s">
        <v>219</v>
      </c>
      <c r="G316" s="275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36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6"/>
      <c r="C317" s="241">
        <f>YEAR(PA[[#This Row],[Date]])+IF(MONTH(PA[[#This Row],[Date]])&gt;=4,1,0)</f>
        <v>1900</v>
      </c>
      <c r="D317" s="241">
        <f>YEAR(PA[[#This Row],[Date]])</f>
        <v>1900</v>
      </c>
      <c r="E317" s="37" t="s">
        <v>219</v>
      </c>
      <c r="F317" s="37" t="s">
        <v>219</v>
      </c>
      <c r="G317" s="275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36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6"/>
      <c r="C318" s="240">
        <f>YEAR(PA[[#This Row],[Date]])+IF(MONTH(PA[[#This Row],[Date]])&gt;=4,1,0)</f>
        <v>1900</v>
      </c>
      <c r="D318" s="240">
        <f>YEAR(PA[[#This Row],[Date]])</f>
        <v>1900</v>
      </c>
      <c r="E318" s="37" t="s">
        <v>219</v>
      </c>
      <c r="F318" s="37" t="s">
        <v>219</v>
      </c>
      <c r="G318" s="275">
        <f>PA[[#This Row],[Date]]-DAY(PA[[#This Row],[Date]])+1</f>
        <v>1</v>
      </c>
      <c r="H318" s="231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31">
        <f>IF((PA[[#This Row],[String Type(If String BD)]]&amp;PA[[#This Row],[Equipment (If any BD other than PV  array and inv)]])="",1,0)</f>
        <v>1</v>
      </c>
      <c r="S318" s="231">
        <f>IF(PA[[#This Row],[String Type(If String BD)]]="",1,0)</f>
        <v>1</v>
      </c>
      <c r="T3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33" t="str">
        <f>IFERROR(_xlfn.XLOOKUP(PA[[#This Row],[Affected Equipment ]],'Basic Data'!N:N,'Basic Data'!Q:Q),"")</f>
        <v/>
      </c>
      <c r="V318" s="237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34">
        <f>IF(PA[[#This Row],[Acknowledgement Time ]]="NA","",(PA[[#This Row],[Acknowledgement Time ]]-PA[[#This Row],[Fault Time]])*24)</f>
        <v>0</v>
      </c>
      <c r="AE318" s="234">
        <f>IF(PA[[#This Row],[Work Start time on Fault]]="NA","",(PA[[#This Row],[Work Start time on Fault]]-PA[[#This Row],[Fault Time]])*24)</f>
        <v>0</v>
      </c>
      <c r="AF318" s="235">
        <f>IF(PA[[#This Row],[Status]]="Open","",(PA[[#This Row],[Work Completion time on fault]]-PA[[#This Row],[Fault Time]])*24)</f>
        <v>0</v>
      </c>
      <c r="AG318" s="234">
        <f>IFERROR((PA[[#This Row],[Work Completion time on fault]]-PA[[#This Row],[Fault Time]])*24,"")</f>
        <v>0</v>
      </c>
      <c r="AH318" s="36"/>
      <c r="AI318" s="33"/>
      <c r="AJ318" s="233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6"/>
      <c r="C319" s="241">
        <f>YEAR(PA[[#This Row],[Date]])+IF(MONTH(PA[[#This Row],[Date]])&gt;=4,1,0)</f>
        <v>1900</v>
      </c>
      <c r="D319" s="241">
        <f>YEAR(PA[[#This Row],[Date]])</f>
        <v>1900</v>
      </c>
      <c r="E319" s="37" t="s">
        <v>219</v>
      </c>
      <c r="F319" s="37" t="s">
        <v>219</v>
      </c>
      <c r="G319" s="275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36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344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6"/>
      <c r="C320" s="241">
        <f>YEAR(PA[[#This Row],[Date]])+IF(MONTH(PA[[#This Row],[Date]])&gt;=4,1,0)</f>
        <v>1900</v>
      </c>
      <c r="D320" s="241">
        <f>YEAR(PA[[#This Row],[Date]])</f>
        <v>1900</v>
      </c>
      <c r="E320" s="37" t="s">
        <v>219</v>
      </c>
      <c r="F320" s="37" t="s">
        <v>219</v>
      </c>
      <c r="G320" s="275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36" t="str">
        <f>IFERROR(_xlfn.XLOOKUP(PA[[#This Row],[Affected Equipment ]],'Basic Data'!N:N,'Basic Data'!R:R),"")</f>
        <v/>
      </c>
      <c r="W320" s="36"/>
      <c r="X320" s="40"/>
      <c r="Y320" s="350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41">
        <f>YEAR(PA[[#This Row],[Date]])+IF(MONTH(PA[[#This Row],[Date]])&gt;=4,1,0)</f>
        <v>1900</v>
      </c>
      <c r="D321" s="241">
        <f>YEAR(PA[[#This Row],[Date]])</f>
        <v>1900</v>
      </c>
      <c r="E321" s="37" t="s">
        <v>219</v>
      </c>
      <c r="F321" s="37" t="s">
        <v>219</v>
      </c>
      <c r="G321" s="275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36" t="str">
        <f>IFERROR(_xlfn.XLOOKUP(PA[[#This Row],[Affected Equipment ]],'Basic Data'!N:N,'Basic Data'!R:R),"")</f>
        <v/>
      </c>
      <c r="W321" s="36"/>
      <c r="X321" s="40"/>
      <c r="Y321" s="350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41">
        <f>YEAR(PA[[#This Row],[Date]])+IF(MONTH(PA[[#This Row],[Date]])&gt;=4,1,0)</f>
        <v>1900</v>
      </c>
      <c r="D322" s="241">
        <f>YEAR(PA[[#This Row],[Date]])</f>
        <v>1900</v>
      </c>
      <c r="E322" s="37" t="s">
        <v>219</v>
      </c>
      <c r="F322" s="37" t="s">
        <v>219</v>
      </c>
      <c r="G322" s="275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36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41">
        <f>YEAR(PA[[#This Row],[Date]])+IF(MONTH(PA[[#This Row],[Date]])&gt;=4,1,0)</f>
        <v>1900</v>
      </c>
      <c r="D323" s="241">
        <f>YEAR(PA[[#This Row],[Date]])</f>
        <v>1900</v>
      </c>
      <c r="E323" s="37" t="s">
        <v>219</v>
      </c>
      <c r="F323" s="37" t="s">
        <v>219</v>
      </c>
      <c r="G323" s="275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36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41">
        <f>YEAR(PA[[#This Row],[Date]])+IF(MONTH(PA[[#This Row],[Date]])&gt;=4,1,0)</f>
        <v>1900</v>
      </c>
      <c r="D324" s="241">
        <f>YEAR(PA[[#This Row],[Date]])</f>
        <v>1900</v>
      </c>
      <c r="E324" s="37" t="s">
        <v>219</v>
      </c>
      <c r="F324" s="37" t="s">
        <v>219</v>
      </c>
      <c r="G324" s="275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36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41">
        <f>YEAR(PA[[#This Row],[Date]])+IF(MONTH(PA[[#This Row],[Date]])&gt;=4,1,0)</f>
        <v>1900</v>
      </c>
      <c r="D325" s="241">
        <f>YEAR(PA[[#This Row],[Date]])</f>
        <v>1900</v>
      </c>
      <c r="E325" s="37" t="s">
        <v>219</v>
      </c>
      <c r="F325" s="37" t="s">
        <v>219</v>
      </c>
      <c r="G325" s="275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36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41">
        <f>YEAR(PA[[#This Row],[Date]])+IF(MONTH(PA[[#This Row],[Date]])&gt;=4,1,0)</f>
        <v>1900</v>
      </c>
      <c r="D326" s="241">
        <f>YEAR(PA[[#This Row],[Date]])</f>
        <v>1900</v>
      </c>
      <c r="E326" s="37" t="s">
        <v>219</v>
      </c>
      <c r="F326" s="37" t="s">
        <v>219</v>
      </c>
      <c r="G326" s="275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36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41">
        <f>YEAR(PA[[#This Row],[Date]])+IF(MONTH(PA[[#This Row],[Date]])&gt;=4,1,0)</f>
        <v>1900</v>
      </c>
      <c r="D327" s="241">
        <f>YEAR(PA[[#This Row],[Date]])</f>
        <v>1900</v>
      </c>
      <c r="E327" s="37" t="s">
        <v>219</v>
      </c>
      <c r="F327" s="37" t="s">
        <v>219</v>
      </c>
      <c r="G327" s="275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36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41">
        <f>YEAR(PA[[#This Row],[Date]])+IF(MONTH(PA[[#This Row],[Date]])&gt;=4,1,0)</f>
        <v>1900</v>
      </c>
      <c r="D328" s="241">
        <f>YEAR(PA[[#This Row],[Date]])</f>
        <v>1900</v>
      </c>
      <c r="E328" s="37" t="s">
        <v>219</v>
      </c>
      <c r="F328" s="37" t="s">
        <v>219</v>
      </c>
      <c r="G328" s="275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36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6"/>
      <c r="C329" s="240">
        <f>YEAR(PA[[#This Row],[Date]])+IF(MONTH(PA[[#This Row],[Date]])&gt;=4,1,0)</f>
        <v>1900</v>
      </c>
      <c r="D329" s="240">
        <f>YEAR(PA[[#This Row],[Date]])</f>
        <v>1900</v>
      </c>
      <c r="E329" s="37" t="s">
        <v>219</v>
      </c>
      <c r="F329" s="37" t="s">
        <v>219</v>
      </c>
      <c r="G329" s="275">
        <f>PA[[#This Row],[Date]]-DAY(PA[[#This Row],[Date]])+1</f>
        <v>1</v>
      </c>
      <c r="H329" s="231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31">
        <f>IF((PA[[#This Row],[String Type(If String BD)]]&amp;PA[[#This Row],[Equipment (If any BD other than PV  array and inv)]])="",1,0)</f>
        <v>1</v>
      </c>
      <c r="S329" s="231">
        <f>IF(PA[[#This Row],[String Type(If String BD)]]="",1,0)</f>
        <v>1</v>
      </c>
      <c r="T3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33" t="str">
        <f>IFERROR(_xlfn.XLOOKUP(PA[[#This Row],[Affected Equipment ]],'Basic Data'!N:N,'Basic Data'!Q:Q),"")</f>
        <v/>
      </c>
      <c r="V329" s="237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34">
        <f>IF(PA[[#This Row],[Acknowledgement Time ]]="NA","",(PA[[#This Row],[Acknowledgement Time ]]-PA[[#This Row],[Fault Time]])*24)</f>
        <v>0</v>
      </c>
      <c r="AE329" s="234">
        <f>IF(PA[[#This Row],[Work Start time on Fault]]="NA","",(PA[[#This Row],[Work Start time on Fault]]-PA[[#This Row],[Fault Time]])*24)</f>
        <v>0</v>
      </c>
      <c r="AF329" s="235">
        <f>IF(PA[[#This Row],[Status]]="Open","",(PA[[#This Row],[Work Completion time on fault]]-PA[[#This Row],[Fault Time]])*24)</f>
        <v>0</v>
      </c>
      <c r="AG329" s="234">
        <f>IFERROR((PA[[#This Row],[Work Completion time on fault]]-PA[[#This Row],[Fault Time]])*24,"")</f>
        <v>0</v>
      </c>
      <c r="AH329" s="36"/>
      <c r="AI329" s="33"/>
      <c r="AJ329" s="233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6"/>
      <c r="C330" s="240">
        <f>YEAR(PA[[#This Row],[Date]])+IF(MONTH(PA[[#This Row],[Date]])&gt;=4,1,0)</f>
        <v>1900</v>
      </c>
      <c r="D330" s="240">
        <f>YEAR(PA[[#This Row],[Date]])</f>
        <v>1900</v>
      </c>
      <c r="E330" s="37" t="s">
        <v>219</v>
      </c>
      <c r="F330" s="37" t="s">
        <v>219</v>
      </c>
      <c r="G330" s="275">
        <f>PA[[#This Row],[Date]]-DAY(PA[[#This Row],[Date]])+1</f>
        <v>1</v>
      </c>
      <c r="H330" s="231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31">
        <f>IF((PA[[#This Row],[String Type(If String BD)]]&amp;PA[[#This Row],[Equipment (If any BD other than PV  array and inv)]])="",1,0)</f>
        <v>1</v>
      </c>
      <c r="S330" s="231">
        <f>IF(PA[[#This Row],[String Type(If String BD)]]="",1,0)</f>
        <v>1</v>
      </c>
      <c r="T33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33" t="str">
        <f>IFERROR(_xlfn.XLOOKUP(PA[[#This Row],[Affected Equipment ]],'Basic Data'!N:N,'Basic Data'!Q:Q),"")</f>
        <v/>
      </c>
      <c r="V330" s="237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34">
        <f>IF(PA[[#This Row],[Acknowledgement Time ]]="NA","",(PA[[#This Row],[Acknowledgement Time ]]-PA[[#This Row],[Fault Time]])*24)</f>
        <v>0</v>
      </c>
      <c r="AE330" s="234">
        <f>IF(PA[[#This Row],[Work Start time on Fault]]="NA","",(PA[[#This Row],[Work Start time on Fault]]-PA[[#This Row],[Fault Time]])*24)</f>
        <v>0</v>
      </c>
      <c r="AF330" s="235">
        <f>IF(PA[[#This Row],[Status]]="Open","",(PA[[#This Row],[Work Completion time on fault]]-PA[[#This Row],[Fault Time]])*24)</f>
        <v>0</v>
      </c>
      <c r="AG330" s="234">
        <f>IFERROR((PA[[#This Row],[Work Completion time on fault]]-PA[[#This Row],[Fault Time]])*24,"")</f>
        <v>0</v>
      </c>
      <c r="AH330" s="344"/>
      <c r="AI330" s="33"/>
      <c r="AJ330" s="233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6"/>
      <c r="C331" s="240">
        <f>YEAR(PA[[#This Row],[Date]])+IF(MONTH(PA[[#This Row],[Date]])&gt;=4,1,0)</f>
        <v>1900</v>
      </c>
      <c r="D331" s="240">
        <f>YEAR(PA[[#This Row],[Date]])</f>
        <v>1900</v>
      </c>
      <c r="E331" s="37" t="s">
        <v>219</v>
      </c>
      <c r="F331" s="37" t="s">
        <v>219</v>
      </c>
      <c r="G331" s="275">
        <f>PA[[#This Row],[Date]]-DAY(PA[[#This Row],[Date]])+1</f>
        <v>1</v>
      </c>
      <c r="H331" s="231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31">
        <f>IF((PA[[#This Row],[String Type(If String BD)]]&amp;PA[[#This Row],[Equipment (If any BD other than PV  array and inv)]])="",1,0)</f>
        <v>1</v>
      </c>
      <c r="S331" s="231">
        <f>IF(PA[[#This Row],[String Type(If String BD)]]="",1,0)</f>
        <v>1</v>
      </c>
      <c r="T33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33" t="str">
        <f>IFERROR(_xlfn.XLOOKUP(PA[[#This Row],[Affected Equipment ]],'Basic Data'!N:N,'Basic Data'!Q:Q),"")</f>
        <v/>
      </c>
      <c r="V331" s="237" t="str">
        <f>IFERROR(_xlfn.XLOOKUP(PA[[#This Row],[Affected Equipment ]],'Basic Data'!N:N,'Basic Data'!R:R),"")</f>
        <v/>
      </c>
      <c r="W331" s="38"/>
      <c r="X331" s="41"/>
      <c r="Y331" s="344"/>
      <c r="Z331" s="47"/>
      <c r="AA331" s="47"/>
      <c r="AB331" s="47"/>
      <c r="AC331" s="47"/>
      <c r="AD331" s="234">
        <f>IF(PA[[#This Row],[Acknowledgement Time ]]="NA","",(PA[[#This Row],[Acknowledgement Time ]]-PA[[#This Row],[Fault Time]])*24)</f>
        <v>0</v>
      </c>
      <c r="AE331" s="234">
        <f>IF(PA[[#This Row],[Work Start time on Fault]]="NA","",(PA[[#This Row],[Work Start time on Fault]]-PA[[#This Row],[Fault Time]])*24)</f>
        <v>0</v>
      </c>
      <c r="AF331" s="235">
        <f>IF(PA[[#This Row],[Status]]="Open","",(PA[[#This Row],[Work Completion time on fault]]-PA[[#This Row],[Fault Time]])*24)</f>
        <v>0</v>
      </c>
      <c r="AG331" s="234">
        <f>IFERROR((PA[[#This Row],[Work Completion time on fault]]-PA[[#This Row],[Fault Time]])*24,"")</f>
        <v>0</v>
      </c>
      <c r="AH331" s="38"/>
      <c r="AI331" s="33"/>
      <c r="AJ331" s="233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6"/>
      <c r="C332" s="241">
        <f>YEAR(PA[[#This Row],[Date]])+IF(MONTH(PA[[#This Row],[Date]])&gt;=4,1,0)</f>
        <v>1900</v>
      </c>
      <c r="D332" s="241">
        <f>YEAR(PA[[#This Row],[Date]])</f>
        <v>1900</v>
      </c>
      <c r="E332" s="37" t="s">
        <v>219</v>
      </c>
      <c r="F332" s="37" t="s">
        <v>219</v>
      </c>
      <c r="G332" s="275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36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6"/>
      <c r="C333" s="241">
        <f>YEAR(PA[[#This Row],[Date]])+IF(MONTH(PA[[#This Row],[Date]])&gt;=4,1,0)</f>
        <v>1900</v>
      </c>
      <c r="D333" s="241">
        <f>YEAR(PA[[#This Row],[Date]])</f>
        <v>1900</v>
      </c>
      <c r="E333" s="37" t="s">
        <v>219</v>
      </c>
      <c r="F333" s="37" t="s">
        <v>219</v>
      </c>
      <c r="G333" s="275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36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6"/>
      <c r="C334" s="241">
        <f>YEAR(PA[[#This Row],[Date]])+IF(MONTH(PA[[#This Row],[Date]])&gt;=4,1,0)</f>
        <v>1900</v>
      </c>
      <c r="D334" s="241">
        <f>YEAR(PA[[#This Row],[Date]])</f>
        <v>1900</v>
      </c>
      <c r="E334" s="37" t="s">
        <v>219</v>
      </c>
      <c r="F334" s="37" t="s">
        <v>219</v>
      </c>
      <c r="G334" s="275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36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6"/>
      <c r="C335" s="240">
        <f>YEAR(PA[[#This Row],[Date]])+IF(MONTH(PA[[#This Row],[Date]])&gt;=4,1,0)</f>
        <v>1900</v>
      </c>
      <c r="D335" s="240">
        <f>YEAR(PA[[#This Row],[Date]])</f>
        <v>1900</v>
      </c>
      <c r="E335" s="37" t="s">
        <v>219</v>
      </c>
      <c r="F335" s="37" t="s">
        <v>219</v>
      </c>
      <c r="G335" s="275">
        <f>PA[[#This Row],[Date]]-DAY(PA[[#This Row],[Date]])+1</f>
        <v>1</v>
      </c>
      <c r="H335" s="231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31">
        <f>IF((PA[[#This Row],[String Type(If String BD)]]&amp;PA[[#This Row],[Equipment (If any BD other than PV  array and inv)]])="",1,0)</f>
        <v>1</v>
      </c>
      <c r="S335" s="231">
        <f>IF(PA[[#This Row],[String Type(If String BD)]]="",1,0)</f>
        <v>1</v>
      </c>
      <c r="T3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33" t="str">
        <f>IFERROR(_xlfn.XLOOKUP(PA[[#This Row],[Affected Equipment ]],'Basic Data'!N:N,'Basic Data'!Q:Q),"")</f>
        <v/>
      </c>
      <c r="V335" s="237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34">
        <f>IF(PA[[#This Row],[Acknowledgement Time ]]="NA","",(PA[[#This Row],[Acknowledgement Time ]]-PA[[#This Row],[Fault Time]])*24)</f>
        <v>0</v>
      </c>
      <c r="AE335" s="234">
        <f>IF(PA[[#This Row],[Work Start time on Fault]]="NA","",(PA[[#This Row],[Work Start time on Fault]]-PA[[#This Row],[Fault Time]])*24)</f>
        <v>0</v>
      </c>
      <c r="AF335" s="235">
        <f>IF(PA[[#This Row],[Status]]="Open","",(PA[[#This Row],[Work Completion time on fault]]-PA[[#This Row],[Fault Time]])*24)</f>
        <v>0</v>
      </c>
      <c r="AG335" s="234">
        <f>IFERROR((PA[[#This Row],[Work Completion time on fault]]-PA[[#This Row],[Fault Time]])*24,"")</f>
        <v>0</v>
      </c>
      <c r="AH335" s="38"/>
      <c r="AI335" s="33"/>
      <c r="AJ335" s="233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41">
        <f>YEAR(PA[[#This Row],[Date]])+IF(MONTH(PA[[#This Row],[Date]])&gt;=4,1,0)</f>
        <v>1900</v>
      </c>
      <c r="D336" s="241">
        <f>YEAR(PA[[#This Row],[Date]])</f>
        <v>1900</v>
      </c>
      <c r="E336" s="37" t="s">
        <v>219</v>
      </c>
      <c r="F336" s="37" t="s">
        <v>219</v>
      </c>
      <c r="G336" s="275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36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41">
        <f>YEAR(PA[[#This Row],[Date]])+IF(MONTH(PA[[#This Row],[Date]])&gt;=4,1,0)</f>
        <v>1900</v>
      </c>
      <c r="D337" s="241">
        <f>YEAR(PA[[#This Row],[Date]])</f>
        <v>1900</v>
      </c>
      <c r="E337" s="37" t="s">
        <v>219</v>
      </c>
      <c r="F337" s="37" t="s">
        <v>219</v>
      </c>
      <c r="G337" s="275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36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41">
        <f>YEAR(PA[[#This Row],[Date]])+IF(MONTH(PA[[#This Row],[Date]])&gt;=4,1,0)</f>
        <v>1900</v>
      </c>
      <c r="D338" s="241">
        <f>YEAR(PA[[#This Row],[Date]])</f>
        <v>1900</v>
      </c>
      <c r="E338" s="37" t="s">
        <v>219</v>
      </c>
      <c r="F338" s="37" t="s">
        <v>219</v>
      </c>
      <c r="G338" s="275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36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41">
        <f>YEAR(PA[[#This Row],[Date]])+IF(MONTH(PA[[#This Row],[Date]])&gt;=4,1,0)</f>
        <v>1900</v>
      </c>
      <c r="D339" s="241">
        <f>YEAR(PA[[#This Row],[Date]])</f>
        <v>1900</v>
      </c>
      <c r="E339" s="37" t="s">
        <v>219</v>
      </c>
      <c r="F339" s="37" t="s">
        <v>219</v>
      </c>
      <c r="G339" s="275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36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41">
        <f>YEAR(PA[[#This Row],[Date]])+IF(MONTH(PA[[#This Row],[Date]])&gt;=4,1,0)</f>
        <v>1900</v>
      </c>
      <c r="D340" s="241">
        <f>YEAR(PA[[#This Row],[Date]])</f>
        <v>1900</v>
      </c>
      <c r="E340" s="37" t="s">
        <v>219</v>
      </c>
      <c r="F340" s="37" t="s">
        <v>219</v>
      </c>
      <c r="G340" s="275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36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41">
        <f>YEAR(PA[[#This Row],[Date]])+IF(MONTH(PA[[#This Row],[Date]])&gt;=4,1,0)</f>
        <v>1900</v>
      </c>
      <c r="D341" s="241">
        <f>YEAR(PA[[#This Row],[Date]])</f>
        <v>1900</v>
      </c>
      <c r="E341" s="37" t="s">
        <v>219</v>
      </c>
      <c r="F341" s="37" t="s">
        <v>219</v>
      </c>
      <c r="G341" s="275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36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41">
        <f>YEAR(PA[[#This Row],[Date]])+IF(MONTH(PA[[#This Row],[Date]])&gt;=4,1,0)</f>
        <v>1900</v>
      </c>
      <c r="D342" s="241">
        <f>YEAR(PA[[#This Row],[Date]])</f>
        <v>1900</v>
      </c>
      <c r="E342" s="37" t="s">
        <v>219</v>
      </c>
      <c r="F342" s="37" t="s">
        <v>219</v>
      </c>
      <c r="G342" s="275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36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41">
        <f>YEAR(PA[[#This Row],[Date]])+IF(MONTH(PA[[#This Row],[Date]])&gt;=4,1,0)</f>
        <v>1900</v>
      </c>
      <c r="D343" s="241">
        <f>YEAR(PA[[#This Row],[Date]])</f>
        <v>1900</v>
      </c>
      <c r="E343" s="37" t="s">
        <v>219</v>
      </c>
      <c r="F343" s="37" t="s">
        <v>219</v>
      </c>
      <c r="G343" s="275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36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41">
        <f>YEAR(PA[[#This Row],[Date]])+IF(MONTH(PA[[#This Row],[Date]])&gt;=4,1,0)</f>
        <v>1900</v>
      </c>
      <c r="D344" s="241">
        <f>YEAR(PA[[#This Row],[Date]])</f>
        <v>1900</v>
      </c>
      <c r="E344" s="37" t="s">
        <v>219</v>
      </c>
      <c r="F344" s="37" t="s">
        <v>219</v>
      </c>
      <c r="G344" s="275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36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40">
        <f>YEAR(PA[[#This Row],[Date]])+IF(MONTH(PA[[#This Row],[Date]])&gt;=4,1,0)</f>
        <v>1900</v>
      </c>
      <c r="D345" s="240">
        <f>YEAR(PA[[#This Row],[Date]])</f>
        <v>1900</v>
      </c>
      <c r="E345" s="37" t="s">
        <v>219</v>
      </c>
      <c r="F345" s="37" t="s">
        <v>219</v>
      </c>
      <c r="G345" s="275">
        <f>PA[[#This Row],[Date]]-DAY(PA[[#This Row],[Date]])+1</f>
        <v>1</v>
      </c>
      <c r="H345" s="231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31">
        <f>IF((PA[[#This Row],[String Type(If String BD)]]&amp;PA[[#This Row],[Equipment (If any BD other than PV  array and inv)]])="",1,0)</f>
        <v>1</v>
      </c>
      <c r="S345" s="231">
        <f>IF(PA[[#This Row],[String Type(If String BD)]]="",1,0)</f>
        <v>1</v>
      </c>
      <c r="T3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33" t="str">
        <f>IFERROR(_xlfn.XLOOKUP(PA[[#This Row],[Affected Equipment ]],'Basic Data'!N:N,'Basic Data'!Q:Q),"")</f>
        <v/>
      </c>
      <c r="V345" s="237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34">
        <f>IF(PA[[#This Row],[Acknowledgement Time ]]="NA","",(PA[[#This Row],[Acknowledgement Time ]]-PA[[#This Row],[Fault Time]])*24)</f>
        <v>0</v>
      </c>
      <c r="AE345" s="234">
        <f>IF(PA[[#This Row],[Work Start time on Fault]]="NA","",(PA[[#This Row],[Work Start time on Fault]]-PA[[#This Row],[Fault Time]])*24)</f>
        <v>0</v>
      </c>
      <c r="AF345" s="235">
        <f>IF(PA[[#This Row],[Status]]="Open","",(PA[[#This Row],[Work Completion time on fault]]-PA[[#This Row],[Fault Time]])*24)</f>
        <v>0</v>
      </c>
      <c r="AG345" s="234">
        <f>IFERROR((PA[[#This Row],[Work Completion time on fault]]-PA[[#This Row],[Fault Time]])*24,"")</f>
        <v>0</v>
      </c>
      <c r="AH345" s="36"/>
      <c r="AI345" s="33"/>
      <c r="AJ345" s="233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41">
        <f>YEAR(PA[[#This Row],[Date]])+IF(MONTH(PA[[#This Row],[Date]])&gt;=4,1,0)</f>
        <v>1900</v>
      </c>
      <c r="D346" s="241">
        <f>YEAR(PA[[#This Row],[Date]])</f>
        <v>1900</v>
      </c>
      <c r="E346" s="37" t="s">
        <v>219</v>
      </c>
      <c r="F346" s="37" t="s">
        <v>219</v>
      </c>
      <c r="G346" s="275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36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40">
        <f>YEAR(PA[[#This Row],[Date]])+IF(MONTH(PA[[#This Row],[Date]])&gt;=4,1,0)</f>
        <v>1900</v>
      </c>
      <c r="D347" s="240">
        <f>YEAR(PA[[#This Row],[Date]])</f>
        <v>1900</v>
      </c>
      <c r="E347" s="37" t="s">
        <v>219</v>
      </c>
      <c r="F347" s="37" t="s">
        <v>219</v>
      </c>
      <c r="G347" s="275">
        <f>PA[[#This Row],[Date]]-DAY(PA[[#This Row],[Date]])+1</f>
        <v>1</v>
      </c>
      <c r="H347" s="231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31">
        <f>IF((PA[[#This Row],[String Type(If String BD)]]&amp;PA[[#This Row],[Equipment (If any BD other than PV  array and inv)]])="",1,0)</f>
        <v>1</v>
      </c>
      <c r="S347" s="231">
        <f>IF(PA[[#This Row],[String Type(If String BD)]]="",1,0)</f>
        <v>1</v>
      </c>
      <c r="T34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33" t="str">
        <f>IFERROR(_xlfn.XLOOKUP(PA[[#This Row],[Affected Equipment ]],'Basic Data'!N:N,'Basic Data'!Q:Q),"")</f>
        <v/>
      </c>
      <c r="V347" s="237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34">
        <f>IF(PA[[#This Row],[Acknowledgement Time ]]="NA","",(PA[[#This Row],[Acknowledgement Time ]]-PA[[#This Row],[Fault Time]])*24)</f>
        <v>0</v>
      </c>
      <c r="AE347" s="234">
        <f>IF(PA[[#This Row],[Work Start time on Fault]]="NA","",(PA[[#This Row],[Work Start time on Fault]]-PA[[#This Row],[Fault Time]])*24)</f>
        <v>0</v>
      </c>
      <c r="AF347" s="235">
        <f>IF(PA[[#This Row],[Status]]="Open","",(PA[[#This Row],[Work Completion time on fault]]-PA[[#This Row],[Fault Time]])*24)</f>
        <v>0</v>
      </c>
      <c r="AG347" s="234">
        <f>IFERROR((PA[[#This Row],[Work Completion time on fault]]-PA[[#This Row],[Fault Time]])*24,"")</f>
        <v>0</v>
      </c>
      <c r="AH347" s="36"/>
      <c r="AI347" s="33"/>
      <c r="AJ347" s="233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40">
        <f>YEAR(PA[[#This Row],[Date]])+IF(MONTH(PA[[#This Row],[Date]])&gt;=4,1,0)</f>
        <v>1900</v>
      </c>
      <c r="D348" s="240">
        <f>YEAR(PA[[#This Row],[Date]])</f>
        <v>1900</v>
      </c>
      <c r="E348" s="37" t="s">
        <v>219</v>
      </c>
      <c r="F348" s="37" t="s">
        <v>219</v>
      </c>
      <c r="G348" s="275">
        <f>PA[[#This Row],[Date]]-DAY(PA[[#This Row],[Date]])+1</f>
        <v>1</v>
      </c>
      <c r="H348" s="231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31">
        <f>IF((PA[[#This Row],[String Type(If String BD)]]&amp;PA[[#This Row],[Equipment (If any BD other than PV  array and inv)]])="",1,0)</f>
        <v>1</v>
      </c>
      <c r="S348" s="231">
        <f>IF(PA[[#This Row],[String Type(If String BD)]]="",1,0)</f>
        <v>1</v>
      </c>
      <c r="T3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33" t="str">
        <f>IFERROR(_xlfn.XLOOKUP(PA[[#This Row],[Affected Equipment ]],'Basic Data'!N:N,'Basic Data'!Q:Q),"")</f>
        <v/>
      </c>
      <c r="V348" s="237" t="str">
        <f>IFERROR(_xlfn.XLOOKUP(PA[[#This Row],[Affected Equipment ]],'Basic Data'!N:N,'Basic Data'!R:R),"")</f>
        <v/>
      </c>
      <c r="W348" s="38"/>
      <c r="X348" s="41"/>
      <c r="Y348" s="350"/>
      <c r="Z348" s="47"/>
      <c r="AA348" s="47"/>
      <c r="AB348" s="47"/>
      <c r="AC348" s="47"/>
      <c r="AD348" s="234">
        <f>IF(PA[[#This Row],[Acknowledgement Time ]]="NA","",(PA[[#This Row],[Acknowledgement Time ]]-PA[[#This Row],[Fault Time]])*24)</f>
        <v>0</v>
      </c>
      <c r="AE348" s="234">
        <f>IF(PA[[#This Row],[Work Start time on Fault]]="NA","",(PA[[#This Row],[Work Start time on Fault]]-PA[[#This Row],[Fault Time]])*24)</f>
        <v>0</v>
      </c>
      <c r="AF348" s="235">
        <f>IF(PA[[#This Row],[Status]]="Open","",(PA[[#This Row],[Work Completion time on fault]]-PA[[#This Row],[Fault Time]])*24)</f>
        <v>0</v>
      </c>
      <c r="AG348" s="234">
        <f>IFERROR((PA[[#This Row],[Work Completion time on fault]]-PA[[#This Row],[Fault Time]])*24,"")</f>
        <v>0</v>
      </c>
      <c r="AH348" s="350"/>
      <c r="AI348" s="33"/>
      <c r="AJ348" s="233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41">
        <f>YEAR(PA[[#This Row],[Date]])+IF(MONTH(PA[[#This Row],[Date]])&gt;=4,1,0)</f>
        <v>1900</v>
      </c>
      <c r="D349" s="241">
        <f>YEAR(PA[[#This Row],[Date]])</f>
        <v>1900</v>
      </c>
      <c r="E349" s="37" t="s">
        <v>219</v>
      </c>
      <c r="F349" s="37" t="s">
        <v>219</v>
      </c>
      <c r="G349" s="275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36" t="str">
        <f>IFERROR(_xlfn.XLOOKUP(PA[[#This Row],[Affected Equipment ]],'Basic Data'!N:N,'Basic Data'!R:R),"")</f>
        <v/>
      </c>
      <c r="W349" s="36"/>
      <c r="X349" s="40"/>
      <c r="Y349" s="350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41">
        <f>YEAR(PA[[#This Row],[Date]])+IF(MONTH(PA[[#This Row],[Date]])&gt;=4,1,0)</f>
        <v>1900</v>
      </c>
      <c r="D350" s="241">
        <f>YEAR(PA[[#This Row],[Date]])</f>
        <v>1900</v>
      </c>
      <c r="E350" s="37" t="s">
        <v>219</v>
      </c>
      <c r="F350" s="37" t="s">
        <v>219</v>
      </c>
      <c r="G350" s="275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36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344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40">
        <f>YEAR(PA[[#This Row],[Date]])+IF(MONTH(PA[[#This Row],[Date]])&gt;=4,1,0)</f>
        <v>1900</v>
      </c>
      <c r="D351" s="240">
        <f>YEAR(PA[[#This Row],[Date]])</f>
        <v>1900</v>
      </c>
      <c r="E351" s="37" t="s">
        <v>219</v>
      </c>
      <c r="F351" s="37" t="s">
        <v>219</v>
      </c>
      <c r="G351" s="275">
        <f>PA[[#This Row],[Date]]-DAY(PA[[#This Row],[Date]])+1</f>
        <v>1</v>
      </c>
      <c r="H351" s="231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31">
        <f>IF((PA[[#This Row],[String Type(If String BD)]]&amp;PA[[#This Row],[Equipment (If any BD other than PV  array and inv)]])="",1,0)</f>
        <v>1</v>
      </c>
      <c r="S351" s="231">
        <f>IF(PA[[#This Row],[String Type(If String BD)]]="",1,0)</f>
        <v>1</v>
      </c>
      <c r="T3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33" t="str">
        <f>IFERROR(_xlfn.XLOOKUP(PA[[#This Row],[Affected Equipment ]],'Basic Data'!N:N,'Basic Data'!Q:Q),"")</f>
        <v/>
      </c>
      <c r="V351" s="237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34">
        <f>IF(PA[[#This Row],[Acknowledgement Time ]]="NA","",(PA[[#This Row],[Acknowledgement Time ]]-PA[[#This Row],[Fault Time]])*24)</f>
        <v>0</v>
      </c>
      <c r="AE351" s="234">
        <f>IF(PA[[#This Row],[Work Start time on Fault]]="NA","",(PA[[#This Row],[Work Start time on Fault]]-PA[[#This Row],[Fault Time]])*24)</f>
        <v>0</v>
      </c>
      <c r="AF351" s="235">
        <f>IF(PA[[#This Row],[Status]]="Open","",(PA[[#This Row],[Work Completion time on fault]]-PA[[#This Row],[Fault Time]])*24)</f>
        <v>0</v>
      </c>
      <c r="AG351" s="234">
        <f>IFERROR((PA[[#This Row],[Work Completion time on fault]]-PA[[#This Row],[Fault Time]])*24,"")</f>
        <v>0</v>
      </c>
      <c r="AH351" s="344"/>
      <c r="AI351" s="33"/>
      <c r="AJ351" s="233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40">
        <f>YEAR(PA[[#This Row],[Date]])+IF(MONTH(PA[[#This Row],[Date]])&gt;=4,1,0)</f>
        <v>1900</v>
      </c>
      <c r="D352" s="240">
        <f>YEAR(PA[[#This Row],[Date]])</f>
        <v>1900</v>
      </c>
      <c r="E352" s="37" t="s">
        <v>219</v>
      </c>
      <c r="F352" s="37" t="s">
        <v>219</v>
      </c>
      <c r="G352" s="275">
        <f>PA[[#This Row],[Date]]-DAY(PA[[#This Row],[Date]])+1</f>
        <v>1</v>
      </c>
      <c r="H352" s="231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31">
        <f>IF((PA[[#This Row],[String Type(If String BD)]]&amp;PA[[#This Row],[Equipment (If any BD other than PV  array and inv)]])="",1,0)</f>
        <v>1</v>
      </c>
      <c r="S352" s="231">
        <f>IF(PA[[#This Row],[String Type(If String BD)]]="",1,0)</f>
        <v>1</v>
      </c>
      <c r="T3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33" t="str">
        <f>IFERROR(_xlfn.XLOOKUP(PA[[#This Row],[Affected Equipment ]],'Basic Data'!N:N,'Basic Data'!Q:Q),"")</f>
        <v/>
      </c>
      <c r="V352" s="237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34">
        <f>IF(PA[[#This Row],[Acknowledgement Time ]]="NA","",(PA[[#This Row],[Acknowledgement Time ]]-PA[[#This Row],[Fault Time]])*24)</f>
        <v>0</v>
      </c>
      <c r="AE352" s="234">
        <f>IF(PA[[#This Row],[Work Start time on Fault]]="NA","",(PA[[#This Row],[Work Start time on Fault]]-PA[[#This Row],[Fault Time]])*24)</f>
        <v>0</v>
      </c>
      <c r="AF352" s="235">
        <f>IF(PA[[#This Row],[Status]]="Open","",(PA[[#This Row],[Work Completion time on fault]]-PA[[#This Row],[Fault Time]])*24)</f>
        <v>0</v>
      </c>
      <c r="AG352" s="234">
        <f>IFERROR((PA[[#This Row],[Work Completion time on fault]]-PA[[#This Row],[Fault Time]])*24,"")</f>
        <v>0</v>
      </c>
      <c r="AH352" s="344"/>
      <c r="AI352" s="33"/>
      <c r="AJ352" s="233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41">
        <f>YEAR(PA[[#This Row],[Date]])+IF(MONTH(PA[[#This Row],[Date]])&gt;=4,1,0)</f>
        <v>1900</v>
      </c>
      <c r="D353" s="241">
        <f>YEAR(PA[[#This Row],[Date]])</f>
        <v>1900</v>
      </c>
      <c r="E353" s="37" t="s">
        <v>219</v>
      </c>
      <c r="F353" s="37" t="s">
        <v>219</v>
      </c>
      <c r="G353" s="275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36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41">
        <f>YEAR(PA[[#This Row],[Date]])+IF(MONTH(PA[[#This Row],[Date]])&gt;=4,1,0)</f>
        <v>1900</v>
      </c>
      <c r="D354" s="241">
        <f>YEAR(PA[[#This Row],[Date]])</f>
        <v>1900</v>
      </c>
      <c r="E354" s="37" t="s">
        <v>219</v>
      </c>
      <c r="F354" s="37" t="s">
        <v>219</v>
      </c>
      <c r="G354" s="275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36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41">
        <f>YEAR(PA[[#This Row],[Date]])+IF(MONTH(PA[[#This Row],[Date]])&gt;=4,1,0)</f>
        <v>1900</v>
      </c>
      <c r="D355" s="241">
        <f>YEAR(PA[[#This Row],[Date]])</f>
        <v>1900</v>
      </c>
      <c r="E355" s="37" t="s">
        <v>219</v>
      </c>
      <c r="F355" s="37" t="s">
        <v>219</v>
      </c>
      <c r="G355" s="275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36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41">
        <f>YEAR(PA[[#This Row],[Date]])+IF(MONTH(PA[[#This Row],[Date]])&gt;=4,1,0)</f>
        <v>1900</v>
      </c>
      <c r="D356" s="241">
        <f>YEAR(PA[[#This Row],[Date]])</f>
        <v>1900</v>
      </c>
      <c r="E356" s="37" t="s">
        <v>219</v>
      </c>
      <c r="F356" s="37" t="s">
        <v>219</v>
      </c>
      <c r="G356" s="275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36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41">
        <f>YEAR(PA[[#This Row],[Date]])+IF(MONTH(PA[[#This Row],[Date]])&gt;=4,1,0)</f>
        <v>1900</v>
      </c>
      <c r="D357" s="241">
        <f>YEAR(PA[[#This Row],[Date]])</f>
        <v>1900</v>
      </c>
      <c r="E357" s="37" t="s">
        <v>219</v>
      </c>
      <c r="F357" s="37" t="s">
        <v>219</v>
      </c>
      <c r="G357" s="275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36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41">
        <f>YEAR(PA[[#This Row],[Date]])+IF(MONTH(PA[[#This Row],[Date]])&gt;=4,1,0)</f>
        <v>1900</v>
      </c>
      <c r="D358" s="241">
        <f>YEAR(PA[[#This Row],[Date]])</f>
        <v>1900</v>
      </c>
      <c r="E358" s="37" t="s">
        <v>219</v>
      </c>
      <c r="F358" s="37" t="s">
        <v>219</v>
      </c>
      <c r="G358" s="275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36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41">
        <f>YEAR(PA[[#This Row],[Date]])+IF(MONTH(PA[[#This Row],[Date]])&gt;=4,1,0)</f>
        <v>1900</v>
      </c>
      <c r="D359" s="241">
        <f>YEAR(PA[[#This Row],[Date]])</f>
        <v>1900</v>
      </c>
      <c r="E359" s="37" t="s">
        <v>219</v>
      </c>
      <c r="F359" s="37" t="s">
        <v>219</v>
      </c>
      <c r="G359" s="275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36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40">
        <f>YEAR(PA[[#This Row],[Date]])+IF(MONTH(PA[[#This Row],[Date]])&gt;=4,1,0)</f>
        <v>1900</v>
      </c>
      <c r="D360" s="240">
        <f>YEAR(PA[[#This Row],[Date]])</f>
        <v>1900</v>
      </c>
      <c r="E360" s="37" t="s">
        <v>219</v>
      </c>
      <c r="F360" s="37" t="s">
        <v>219</v>
      </c>
      <c r="G360" s="275">
        <f>PA[[#This Row],[Date]]-DAY(PA[[#This Row],[Date]])+1</f>
        <v>1</v>
      </c>
      <c r="H360" s="231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31">
        <f>IF((PA[[#This Row],[String Type(If String BD)]]&amp;PA[[#This Row],[Equipment (If any BD other than PV  array and inv)]])="",1,0)</f>
        <v>1</v>
      </c>
      <c r="S360" s="231">
        <f>IF(PA[[#This Row],[String Type(If String BD)]]="",1,0)</f>
        <v>1</v>
      </c>
      <c r="T3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33" t="str">
        <f>IFERROR(_xlfn.XLOOKUP(PA[[#This Row],[Affected Equipment ]],'Basic Data'!N:N,'Basic Data'!Q:Q),"")</f>
        <v/>
      </c>
      <c r="V360" s="237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34">
        <f>IF(PA[[#This Row],[Acknowledgement Time ]]="NA","",(PA[[#This Row],[Acknowledgement Time ]]-PA[[#This Row],[Fault Time]])*24)</f>
        <v>0</v>
      </c>
      <c r="AE360" s="234">
        <f>IF(PA[[#This Row],[Work Start time on Fault]]="NA","",(PA[[#This Row],[Work Start time on Fault]]-PA[[#This Row],[Fault Time]])*24)</f>
        <v>0</v>
      </c>
      <c r="AF360" s="235">
        <f>IF(PA[[#This Row],[Status]]="Open","",(PA[[#This Row],[Work Completion time on fault]]-PA[[#This Row],[Fault Time]])*24)</f>
        <v>0</v>
      </c>
      <c r="AG360" s="234">
        <f>IFERROR((PA[[#This Row],[Work Completion time on fault]]-PA[[#This Row],[Fault Time]])*24,"")</f>
        <v>0</v>
      </c>
      <c r="AH360" s="36"/>
      <c r="AI360" s="33"/>
      <c r="AJ360" s="233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41">
        <f>YEAR(PA[[#This Row],[Date]])+IF(MONTH(PA[[#This Row],[Date]])&gt;=4,1,0)</f>
        <v>1900</v>
      </c>
      <c r="D361" s="241">
        <f>YEAR(PA[[#This Row],[Date]])</f>
        <v>1900</v>
      </c>
      <c r="E361" s="37" t="s">
        <v>219</v>
      </c>
      <c r="F361" s="37" t="s">
        <v>219</v>
      </c>
      <c r="G361" s="275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36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41">
        <f>YEAR(PA[[#This Row],[Date]])+IF(MONTH(PA[[#This Row],[Date]])&gt;=4,1,0)</f>
        <v>1900</v>
      </c>
      <c r="D362" s="241">
        <f>YEAR(PA[[#This Row],[Date]])</f>
        <v>1900</v>
      </c>
      <c r="E362" s="37" t="s">
        <v>219</v>
      </c>
      <c r="F362" s="37" t="s">
        <v>219</v>
      </c>
      <c r="G362" s="275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36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41">
        <f>YEAR(PA[[#This Row],[Date]])+IF(MONTH(PA[[#This Row],[Date]])&gt;=4,1,0)</f>
        <v>1900</v>
      </c>
      <c r="D363" s="241">
        <f>YEAR(PA[[#This Row],[Date]])</f>
        <v>1900</v>
      </c>
      <c r="E363" s="37" t="s">
        <v>219</v>
      </c>
      <c r="F363" s="37" t="s">
        <v>219</v>
      </c>
      <c r="G363" s="275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36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41">
        <f>YEAR(PA[[#This Row],[Date]])+IF(MONTH(PA[[#This Row],[Date]])&gt;=4,1,0)</f>
        <v>1900</v>
      </c>
      <c r="D364" s="241">
        <f>YEAR(PA[[#This Row],[Date]])</f>
        <v>1900</v>
      </c>
      <c r="E364" s="37" t="s">
        <v>219</v>
      </c>
      <c r="F364" s="37" t="s">
        <v>219</v>
      </c>
      <c r="G364" s="275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36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41">
        <f>YEAR(PA[[#This Row],[Date]])+IF(MONTH(PA[[#This Row],[Date]])&gt;=4,1,0)</f>
        <v>1900</v>
      </c>
      <c r="D365" s="241">
        <f>YEAR(PA[[#This Row],[Date]])</f>
        <v>1900</v>
      </c>
      <c r="E365" s="37" t="s">
        <v>219</v>
      </c>
      <c r="F365" s="37" t="s">
        <v>219</v>
      </c>
      <c r="G365" s="275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36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41">
        <f>YEAR(PA[[#This Row],[Date]])+IF(MONTH(PA[[#This Row],[Date]])&gt;=4,1,0)</f>
        <v>1900</v>
      </c>
      <c r="D366" s="241">
        <f>YEAR(PA[[#This Row],[Date]])</f>
        <v>1900</v>
      </c>
      <c r="E366" s="37" t="s">
        <v>219</v>
      </c>
      <c r="F366" s="37" t="s">
        <v>219</v>
      </c>
      <c r="G366" s="275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36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41">
        <f>YEAR(PA[[#This Row],[Date]])+IF(MONTH(PA[[#This Row],[Date]])&gt;=4,1,0)</f>
        <v>1900</v>
      </c>
      <c r="D367" s="241">
        <f>YEAR(PA[[#This Row],[Date]])</f>
        <v>1900</v>
      </c>
      <c r="E367" s="37" t="s">
        <v>219</v>
      </c>
      <c r="F367" s="37" t="s">
        <v>219</v>
      </c>
      <c r="G367" s="275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36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41">
        <f>YEAR(PA[[#This Row],[Date]])+IF(MONTH(PA[[#This Row],[Date]])&gt;=4,1,0)</f>
        <v>1900</v>
      </c>
      <c r="D368" s="241">
        <f>YEAR(PA[[#This Row],[Date]])</f>
        <v>1900</v>
      </c>
      <c r="E368" s="37" t="s">
        <v>219</v>
      </c>
      <c r="F368" s="37" t="s">
        <v>219</v>
      </c>
      <c r="G368" s="275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36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6"/>
      <c r="C369" s="240">
        <f>YEAR(PA[[#This Row],[Date]])+IF(MONTH(PA[[#This Row],[Date]])&gt;=4,1,0)</f>
        <v>1900</v>
      </c>
      <c r="D369" s="240">
        <f>YEAR(PA[[#This Row],[Date]])</f>
        <v>1900</v>
      </c>
      <c r="E369" s="37" t="s">
        <v>219</v>
      </c>
      <c r="F369" s="37" t="s">
        <v>219</v>
      </c>
      <c r="G369" s="275">
        <f>PA[[#This Row],[Date]]-DAY(PA[[#This Row],[Date]])+1</f>
        <v>1</v>
      </c>
      <c r="H369" s="231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31">
        <f>IF((PA[[#This Row],[String Type(If String BD)]]&amp;PA[[#This Row],[Equipment (If any BD other than PV  array and inv)]])="",1,0)</f>
        <v>1</v>
      </c>
      <c r="S369" s="231">
        <f>IF(PA[[#This Row],[String Type(If String BD)]]="",1,0)</f>
        <v>1</v>
      </c>
      <c r="T36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33" t="str">
        <f>IFERROR(_xlfn.XLOOKUP(PA[[#This Row],[Affected Equipment ]],'Basic Data'!N:N,'Basic Data'!Q:Q),"")</f>
        <v/>
      </c>
      <c r="V369" s="237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34">
        <f>IF(PA[[#This Row],[Acknowledgement Time ]]="NA","",(PA[[#This Row],[Acknowledgement Time ]]-PA[[#This Row],[Fault Time]])*24)</f>
        <v>0</v>
      </c>
      <c r="AE369" s="234">
        <f>IF(PA[[#This Row],[Work Start time on Fault]]="NA","",(PA[[#This Row],[Work Start time on Fault]]-PA[[#This Row],[Fault Time]])*24)</f>
        <v>0</v>
      </c>
      <c r="AF369" s="235">
        <f>IF(PA[[#This Row],[Status]]="Open","",(PA[[#This Row],[Work Completion time on fault]]-PA[[#This Row],[Fault Time]])*24)</f>
        <v>0</v>
      </c>
      <c r="AG369" s="234">
        <f>IFERROR((PA[[#This Row],[Work Completion time on fault]]-PA[[#This Row],[Fault Time]])*24,"")</f>
        <v>0</v>
      </c>
      <c r="AH369" s="38"/>
      <c r="AI369" s="33"/>
      <c r="AJ369" s="233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6"/>
      <c r="C370" s="241">
        <f>YEAR(PA[[#This Row],[Date]])+IF(MONTH(PA[[#This Row],[Date]])&gt;=4,1,0)</f>
        <v>1900</v>
      </c>
      <c r="D370" s="241">
        <f>YEAR(PA[[#This Row],[Date]])</f>
        <v>1900</v>
      </c>
      <c r="E370" s="37" t="s">
        <v>219</v>
      </c>
      <c r="F370" s="37" t="s">
        <v>219</v>
      </c>
      <c r="G370" s="275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36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6"/>
      <c r="C371" s="241">
        <f>YEAR(PA[[#This Row],[Date]])+IF(MONTH(PA[[#This Row],[Date]])&gt;=4,1,0)</f>
        <v>1900</v>
      </c>
      <c r="D371" s="241">
        <f>YEAR(PA[[#This Row],[Date]])</f>
        <v>1900</v>
      </c>
      <c r="E371" s="37" t="s">
        <v>219</v>
      </c>
      <c r="F371" s="37" t="s">
        <v>219</v>
      </c>
      <c r="G371" s="275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36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6"/>
      <c r="C372" s="240">
        <f>YEAR(PA[[#This Row],[Date]])+IF(MONTH(PA[[#This Row],[Date]])&gt;=4,1,0)</f>
        <v>1900</v>
      </c>
      <c r="D372" s="240">
        <f>YEAR(PA[[#This Row],[Date]])</f>
        <v>1900</v>
      </c>
      <c r="E372" s="37" t="s">
        <v>219</v>
      </c>
      <c r="F372" s="37" t="s">
        <v>219</v>
      </c>
      <c r="G372" s="275">
        <f>PA[[#This Row],[Date]]-DAY(PA[[#This Row],[Date]])+1</f>
        <v>1</v>
      </c>
      <c r="H372" s="231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31">
        <f>IF((PA[[#This Row],[String Type(If String BD)]]&amp;PA[[#This Row],[Equipment (If any BD other than PV  array and inv)]])="",1,0)</f>
        <v>1</v>
      </c>
      <c r="S372" s="231">
        <f>IF(PA[[#This Row],[String Type(If String BD)]]="",1,0)</f>
        <v>1</v>
      </c>
      <c r="T3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33" t="str">
        <f>IFERROR(_xlfn.XLOOKUP(PA[[#This Row],[Affected Equipment ]],'Basic Data'!N:N,'Basic Data'!Q:Q),"")</f>
        <v/>
      </c>
      <c r="V372" s="237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34">
        <f>IF(PA[[#This Row],[Acknowledgement Time ]]="NA","",(PA[[#This Row],[Acknowledgement Time ]]-PA[[#This Row],[Fault Time]])*24)</f>
        <v>0</v>
      </c>
      <c r="AE372" s="234">
        <f>IF(PA[[#This Row],[Work Start time on Fault]]="NA","",(PA[[#This Row],[Work Start time on Fault]]-PA[[#This Row],[Fault Time]])*24)</f>
        <v>0</v>
      </c>
      <c r="AF372" s="235">
        <f>IF(PA[[#This Row],[Status]]="Open","",(PA[[#This Row],[Work Completion time on fault]]-PA[[#This Row],[Fault Time]])*24)</f>
        <v>0</v>
      </c>
      <c r="AG372" s="234">
        <f>IFERROR((PA[[#This Row],[Work Completion time on fault]]-PA[[#This Row],[Fault Time]])*24,"")</f>
        <v>0</v>
      </c>
      <c r="AH372" s="36"/>
      <c r="AI372" s="33"/>
      <c r="AJ372" s="233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6"/>
      <c r="C373" s="241">
        <f>YEAR(PA[[#This Row],[Date]])+IF(MONTH(PA[[#This Row],[Date]])&gt;=4,1,0)</f>
        <v>1900</v>
      </c>
      <c r="D373" s="241">
        <f>YEAR(PA[[#This Row],[Date]])</f>
        <v>1900</v>
      </c>
      <c r="E373" s="37" t="s">
        <v>219</v>
      </c>
      <c r="F373" s="37" t="s">
        <v>219</v>
      </c>
      <c r="G373" s="275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36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6"/>
      <c r="C374" s="241">
        <f>YEAR(PA[[#This Row],[Date]])+IF(MONTH(PA[[#This Row],[Date]])&gt;=4,1,0)</f>
        <v>1900</v>
      </c>
      <c r="D374" s="241">
        <f>YEAR(PA[[#This Row],[Date]])</f>
        <v>1900</v>
      </c>
      <c r="E374" s="37" t="s">
        <v>219</v>
      </c>
      <c r="F374" s="37" t="s">
        <v>219</v>
      </c>
      <c r="G374" s="275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36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6"/>
      <c r="C375" s="241">
        <f>YEAR(PA[[#This Row],[Date]])+IF(MONTH(PA[[#This Row],[Date]])&gt;=4,1,0)</f>
        <v>1900</v>
      </c>
      <c r="D375" s="241">
        <f>YEAR(PA[[#This Row],[Date]])</f>
        <v>1900</v>
      </c>
      <c r="E375" s="37" t="s">
        <v>219</v>
      </c>
      <c r="F375" s="37" t="s">
        <v>219</v>
      </c>
      <c r="G375" s="275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36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6"/>
      <c r="C376" s="241">
        <f>YEAR(PA[[#This Row],[Date]])+IF(MONTH(PA[[#This Row],[Date]])&gt;=4,1,0)</f>
        <v>1900</v>
      </c>
      <c r="D376" s="241">
        <f>YEAR(PA[[#This Row],[Date]])</f>
        <v>1900</v>
      </c>
      <c r="E376" s="37" t="s">
        <v>219</v>
      </c>
      <c r="F376" s="37" t="s">
        <v>219</v>
      </c>
      <c r="G376" s="275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36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6"/>
      <c r="C377" s="241">
        <f>YEAR(PA[[#This Row],[Date]])+IF(MONTH(PA[[#This Row],[Date]])&gt;=4,1,0)</f>
        <v>1900</v>
      </c>
      <c r="D377" s="241">
        <f>YEAR(PA[[#This Row],[Date]])</f>
        <v>1900</v>
      </c>
      <c r="E377" s="37" t="s">
        <v>219</v>
      </c>
      <c r="F377" s="37" t="s">
        <v>219</v>
      </c>
      <c r="G377" s="275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36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6"/>
      <c r="C378" s="241">
        <f>YEAR(PA[[#This Row],[Date]])+IF(MONTH(PA[[#This Row],[Date]])&gt;=4,1,0)</f>
        <v>1900</v>
      </c>
      <c r="D378" s="241">
        <f>YEAR(PA[[#This Row],[Date]])</f>
        <v>1900</v>
      </c>
      <c r="E378" s="37" t="s">
        <v>219</v>
      </c>
      <c r="F378" s="37" t="s">
        <v>219</v>
      </c>
      <c r="G378" s="275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36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6"/>
      <c r="C379" s="241">
        <f>YEAR(PA[[#This Row],[Date]])+IF(MONTH(PA[[#This Row],[Date]])&gt;=4,1,0)</f>
        <v>1900</v>
      </c>
      <c r="D379" s="241">
        <f>YEAR(PA[[#This Row],[Date]])</f>
        <v>1900</v>
      </c>
      <c r="E379" s="37" t="s">
        <v>219</v>
      </c>
      <c r="F379" s="37" t="s">
        <v>219</v>
      </c>
      <c r="G379" s="275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36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344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6"/>
      <c r="C380" s="241">
        <f>YEAR(PA[[#This Row],[Date]])+IF(MONTH(PA[[#This Row],[Date]])&gt;=4,1,0)</f>
        <v>1900</v>
      </c>
      <c r="D380" s="241">
        <f>YEAR(PA[[#This Row],[Date]])</f>
        <v>1900</v>
      </c>
      <c r="E380" s="37" t="s">
        <v>219</v>
      </c>
      <c r="F380" s="37" t="s">
        <v>219</v>
      </c>
      <c r="G380" s="275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36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6"/>
      <c r="C381" s="241">
        <f>YEAR(PA[[#This Row],[Date]])+IF(MONTH(PA[[#This Row],[Date]])&gt;=4,1,0)</f>
        <v>1900</v>
      </c>
      <c r="D381" s="241">
        <f>YEAR(PA[[#This Row],[Date]])</f>
        <v>1900</v>
      </c>
      <c r="E381" s="37" t="s">
        <v>219</v>
      </c>
      <c r="F381" s="37" t="s">
        <v>219</v>
      </c>
      <c r="G381" s="275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36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41">
        <f>YEAR(PA[[#This Row],[Date]])+IF(MONTH(PA[[#This Row],[Date]])&gt;=4,1,0)</f>
        <v>1900</v>
      </c>
      <c r="D382" s="241">
        <f>YEAR(PA[[#This Row],[Date]])</f>
        <v>1900</v>
      </c>
      <c r="E382" s="37" t="s">
        <v>219</v>
      </c>
      <c r="F382" s="37" t="s">
        <v>219</v>
      </c>
      <c r="G382" s="275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36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41">
        <f>YEAR(PA[[#This Row],[Date]])+IF(MONTH(PA[[#This Row],[Date]])&gt;=4,1,0)</f>
        <v>1900</v>
      </c>
      <c r="D383" s="241">
        <f>YEAR(PA[[#This Row],[Date]])</f>
        <v>1900</v>
      </c>
      <c r="E383" s="37" t="s">
        <v>219</v>
      </c>
      <c r="F383" s="37" t="s">
        <v>219</v>
      </c>
      <c r="G383" s="275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36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41">
        <f>YEAR(PA[[#This Row],[Date]])+IF(MONTH(PA[[#This Row],[Date]])&gt;=4,1,0)</f>
        <v>1900</v>
      </c>
      <c r="D384" s="241">
        <f>YEAR(PA[[#This Row],[Date]])</f>
        <v>1900</v>
      </c>
      <c r="E384" s="37" t="s">
        <v>219</v>
      </c>
      <c r="F384" s="37" t="s">
        <v>219</v>
      </c>
      <c r="G384" s="275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36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41">
        <f>YEAR(PA[[#This Row],[Date]])+IF(MONTH(PA[[#This Row],[Date]])&gt;=4,1,0)</f>
        <v>1900</v>
      </c>
      <c r="D385" s="241">
        <f>YEAR(PA[[#This Row],[Date]])</f>
        <v>1900</v>
      </c>
      <c r="E385" s="37" t="s">
        <v>219</v>
      </c>
      <c r="F385" s="37" t="s">
        <v>219</v>
      </c>
      <c r="G385" s="275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36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41">
        <f>YEAR(PA[[#This Row],[Date]])+IF(MONTH(PA[[#This Row],[Date]])&gt;=4,1,0)</f>
        <v>1900</v>
      </c>
      <c r="D386" s="241">
        <f>YEAR(PA[[#This Row],[Date]])</f>
        <v>1900</v>
      </c>
      <c r="E386" s="37" t="s">
        <v>219</v>
      </c>
      <c r="F386" s="37" t="s">
        <v>219</v>
      </c>
      <c r="G386" s="275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36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41">
        <f>YEAR(PA[[#This Row],[Date]])+IF(MONTH(PA[[#This Row],[Date]])&gt;=4,1,0)</f>
        <v>1900</v>
      </c>
      <c r="D387" s="241">
        <f>YEAR(PA[[#This Row],[Date]])</f>
        <v>1900</v>
      </c>
      <c r="E387" s="37" t="s">
        <v>219</v>
      </c>
      <c r="F387" s="37" t="s">
        <v>219</v>
      </c>
      <c r="G387" s="275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36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41">
        <f>YEAR(PA[[#This Row],[Date]])+IF(MONTH(PA[[#This Row],[Date]])&gt;=4,1,0)</f>
        <v>1900</v>
      </c>
      <c r="D388" s="241">
        <f>YEAR(PA[[#This Row],[Date]])</f>
        <v>1900</v>
      </c>
      <c r="E388" s="37" t="s">
        <v>219</v>
      </c>
      <c r="F388" s="37" t="s">
        <v>219</v>
      </c>
      <c r="G388" s="275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36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41">
        <f>YEAR(PA[[#This Row],[Date]])+IF(MONTH(PA[[#This Row],[Date]])&gt;=4,1,0)</f>
        <v>1900</v>
      </c>
      <c r="D389" s="241">
        <f>YEAR(PA[[#This Row],[Date]])</f>
        <v>1900</v>
      </c>
      <c r="E389" s="37" t="s">
        <v>219</v>
      </c>
      <c r="F389" s="37" t="s">
        <v>219</v>
      </c>
      <c r="G389" s="275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36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41">
        <f>YEAR(PA[[#This Row],[Date]])+IF(MONTH(PA[[#This Row],[Date]])&gt;=4,1,0)</f>
        <v>1900</v>
      </c>
      <c r="D390" s="241">
        <f>YEAR(PA[[#This Row],[Date]])</f>
        <v>1900</v>
      </c>
      <c r="E390" s="37" t="s">
        <v>219</v>
      </c>
      <c r="F390" s="37" t="s">
        <v>219</v>
      </c>
      <c r="G390" s="275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36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6"/>
      <c r="C391" s="240">
        <f>YEAR(PA[[#This Row],[Date]])+IF(MONTH(PA[[#This Row],[Date]])&gt;=4,1,0)</f>
        <v>1900</v>
      </c>
      <c r="D391" s="240">
        <f>YEAR(PA[[#This Row],[Date]])</f>
        <v>1900</v>
      </c>
      <c r="E391" s="37" t="s">
        <v>219</v>
      </c>
      <c r="F391" s="37" t="s">
        <v>219</v>
      </c>
      <c r="G391" s="275">
        <f>PA[[#This Row],[Date]]-DAY(PA[[#This Row],[Date]])+1</f>
        <v>1</v>
      </c>
      <c r="H391" s="231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31">
        <f>IF((PA[[#This Row],[String Type(If String BD)]]&amp;PA[[#This Row],[Equipment (If any BD other than PV  array and inv)]])="",1,0)</f>
        <v>1</v>
      </c>
      <c r="S391" s="231">
        <f>IF(PA[[#This Row],[String Type(If String BD)]]="",1,0)</f>
        <v>1</v>
      </c>
      <c r="T39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33" t="str">
        <f>IFERROR(_xlfn.XLOOKUP(PA[[#This Row],[Affected Equipment ]],'Basic Data'!N:N,'Basic Data'!Q:Q),"")</f>
        <v/>
      </c>
      <c r="V391" s="237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34">
        <f>IF(PA[[#This Row],[Acknowledgement Time ]]="NA","",(PA[[#This Row],[Acknowledgement Time ]]-PA[[#This Row],[Fault Time]])*24)</f>
        <v>0</v>
      </c>
      <c r="AE391" s="234">
        <f>IF(PA[[#This Row],[Work Start time on Fault]]="NA","",(PA[[#This Row],[Work Start time on Fault]]-PA[[#This Row],[Fault Time]])*24)</f>
        <v>0</v>
      </c>
      <c r="AF391" s="235">
        <f>IF(PA[[#This Row],[Status]]="Open","",(PA[[#This Row],[Work Completion time on fault]]-PA[[#This Row],[Fault Time]])*24)</f>
        <v>0</v>
      </c>
      <c r="AG391" s="234">
        <f>IFERROR((PA[[#This Row],[Work Completion time on fault]]-PA[[#This Row],[Fault Time]])*24,"")</f>
        <v>0</v>
      </c>
      <c r="AH391" s="36"/>
      <c r="AI391" s="33"/>
      <c r="AJ391" s="233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6"/>
      <c r="C392" s="240">
        <f>YEAR(PA[[#This Row],[Date]])+IF(MONTH(PA[[#This Row],[Date]])&gt;=4,1,0)</f>
        <v>1900</v>
      </c>
      <c r="D392" s="240">
        <f>YEAR(PA[[#This Row],[Date]])</f>
        <v>1900</v>
      </c>
      <c r="E392" s="37" t="s">
        <v>219</v>
      </c>
      <c r="F392" s="37" t="s">
        <v>219</v>
      </c>
      <c r="G392" s="275">
        <f>PA[[#This Row],[Date]]-DAY(PA[[#This Row],[Date]])+1</f>
        <v>1</v>
      </c>
      <c r="H392" s="231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31">
        <f>IF((PA[[#This Row],[String Type(If String BD)]]&amp;PA[[#This Row],[Equipment (If any BD other than PV  array and inv)]])="",1,0)</f>
        <v>1</v>
      </c>
      <c r="S392" s="231">
        <f>IF(PA[[#This Row],[String Type(If String BD)]]="",1,0)</f>
        <v>1</v>
      </c>
      <c r="T3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33" t="str">
        <f>IFERROR(_xlfn.XLOOKUP(PA[[#This Row],[Affected Equipment ]],'Basic Data'!N:N,'Basic Data'!Q:Q),"")</f>
        <v/>
      </c>
      <c r="V392" s="237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34">
        <f>IF(PA[[#This Row],[Acknowledgement Time ]]="NA","",(PA[[#This Row],[Acknowledgement Time ]]-PA[[#This Row],[Fault Time]])*24)</f>
        <v>0</v>
      </c>
      <c r="AE392" s="234">
        <f>IF(PA[[#This Row],[Work Start time on Fault]]="NA","",(PA[[#This Row],[Work Start time on Fault]]-PA[[#This Row],[Fault Time]])*24)</f>
        <v>0</v>
      </c>
      <c r="AF392" s="235">
        <f>IF(PA[[#This Row],[Status]]="Open","",(PA[[#This Row],[Work Completion time on fault]]-PA[[#This Row],[Fault Time]])*24)</f>
        <v>0</v>
      </c>
      <c r="AG392" s="234">
        <f>IFERROR((PA[[#This Row],[Work Completion time on fault]]-PA[[#This Row],[Fault Time]])*24,"")</f>
        <v>0</v>
      </c>
      <c r="AH392" s="36"/>
      <c r="AI392" s="33"/>
      <c r="AJ392" s="233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6"/>
      <c r="C393" s="241">
        <f>YEAR(PA[[#This Row],[Date]])+IF(MONTH(PA[[#This Row],[Date]])&gt;=4,1,0)</f>
        <v>1900</v>
      </c>
      <c r="D393" s="241">
        <f>YEAR(PA[[#This Row],[Date]])</f>
        <v>1900</v>
      </c>
      <c r="E393" s="37" t="s">
        <v>219</v>
      </c>
      <c r="F393" s="37" t="s">
        <v>219</v>
      </c>
      <c r="G393" s="275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36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6"/>
      <c r="C394" s="241">
        <f>YEAR(PA[[#This Row],[Date]])+IF(MONTH(PA[[#This Row],[Date]])&gt;=4,1,0)</f>
        <v>1900</v>
      </c>
      <c r="D394" s="241">
        <f>YEAR(PA[[#This Row],[Date]])</f>
        <v>1900</v>
      </c>
      <c r="E394" s="37" t="s">
        <v>219</v>
      </c>
      <c r="F394" s="37" t="s">
        <v>219</v>
      </c>
      <c r="G394" s="275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36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6"/>
      <c r="C395" s="241">
        <f>YEAR(PA[[#This Row],[Date]])+IF(MONTH(PA[[#This Row],[Date]])&gt;=4,1,0)</f>
        <v>1900</v>
      </c>
      <c r="D395" s="241">
        <f>YEAR(PA[[#This Row],[Date]])</f>
        <v>1900</v>
      </c>
      <c r="E395" s="37" t="s">
        <v>219</v>
      </c>
      <c r="F395" s="37" t="s">
        <v>219</v>
      </c>
      <c r="G395" s="275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36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6"/>
      <c r="C396" s="241">
        <f>YEAR(PA[[#This Row],[Date]])+IF(MONTH(PA[[#This Row],[Date]])&gt;=4,1,0)</f>
        <v>1900</v>
      </c>
      <c r="D396" s="241">
        <f>YEAR(PA[[#This Row],[Date]])</f>
        <v>1900</v>
      </c>
      <c r="E396" s="37" t="s">
        <v>219</v>
      </c>
      <c r="F396" s="37" t="s">
        <v>219</v>
      </c>
      <c r="G396" s="275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36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6"/>
      <c r="C397" s="241">
        <f>YEAR(PA[[#This Row],[Date]])+IF(MONTH(PA[[#This Row],[Date]])&gt;=4,1,0)</f>
        <v>1900</v>
      </c>
      <c r="D397" s="241">
        <f>YEAR(PA[[#This Row],[Date]])</f>
        <v>1900</v>
      </c>
      <c r="E397" s="37" t="s">
        <v>219</v>
      </c>
      <c r="F397" s="37" t="s">
        <v>219</v>
      </c>
      <c r="G397" s="275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36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41">
        <f>YEAR(PA[[#This Row],[Date]])+IF(MONTH(PA[[#This Row],[Date]])&gt;=4,1,0)</f>
        <v>1900</v>
      </c>
      <c r="D398" s="241">
        <f>YEAR(PA[[#This Row],[Date]])</f>
        <v>1900</v>
      </c>
      <c r="E398" s="37" t="s">
        <v>219</v>
      </c>
      <c r="F398" s="37" t="s">
        <v>219</v>
      </c>
      <c r="G398" s="275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36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41">
        <f>YEAR(PA[[#This Row],[Date]])+IF(MONTH(PA[[#This Row],[Date]])&gt;=4,1,0)</f>
        <v>1900</v>
      </c>
      <c r="D399" s="241">
        <f>YEAR(PA[[#This Row],[Date]])</f>
        <v>1900</v>
      </c>
      <c r="E399" s="37" t="s">
        <v>219</v>
      </c>
      <c r="F399" s="37" t="s">
        <v>219</v>
      </c>
      <c r="G399" s="275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36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41">
        <f>YEAR(PA[[#This Row],[Date]])+IF(MONTH(PA[[#This Row],[Date]])&gt;=4,1,0)</f>
        <v>1900</v>
      </c>
      <c r="D400" s="241">
        <f>YEAR(PA[[#This Row],[Date]])</f>
        <v>1900</v>
      </c>
      <c r="E400" s="37" t="s">
        <v>219</v>
      </c>
      <c r="F400" s="37" t="s">
        <v>219</v>
      </c>
      <c r="G400" s="275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36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41">
        <f>YEAR(PA[[#This Row],[Date]])+IF(MONTH(PA[[#This Row],[Date]])&gt;=4,1,0)</f>
        <v>1900</v>
      </c>
      <c r="D401" s="241">
        <f>YEAR(PA[[#This Row],[Date]])</f>
        <v>1900</v>
      </c>
      <c r="E401" s="37" t="s">
        <v>219</v>
      </c>
      <c r="F401" s="37" t="s">
        <v>219</v>
      </c>
      <c r="G401" s="275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36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6"/>
      <c r="C402" s="240">
        <f>YEAR(PA[[#This Row],[Date]])+IF(MONTH(PA[[#This Row],[Date]])&gt;=4,1,0)</f>
        <v>1900</v>
      </c>
      <c r="D402" s="240">
        <f>YEAR(PA[[#This Row],[Date]])</f>
        <v>1900</v>
      </c>
      <c r="E402" s="37" t="s">
        <v>219</v>
      </c>
      <c r="F402" s="37" t="s">
        <v>219</v>
      </c>
      <c r="G402" s="275">
        <f>PA[[#This Row],[Date]]-DAY(PA[[#This Row],[Date]])+1</f>
        <v>1</v>
      </c>
      <c r="H402" s="231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31">
        <f>IF((PA[[#This Row],[String Type(If String BD)]]&amp;PA[[#This Row],[Equipment (If any BD other than PV  array and inv)]])="",1,0)</f>
        <v>1</v>
      </c>
      <c r="S402" s="231">
        <f>IF(PA[[#This Row],[String Type(If String BD)]]="",1,0)</f>
        <v>1</v>
      </c>
      <c r="T40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33" t="str">
        <f>IFERROR(_xlfn.XLOOKUP(PA[[#This Row],[Affected Equipment ]],'Basic Data'!N:N,'Basic Data'!Q:Q),"")</f>
        <v/>
      </c>
      <c r="V402" s="237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34">
        <f>IF(PA[[#This Row],[Acknowledgement Time ]]="NA","",(PA[[#This Row],[Acknowledgement Time ]]-PA[[#This Row],[Fault Time]])*24)</f>
        <v>0</v>
      </c>
      <c r="AE402" s="234">
        <f>IF(PA[[#This Row],[Work Start time on Fault]]="NA","",(PA[[#This Row],[Work Start time on Fault]]-PA[[#This Row],[Fault Time]])*24)</f>
        <v>0</v>
      </c>
      <c r="AF402" s="235">
        <f>IF(PA[[#This Row],[Status]]="Open","",(PA[[#This Row],[Work Completion time on fault]]-PA[[#This Row],[Fault Time]])*24)</f>
        <v>0</v>
      </c>
      <c r="AG402" s="234">
        <f>IFERROR((PA[[#This Row],[Work Completion time on fault]]-PA[[#This Row],[Fault Time]])*24,"")</f>
        <v>0</v>
      </c>
      <c r="AH402" s="38"/>
      <c r="AI402" s="33"/>
      <c r="AJ402" s="233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6"/>
      <c r="C403" s="241">
        <f>YEAR(PA[[#This Row],[Date]])+IF(MONTH(PA[[#This Row],[Date]])&gt;=4,1,0)</f>
        <v>1900</v>
      </c>
      <c r="D403" s="241">
        <f>YEAR(PA[[#This Row],[Date]])</f>
        <v>1900</v>
      </c>
      <c r="E403" s="37" t="s">
        <v>219</v>
      </c>
      <c r="F403" s="37" t="s">
        <v>219</v>
      </c>
      <c r="G403" s="275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36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6"/>
      <c r="C404" s="241">
        <f>YEAR(PA[[#This Row],[Date]])+IF(MONTH(PA[[#This Row],[Date]])&gt;=4,1,0)</f>
        <v>1900</v>
      </c>
      <c r="D404" s="241">
        <f>YEAR(PA[[#This Row],[Date]])</f>
        <v>1900</v>
      </c>
      <c r="E404" s="37" t="s">
        <v>219</v>
      </c>
      <c r="F404" s="37" t="s">
        <v>219</v>
      </c>
      <c r="G404" s="275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36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41">
        <f>YEAR(PA[[#This Row],[Date]])+IF(MONTH(PA[[#This Row],[Date]])&gt;=4,1,0)</f>
        <v>1900</v>
      </c>
      <c r="D405" s="241">
        <f>YEAR(PA[[#This Row],[Date]])</f>
        <v>1900</v>
      </c>
      <c r="E405" s="37" t="s">
        <v>219</v>
      </c>
      <c r="F405" s="37" t="s">
        <v>219</v>
      </c>
      <c r="G405" s="275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36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41">
        <f>YEAR(PA[[#This Row],[Date]])+IF(MONTH(PA[[#This Row],[Date]])&gt;=4,1,0)</f>
        <v>1900</v>
      </c>
      <c r="D406" s="241">
        <f>YEAR(PA[[#This Row],[Date]])</f>
        <v>1900</v>
      </c>
      <c r="E406" s="37" t="s">
        <v>219</v>
      </c>
      <c r="F406" s="37" t="s">
        <v>219</v>
      </c>
      <c r="G406" s="275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36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41">
        <f>YEAR(PA[[#This Row],[Date]])+IF(MONTH(PA[[#This Row],[Date]])&gt;=4,1,0)</f>
        <v>1900</v>
      </c>
      <c r="D407" s="241">
        <f>YEAR(PA[[#This Row],[Date]])</f>
        <v>1900</v>
      </c>
      <c r="E407" s="37" t="s">
        <v>219</v>
      </c>
      <c r="F407" s="37" t="s">
        <v>219</v>
      </c>
      <c r="G407" s="275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36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41">
        <f>YEAR(PA[[#This Row],[Date]])+IF(MONTH(PA[[#This Row],[Date]])&gt;=4,1,0)</f>
        <v>1900</v>
      </c>
      <c r="D408" s="241">
        <f>YEAR(PA[[#This Row],[Date]])</f>
        <v>1900</v>
      </c>
      <c r="E408" s="37" t="s">
        <v>219</v>
      </c>
      <c r="F408" s="37" t="s">
        <v>219</v>
      </c>
      <c r="G408" s="275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36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41">
        <f>YEAR(PA[[#This Row],[Date]])+IF(MONTH(PA[[#This Row],[Date]])&gt;=4,1,0)</f>
        <v>1900</v>
      </c>
      <c r="D409" s="241">
        <f>YEAR(PA[[#This Row],[Date]])</f>
        <v>1900</v>
      </c>
      <c r="E409" s="37" t="s">
        <v>219</v>
      </c>
      <c r="F409" s="37" t="s">
        <v>219</v>
      </c>
      <c r="G409" s="275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36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41">
        <f>YEAR(PA[[#This Row],[Date]])+IF(MONTH(PA[[#This Row],[Date]])&gt;=4,1,0)</f>
        <v>1900</v>
      </c>
      <c r="D410" s="241">
        <f>YEAR(PA[[#This Row],[Date]])</f>
        <v>1900</v>
      </c>
      <c r="E410" s="37" t="s">
        <v>219</v>
      </c>
      <c r="F410" s="37" t="s">
        <v>219</v>
      </c>
      <c r="G410" s="275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36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41">
        <f>YEAR(PA[[#This Row],[Date]])+IF(MONTH(PA[[#This Row],[Date]])&gt;=4,1,0)</f>
        <v>1900</v>
      </c>
      <c r="D411" s="241">
        <f>YEAR(PA[[#This Row],[Date]])</f>
        <v>1900</v>
      </c>
      <c r="E411" s="37" t="s">
        <v>219</v>
      </c>
      <c r="F411" s="37" t="s">
        <v>219</v>
      </c>
      <c r="G411" s="275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36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41">
        <f>YEAR(PA[[#This Row],[Date]])+IF(MONTH(PA[[#This Row],[Date]])&gt;=4,1,0)</f>
        <v>1900</v>
      </c>
      <c r="D412" s="241">
        <f>YEAR(PA[[#This Row],[Date]])</f>
        <v>1900</v>
      </c>
      <c r="E412" s="37" t="s">
        <v>219</v>
      </c>
      <c r="F412" s="37" t="s">
        <v>219</v>
      </c>
      <c r="G412" s="275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36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41">
        <f>YEAR(PA[[#This Row],[Date]])+IF(MONTH(PA[[#This Row],[Date]])&gt;=4,1,0)</f>
        <v>1900</v>
      </c>
      <c r="D413" s="241">
        <f>YEAR(PA[[#This Row],[Date]])</f>
        <v>1900</v>
      </c>
      <c r="E413" s="37" t="s">
        <v>219</v>
      </c>
      <c r="F413" s="37" t="s">
        <v>219</v>
      </c>
      <c r="G413" s="275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36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41">
        <f>YEAR(PA[[#This Row],[Date]])+IF(MONTH(PA[[#This Row],[Date]])&gt;=4,1,0)</f>
        <v>1900</v>
      </c>
      <c r="D414" s="241">
        <f>YEAR(PA[[#This Row],[Date]])</f>
        <v>1900</v>
      </c>
      <c r="E414" s="37" t="s">
        <v>219</v>
      </c>
      <c r="F414" s="37" t="s">
        <v>219</v>
      </c>
      <c r="G414" s="275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36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41">
        <f>YEAR(PA[[#This Row],[Date]])+IF(MONTH(PA[[#This Row],[Date]])&gt;=4,1,0)</f>
        <v>1900</v>
      </c>
      <c r="D415" s="241">
        <f>YEAR(PA[[#This Row],[Date]])</f>
        <v>1900</v>
      </c>
      <c r="E415" s="37" t="s">
        <v>219</v>
      </c>
      <c r="F415" s="37" t="s">
        <v>219</v>
      </c>
      <c r="G415" s="275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36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40">
        <f>YEAR(PA[[#This Row],[Date]])+IF(MONTH(PA[[#This Row],[Date]])&gt;=4,1,0)</f>
        <v>1900</v>
      </c>
      <c r="D416" s="240">
        <f>YEAR(PA[[#This Row],[Date]])</f>
        <v>1900</v>
      </c>
      <c r="E416" s="37" t="s">
        <v>219</v>
      </c>
      <c r="F416" s="37" t="s">
        <v>219</v>
      </c>
      <c r="G416" s="275">
        <f>PA[[#This Row],[Date]]-DAY(PA[[#This Row],[Date]])+1</f>
        <v>1</v>
      </c>
      <c r="H416" s="231">
        <f>DAY(EOMONTH(PA[[#This Row],[Month Year]],0))</f>
        <v>31</v>
      </c>
      <c r="I416" s="232"/>
      <c r="J416" s="232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31">
        <f>IF((PA[[#This Row],[String Type(If String BD)]]&amp;PA[[#This Row],[Equipment (If any BD other than PV  array and inv)]])="",1,0)</f>
        <v>1</v>
      </c>
      <c r="S416" s="231">
        <f>IF(PA[[#This Row],[String Type(If String BD)]]="",1,0)</f>
        <v>1</v>
      </c>
      <c r="T41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33" t="str">
        <f>IFERROR(_xlfn.XLOOKUP(PA[[#This Row],[Affected Equipment ]],'Basic Data'!N:N,'Basic Data'!Q:Q),"")</f>
        <v/>
      </c>
      <c r="V416" s="237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34">
        <f>IF(PA[[#This Row],[Acknowledgement Time ]]="NA","",(PA[[#This Row],[Acknowledgement Time ]]-PA[[#This Row],[Fault Time]])*24)</f>
        <v>0</v>
      </c>
      <c r="AE416" s="234">
        <f>IF(PA[[#This Row],[Work Start time on Fault]]="NA","",(PA[[#This Row],[Work Start time on Fault]]-PA[[#This Row],[Fault Time]])*24)</f>
        <v>0</v>
      </c>
      <c r="AF416" s="235">
        <f>IF(PA[[#This Row],[Status]]="Open","",(PA[[#This Row],[Work Completion time on fault]]-PA[[#This Row],[Fault Time]])*24)</f>
        <v>0</v>
      </c>
      <c r="AG416" s="234">
        <f>IFERROR((PA[[#This Row],[Work Completion time on fault]]-PA[[#This Row],[Fault Time]])*24,"")</f>
        <v>0</v>
      </c>
      <c r="AH416" s="344"/>
      <c r="AI416" s="33"/>
      <c r="AJ416" s="233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6"/>
      <c r="C417" s="240">
        <f>YEAR(PA[[#This Row],[Date]])+IF(MONTH(PA[[#This Row],[Date]])&gt;=4,1,0)</f>
        <v>1900</v>
      </c>
      <c r="D417" s="240">
        <f>YEAR(PA[[#This Row],[Date]])</f>
        <v>1900</v>
      </c>
      <c r="E417" s="37" t="s">
        <v>219</v>
      </c>
      <c r="F417" s="37" t="s">
        <v>219</v>
      </c>
      <c r="G417" s="275">
        <f>PA[[#This Row],[Date]]-DAY(PA[[#This Row],[Date]])+1</f>
        <v>1</v>
      </c>
      <c r="H417" s="231">
        <f>DAY(EOMONTH(PA[[#This Row],[Month Year]],0))</f>
        <v>31</v>
      </c>
      <c r="I417" s="232"/>
      <c r="J417" s="232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31">
        <f>IF((PA[[#This Row],[String Type(If String BD)]]&amp;PA[[#This Row],[Equipment (If any BD other than PV  array and inv)]])="",1,0)</f>
        <v>1</v>
      </c>
      <c r="S417" s="231">
        <f>IF(PA[[#This Row],[String Type(If String BD)]]="",1,0)</f>
        <v>1</v>
      </c>
      <c r="T41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33" t="str">
        <f>IFERROR(_xlfn.XLOOKUP(PA[[#This Row],[Affected Equipment ]],'Basic Data'!N:N,'Basic Data'!Q:Q),"")</f>
        <v/>
      </c>
      <c r="V417" s="237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34">
        <f>IF(PA[[#This Row],[Acknowledgement Time ]]="NA","",(PA[[#This Row],[Acknowledgement Time ]]-PA[[#This Row],[Fault Time]])*24)</f>
        <v>0</v>
      </c>
      <c r="AE417" s="234">
        <f>IF(PA[[#This Row],[Work Start time on Fault]]="NA","",(PA[[#This Row],[Work Start time on Fault]]-PA[[#This Row],[Fault Time]])*24)</f>
        <v>0</v>
      </c>
      <c r="AF417" s="235">
        <f>IF(PA[[#This Row],[Status]]="Open","",(PA[[#This Row],[Work Completion time on fault]]-PA[[#This Row],[Fault Time]])*24)</f>
        <v>0</v>
      </c>
      <c r="AG417" s="234">
        <f>IFERROR((PA[[#This Row],[Work Completion time on fault]]-PA[[#This Row],[Fault Time]])*24,"")</f>
        <v>0</v>
      </c>
      <c r="AH417" s="36"/>
      <c r="AI417" s="33"/>
      <c r="AJ417" s="233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6"/>
      <c r="C418" s="240">
        <f>YEAR(PA[[#This Row],[Date]])+IF(MONTH(PA[[#This Row],[Date]])&gt;=4,1,0)</f>
        <v>1900</v>
      </c>
      <c r="D418" s="240">
        <f>YEAR(PA[[#This Row],[Date]])</f>
        <v>1900</v>
      </c>
      <c r="E418" s="37" t="s">
        <v>219</v>
      </c>
      <c r="F418" s="37" t="s">
        <v>219</v>
      </c>
      <c r="G418" s="275">
        <f>PA[[#This Row],[Date]]-DAY(PA[[#This Row],[Date]])+1</f>
        <v>1</v>
      </c>
      <c r="H418" s="231">
        <f>DAY(EOMONTH(PA[[#This Row],[Month Year]],0))</f>
        <v>31</v>
      </c>
      <c r="I418" s="232"/>
      <c r="J418" s="232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31">
        <f>IF((PA[[#This Row],[String Type(If String BD)]]&amp;PA[[#This Row],[Equipment (If any BD other than PV  array and inv)]])="",1,0)</f>
        <v>1</v>
      </c>
      <c r="S418" s="231">
        <f>IF(PA[[#This Row],[String Type(If String BD)]]="",1,0)</f>
        <v>1</v>
      </c>
      <c r="T4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33" t="str">
        <f>IFERROR(_xlfn.XLOOKUP(PA[[#This Row],[Affected Equipment ]],'Basic Data'!N:N,'Basic Data'!Q:Q),"")</f>
        <v/>
      </c>
      <c r="V418" s="237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34">
        <f>IF(PA[[#This Row],[Acknowledgement Time ]]="NA","",(PA[[#This Row],[Acknowledgement Time ]]-PA[[#This Row],[Fault Time]])*24)</f>
        <v>0</v>
      </c>
      <c r="AE418" s="234">
        <f>IF(PA[[#This Row],[Work Start time on Fault]]="NA","",(PA[[#This Row],[Work Start time on Fault]]-PA[[#This Row],[Fault Time]])*24)</f>
        <v>0</v>
      </c>
      <c r="AF418" s="235">
        <f>IF(PA[[#This Row],[Status]]="Open","",(PA[[#This Row],[Work Completion time on fault]]-PA[[#This Row],[Fault Time]])*24)</f>
        <v>0</v>
      </c>
      <c r="AG418" s="234">
        <f>IFERROR((PA[[#This Row],[Work Completion time on fault]]-PA[[#This Row],[Fault Time]])*24,"")</f>
        <v>0</v>
      </c>
      <c r="AH418" s="36"/>
      <c r="AI418" s="33"/>
      <c r="AJ418" s="233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6"/>
      <c r="C419" s="240">
        <f>YEAR(PA[[#This Row],[Date]])+IF(MONTH(PA[[#This Row],[Date]])&gt;=4,1,0)</f>
        <v>1900</v>
      </c>
      <c r="D419" s="240">
        <f>YEAR(PA[[#This Row],[Date]])</f>
        <v>1900</v>
      </c>
      <c r="E419" s="37" t="s">
        <v>219</v>
      </c>
      <c r="F419" s="37" t="s">
        <v>219</v>
      </c>
      <c r="G419" s="275">
        <f>PA[[#This Row],[Date]]-DAY(PA[[#This Row],[Date]])+1</f>
        <v>1</v>
      </c>
      <c r="H419" s="231">
        <f>DAY(EOMONTH(PA[[#This Row],[Month Year]],0))</f>
        <v>31</v>
      </c>
      <c r="I419" s="232"/>
      <c r="J419" s="232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31">
        <f>IF((PA[[#This Row],[String Type(If String BD)]]&amp;PA[[#This Row],[Equipment (If any BD other than PV  array and inv)]])="",1,0)</f>
        <v>1</v>
      </c>
      <c r="S419" s="231">
        <f>IF(PA[[#This Row],[String Type(If String BD)]]="",1,0)</f>
        <v>1</v>
      </c>
      <c r="T41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33" t="str">
        <f>IFERROR(_xlfn.XLOOKUP(PA[[#This Row],[Affected Equipment ]],'Basic Data'!N:N,'Basic Data'!Q:Q),"")</f>
        <v/>
      </c>
      <c r="V419" s="237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34">
        <f>IF(PA[[#This Row],[Acknowledgement Time ]]="NA","",(PA[[#This Row],[Acknowledgement Time ]]-PA[[#This Row],[Fault Time]])*24)</f>
        <v>0</v>
      </c>
      <c r="AE419" s="234">
        <f>IF(PA[[#This Row],[Work Start time on Fault]]="NA","",(PA[[#This Row],[Work Start time on Fault]]-PA[[#This Row],[Fault Time]])*24)</f>
        <v>0</v>
      </c>
      <c r="AF419" s="235">
        <f>IF(PA[[#This Row],[Status]]="Open","",(PA[[#This Row],[Work Completion time on fault]]-PA[[#This Row],[Fault Time]])*24)</f>
        <v>0</v>
      </c>
      <c r="AG419" s="234">
        <f>IFERROR((PA[[#This Row],[Work Completion time on fault]]-PA[[#This Row],[Fault Time]])*24,"")</f>
        <v>0</v>
      </c>
      <c r="AH419" s="344"/>
      <c r="AI419" s="33"/>
      <c r="AJ419" s="233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6"/>
      <c r="C420" s="240">
        <f>YEAR(PA[[#This Row],[Date]])+IF(MONTH(PA[[#This Row],[Date]])&gt;=4,1,0)</f>
        <v>1900</v>
      </c>
      <c r="D420" s="240">
        <f>YEAR(PA[[#This Row],[Date]])</f>
        <v>1900</v>
      </c>
      <c r="E420" s="37" t="s">
        <v>219</v>
      </c>
      <c r="F420" s="37" t="s">
        <v>219</v>
      </c>
      <c r="G420" s="275">
        <f>PA[[#This Row],[Date]]-DAY(PA[[#This Row],[Date]])+1</f>
        <v>1</v>
      </c>
      <c r="H420" s="231">
        <f>DAY(EOMONTH(PA[[#This Row],[Month Year]],0))</f>
        <v>31</v>
      </c>
      <c r="I420" s="232"/>
      <c r="J420" s="232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31">
        <f>IF((PA[[#This Row],[String Type(If String BD)]]&amp;PA[[#This Row],[Equipment (If any BD other than PV  array and inv)]])="",1,0)</f>
        <v>1</v>
      </c>
      <c r="S420" s="231">
        <f>IF(PA[[#This Row],[String Type(If String BD)]]="",1,0)</f>
        <v>1</v>
      </c>
      <c r="T42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33" t="str">
        <f>IFERROR(_xlfn.XLOOKUP(PA[[#This Row],[Affected Equipment ]],'Basic Data'!N:N,'Basic Data'!Q:Q),"")</f>
        <v/>
      </c>
      <c r="V420" s="237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34">
        <f>IF(PA[[#This Row],[Acknowledgement Time ]]="NA","",(PA[[#This Row],[Acknowledgement Time ]]-PA[[#This Row],[Fault Time]])*24)</f>
        <v>0</v>
      </c>
      <c r="AE420" s="234">
        <f>IF(PA[[#This Row],[Work Start time on Fault]]="NA","",(PA[[#This Row],[Work Start time on Fault]]-PA[[#This Row],[Fault Time]])*24)</f>
        <v>0</v>
      </c>
      <c r="AF420" s="235">
        <f>IF(PA[[#This Row],[Status]]="Open","",(PA[[#This Row],[Work Completion time on fault]]-PA[[#This Row],[Fault Time]])*24)</f>
        <v>0</v>
      </c>
      <c r="AG420" s="234">
        <f>IFERROR((PA[[#This Row],[Work Completion time on fault]]-PA[[#This Row],[Fault Time]])*24,"")</f>
        <v>0</v>
      </c>
      <c r="AH420" s="38"/>
      <c r="AI420" s="33"/>
      <c r="AJ420" s="233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41">
        <f>YEAR(PA[[#This Row],[Date]])+IF(MONTH(PA[[#This Row],[Date]])&gt;=4,1,0)</f>
        <v>1900</v>
      </c>
      <c r="D421" s="241">
        <f>YEAR(PA[[#This Row],[Date]])</f>
        <v>1900</v>
      </c>
      <c r="E421" s="37" t="s">
        <v>219</v>
      </c>
      <c r="F421" s="37" t="s">
        <v>219</v>
      </c>
      <c r="G421" s="275">
        <f>PA[[#This Row],[Date]]-DAY(PA[[#This Row],[Date]])+1</f>
        <v>1</v>
      </c>
      <c r="H421" s="32">
        <f>DAY(EOMONTH(PA[[#This Row],[Month Year]],0))</f>
        <v>31</v>
      </c>
      <c r="I421" s="232"/>
      <c r="J421" s="232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36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41">
        <f>YEAR(PA[[#This Row],[Date]])+IF(MONTH(PA[[#This Row],[Date]])&gt;=4,1,0)</f>
        <v>1900</v>
      </c>
      <c r="D422" s="241">
        <f>YEAR(PA[[#This Row],[Date]])</f>
        <v>1900</v>
      </c>
      <c r="E422" s="37" t="s">
        <v>219</v>
      </c>
      <c r="F422" s="37" t="s">
        <v>219</v>
      </c>
      <c r="G422" s="275">
        <f>PA[[#This Row],[Date]]-DAY(PA[[#This Row],[Date]])+1</f>
        <v>1</v>
      </c>
      <c r="H422" s="32">
        <f>DAY(EOMONTH(PA[[#This Row],[Month Year]],0))</f>
        <v>31</v>
      </c>
      <c r="I422" s="232"/>
      <c r="J422" s="232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36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41">
        <f>YEAR(PA[[#This Row],[Date]])+IF(MONTH(PA[[#This Row],[Date]])&gt;=4,1,0)</f>
        <v>1900</v>
      </c>
      <c r="D423" s="241">
        <f>YEAR(PA[[#This Row],[Date]])</f>
        <v>1900</v>
      </c>
      <c r="E423" s="37" t="s">
        <v>219</v>
      </c>
      <c r="F423" s="37" t="s">
        <v>219</v>
      </c>
      <c r="G423" s="275">
        <f>PA[[#This Row],[Date]]-DAY(PA[[#This Row],[Date]])+1</f>
        <v>1</v>
      </c>
      <c r="H423" s="32">
        <f>DAY(EOMONTH(PA[[#This Row],[Month Year]],0))</f>
        <v>31</v>
      </c>
      <c r="I423" s="232"/>
      <c r="J423" s="232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36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6"/>
      <c r="C424" s="240">
        <f>YEAR(PA[[#This Row],[Date]])+IF(MONTH(PA[[#This Row],[Date]])&gt;=4,1,0)</f>
        <v>1900</v>
      </c>
      <c r="D424" s="240">
        <f>YEAR(PA[[#This Row],[Date]])</f>
        <v>1900</v>
      </c>
      <c r="E424" s="37" t="s">
        <v>219</v>
      </c>
      <c r="F424" s="37" t="s">
        <v>219</v>
      </c>
      <c r="G424" s="275">
        <f>PA[[#This Row],[Date]]-DAY(PA[[#This Row],[Date]])+1</f>
        <v>1</v>
      </c>
      <c r="H424" s="231">
        <f>DAY(EOMONTH(PA[[#This Row],[Month Year]],0))</f>
        <v>31</v>
      </c>
      <c r="I424" s="232"/>
      <c r="J424" s="232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31">
        <f>IF((PA[[#This Row],[String Type(If String BD)]]&amp;PA[[#This Row],[Equipment (If any BD other than PV  array and inv)]])="",1,0)</f>
        <v>1</v>
      </c>
      <c r="S424" s="231">
        <f>IF(PA[[#This Row],[String Type(If String BD)]]="",1,0)</f>
        <v>1</v>
      </c>
      <c r="T4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33" t="str">
        <f>IFERROR(_xlfn.XLOOKUP(PA[[#This Row],[Affected Equipment ]],'Basic Data'!N:N,'Basic Data'!Q:Q),"")</f>
        <v/>
      </c>
      <c r="V424" s="237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34">
        <f>IF(PA[[#This Row],[Acknowledgement Time ]]="NA","",(PA[[#This Row],[Acknowledgement Time ]]-PA[[#This Row],[Fault Time]])*24)</f>
        <v>0</v>
      </c>
      <c r="AE424" s="234">
        <f>IF(PA[[#This Row],[Work Start time on Fault]]="NA","",(PA[[#This Row],[Work Start time on Fault]]-PA[[#This Row],[Fault Time]])*24)</f>
        <v>0</v>
      </c>
      <c r="AF424" s="235">
        <f>IF(PA[[#This Row],[Status]]="Open","",(PA[[#This Row],[Work Completion time on fault]]-PA[[#This Row],[Fault Time]])*24)</f>
        <v>0</v>
      </c>
      <c r="AG424" s="234">
        <f>IFERROR((PA[[#This Row],[Work Completion time on fault]]-PA[[#This Row],[Fault Time]])*24,"")</f>
        <v>0</v>
      </c>
      <c r="AH424" s="344"/>
      <c r="AI424" s="33"/>
      <c r="AJ424" s="233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6"/>
      <c r="C425" s="241">
        <f>YEAR(PA[[#This Row],[Date]])+IF(MONTH(PA[[#This Row],[Date]])&gt;=4,1,0)</f>
        <v>1900</v>
      </c>
      <c r="D425" s="241">
        <f>YEAR(PA[[#This Row],[Date]])</f>
        <v>1900</v>
      </c>
      <c r="E425" s="37" t="s">
        <v>219</v>
      </c>
      <c r="F425" s="37" t="s">
        <v>219</v>
      </c>
      <c r="G425" s="275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36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6"/>
      <c r="C426" s="241">
        <f>YEAR(PA[[#This Row],[Date]])+IF(MONTH(PA[[#This Row],[Date]])&gt;=4,1,0)</f>
        <v>1900</v>
      </c>
      <c r="D426" s="241">
        <f>YEAR(PA[[#This Row],[Date]])</f>
        <v>1900</v>
      </c>
      <c r="E426" s="37" t="s">
        <v>219</v>
      </c>
      <c r="F426" s="37" t="s">
        <v>219</v>
      </c>
      <c r="G426" s="275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36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6"/>
      <c r="C427" s="241">
        <f>YEAR(PA[[#This Row],[Date]])+IF(MONTH(PA[[#This Row],[Date]])&gt;=4,1,0)</f>
        <v>1900</v>
      </c>
      <c r="D427" s="241">
        <f>YEAR(PA[[#This Row],[Date]])</f>
        <v>1900</v>
      </c>
      <c r="E427" s="37" t="s">
        <v>219</v>
      </c>
      <c r="F427" s="37" t="s">
        <v>219</v>
      </c>
      <c r="G427" s="275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36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6"/>
      <c r="C428" s="240">
        <f>YEAR(PA[[#This Row],[Date]])+IF(MONTH(PA[[#This Row],[Date]])&gt;=4,1,0)</f>
        <v>1900</v>
      </c>
      <c r="D428" s="240">
        <f>YEAR(PA[[#This Row],[Date]])</f>
        <v>1900</v>
      </c>
      <c r="E428" s="37" t="s">
        <v>219</v>
      </c>
      <c r="F428" s="37" t="s">
        <v>219</v>
      </c>
      <c r="G428" s="275">
        <f>PA[[#This Row],[Date]]-DAY(PA[[#This Row],[Date]])+1</f>
        <v>1</v>
      </c>
      <c r="H428" s="231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31">
        <f>IF((PA[[#This Row],[String Type(If String BD)]]&amp;PA[[#This Row],[Equipment (If any BD other than PV  array and inv)]])="",1,0)</f>
        <v>1</v>
      </c>
      <c r="S428" s="231">
        <f>IF(PA[[#This Row],[String Type(If String BD)]]="",1,0)</f>
        <v>1</v>
      </c>
      <c r="T4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33" t="str">
        <f>IFERROR(_xlfn.XLOOKUP(PA[[#This Row],[Affected Equipment ]],'Basic Data'!N:N,'Basic Data'!Q:Q),"")</f>
        <v/>
      </c>
      <c r="V428" s="237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34">
        <f>IF(PA[[#This Row],[Acknowledgement Time ]]="NA","",(PA[[#This Row],[Acknowledgement Time ]]-PA[[#This Row],[Fault Time]])*24)</f>
        <v>0</v>
      </c>
      <c r="AE428" s="234">
        <f>IF(PA[[#This Row],[Work Start time on Fault]]="NA","",(PA[[#This Row],[Work Start time on Fault]]-PA[[#This Row],[Fault Time]])*24)</f>
        <v>0</v>
      </c>
      <c r="AF428" s="235">
        <f>IF(PA[[#This Row],[Status]]="Open","",(PA[[#This Row],[Work Completion time on fault]]-PA[[#This Row],[Fault Time]])*24)</f>
        <v>0</v>
      </c>
      <c r="AG428" s="234">
        <f>IFERROR((PA[[#This Row],[Work Completion time on fault]]-PA[[#This Row],[Fault Time]])*24,"")</f>
        <v>0</v>
      </c>
      <c r="AH428" s="36"/>
      <c r="AI428" s="33"/>
      <c r="AJ428" s="233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6"/>
      <c r="C429" s="240">
        <f>YEAR(PA[[#This Row],[Date]])+IF(MONTH(PA[[#This Row],[Date]])&gt;=4,1,0)</f>
        <v>1900</v>
      </c>
      <c r="D429" s="240">
        <f>YEAR(PA[[#This Row],[Date]])</f>
        <v>1900</v>
      </c>
      <c r="E429" s="37" t="s">
        <v>219</v>
      </c>
      <c r="F429" s="37" t="s">
        <v>219</v>
      </c>
      <c r="G429" s="275">
        <f>PA[[#This Row],[Date]]-DAY(PA[[#This Row],[Date]])+1</f>
        <v>1</v>
      </c>
      <c r="H429" s="231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31">
        <f>IF((PA[[#This Row],[String Type(If String BD)]]&amp;PA[[#This Row],[Equipment (If any BD other than PV  array and inv)]])="",1,0)</f>
        <v>1</v>
      </c>
      <c r="S429" s="231">
        <f>IF(PA[[#This Row],[String Type(If String BD)]]="",1,0)</f>
        <v>1</v>
      </c>
      <c r="T4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33" t="str">
        <f>IFERROR(_xlfn.XLOOKUP(PA[[#This Row],[Affected Equipment ]],'Basic Data'!N:N,'Basic Data'!Q:Q),"")</f>
        <v/>
      </c>
      <c r="V429" s="237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34">
        <f>IF(PA[[#This Row],[Acknowledgement Time ]]="NA","",(PA[[#This Row],[Acknowledgement Time ]]-PA[[#This Row],[Fault Time]])*24)</f>
        <v>0</v>
      </c>
      <c r="AE429" s="234">
        <f>IF(PA[[#This Row],[Work Start time on Fault]]="NA","",(PA[[#This Row],[Work Start time on Fault]]-PA[[#This Row],[Fault Time]])*24)</f>
        <v>0</v>
      </c>
      <c r="AF429" s="235">
        <f>IF(PA[[#This Row],[Status]]="Open","",(PA[[#This Row],[Work Completion time on fault]]-PA[[#This Row],[Fault Time]])*24)</f>
        <v>0</v>
      </c>
      <c r="AG429" s="234">
        <f>IFERROR((PA[[#This Row],[Work Completion time on fault]]-PA[[#This Row],[Fault Time]])*24,"")</f>
        <v>0</v>
      </c>
      <c r="AH429" s="38"/>
      <c r="AI429" s="33"/>
      <c r="AJ429" s="233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6"/>
      <c r="C430" s="240">
        <f>YEAR(PA[[#This Row],[Date]])+IF(MONTH(PA[[#This Row],[Date]])&gt;=4,1,0)</f>
        <v>1900</v>
      </c>
      <c r="D430" s="240">
        <f>YEAR(PA[[#This Row],[Date]])</f>
        <v>1900</v>
      </c>
      <c r="E430" s="37" t="s">
        <v>219</v>
      </c>
      <c r="F430" s="37" t="s">
        <v>219</v>
      </c>
      <c r="G430" s="275">
        <f>PA[[#This Row],[Date]]-DAY(PA[[#This Row],[Date]])+1</f>
        <v>1</v>
      </c>
      <c r="H430" s="231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31">
        <f>IF((PA[[#This Row],[String Type(If String BD)]]&amp;PA[[#This Row],[Equipment (If any BD other than PV  array and inv)]])="",1,0)</f>
        <v>1</v>
      </c>
      <c r="S430" s="231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36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34">
        <f>IF(PA[[#This Row],[Acknowledgement Time ]]="NA","",(PA[[#This Row],[Acknowledgement Time ]]-PA[[#This Row],[Fault Time]])*24)</f>
        <v>0</v>
      </c>
      <c r="AE430" s="234">
        <f>IF(PA[[#This Row],[Work Start time on Fault]]="NA","",(PA[[#This Row],[Work Start time on Fault]]-PA[[#This Row],[Fault Time]])*24)</f>
        <v>0</v>
      </c>
      <c r="AF430" s="235">
        <f>IF(PA[[#This Row],[Status]]="Open","",(PA[[#This Row],[Work Completion time on fault]]-PA[[#This Row],[Fault Time]])*24)</f>
        <v>0</v>
      </c>
      <c r="AG430" s="234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6"/>
      <c r="C431" s="240">
        <f>YEAR(PA[[#This Row],[Date]])+IF(MONTH(PA[[#This Row],[Date]])&gt;=4,1,0)</f>
        <v>1900</v>
      </c>
      <c r="D431" s="240">
        <f>YEAR(PA[[#This Row],[Date]])</f>
        <v>1900</v>
      </c>
      <c r="E431" s="37" t="s">
        <v>219</v>
      </c>
      <c r="F431" s="37" t="s">
        <v>219</v>
      </c>
      <c r="G431" s="275">
        <f>PA[[#This Row],[Date]]-DAY(PA[[#This Row],[Date]])+1</f>
        <v>1</v>
      </c>
      <c r="H431" s="231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31">
        <f>IF((PA[[#This Row],[String Type(If String BD)]]&amp;PA[[#This Row],[Equipment (If any BD other than PV  array and inv)]])="",1,0)</f>
        <v>1</v>
      </c>
      <c r="S431" s="231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36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34">
        <f>IF(PA[[#This Row],[Acknowledgement Time ]]="NA","",(PA[[#This Row],[Acknowledgement Time ]]-PA[[#This Row],[Fault Time]])*24)</f>
        <v>0</v>
      </c>
      <c r="AE431" s="234">
        <f>IF(PA[[#This Row],[Work Start time on Fault]]="NA","",(PA[[#This Row],[Work Start time on Fault]]-PA[[#This Row],[Fault Time]])*24)</f>
        <v>0</v>
      </c>
      <c r="AF431" s="235">
        <f>IF(PA[[#This Row],[Status]]="Open","",(PA[[#This Row],[Work Completion time on fault]]-PA[[#This Row],[Fault Time]])*24)</f>
        <v>0</v>
      </c>
      <c r="AG431" s="234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6"/>
      <c r="C432" s="240">
        <f>YEAR(PA[[#This Row],[Date]])+IF(MONTH(PA[[#This Row],[Date]])&gt;=4,1,0)</f>
        <v>1900</v>
      </c>
      <c r="D432" s="240">
        <f>YEAR(PA[[#This Row],[Date]])</f>
        <v>1900</v>
      </c>
      <c r="E432" s="37" t="s">
        <v>219</v>
      </c>
      <c r="F432" s="37" t="s">
        <v>219</v>
      </c>
      <c r="G432" s="275">
        <f>PA[[#This Row],[Date]]-DAY(PA[[#This Row],[Date]])+1</f>
        <v>1</v>
      </c>
      <c r="H432" s="231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31">
        <f>IF((PA[[#This Row],[String Type(If String BD)]]&amp;PA[[#This Row],[Equipment (If any BD other than PV  array and inv)]])="",1,0)</f>
        <v>1</v>
      </c>
      <c r="S432" s="231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36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34">
        <f>IF(PA[[#This Row],[Acknowledgement Time ]]="NA","",(PA[[#This Row],[Acknowledgement Time ]]-PA[[#This Row],[Fault Time]])*24)</f>
        <v>0</v>
      </c>
      <c r="AE432" s="234">
        <f>IF(PA[[#This Row],[Work Start time on Fault]]="NA","",(PA[[#This Row],[Work Start time on Fault]]-PA[[#This Row],[Fault Time]])*24)</f>
        <v>0</v>
      </c>
      <c r="AF432" s="235">
        <f>IF(PA[[#This Row],[Status]]="Open","",(PA[[#This Row],[Work Completion time on fault]]-PA[[#This Row],[Fault Time]])*24)</f>
        <v>0</v>
      </c>
      <c r="AG432" s="234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6"/>
      <c r="C433" s="240">
        <f>YEAR(PA[[#This Row],[Date]])+IF(MONTH(PA[[#This Row],[Date]])&gt;=4,1,0)</f>
        <v>1900</v>
      </c>
      <c r="D433" s="240">
        <f>YEAR(PA[[#This Row],[Date]])</f>
        <v>1900</v>
      </c>
      <c r="E433" s="37" t="s">
        <v>219</v>
      </c>
      <c r="F433" s="37" t="s">
        <v>219</v>
      </c>
      <c r="G433" s="275">
        <f>PA[[#This Row],[Date]]-DAY(PA[[#This Row],[Date]])+1</f>
        <v>1</v>
      </c>
      <c r="H433" s="231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31">
        <f>IF((PA[[#This Row],[String Type(If String BD)]]&amp;PA[[#This Row],[Equipment (If any BD other than PV  array and inv)]])="",1,0)</f>
        <v>1</v>
      </c>
      <c r="S433" s="231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36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34">
        <f>IF(PA[[#This Row],[Acknowledgement Time ]]="NA","",(PA[[#This Row],[Acknowledgement Time ]]-PA[[#This Row],[Fault Time]])*24)</f>
        <v>0</v>
      </c>
      <c r="AE433" s="234">
        <f>IF(PA[[#This Row],[Work Start time on Fault]]="NA","",(PA[[#This Row],[Work Start time on Fault]]-PA[[#This Row],[Fault Time]])*24)</f>
        <v>0</v>
      </c>
      <c r="AF433" s="235">
        <f>IF(PA[[#This Row],[Status]]="Open","",(PA[[#This Row],[Work Completion time on fault]]-PA[[#This Row],[Fault Time]])*24)</f>
        <v>0</v>
      </c>
      <c r="AG433" s="234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6"/>
      <c r="C434" s="240">
        <f>YEAR(PA[[#This Row],[Date]])+IF(MONTH(PA[[#This Row],[Date]])&gt;=4,1,0)</f>
        <v>1900</v>
      </c>
      <c r="D434" s="240">
        <f>YEAR(PA[[#This Row],[Date]])</f>
        <v>1900</v>
      </c>
      <c r="E434" s="37" t="s">
        <v>219</v>
      </c>
      <c r="F434" s="37" t="s">
        <v>219</v>
      </c>
      <c r="G434" s="275">
        <f>PA[[#This Row],[Date]]-DAY(PA[[#This Row],[Date]])+1</f>
        <v>1</v>
      </c>
      <c r="H434" s="231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31">
        <f>IF((PA[[#This Row],[String Type(If String BD)]]&amp;PA[[#This Row],[Equipment (If any BD other than PV  array and inv)]])="",1,0)</f>
        <v>1</v>
      </c>
      <c r="S434" s="231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36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34">
        <f>IF(PA[[#This Row],[Acknowledgement Time ]]="NA","",(PA[[#This Row],[Acknowledgement Time ]]-PA[[#This Row],[Fault Time]])*24)</f>
        <v>0</v>
      </c>
      <c r="AE434" s="234">
        <f>IF(PA[[#This Row],[Work Start time on Fault]]="NA","",(PA[[#This Row],[Work Start time on Fault]]-PA[[#This Row],[Fault Time]])*24)</f>
        <v>0</v>
      </c>
      <c r="AF434" s="235">
        <f>IF(PA[[#This Row],[Status]]="Open","",(PA[[#This Row],[Work Completion time on fault]]-PA[[#This Row],[Fault Time]])*24)</f>
        <v>0</v>
      </c>
      <c r="AG434" s="234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6"/>
      <c r="C435" s="240">
        <f>YEAR(PA[[#This Row],[Date]])+IF(MONTH(PA[[#This Row],[Date]])&gt;=4,1,0)</f>
        <v>1900</v>
      </c>
      <c r="D435" s="240">
        <f>YEAR(PA[[#This Row],[Date]])</f>
        <v>1900</v>
      </c>
      <c r="E435" s="37" t="s">
        <v>219</v>
      </c>
      <c r="F435" s="37" t="s">
        <v>219</v>
      </c>
      <c r="G435" s="275">
        <f>PA[[#This Row],[Date]]-DAY(PA[[#This Row],[Date]])+1</f>
        <v>1</v>
      </c>
      <c r="H435" s="231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31">
        <f>IF((PA[[#This Row],[String Type(If String BD)]]&amp;PA[[#This Row],[Equipment (If any BD other than PV  array and inv)]])="",1,0)</f>
        <v>1</v>
      </c>
      <c r="S435" s="231">
        <f>IF(PA[[#This Row],[String Type(If String BD)]]="",1,0)</f>
        <v>1</v>
      </c>
      <c r="T4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33" t="str">
        <f>IFERROR(_xlfn.XLOOKUP(PA[[#This Row],[Affected Equipment ]],'Basic Data'!N:N,'Basic Data'!Q:Q),"")</f>
        <v/>
      </c>
      <c r="V435" s="237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34">
        <f>IF(PA[[#This Row],[Acknowledgement Time ]]="NA","",(PA[[#This Row],[Acknowledgement Time ]]-PA[[#This Row],[Fault Time]])*24)</f>
        <v>0</v>
      </c>
      <c r="AE435" s="234">
        <f>IF(PA[[#This Row],[Work Start time on Fault]]="NA","",(PA[[#This Row],[Work Start time on Fault]]-PA[[#This Row],[Fault Time]])*24)</f>
        <v>0</v>
      </c>
      <c r="AF435" s="235">
        <f>IF(PA[[#This Row],[Status]]="Open","",(PA[[#This Row],[Work Completion time on fault]]-PA[[#This Row],[Fault Time]])*24)</f>
        <v>0</v>
      </c>
      <c r="AG435" s="234">
        <f>IFERROR((PA[[#This Row],[Work Completion time on fault]]-PA[[#This Row],[Fault Time]])*24,"")</f>
        <v>0</v>
      </c>
      <c r="AH435" s="38"/>
      <c r="AI435" s="33"/>
      <c r="AJ435" s="233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6"/>
      <c r="C436" s="240">
        <f>YEAR(PA[[#This Row],[Date]])+IF(MONTH(PA[[#This Row],[Date]])&gt;=4,1,0)</f>
        <v>1900</v>
      </c>
      <c r="D436" s="240">
        <f>YEAR(PA[[#This Row],[Date]])</f>
        <v>1900</v>
      </c>
      <c r="E436" s="37" t="s">
        <v>219</v>
      </c>
      <c r="F436" s="37" t="s">
        <v>219</v>
      </c>
      <c r="G436" s="275">
        <f>PA[[#This Row],[Date]]-DAY(PA[[#This Row],[Date]])+1</f>
        <v>1</v>
      </c>
      <c r="H436" s="231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31">
        <f>IF((PA[[#This Row],[String Type(If String BD)]]&amp;PA[[#This Row],[Equipment (If any BD other than PV  array and inv)]])="",1,0)</f>
        <v>1</v>
      </c>
      <c r="S436" s="231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36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34">
        <f>IF(PA[[#This Row],[Acknowledgement Time ]]="NA","",(PA[[#This Row],[Acknowledgement Time ]]-PA[[#This Row],[Fault Time]])*24)</f>
        <v>0</v>
      </c>
      <c r="AE436" s="234">
        <f>IF(PA[[#This Row],[Work Start time on Fault]]="NA","",(PA[[#This Row],[Work Start time on Fault]]-PA[[#This Row],[Fault Time]])*24)</f>
        <v>0</v>
      </c>
      <c r="AF436" s="235">
        <f>IF(PA[[#This Row],[Status]]="Open","",(PA[[#This Row],[Work Completion time on fault]]-PA[[#This Row],[Fault Time]])*24)</f>
        <v>0</v>
      </c>
      <c r="AG436" s="234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6"/>
      <c r="C437" s="241">
        <f>YEAR(PA[[#This Row],[Date]])+IF(MONTH(PA[[#This Row],[Date]])&gt;=4,1,0)</f>
        <v>1900</v>
      </c>
      <c r="D437" s="240">
        <f>YEAR(PA[[#This Row],[Date]])</f>
        <v>1900</v>
      </c>
      <c r="E437" s="37" t="s">
        <v>219</v>
      </c>
      <c r="F437" s="37" t="s">
        <v>219</v>
      </c>
      <c r="G437" s="275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36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6"/>
      <c r="C438" s="241">
        <f>YEAR(PA[[#This Row],[Date]])+IF(MONTH(PA[[#This Row],[Date]])&gt;=4,1,0)</f>
        <v>1900</v>
      </c>
      <c r="D438" s="240">
        <f>YEAR(PA[[#This Row],[Date]])</f>
        <v>1900</v>
      </c>
      <c r="E438" s="37" t="s">
        <v>219</v>
      </c>
      <c r="F438" s="37" t="s">
        <v>219</v>
      </c>
      <c r="G438" s="275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36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6"/>
      <c r="C439" s="241">
        <f>YEAR(PA[[#This Row],[Date]])+IF(MONTH(PA[[#This Row],[Date]])&gt;=4,1,0)</f>
        <v>1900</v>
      </c>
      <c r="D439" s="240">
        <f>YEAR(PA[[#This Row],[Date]])</f>
        <v>1900</v>
      </c>
      <c r="E439" s="37" t="s">
        <v>219</v>
      </c>
      <c r="F439" s="37" t="s">
        <v>219</v>
      </c>
      <c r="G439" s="275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36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6"/>
      <c r="C440" s="241">
        <f>YEAR(PA[[#This Row],[Date]])+IF(MONTH(PA[[#This Row],[Date]])&gt;=4,1,0)</f>
        <v>1900</v>
      </c>
      <c r="D440" s="240">
        <f>YEAR(PA[[#This Row],[Date]])</f>
        <v>1900</v>
      </c>
      <c r="E440" s="37" t="s">
        <v>219</v>
      </c>
      <c r="F440" s="37" t="s">
        <v>219</v>
      </c>
      <c r="G440" s="275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36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6"/>
      <c r="C441" s="240">
        <f>YEAR(PA[[#This Row],[Date]])+IF(MONTH(PA[[#This Row],[Date]])&gt;=4,1,0)</f>
        <v>1900</v>
      </c>
      <c r="D441" s="240">
        <f>YEAR(PA[[#This Row],[Date]])</f>
        <v>1900</v>
      </c>
      <c r="E441" s="37" t="s">
        <v>219</v>
      </c>
      <c r="F441" s="37" t="s">
        <v>219</v>
      </c>
      <c r="G441" s="275">
        <f>PA[[#This Row],[Date]]-DAY(PA[[#This Row],[Date]])+1</f>
        <v>1</v>
      </c>
      <c r="H441" s="231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31">
        <f>IF((PA[[#This Row],[String Type(If String BD)]]&amp;PA[[#This Row],[Equipment (If any BD other than PV  array and inv)]])="",1,0)</f>
        <v>1</v>
      </c>
      <c r="S441" s="231">
        <f>IF(PA[[#This Row],[String Type(If String BD)]]="",1,0)</f>
        <v>1</v>
      </c>
      <c r="T44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33" t="str">
        <f>IFERROR(_xlfn.XLOOKUP(PA[[#This Row],[Affected Equipment ]],'Basic Data'!N:N,'Basic Data'!Q:Q),"")</f>
        <v/>
      </c>
      <c r="V441" s="237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34">
        <f>IF(PA[[#This Row],[Acknowledgement Time ]]="NA","",(PA[[#This Row],[Acknowledgement Time ]]-PA[[#This Row],[Fault Time]])*24)</f>
        <v>0</v>
      </c>
      <c r="AE441" s="234">
        <f>IF(PA[[#This Row],[Work Start time on Fault]]="NA","",(PA[[#This Row],[Work Start time on Fault]]-PA[[#This Row],[Fault Time]])*24)</f>
        <v>0</v>
      </c>
      <c r="AF441" s="235">
        <f>IF(PA[[#This Row],[Status]]="Open","",(PA[[#This Row],[Work Completion time on fault]]-PA[[#This Row],[Fault Time]])*24)</f>
        <v>0</v>
      </c>
      <c r="AG441" s="234">
        <f>IFERROR((PA[[#This Row],[Work Completion time on fault]]-PA[[#This Row],[Fault Time]])*24,"")</f>
        <v>0</v>
      </c>
      <c r="AH441" s="38"/>
      <c r="AI441" s="33"/>
      <c r="AJ441" s="233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6"/>
      <c r="C442" s="240">
        <f>YEAR(PA[[#This Row],[Date]])+IF(MONTH(PA[[#This Row],[Date]])&gt;=4,1,0)</f>
        <v>1900</v>
      </c>
      <c r="D442" s="240">
        <f>YEAR(PA[[#This Row],[Date]])</f>
        <v>1900</v>
      </c>
      <c r="E442" s="37" t="s">
        <v>219</v>
      </c>
      <c r="F442" s="37" t="s">
        <v>219</v>
      </c>
      <c r="G442" s="275">
        <f>PA[[#This Row],[Date]]-DAY(PA[[#This Row],[Date]])+1</f>
        <v>1</v>
      </c>
      <c r="H442" s="231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31">
        <f>IF((PA[[#This Row],[String Type(If String BD)]]&amp;PA[[#This Row],[Equipment (If any BD other than PV  array and inv)]])="",1,0)</f>
        <v>1</v>
      </c>
      <c r="S442" s="231">
        <f>IF(PA[[#This Row],[String Type(If String BD)]]="",1,0)</f>
        <v>1</v>
      </c>
      <c r="T4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33" t="str">
        <f>IFERROR(_xlfn.XLOOKUP(PA[[#This Row],[Affected Equipment ]],'Basic Data'!N:N,'Basic Data'!Q:Q),"")</f>
        <v/>
      </c>
      <c r="V442" s="237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34">
        <f>IF(PA[[#This Row],[Acknowledgement Time ]]="NA","",(PA[[#This Row],[Acknowledgement Time ]]-PA[[#This Row],[Fault Time]])*24)</f>
        <v>0</v>
      </c>
      <c r="AE442" s="234">
        <f>IF(PA[[#This Row],[Work Start time on Fault]]="NA","",(PA[[#This Row],[Work Start time on Fault]]-PA[[#This Row],[Fault Time]])*24)</f>
        <v>0</v>
      </c>
      <c r="AF442" s="235">
        <f>IF(PA[[#This Row],[Status]]="Open","",(PA[[#This Row],[Work Completion time on fault]]-PA[[#This Row],[Fault Time]])*24)</f>
        <v>0</v>
      </c>
      <c r="AG442" s="234">
        <f>IFERROR((PA[[#This Row],[Work Completion time on fault]]-PA[[#This Row],[Fault Time]])*24,"")</f>
        <v>0</v>
      </c>
      <c r="AH442" s="38"/>
      <c r="AI442" s="37"/>
      <c r="AJ442" s="233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6"/>
      <c r="C443" s="241">
        <f>YEAR(PA[[#This Row],[Date]])+IF(MONTH(PA[[#This Row],[Date]])&gt;=4,1,0)</f>
        <v>1900</v>
      </c>
      <c r="D443" s="240">
        <f>YEAR(PA[[#This Row],[Date]])</f>
        <v>1900</v>
      </c>
      <c r="E443" s="37" t="s">
        <v>219</v>
      </c>
      <c r="F443" s="37" t="s">
        <v>219</v>
      </c>
      <c r="G443" s="275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36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6"/>
      <c r="C444" s="241">
        <f>YEAR(PA[[#This Row],[Date]])+IF(MONTH(PA[[#This Row],[Date]])&gt;=4,1,0)</f>
        <v>1900</v>
      </c>
      <c r="D444" s="240">
        <f>YEAR(PA[[#This Row],[Date]])</f>
        <v>1900</v>
      </c>
      <c r="E444" s="37" t="s">
        <v>219</v>
      </c>
      <c r="F444" s="37" t="s">
        <v>219</v>
      </c>
      <c r="G444" s="275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36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6"/>
      <c r="C445" s="240">
        <f>YEAR(PA[[#This Row],[Date]])+IF(MONTH(PA[[#This Row],[Date]])&gt;=4,1,0)</f>
        <v>1900</v>
      </c>
      <c r="D445" s="240">
        <f>YEAR(PA[[#This Row],[Date]])</f>
        <v>1900</v>
      </c>
      <c r="E445" s="37" t="s">
        <v>219</v>
      </c>
      <c r="F445" s="37" t="s">
        <v>219</v>
      </c>
      <c r="G445" s="275">
        <f>PA[[#This Row],[Date]]-DAY(PA[[#This Row],[Date]])+1</f>
        <v>1</v>
      </c>
      <c r="H445" s="231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31">
        <f>IF((PA[[#This Row],[String Type(If String BD)]]&amp;PA[[#This Row],[Equipment (If any BD other than PV  array and inv)]])="",1,0)</f>
        <v>1</v>
      </c>
      <c r="S445" s="231">
        <f>IF(PA[[#This Row],[String Type(If String BD)]]="",1,0)</f>
        <v>1</v>
      </c>
      <c r="T4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33" t="str">
        <f>IFERROR(_xlfn.XLOOKUP(PA[[#This Row],[Affected Equipment ]],'Basic Data'!N:N,'Basic Data'!Q:Q),"")</f>
        <v/>
      </c>
      <c r="V445" s="237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34">
        <f>IF(PA[[#This Row],[Acknowledgement Time ]]="NA","",(PA[[#This Row],[Acknowledgement Time ]]-PA[[#This Row],[Fault Time]])*24)</f>
        <v>0</v>
      </c>
      <c r="AE445" s="234">
        <f>IF(PA[[#This Row],[Work Start time on Fault]]="NA","",(PA[[#This Row],[Work Start time on Fault]]-PA[[#This Row],[Fault Time]])*24)</f>
        <v>0</v>
      </c>
      <c r="AF445" s="235">
        <f>IF(PA[[#This Row],[Status]]="Open","",(PA[[#This Row],[Work Completion time on fault]]-PA[[#This Row],[Fault Time]])*24)</f>
        <v>0</v>
      </c>
      <c r="AG445" s="234">
        <f>IFERROR((PA[[#This Row],[Work Completion time on fault]]-PA[[#This Row],[Fault Time]])*24,"")</f>
        <v>0</v>
      </c>
      <c r="AH445" s="38"/>
      <c r="AI445" s="37"/>
      <c r="AJ445" s="233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6"/>
      <c r="C446" s="240">
        <f>YEAR(PA[[#This Row],[Date]])+IF(MONTH(PA[[#This Row],[Date]])&gt;=4,1,0)</f>
        <v>1900</v>
      </c>
      <c r="D446" s="240">
        <f>YEAR(PA[[#This Row],[Date]])</f>
        <v>1900</v>
      </c>
      <c r="E446" s="37" t="s">
        <v>219</v>
      </c>
      <c r="F446" s="37" t="s">
        <v>219</v>
      </c>
      <c r="G446" s="275">
        <f>PA[[#This Row],[Date]]-DAY(PA[[#This Row],[Date]])+1</f>
        <v>1</v>
      </c>
      <c r="H446" s="231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31">
        <f>IF((PA[[#This Row],[String Type(If String BD)]]&amp;PA[[#This Row],[Equipment (If any BD other than PV  array and inv)]])="",1,0)</f>
        <v>1</v>
      </c>
      <c r="S446" s="231">
        <f>IF(PA[[#This Row],[String Type(If String BD)]]="",1,0)</f>
        <v>1</v>
      </c>
      <c r="T44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33" t="str">
        <f>IFERROR(_xlfn.XLOOKUP(PA[[#This Row],[Affected Equipment ]],'Basic Data'!N:N,'Basic Data'!Q:Q),"")</f>
        <v/>
      </c>
      <c r="V446" s="237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34">
        <f>IF(PA[[#This Row],[Acknowledgement Time ]]="NA","",(PA[[#This Row],[Acknowledgement Time ]]-PA[[#This Row],[Fault Time]])*24)</f>
        <v>0</v>
      </c>
      <c r="AE446" s="234">
        <f>IF(PA[[#This Row],[Work Start time on Fault]]="NA","",(PA[[#This Row],[Work Start time on Fault]]-PA[[#This Row],[Fault Time]])*24)</f>
        <v>0</v>
      </c>
      <c r="AF446" s="235">
        <f>IF(PA[[#This Row],[Status]]="Open","",(PA[[#This Row],[Work Completion time on fault]]-PA[[#This Row],[Fault Time]])*24)</f>
        <v>0</v>
      </c>
      <c r="AG446" s="234">
        <f>IFERROR((PA[[#This Row],[Work Completion time on fault]]-PA[[#This Row],[Fault Time]])*24,"")</f>
        <v>0</v>
      </c>
      <c r="AH446" s="38"/>
      <c r="AI446" s="37"/>
      <c r="AJ446" s="233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6"/>
      <c r="C447" s="241">
        <f>YEAR(PA[[#This Row],[Date]])+IF(MONTH(PA[[#This Row],[Date]])&gt;=4,1,0)</f>
        <v>1900</v>
      </c>
      <c r="D447" s="240">
        <f>YEAR(PA[[#This Row],[Date]])</f>
        <v>1900</v>
      </c>
      <c r="E447" s="37" t="s">
        <v>219</v>
      </c>
      <c r="F447" s="37" t="s">
        <v>219</v>
      </c>
      <c r="G447" s="275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36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6"/>
      <c r="C448" s="240">
        <f>YEAR(PA[[#This Row],[Date]])+IF(MONTH(PA[[#This Row],[Date]])&gt;=4,1,0)</f>
        <v>1900</v>
      </c>
      <c r="D448" s="240">
        <f>YEAR(PA[[#This Row],[Date]])</f>
        <v>1900</v>
      </c>
      <c r="E448" s="37" t="s">
        <v>219</v>
      </c>
      <c r="F448" s="37" t="s">
        <v>219</v>
      </c>
      <c r="G448" s="275">
        <f>PA[[#This Row],[Date]]-DAY(PA[[#This Row],[Date]])+1</f>
        <v>1</v>
      </c>
      <c r="H448" s="231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31">
        <f>IF((PA[[#This Row],[String Type(If String BD)]]&amp;PA[[#This Row],[Equipment (If any BD other than PV  array and inv)]])="",1,0)</f>
        <v>1</v>
      </c>
      <c r="S448" s="231">
        <f>IF(PA[[#This Row],[String Type(If String BD)]]="",1,0)</f>
        <v>1</v>
      </c>
      <c r="T4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33" t="str">
        <f>IFERROR(_xlfn.XLOOKUP(PA[[#This Row],[Affected Equipment ]],'Basic Data'!N:N,'Basic Data'!Q:Q),"")</f>
        <v/>
      </c>
      <c r="V448" s="237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34">
        <f>IF(PA[[#This Row],[Acknowledgement Time ]]="NA","",(PA[[#This Row],[Acknowledgement Time ]]-PA[[#This Row],[Fault Time]])*24)</f>
        <v>0</v>
      </c>
      <c r="AE448" s="234">
        <f>IF(PA[[#This Row],[Work Start time on Fault]]="NA","",(PA[[#This Row],[Work Start time on Fault]]-PA[[#This Row],[Fault Time]])*24)</f>
        <v>0</v>
      </c>
      <c r="AF448" s="235">
        <f>IF(PA[[#This Row],[Status]]="Open","",(PA[[#This Row],[Work Completion time on fault]]-PA[[#This Row],[Fault Time]])*24)</f>
        <v>0</v>
      </c>
      <c r="AG448" s="234">
        <f>IFERROR((PA[[#This Row],[Work Completion time on fault]]-PA[[#This Row],[Fault Time]])*24,"")</f>
        <v>0</v>
      </c>
      <c r="AH448" s="36"/>
      <c r="AI448" s="33"/>
      <c r="AJ448" s="233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6"/>
      <c r="C449" s="240">
        <f>YEAR(PA[[#This Row],[Date]])+IF(MONTH(PA[[#This Row],[Date]])&gt;=4,1,0)</f>
        <v>1900</v>
      </c>
      <c r="D449" s="240">
        <f>YEAR(PA[[#This Row],[Date]])</f>
        <v>1900</v>
      </c>
      <c r="E449" s="37" t="s">
        <v>219</v>
      </c>
      <c r="F449" s="37" t="s">
        <v>219</v>
      </c>
      <c r="G449" s="275">
        <f>PA[[#This Row],[Date]]-DAY(PA[[#This Row],[Date]])+1</f>
        <v>1</v>
      </c>
      <c r="H449" s="231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31">
        <f>IF((PA[[#This Row],[String Type(If String BD)]]&amp;PA[[#This Row],[Equipment (If any BD other than PV  array and inv)]])="",1,0)</f>
        <v>1</v>
      </c>
      <c r="S449" s="231">
        <f>IF(PA[[#This Row],[String Type(If String BD)]]="",1,0)</f>
        <v>1</v>
      </c>
      <c r="T44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33" t="str">
        <f>IFERROR(_xlfn.XLOOKUP(PA[[#This Row],[Affected Equipment ]],'Basic Data'!N:N,'Basic Data'!Q:Q),"")</f>
        <v/>
      </c>
      <c r="V449" s="237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34">
        <f>IF(PA[[#This Row],[Acknowledgement Time ]]="NA","",(PA[[#This Row],[Acknowledgement Time ]]-PA[[#This Row],[Fault Time]])*24)</f>
        <v>0</v>
      </c>
      <c r="AE449" s="234">
        <f>IF(PA[[#This Row],[Work Start time on Fault]]="NA","",(PA[[#This Row],[Work Start time on Fault]]-PA[[#This Row],[Fault Time]])*24)</f>
        <v>0</v>
      </c>
      <c r="AF449" s="235">
        <f>IF(PA[[#This Row],[Status]]="Open","",(PA[[#This Row],[Work Completion time on fault]]-PA[[#This Row],[Fault Time]])*24)</f>
        <v>0</v>
      </c>
      <c r="AG449" s="234">
        <f>IFERROR((PA[[#This Row],[Work Completion time on fault]]-PA[[#This Row],[Fault Time]])*24,"")</f>
        <v>0</v>
      </c>
      <c r="AH449" s="38"/>
      <c r="AI449" s="33"/>
      <c r="AJ449" s="233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6"/>
      <c r="C450" s="240">
        <f>YEAR(PA[[#This Row],[Date]])+IF(MONTH(PA[[#This Row],[Date]])&gt;=4,1,0)</f>
        <v>1900</v>
      </c>
      <c r="D450" s="240">
        <f>YEAR(PA[[#This Row],[Date]])</f>
        <v>1900</v>
      </c>
      <c r="E450" s="37" t="s">
        <v>219</v>
      </c>
      <c r="F450" s="37" t="s">
        <v>219</v>
      </c>
      <c r="G450" s="275">
        <f>PA[[#This Row],[Date]]-DAY(PA[[#This Row],[Date]])+1</f>
        <v>1</v>
      </c>
      <c r="H450" s="231">
        <f>DAY(EOMONTH(PA[[#This Row],[Month Year]],0))</f>
        <v>31</v>
      </c>
      <c r="I450" s="232"/>
      <c r="J450" s="232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31">
        <f>IF((PA[[#This Row],[String Type(If String BD)]]&amp;PA[[#This Row],[Equipment (If any BD other than PV  array and inv)]])="",1,0)</f>
        <v>1</v>
      </c>
      <c r="S450" s="231">
        <f>IF(PA[[#This Row],[String Type(If String BD)]]="",1,0)</f>
        <v>1</v>
      </c>
      <c r="T45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33" t="str">
        <f>IFERROR(_xlfn.XLOOKUP(PA[[#This Row],[Affected Equipment ]],'Basic Data'!N:N,'Basic Data'!Q:Q),"")</f>
        <v/>
      </c>
      <c r="V450" s="237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34">
        <f>IF(PA[[#This Row],[Acknowledgement Time ]]="NA","",(PA[[#This Row],[Acknowledgement Time ]]-PA[[#This Row],[Fault Time]])*24)</f>
        <v>0</v>
      </c>
      <c r="AE450" s="234">
        <f>IF(PA[[#This Row],[Work Start time on Fault]]="NA","",(PA[[#This Row],[Work Start time on Fault]]-PA[[#This Row],[Fault Time]])*24)</f>
        <v>0</v>
      </c>
      <c r="AF450" s="235">
        <f>IF(PA[[#This Row],[Status]]="Open","",(PA[[#This Row],[Work Completion time on fault]]-PA[[#This Row],[Fault Time]])*24)</f>
        <v>0</v>
      </c>
      <c r="AG450" s="234">
        <f>IFERROR((PA[[#This Row],[Work Completion time on fault]]-PA[[#This Row],[Fault Time]])*24,"")</f>
        <v>0</v>
      </c>
      <c r="AH450" s="38"/>
      <c r="AI450" s="33"/>
      <c r="AJ450" s="233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41">
        <f>YEAR(PA[[#This Row],[Date]])+IF(MONTH(PA[[#This Row],[Date]])&gt;=4,1,0)</f>
        <v>1900</v>
      </c>
      <c r="D451" s="33">
        <f>YEAR(PA[[#This Row],[Date]])</f>
        <v>1900</v>
      </c>
      <c r="E451" s="33" t="s">
        <v>219</v>
      </c>
      <c r="F451" s="33" t="s">
        <v>219</v>
      </c>
      <c r="G451" s="274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36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31">
        <f>YEAR(PA[[#This Row],[Date]])</f>
        <v>1900</v>
      </c>
      <c r="E452" s="33" t="s">
        <v>219</v>
      </c>
      <c r="F452" s="33" t="s">
        <v>219</v>
      </c>
      <c r="G452" s="196">
        <f>PA[[#This Row],[Date]]-DAY(PA[[#This Row],[Date]])+1</f>
        <v>1</v>
      </c>
      <c r="H452" s="231">
        <f>DAY(EOMONTH(PA[[#This Row],[Month Year]],0))</f>
        <v>31</v>
      </c>
      <c r="I452" s="366"/>
      <c r="J452" s="366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31">
        <f>IF((PA[[#This Row],[String Type(If String BD)]]&amp;PA[[#This Row],[Equipment (If any BD other than PV  array and inv)]])="",1,0)</f>
        <v>1</v>
      </c>
      <c r="S452" s="231">
        <f>IF(PA[[#This Row],[String Type(If String BD)]]="",1,0)</f>
        <v>1</v>
      </c>
      <c r="T4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33" t="str">
        <f>IFERROR(_xlfn.XLOOKUP(PA[[#This Row],[Affected Equipment ]],'Basic Data'!N:N,'Basic Data'!Q:Q),"")</f>
        <v/>
      </c>
      <c r="V452" s="237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34">
        <f>IF(PA[[#This Row],[Acknowledgement Time ]]="NA","",(PA[[#This Row],[Acknowledgement Time ]]-PA[[#This Row],[Fault Time]])*24)</f>
        <v>0</v>
      </c>
      <c r="AE452" s="234">
        <f>IF(PA[[#This Row],[Work Start time on Fault]]="NA","",(PA[[#This Row],[Work Start time on Fault]]-PA[[#This Row],[Fault Time]])*24)</f>
        <v>0</v>
      </c>
      <c r="AF452" s="235">
        <f>IF(PA[[#This Row],[Status]]="Open","",(PA[[#This Row],[Work Completion time on fault]]-PA[[#This Row],[Fault Time]])*24)</f>
        <v>0</v>
      </c>
      <c r="AG452" s="234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31">
        <f>YEAR(PA[[#This Row],[Date]])</f>
        <v>1900</v>
      </c>
      <c r="E453" s="33" t="s">
        <v>219</v>
      </c>
      <c r="F453" s="33" t="s">
        <v>219</v>
      </c>
      <c r="G453" s="196">
        <f>PA[[#This Row],[Date]]-DAY(PA[[#This Row],[Date]])+1</f>
        <v>1</v>
      </c>
      <c r="H453" s="231">
        <f>DAY(EOMONTH(PA[[#This Row],[Month Year]],0))</f>
        <v>31</v>
      </c>
      <c r="I453" s="366"/>
      <c r="J453" s="366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31">
        <f>IF((PA[[#This Row],[String Type(If String BD)]]&amp;PA[[#This Row],[Equipment (If any BD other than PV  array and inv)]])="",1,0)</f>
        <v>1</v>
      </c>
      <c r="S453" s="231">
        <f>IF(PA[[#This Row],[String Type(If String BD)]]="",1,0)</f>
        <v>1</v>
      </c>
      <c r="T45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33" t="str">
        <f>IFERROR(_xlfn.XLOOKUP(PA[[#This Row],[Affected Equipment ]],'Basic Data'!N:N,'Basic Data'!Q:Q),"")</f>
        <v/>
      </c>
      <c r="V453" s="237" t="str">
        <f>IFERROR(_xlfn.XLOOKUP(PA[[#This Row],[Affected Equipment ]],'Basic Data'!N:N,'Basic Data'!R:R),"")</f>
        <v/>
      </c>
      <c r="W453" s="36"/>
      <c r="X453" s="41"/>
      <c r="Y453" s="350"/>
      <c r="Z453" s="42"/>
      <c r="AA453" s="42"/>
      <c r="AB453" s="42"/>
      <c r="AC453" s="42"/>
      <c r="AD453" s="234">
        <f>IF(PA[[#This Row],[Acknowledgement Time ]]="NA","",(PA[[#This Row],[Acknowledgement Time ]]-PA[[#This Row],[Fault Time]])*24)</f>
        <v>0</v>
      </c>
      <c r="AE453" s="234">
        <f>IF(PA[[#This Row],[Work Start time on Fault]]="NA","",(PA[[#This Row],[Work Start time on Fault]]-PA[[#This Row],[Fault Time]])*24)</f>
        <v>0</v>
      </c>
      <c r="AF453" s="235">
        <f>IF(PA[[#This Row],[Status]]="Open","",(PA[[#This Row],[Work Completion time on fault]]-PA[[#This Row],[Fault Time]])*24)</f>
        <v>0</v>
      </c>
      <c r="AG453" s="234">
        <f>IFERROR((PA[[#This Row],[Work Completion time on fault]]-PA[[#This Row],[Fault Time]])*24,"")</f>
        <v>0</v>
      </c>
      <c r="AH453" s="36"/>
      <c r="AI453" s="33"/>
      <c r="AJ453" s="233" t="str">
        <f>IFERROR(PA[[#This Row],[Breakdown Time]]*PA[[#This Row],[Plant Equivalent Weightage]],"")</f>
        <v/>
      </c>
      <c r="AK453" s="38"/>
      <c r="AL453" s="342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31">
        <f>YEAR(PA[[#This Row],[Date]])</f>
        <v>1900</v>
      </c>
      <c r="E454" s="33" t="s">
        <v>219</v>
      </c>
      <c r="F454" s="33" t="s">
        <v>219</v>
      </c>
      <c r="G454" s="196">
        <f>PA[[#This Row],[Date]]-DAY(PA[[#This Row],[Date]])+1</f>
        <v>1</v>
      </c>
      <c r="H454" s="231">
        <f>DAY(EOMONTH(PA[[#This Row],[Month Year]],0))</f>
        <v>31</v>
      </c>
      <c r="I454" s="366"/>
      <c r="J454" s="366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31">
        <f>IF((PA[[#This Row],[String Type(If String BD)]]&amp;PA[[#This Row],[Equipment (If any BD other than PV  array and inv)]])="",1,0)</f>
        <v>1</v>
      </c>
      <c r="S454" s="231">
        <f>IF(PA[[#This Row],[String Type(If String BD)]]="",1,0)</f>
        <v>1</v>
      </c>
      <c r="T4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33" t="str">
        <f>IFERROR(_xlfn.XLOOKUP(PA[[#This Row],[Affected Equipment ]],'Basic Data'!N:N,'Basic Data'!Q:Q),"")</f>
        <v/>
      </c>
      <c r="V454" s="237" t="str">
        <f>IFERROR(_xlfn.XLOOKUP(PA[[#This Row],[Affected Equipment ]],'Basic Data'!N:N,'Basic Data'!R:R),"")</f>
        <v/>
      </c>
      <c r="W454" s="36"/>
      <c r="X454" s="41"/>
      <c r="Y454" s="350"/>
      <c r="Z454" s="42"/>
      <c r="AA454" s="42"/>
      <c r="AB454" s="42"/>
      <c r="AC454" s="42"/>
      <c r="AD454" s="234">
        <f>IF(PA[[#This Row],[Acknowledgement Time ]]="NA","",(PA[[#This Row],[Acknowledgement Time ]]-PA[[#This Row],[Fault Time]])*24)</f>
        <v>0</v>
      </c>
      <c r="AE454" s="234">
        <f>IF(PA[[#This Row],[Work Start time on Fault]]="NA","",(PA[[#This Row],[Work Start time on Fault]]-PA[[#This Row],[Fault Time]])*24)</f>
        <v>0</v>
      </c>
      <c r="AF454" s="235">
        <f>IF(PA[[#This Row],[Status]]="Open","",(PA[[#This Row],[Work Completion time on fault]]-PA[[#This Row],[Fault Time]])*24)</f>
        <v>0</v>
      </c>
      <c r="AG454" s="234">
        <f>IFERROR((PA[[#This Row],[Work Completion time on fault]]-PA[[#This Row],[Fault Time]])*24,"")</f>
        <v>0</v>
      </c>
      <c r="AH454" s="36"/>
      <c r="AI454" s="33"/>
      <c r="AJ454" s="233" t="str">
        <f>IFERROR(PA[[#This Row],[Breakdown Time]]*PA[[#This Row],[Plant Equivalent Weightage]],"")</f>
        <v/>
      </c>
      <c r="AK454" s="38"/>
      <c r="AL454" s="342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31">
        <f>YEAR(PA[[#This Row],[Date]])</f>
        <v>1900</v>
      </c>
      <c r="E455" s="33" t="s">
        <v>219</v>
      </c>
      <c r="F455" s="33" t="s">
        <v>219</v>
      </c>
      <c r="G455" s="196">
        <f>PA[[#This Row],[Date]]-DAY(PA[[#This Row],[Date]])+1</f>
        <v>1</v>
      </c>
      <c r="H455" s="231">
        <f>DAY(EOMONTH(PA[[#This Row],[Month Year]],0))</f>
        <v>31</v>
      </c>
      <c r="I455" s="366"/>
      <c r="J455" s="366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31">
        <f>IF((PA[[#This Row],[String Type(If String BD)]]&amp;PA[[#This Row],[Equipment (If any BD other than PV  array and inv)]])="",1,0)</f>
        <v>1</v>
      </c>
      <c r="S455" s="231">
        <f>IF(PA[[#This Row],[String Type(If String BD)]]="",1,0)</f>
        <v>1</v>
      </c>
      <c r="T4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33" t="str">
        <f>IFERROR(_xlfn.XLOOKUP(PA[[#This Row],[Affected Equipment ]],'Basic Data'!N:N,'Basic Data'!Q:Q),"")</f>
        <v/>
      </c>
      <c r="V455" s="237" t="str">
        <f>IFERROR(_xlfn.XLOOKUP(PA[[#This Row],[Affected Equipment ]],'Basic Data'!N:N,'Basic Data'!R:R),"")</f>
        <v/>
      </c>
      <c r="W455" s="36"/>
      <c r="X455" s="41"/>
      <c r="Y455" s="350"/>
      <c r="Z455" s="42"/>
      <c r="AA455" s="42"/>
      <c r="AB455" s="42"/>
      <c r="AC455" s="42"/>
      <c r="AD455" s="234">
        <f>IF(PA[[#This Row],[Acknowledgement Time ]]="NA","",(PA[[#This Row],[Acknowledgement Time ]]-PA[[#This Row],[Fault Time]])*24)</f>
        <v>0</v>
      </c>
      <c r="AE455" s="234">
        <f>IF(PA[[#This Row],[Work Start time on Fault]]="NA","",(PA[[#This Row],[Work Start time on Fault]]-PA[[#This Row],[Fault Time]])*24)</f>
        <v>0</v>
      </c>
      <c r="AF455" s="235">
        <f>IF(PA[[#This Row],[Status]]="Open","",(PA[[#This Row],[Work Completion time on fault]]-PA[[#This Row],[Fault Time]])*24)</f>
        <v>0</v>
      </c>
      <c r="AG455" s="234">
        <f>IFERROR((PA[[#This Row],[Work Completion time on fault]]-PA[[#This Row],[Fault Time]])*24,"")</f>
        <v>0</v>
      </c>
      <c r="AH455" s="36"/>
      <c r="AI455" s="33"/>
      <c r="AJ455" s="233" t="str">
        <f>IFERROR(PA[[#This Row],[Breakdown Time]]*PA[[#This Row],[Plant Equivalent Weightage]],"")</f>
        <v/>
      </c>
      <c r="AK455" s="38"/>
      <c r="AL455" s="342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31">
        <f>YEAR(PA[[#This Row],[Date]])</f>
        <v>1900</v>
      </c>
      <c r="E456" s="33" t="s">
        <v>219</v>
      </c>
      <c r="F456" s="33" t="s">
        <v>219</v>
      </c>
      <c r="G456" s="196">
        <f>PA[[#This Row],[Date]]-DAY(PA[[#This Row],[Date]])+1</f>
        <v>1</v>
      </c>
      <c r="H456" s="231">
        <f>DAY(EOMONTH(PA[[#This Row],[Month Year]],0))</f>
        <v>31</v>
      </c>
      <c r="I456" s="366"/>
      <c r="J456" s="366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31">
        <f>IF((PA[[#This Row],[String Type(If String BD)]]&amp;PA[[#This Row],[Equipment (If any BD other than PV  array and inv)]])="",1,0)</f>
        <v>1</v>
      </c>
      <c r="S456" s="231">
        <f>IF(PA[[#This Row],[String Type(If String BD)]]="",1,0)</f>
        <v>1</v>
      </c>
      <c r="T45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33" t="str">
        <f>IFERROR(_xlfn.XLOOKUP(PA[[#This Row],[Affected Equipment ]],'Basic Data'!N:N,'Basic Data'!Q:Q),"")</f>
        <v/>
      </c>
      <c r="V456" s="237" t="str">
        <f>IFERROR(_xlfn.XLOOKUP(PA[[#This Row],[Affected Equipment ]],'Basic Data'!N:N,'Basic Data'!R:R),"")</f>
        <v/>
      </c>
      <c r="W456" s="36"/>
      <c r="X456" s="41"/>
      <c r="Y456" s="350"/>
      <c r="Z456" s="42"/>
      <c r="AA456" s="42"/>
      <c r="AB456" s="42"/>
      <c r="AC456" s="42"/>
      <c r="AD456" s="234">
        <f>IF(PA[[#This Row],[Acknowledgement Time ]]="NA","",(PA[[#This Row],[Acknowledgement Time ]]-PA[[#This Row],[Fault Time]])*24)</f>
        <v>0</v>
      </c>
      <c r="AE456" s="234">
        <f>IF(PA[[#This Row],[Work Start time on Fault]]="NA","",(PA[[#This Row],[Work Start time on Fault]]-PA[[#This Row],[Fault Time]])*24)</f>
        <v>0</v>
      </c>
      <c r="AF456" s="235">
        <f>IF(PA[[#This Row],[Status]]="Open","",(PA[[#This Row],[Work Completion time on fault]]-PA[[#This Row],[Fault Time]])*24)</f>
        <v>0</v>
      </c>
      <c r="AG456" s="234">
        <f>IFERROR((PA[[#This Row],[Work Completion time on fault]]-PA[[#This Row],[Fault Time]])*24,"")</f>
        <v>0</v>
      </c>
      <c r="AH456" s="36"/>
      <c r="AI456" s="33"/>
      <c r="AJ456" s="233" t="str">
        <f>IFERROR(PA[[#This Row],[Breakdown Time]]*PA[[#This Row],[Plant Equivalent Weightage]],"")</f>
        <v/>
      </c>
      <c r="AK456" s="38"/>
      <c r="AL456" s="342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31">
        <f>YEAR(PA[[#This Row],[Date]])</f>
        <v>1900</v>
      </c>
      <c r="E457" s="33" t="s">
        <v>219</v>
      </c>
      <c r="F457" s="33" t="s">
        <v>219</v>
      </c>
      <c r="G457" s="196">
        <f>PA[[#This Row],[Date]]-DAY(PA[[#This Row],[Date]])+1</f>
        <v>1</v>
      </c>
      <c r="H457" s="231">
        <f>DAY(EOMONTH(PA[[#This Row],[Month Year]],0))</f>
        <v>31</v>
      </c>
      <c r="I457" s="366"/>
      <c r="J457" s="366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31">
        <f>IF((PA[[#This Row],[String Type(If String BD)]]&amp;PA[[#This Row],[Equipment (If any BD other than PV  array and inv)]])="",1,0)</f>
        <v>1</v>
      </c>
      <c r="S457" s="231">
        <f>IF(PA[[#This Row],[String Type(If String BD)]]="",1,0)</f>
        <v>1</v>
      </c>
      <c r="T4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33" t="str">
        <f>IFERROR(_xlfn.XLOOKUP(PA[[#This Row],[Affected Equipment ]],'Basic Data'!N:N,'Basic Data'!Q:Q),"")</f>
        <v/>
      </c>
      <c r="V457" s="237" t="str">
        <f>IFERROR(_xlfn.XLOOKUP(PA[[#This Row],[Affected Equipment ]],'Basic Data'!N:N,'Basic Data'!R:R),"")</f>
        <v/>
      </c>
      <c r="W457" s="36"/>
      <c r="X457" s="41"/>
      <c r="Y457" s="350"/>
      <c r="Z457" s="42"/>
      <c r="AA457" s="42"/>
      <c r="AB457" s="42"/>
      <c r="AC457" s="42"/>
      <c r="AD457" s="234">
        <f>IF(PA[[#This Row],[Acknowledgement Time ]]="NA","",(PA[[#This Row],[Acknowledgement Time ]]-PA[[#This Row],[Fault Time]])*24)</f>
        <v>0</v>
      </c>
      <c r="AE457" s="234">
        <f>IF(PA[[#This Row],[Work Start time on Fault]]="NA","",(PA[[#This Row],[Work Start time on Fault]]-PA[[#This Row],[Fault Time]])*24)</f>
        <v>0</v>
      </c>
      <c r="AF457" s="235">
        <f>IF(PA[[#This Row],[Status]]="Open","",(PA[[#This Row],[Work Completion time on fault]]-PA[[#This Row],[Fault Time]])*24)</f>
        <v>0</v>
      </c>
      <c r="AG457" s="234">
        <f>IFERROR((PA[[#This Row],[Work Completion time on fault]]-PA[[#This Row],[Fault Time]])*24,"")</f>
        <v>0</v>
      </c>
      <c r="AH457" s="36"/>
      <c r="AI457" s="33"/>
      <c r="AJ457" s="233" t="str">
        <f>IFERROR(PA[[#This Row],[Breakdown Time]]*PA[[#This Row],[Plant Equivalent Weightage]],"")</f>
        <v/>
      </c>
      <c r="AK457" s="38"/>
      <c r="AL457" s="342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31">
        <f>YEAR(PA[[#This Row],[Date]])</f>
        <v>1900</v>
      </c>
      <c r="E458" s="33" t="s">
        <v>219</v>
      </c>
      <c r="F458" s="33" t="s">
        <v>219</v>
      </c>
      <c r="G458" s="196">
        <f>PA[[#This Row],[Date]]-DAY(PA[[#This Row],[Date]])+1</f>
        <v>1</v>
      </c>
      <c r="H458" s="231">
        <f>DAY(EOMONTH(PA[[#This Row],[Month Year]],0))</f>
        <v>31</v>
      </c>
      <c r="I458" s="366"/>
      <c r="J458" s="366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31">
        <f>IF((PA[[#This Row],[String Type(If String BD)]]&amp;PA[[#This Row],[Equipment (If any BD other than PV  array and inv)]])="",1,0)</f>
        <v>1</v>
      </c>
      <c r="S458" s="231">
        <f>IF(PA[[#This Row],[String Type(If String BD)]]="",1,0)</f>
        <v>1</v>
      </c>
      <c r="T4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33" t="str">
        <f>IFERROR(_xlfn.XLOOKUP(PA[[#This Row],[Affected Equipment ]],'Basic Data'!N:N,'Basic Data'!Q:Q),"")</f>
        <v/>
      </c>
      <c r="V458" s="237" t="str">
        <f>IFERROR(_xlfn.XLOOKUP(PA[[#This Row],[Affected Equipment ]],'Basic Data'!N:N,'Basic Data'!R:R),"")</f>
        <v/>
      </c>
      <c r="W458" s="36"/>
      <c r="X458" s="41"/>
      <c r="Y458" s="350"/>
      <c r="Z458" s="42"/>
      <c r="AA458" s="42"/>
      <c r="AB458" s="42"/>
      <c r="AC458" s="42"/>
      <c r="AD458" s="234">
        <f>IF(PA[[#This Row],[Acknowledgement Time ]]="NA","",(PA[[#This Row],[Acknowledgement Time ]]-PA[[#This Row],[Fault Time]])*24)</f>
        <v>0</v>
      </c>
      <c r="AE458" s="234">
        <f>IF(PA[[#This Row],[Work Start time on Fault]]="NA","",(PA[[#This Row],[Work Start time on Fault]]-PA[[#This Row],[Fault Time]])*24)</f>
        <v>0</v>
      </c>
      <c r="AF458" s="235">
        <f>IF(PA[[#This Row],[Status]]="Open","",(PA[[#This Row],[Work Completion time on fault]]-PA[[#This Row],[Fault Time]])*24)</f>
        <v>0</v>
      </c>
      <c r="AG458" s="234">
        <f>IFERROR((PA[[#This Row],[Work Completion time on fault]]-PA[[#This Row],[Fault Time]])*24,"")</f>
        <v>0</v>
      </c>
      <c r="AH458" s="36"/>
      <c r="AI458" s="33"/>
      <c r="AJ458" s="233" t="str">
        <f>IFERROR(PA[[#This Row],[Breakdown Time]]*PA[[#This Row],[Plant Equivalent Weightage]],"")</f>
        <v/>
      </c>
      <c r="AK458" s="38"/>
      <c r="AL458" s="342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31">
        <f>YEAR(PA[[#This Row],[Date]])</f>
        <v>1900</v>
      </c>
      <c r="E459" s="33" t="s">
        <v>219</v>
      </c>
      <c r="F459" s="33" t="s">
        <v>219</v>
      </c>
      <c r="G459" s="196">
        <f>PA[[#This Row],[Date]]-DAY(PA[[#This Row],[Date]])+1</f>
        <v>1</v>
      </c>
      <c r="H459" s="231">
        <f>DAY(EOMONTH(PA[[#This Row],[Month Year]],0))</f>
        <v>31</v>
      </c>
      <c r="I459" s="366"/>
      <c r="J459" s="366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31">
        <f>IF((PA[[#This Row],[String Type(If String BD)]]&amp;PA[[#This Row],[Equipment (If any BD other than PV  array and inv)]])="",1,0)</f>
        <v>1</v>
      </c>
      <c r="S459" s="231">
        <f>IF(PA[[#This Row],[String Type(If String BD)]]="",1,0)</f>
        <v>1</v>
      </c>
      <c r="T45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33" t="str">
        <f>IFERROR(_xlfn.XLOOKUP(PA[[#This Row],[Affected Equipment ]],'Basic Data'!N:N,'Basic Data'!Q:Q),"")</f>
        <v/>
      </c>
      <c r="V459" s="237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34">
        <f>IF(PA[[#This Row],[Acknowledgement Time ]]="NA","",(PA[[#This Row],[Acknowledgement Time ]]-PA[[#This Row],[Fault Time]])*24)</f>
        <v>0</v>
      </c>
      <c r="AE459" s="234">
        <f>IF(PA[[#This Row],[Work Start time on Fault]]="NA","",(PA[[#This Row],[Work Start time on Fault]]-PA[[#This Row],[Fault Time]])*24)</f>
        <v>0</v>
      </c>
      <c r="AF459" s="235">
        <f>IF(PA[[#This Row],[Status]]="Open","",(PA[[#This Row],[Work Completion time on fault]]-PA[[#This Row],[Fault Time]])*24)</f>
        <v>0</v>
      </c>
      <c r="AG459" s="234">
        <f>IFERROR((PA[[#This Row],[Work Completion time on fault]]-PA[[#This Row],[Fault Time]])*24,"")</f>
        <v>0</v>
      </c>
      <c r="AH459" s="38"/>
      <c r="AI459" s="33"/>
      <c r="AJ459" s="233" t="str">
        <f>IFERROR(PA[[#This Row],[Breakdown Time]]*PA[[#This Row],[Plant Equivalent Weightage]],"")</f>
        <v/>
      </c>
      <c r="AK459" s="38"/>
      <c r="AL459" s="342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31">
        <f>YEAR(PA[[#This Row],[Date]])</f>
        <v>1900</v>
      </c>
      <c r="E460" s="33" t="s">
        <v>219</v>
      </c>
      <c r="F460" s="33" t="s">
        <v>219</v>
      </c>
      <c r="G460" s="196">
        <f>PA[[#This Row],[Date]]-DAY(PA[[#This Row],[Date]])+1</f>
        <v>1</v>
      </c>
      <c r="H460" s="231">
        <f>DAY(EOMONTH(PA[[#This Row],[Month Year]],0))</f>
        <v>31</v>
      </c>
      <c r="I460" s="366"/>
      <c r="J460" s="366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31">
        <f>IF((PA[[#This Row],[String Type(If String BD)]]&amp;PA[[#This Row],[Equipment (If any BD other than PV  array and inv)]])="",1,0)</f>
        <v>1</v>
      </c>
      <c r="S460" s="231">
        <f>IF(PA[[#This Row],[String Type(If String BD)]]="",1,0)</f>
        <v>1</v>
      </c>
      <c r="T4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33" t="str">
        <f>IFERROR(_xlfn.XLOOKUP(PA[[#This Row],[Affected Equipment ]],'Basic Data'!N:N,'Basic Data'!Q:Q),"")</f>
        <v/>
      </c>
      <c r="V460" s="237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34">
        <f>IF(PA[[#This Row],[Acknowledgement Time ]]="NA","",(PA[[#This Row],[Acknowledgement Time ]]-PA[[#This Row],[Fault Time]])*24)</f>
        <v>0</v>
      </c>
      <c r="AE460" s="234">
        <f>IF(PA[[#This Row],[Work Start time on Fault]]="NA","",(PA[[#This Row],[Work Start time on Fault]]-PA[[#This Row],[Fault Time]])*24)</f>
        <v>0</v>
      </c>
      <c r="AF460" s="235">
        <f>IF(PA[[#This Row],[Status]]="Open","",(PA[[#This Row],[Work Completion time on fault]]-PA[[#This Row],[Fault Time]])*24)</f>
        <v>0</v>
      </c>
      <c r="AG460" s="234">
        <f>IFERROR((PA[[#This Row],[Work Completion time on fault]]-PA[[#This Row],[Fault Time]])*24,"")</f>
        <v>0</v>
      </c>
      <c r="AH460" s="38"/>
      <c r="AI460" s="33"/>
      <c r="AJ460" s="233" t="str">
        <f>IFERROR(PA[[#This Row],[Breakdown Time]]*PA[[#This Row],[Plant Equivalent Weightage]],"")</f>
        <v/>
      </c>
      <c r="AK460" s="38"/>
      <c r="AL460" s="342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31">
        <f>YEAR(PA[[#This Row],[Date]])</f>
        <v>1900</v>
      </c>
      <c r="E461" s="33" t="s">
        <v>219</v>
      </c>
      <c r="F461" s="33" t="s">
        <v>219</v>
      </c>
      <c r="G461" s="196">
        <f>PA[[#This Row],[Date]]-DAY(PA[[#This Row],[Date]])+1</f>
        <v>1</v>
      </c>
      <c r="H461" s="231">
        <f>DAY(EOMONTH(PA[[#This Row],[Month Year]],0))</f>
        <v>31</v>
      </c>
      <c r="I461" s="366"/>
      <c r="J461" s="366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31">
        <f>IF((PA[[#This Row],[String Type(If String BD)]]&amp;PA[[#This Row],[Equipment (If any BD other than PV  array and inv)]])="",1,0)</f>
        <v>1</v>
      </c>
      <c r="S461" s="231">
        <f>IF(PA[[#This Row],[String Type(If String BD)]]="",1,0)</f>
        <v>1</v>
      </c>
      <c r="T46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33" t="str">
        <f>IFERROR(_xlfn.XLOOKUP(PA[[#This Row],[Affected Equipment ]],'Basic Data'!N:N,'Basic Data'!Q:Q),"")</f>
        <v/>
      </c>
      <c r="V461" s="237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34">
        <f>IF(PA[[#This Row],[Acknowledgement Time ]]="NA","",(PA[[#This Row],[Acknowledgement Time ]]-PA[[#This Row],[Fault Time]])*24)</f>
        <v>0</v>
      </c>
      <c r="AE461" s="234">
        <f>IF(PA[[#This Row],[Work Start time on Fault]]="NA","",(PA[[#This Row],[Work Start time on Fault]]-PA[[#This Row],[Fault Time]])*24)</f>
        <v>0</v>
      </c>
      <c r="AF461" s="235">
        <f>IF(PA[[#This Row],[Status]]="Open","",(PA[[#This Row],[Work Completion time on fault]]-PA[[#This Row],[Fault Time]])*24)</f>
        <v>0</v>
      </c>
      <c r="AG461" s="234">
        <f>IFERROR((PA[[#This Row],[Work Completion time on fault]]-PA[[#This Row],[Fault Time]])*24,"")</f>
        <v>0</v>
      </c>
      <c r="AH461" s="38"/>
      <c r="AI461" s="33"/>
      <c r="AJ461" s="233" t="str">
        <f>IFERROR(PA[[#This Row],[Breakdown Time]]*PA[[#This Row],[Plant Equivalent Weightage]],"")</f>
        <v/>
      </c>
      <c r="AK461" s="38"/>
      <c r="AL461" s="342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31">
        <f>YEAR(PA[[#This Row],[Date]])</f>
        <v>1900</v>
      </c>
      <c r="E462" s="33" t="s">
        <v>219</v>
      </c>
      <c r="F462" s="33" t="s">
        <v>219</v>
      </c>
      <c r="G462" s="196">
        <f>PA[[#This Row],[Date]]-DAY(PA[[#This Row],[Date]])+1</f>
        <v>1</v>
      </c>
      <c r="H462" s="231">
        <f>DAY(EOMONTH(PA[[#This Row],[Month Year]],0))</f>
        <v>31</v>
      </c>
      <c r="I462" s="366"/>
      <c r="J462" s="366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31">
        <f>IF((PA[[#This Row],[String Type(If String BD)]]&amp;PA[[#This Row],[Equipment (If any BD other than PV  array and inv)]])="",1,0)</f>
        <v>1</v>
      </c>
      <c r="S462" s="231">
        <f>IF(PA[[#This Row],[String Type(If String BD)]]="",1,0)</f>
        <v>1</v>
      </c>
      <c r="T46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33" t="str">
        <f>IFERROR(_xlfn.XLOOKUP(PA[[#This Row],[Affected Equipment ]],'Basic Data'!N:N,'Basic Data'!Q:Q),"")</f>
        <v/>
      </c>
      <c r="V462" s="237" t="str">
        <f>IFERROR(_xlfn.XLOOKUP(PA[[#This Row],[Affected Equipment ]],'Basic Data'!N:N,'Basic Data'!R:R),"")</f>
        <v/>
      </c>
      <c r="W462" s="36"/>
      <c r="X462" s="41"/>
      <c r="Y462" s="350"/>
      <c r="Z462" s="42"/>
      <c r="AA462" s="42"/>
      <c r="AB462" s="42"/>
      <c r="AC462" s="42"/>
      <c r="AD462" s="234">
        <f>IF(PA[[#This Row],[Acknowledgement Time ]]="NA","",(PA[[#This Row],[Acknowledgement Time ]]-PA[[#This Row],[Fault Time]])*24)</f>
        <v>0</v>
      </c>
      <c r="AE462" s="234">
        <f>IF(PA[[#This Row],[Work Start time on Fault]]="NA","",(PA[[#This Row],[Work Start time on Fault]]-PA[[#This Row],[Fault Time]])*24)</f>
        <v>0</v>
      </c>
      <c r="AF462" s="235">
        <f>IF(PA[[#This Row],[Status]]="Open","",(PA[[#This Row],[Work Completion time on fault]]-PA[[#This Row],[Fault Time]])*24)</f>
        <v>0</v>
      </c>
      <c r="AG462" s="234">
        <f>IFERROR((PA[[#This Row],[Work Completion time on fault]]-PA[[#This Row],[Fault Time]])*24,"")</f>
        <v>0</v>
      </c>
      <c r="AH462" s="36"/>
      <c r="AI462" s="33"/>
      <c r="AJ462" s="233" t="str">
        <f>IFERROR(PA[[#This Row],[Breakdown Time]]*PA[[#This Row],[Plant Equivalent Weightage]],"")</f>
        <v/>
      </c>
      <c r="AK462" s="38"/>
      <c r="AL462" s="342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31">
        <f>YEAR(PA[[#This Row],[Date]])</f>
        <v>1900</v>
      </c>
      <c r="E463" s="33" t="s">
        <v>219</v>
      </c>
      <c r="F463" s="33" t="s">
        <v>219</v>
      </c>
      <c r="G463" s="196">
        <f>PA[[#This Row],[Date]]-DAY(PA[[#This Row],[Date]])+1</f>
        <v>1</v>
      </c>
      <c r="H463" s="231">
        <f>DAY(EOMONTH(PA[[#This Row],[Month Year]],0))</f>
        <v>31</v>
      </c>
      <c r="I463" s="366"/>
      <c r="J463" s="366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31">
        <f>IF((PA[[#This Row],[String Type(If String BD)]]&amp;PA[[#This Row],[Equipment (If any BD other than PV  array and inv)]])="",1,0)</f>
        <v>1</v>
      </c>
      <c r="S463" s="231">
        <f>IF(PA[[#This Row],[String Type(If String BD)]]="",1,0)</f>
        <v>1</v>
      </c>
      <c r="T4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33" t="str">
        <f>IFERROR(_xlfn.XLOOKUP(PA[[#This Row],[Affected Equipment ]],'Basic Data'!N:N,'Basic Data'!Q:Q),"")</f>
        <v/>
      </c>
      <c r="V463" s="237" t="str">
        <f>IFERROR(_xlfn.XLOOKUP(PA[[#This Row],[Affected Equipment ]],'Basic Data'!N:N,'Basic Data'!R:R),"")</f>
        <v/>
      </c>
      <c r="W463" s="36"/>
      <c r="X463" s="41"/>
      <c r="Y463" s="350"/>
      <c r="Z463" s="42"/>
      <c r="AA463" s="42"/>
      <c r="AB463" s="42"/>
      <c r="AC463" s="42"/>
      <c r="AD463" s="234">
        <f>IF(PA[[#This Row],[Acknowledgement Time ]]="NA","",(PA[[#This Row],[Acknowledgement Time ]]-PA[[#This Row],[Fault Time]])*24)</f>
        <v>0</v>
      </c>
      <c r="AE463" s="234">
        <f>IF(PA[[#This Row],[Work Start time on Fault]]="NA","",(PA[[#This Row],[Work Start time on Fault]]-PA[[#This Row],[Fault Time]])*24)</f>
        <v>0</v>
      </c>
      <c r="AF463" s="235">
        <f>IF(PA[[#This Row],[Status]]="Open","",(PA[[#This Row],[Work Completion time on fault]]-PA[[#This Row],[Fault Time]])*24)</f>
        <v>0</v>
      </c>
      <c r="AG463" s="234">
        <f>IFERROR((PA[[#This Row],[Work Completion time on fault]]-PA[[#This Row],[Fault Time]])*24,"")</f>
        <v>0</v>
      </c>
      <c r="AH463" s="36"/>
      <c r="AI463" s="33"/>
      <c r="AJ463" s="233" t="str">
        <f>IFERROR(PA[[#This Row],[Breakdown Time]]*PA[[#This Row],[Plant Equivalent Weightage]],"")</f>
        <v/>
      </c>
      <c r="AK463" s="38"/>
      <c r="AL463" s="342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31">
        <f>YEAR(PA[[#This Row],[Date]])</f>
        <v>1900</v>
      </c>
      <c r="E464" s="33" t="s">
        <v>219</v>
      </c>
      <c r="F464" s="33" t="s">
        <v>219</v>
      </c>
      <c r="G464" s="196">
        <f>PA[[#This Row],[Date]]-DAY(PA[[#This Row],[Date]])+1</f>
        <v>1</v>
      </c>
      <c r="H464" s="231">
        <f>DAY(EOMONTH(PA[[#This Row],[Month Year]],0))</f>
        <v>31</v>
      </c>
      <c r="I464" s="366"/>
      <c r="J464" s="366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31">
        <f>IF((PA[[#This Row],[String Type(If String BD)]]&amp;PA[[#This Row],[Equipment (If any BD other than PV  array and inv)]])="",1,0)</f>
        <v>1</v>
      </c>
      <c r="S464" s="231">
        <f>IF(PA[[#This Row],[String Type(If String BD)]]="",1,0)</f>
        <v>1</v>
      </c>
      <c r="T46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33" t="str">
        <f>IFERROR(_xlfn.XLOOKUP(PA[[#This Row],[Affected Equipment ]],'Basic Data'!N:N,'Basic Data'!Q:Q),"")</f>
        <v/>
      </c>
      <c r="V464" s="237" t="str">
        <f>IFERROR(_xlfn.XLOOKUP(PA[[#This Row],[Affected Equipment ]],'Basic Data'!N:N,'Basic Data'!R:R),"")</f>
        <v/>
      </c>
      <c r="W464" s="36"/>
      <c r="X464" s="41"/>
      <c r="Y464" s="347"/>
      <c r="Z464" s="42"/>
      <c r="AA464" s="42"/>
      <c r="AB464" s="42"/>
      <c r="AC464" s="42"/>
      <c r="AD464" s="234">
        <f>IF(PA[[#This Row],[Acknowledgement Time ]]="NA","",(PA[[#This Row],[Acknowledgement Time ]]-PA[[#This Row],[Fault Time]])*24)</f>
        <v>0</v>
      </c>
      <c r="AE464" s="234">
        <f>IF(PA[[#This Row],[Work Start time on Fault]]="NA","",(PA[[#This Row],[Work Start time on Fault]]-PA[[#This Row],[Fault Time]])*24)</f>
        <v>0</v>
      </c>
      <c r="AF464" s="235">
        <f>IF(PA[[#This Row],[Status]]="Open","",(PA[[#This Row],[Work Completion time on fault]]-PA[[#This Row],[Fault Time]])*24)</f>
        <v>0</v>
      </c>
      <c r="AG464" s="234">
        <f>IFERROR((PA[[#This Row],[Work Completion time on fault]]-PA[[#This Row],[Fault Time]])*24,"")</f>
        <v>0</v>
      </c>
      <c r="AH464" s="348"/>
      <c r="AI464" s="33"/>
      <c r="AJ464" s="233" t="str">
        <f>IFERROR(PA[[#This Row],[Breakdown Time]]*PA[[#This Row],[Plant Equivalent Weightage]],"")</f>
        <v/>
      </c>
      <c r="AK464" s="38"/>
      <c r="AL464" s="342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31">
        <f>YEAR(PA[[#This Row],[Date]])</f>
        <v>1900</v>
      </c>
      <c r="E465" s="33" t="s">
        <v>219</v>
      </c>
      <c r="F465" s="33" t="s">
        <v>219</v>
      </c>
      <c r="G465" s="196">
        <f>PA[[#This Row],[Date]]-DAY(PA[[#This Row],[Date]])+1</f>
        <v>1</v>
      </c>
      <c r="H465" s="231">
        <f>DAY(EOMONTH(PA[[#This Row],[Month Year]],0))</f>
        <v>31</v>
      </c>
      <c r="I465" s="366"/>
      <c r="J465" s="366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31">
        <f>IF((PA[[#This Row],[String Type(If String BD)]]&amp;PA[[#This Row],[Equipment (If any BD other than PV  array and inv)]])="",1,0)</f>
        <v>1</v>
      </c>
      <c r="S465" s="231">
        <f>IF(PA[[#This Row],[String Type(If String BD)]]="",1,0)</f>
        <v>1</v>
      </c>
      <c r="T46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33" t="str">
        <f>IFERROR(_xlfn.XLOOKUP(PA[[#This Row],[Affected Equipment ]],'Basic Data'!N:N,'Basic Data'!Q:Q),"")</f>
        <v/>
      </c>
      <c r="V465" s="237" t="str">
        <f>IFERROR(_xlfn.XLOOKUP(PA[[#This Row],[Affected Equipment ]],'Basic Data'!N:N,'Basic Data'!R:R),"")</f>
        <v/>
      </c>
      <c r="W465" s="36"/>
      <c r="X465" s="41"/>
      <c r="Y465" s="347"/>
      <c r="Z465" s="42"/>
      <c r="AA465" s="42"/>
      <c r="AB465" s="42"/>
      <c r="AC465" s="42"/>
      <c r="AD465" s="234">
        <f>IF(PA[[#This Row],[Acknowledgement Time ]]="NA","",(PA[[#This Row],[Acknowledgement Time ]]-PA[[#This Row],[Fault Time]])*24)</f>
        <v>0</v>
      </c>
      <c r="AE465" s="234">
        <f>IF(PA[[#This Row],[Work Start time on Fault]]="NA","",(PA[[#This Row],[Work Start time on Fault]]-PA[[#This Row],[Fault Time]])*24)</f>
        <v>0</v>
      </c>
      <c r="AF465" s="235">
        <f>IF(PA[[#This Row],[Status]]="Open","",(PA[[#This Row],[Work Completion time on fault]]-PA[[#This Row],[Fault Time]])*24)</f>
        <v>0</v>
      </c>
      <c r="AG465" s="234">
        <f>IFERROR((PA[[#This Row],[Work Completion time on fault]]-PA[[#This Row],[Fault Time]])*24,"")</f>
        <v>0</v>
      </c>
      <c r="AH465" s="348"/>
      <c r="AI465" s="33"/>
      <c r="AJ465" s="233" t="str">
        <f>IFERROR(PA[[#This Row],[Breakdown Time]]*PA[[#This Row],[Plant Equivalent Weightage]],"")</f>
        <v/>
      </c>
      <c r="AK465" s="38"/>
      <c r="AL465" s="342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31">
        <f>YEAR(PA[[#This Row],[Date]])</f>
        <v>1900</v>
      </c>
      <c r="E466" s="33" t="s">
        <v>219</v>
      </c>
      <c r="F466" s="33" t="s">
        <v>219</v>
      </c>
      <c r="G466" s="196">
        <f>PA[[#This Row],[Date]]-DAY(PA[[#This Row],[Date]])+1</f>
        <v>1</v>
      </c>
      <c r="H466" s="231">
        <f>DAY(EOMONTH(PA[[#This Row],[Month Year]],0))</f>
        <v>31</v>
      </c>
      <c r="I466" s="366"/>
      <c r="J466" s="366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31">
        <f>IF((PA[[#This Row],[String Type(If String BD)]]&amp;PA[[#This Row],[Equipment (If any BD other than PV  array and inv)]])="",1,0)</f>
        <v>1</v>
      </c>
      <c r="S466" s="231">
        <f>IF(PA[[#This Row],[String Type(If String BD)]]="",1,0)</f>
        <v>1</v>
      </c>
      <c r="T46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33" t="str">
        <f>IFERROR(_xlfn.XLOOKUP(PA[[#This Row],[Affected Equipment ]],'Basic Data'!N:N,'Basic Data'!Q:Q),"")</f>
        <v/>
      </c>
      <c r="V466" s="237" t="str">
        <f>IFERROR(_xlfn.XLOOKUP(PA[[#This Row],[Affected Equipment ]],'Basic Data'!N:N,'Basic Data'!R:R),"")</f>
        <v/>
      </c>
      <c r="W466" s="36"/>
      <c r="X466" s="41"/>
      <c r="Y466" s="350"/>
      <c r="Z466" s="42"/>
      <c r="AA466" s="42"/>
      <c r="AB466" s="42"/>
      <c r="AC466" s="42"/>
      <c r="AD466" s="234">
        <f>IF(PA[[#This Row],[Acknowledgement Time ]]="NA","",(PA[[#This Row],[Acknowledgement Time ]]-PA[[#This Row],[Fault Time]])*24)</f>
        <v>0</v>
      </c>
      <c r="AE466" s="234">
        <f>IF(PA[[#This Row],[Work Start time on Fault]]="NA","",(PA[[#This Row],[Work Start time on Fault]]-PA[[#This Row],[Fault Time]])*24)</f>
        <v>0</v>
      </c>
      <c r="AF466" s="235">
        <f>IF(PA[[#This Row],[Status]]="Open","",(PA[[#This Row],[Work Completion time on fault]]-PA[[#This Row],[Fault Time]])*24)</f>
        <v>0</v>
      </c>
      <c r="AG466" s="234">
        <f>IFERROR((PA[[#This Row],[Work Completion time on fault]]-PA[[#This Row],[Fault Time]])*24,"")</f>
        <v>0</v>
      </c>
      <c r="AH466" s="348"/>
      <c r="AI466" s="33"/>
      <c r="AJ466" s="233" t="str">
        <f>IFERROR(PA[[#This Row],[Breakdown Time]]*PA[[#This Row],[Plant Equivalent Weightage]],"")</f>
        <v/>
      </c>
      <c r="AK466" s="38"/>
      <c r="AL466" s="342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31">
        <f>YEAR(PA[[#This Row],[Date]])</f>
        <v>1900</v>
      </c>
      <c r="E467" s="33" t="s">
        <v>219</v>
      </c>
      <c r="F467" s="33" t="s">
        <v>219</v>
      </c>
      <c r="G467" s="196">
        <f>PA[[#This Row],[Date]]-DAY(PA[[#This Row],[Date]])+1</f>
        <v>1</v>
      </c>
      <c r="H467" s="231">
        <f>DAY(EOMONTH(PA[[#This Row],[Month Year]],0))</f>
        <v>31</v>
      </c>
      <c r="I467" s="366"/>
      <c r="J467" s="366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31">
        <f>IF((PA[[#This Row],[String Type(If String BD)]]&amp;PA[[#This Row],[Equipment (If any BD other than PV  array and inv)]])="",1,0)</f>
        <v>1</v>
      </c>
      <c r="S467" s="231">
        <f>IF(PA[[#This Row],[String Type(If String BD)]]="",1,0)</f>
        <v>1</v>
      </c>
      <c r="T46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33" t="str">
        <f>IFERROR(_xlfn.XLOOKUP(PA[[#This Row],[Affected Equipment ]],'Basic Data'!N:N,'Basic Data'!Q:Q),"")</f>
        <v/>
      </c>
      <c r="V467" s="237" t="str">
        <f>IFERROR(_xlfn.XLOOKUP(PA[[#This Row],[Affected Equipment ]],'Basic Data'!N:N,'Basic Data'!R:R),"")</f>
        <v/>
      </c>
      <c r="W467" s="36"/>
      <c r="X467" s="41"/>
      <c r="Y467" s="350"/>
      <c r="Z467" s="42"/>
      <c r="AA467" s="42"/>
      <c r="AB467" s="42"/>
      <c r="AC467" s="42"/>
      <c r="AD467" s="234">
        <f>IF(PA[[#This Row],[Acknowledgement Time ]]="NA","",(PA[[#This Row],[Acknowledgement Time ]]-PA[[#This Row],[Fault Time]])*24)</f>
        <v>0</v>
      </c>
      <c r="AE467" s="234">
        <f>IF(PA[[#This Row],[Work Start time on Fault]]="NA","",(PA[[#This Row],[Work Start time on Fault]]-PA[[#This Row],[Fault Time]])*24)</f>
        <v>0</v>
      </c>
      <c r="AF467" s="235">
        <f>IF(PA[[#This Row],[Status]]="Open","",(PA[[#This Row],[Work Completion time on fault]]-PA[[#This Row],[Fault Time]])*24)</f>
        <v>0</v>
      </c>
      <c r="AG467" s="234">
        <f>IFERROR((PA[[#This Row],[Work Completion time on fault]]-PA[[#This Row],[Fault Time]])*24,"")</f>
        <v>0</v>
      </c>
      <c r="AH467" s="348"/>
      <c r="AI467" s="33"/>
      <c r="AJ467" s="233" t="str">
        <f>IFERROR(PA[[#This Row],[Breakdown Time]]*PA[[#This Row],[Plant Equivalent Weightage]],"")</f>
        <v/>
      </c>
      <c r="AK467" s="38"/>
      <c r="AL467" s="342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31">
        <f>YEAR(PA[[#This Row],[Date]])</f>
        <v>1900</v>
      </c>
      <c r="E468" s="33" t="s">
        <v>219</v>
      </c>
      <c r="F468" s="33" t="s">
        <v>219</v>
      </c>
      <c r="G468" s="196">
        <f>PA[[#This Row],[Date]]-DAY(PA[[#This Row],[Date]])+1</f>
        <v>1</v>
      </c>
      <c r="H468" s="231">
        <f>DAY(EOMONTH(PA[[#This Row],[Month Year]],0))</f>
        <v>31</v>
      </c>
      <c r="I468" s="366"/>
      <c r="J468" s="366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31">
        <f>IF((PA[[#This Row],[String Type(If String BD)]]&amp;PA[[#This Row],[Equipment (If any BD other than PV  array and inv)]])="",1,0)</f>
        <v>1</v>
      </c>
      <c r="S468" s="231">
        <f>IF(PA[[#This Row],[String Type(If String BD)]]="",1,0)</f>
        <v>1</v>
      </c>
      <c r="T46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33" t="str">
        <f>IFERROR(_xlfn.XLOOKUP(PA[[#This Row],[Affected Equipment ]],'Basic Data'!N:N,'Basic Data'!Q:Q),"")</f>
        <v/>
      </c>
      <c r="V468" s="237" t="str">
        <f>IFERROR(_xlfn.XLOOKUP(PA[[#This Row],[Affected Equipment ]],'Basic Data'!N:N,'Basic Data'!R:R),"")</f>
        <v/>
      </c>
      <c r="W468" s="36"/>
      <c r="X468" s="41"/>
      <c r="Y468" s="347"/>
      <c r="Z468" s="42"/>
      <c r="AA468" s="42"/>
      <c r="AB468" s="42"/>
      <c r="AC468" s="42"/>
      <c r="AD468" s="234">
        <f>IF(PA[[#This Row],[Acknowledgement Time ]]="NA","",(PA[[#This Row],[Acknowledgement Time ]]-PA[[#This Row],[Fault Time]])*24)</f>
        <v>0</v>
      </c>
      <c r="AE468" s="234">
        <f>IF(PA[[#This Row],[Work Start time on Fault]]="NA","",(PA[[#This Row],[Work Start time on Fault]]-PA[[#This Row],[Fault Time]])*24)</f>
        <v>0</v>
      </c>
      <c r="AF468" s="235">
        <f>IF(PA[[#This Row],[Status]]="Open","",(PA[[#This Row],[Work Completion time on fault]]-PA[[#This Row],[Fault Time]])*24)</f>
        <v>0</v>
      </c>
      <c r="AG468" s="234">
        <f>IFERROR((PA[[#This Row],[Work Completion time on fault]]-PA[[#This Row],[Fault Time]])*24,"")</f>
        <v>0</v>
      </c>
      <c r="AH468" s="36"/>
      <c r="AI468" s="33"/>
      <c r="AJ468" s="233" t="str">
        <f>IFERROR(PA[[#This Row],[Breakdown Time]]*PA[[#This Row],[Plant Equivalent Weightage]],"")</f>
        <v/>
      </c>
      <c r="AK468" s="38"/>
      <c r="AL468" s="342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9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AI319:AI321 AI330:AI331 AI2:AI113 AI447:AI468 AI170:AI287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W2:W45 W60:W468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Q2:Q45 Q54:Q113 Q115:Q468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6</v>
      </c>
      <c r="B1" s="15" t="s">
        <v>110</v>
      </c>
      <c r="C1" s="14" t="s">
        <v>156</v>
      </c>
      <c r="D1" s="14" t="s">
        <v>157</v>
      </c>
      <c r="E1" s="14" t="s">
        <v>201</v>
      </c>
      <c r="F1" s="14" t="s">
        <v>202</v>
      </c>
      <c r="G1" s="14" t="s">
        <v>387</v>
      </c>
      <c r="H1" s="14" t="s">
        <v>388</v>
      </c>
      <c r="I1" s="14" t="s">
        <v>204</v>
      </c>
      <c r="J1" s="140" t="s">
        <v>205</v>
      </c>
      <c r="K1" s="14" t="s">
        <v>389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  <c r="T1" s="21" t="s">
        <v>214</v>
      </c>
      <c r="U1" s="21" t="s">
        <v>390</v>
      </c>
      <c r="V1" s="22" t="s">
        <v>216</v>
      </c>
      <c r="W1" s="22" t="s">
        <v>391</v>
      </c>
      <c r="X1" s="22" t="s">
        <v>392</v>
      </c>
      <c r="Y1" s="29" t="s">
        <v>291</v>
      </c>
      <c r="Z1" s="29" t="s">
        <v>292</v>
      </c>
    </row>
    <row r="2" spans="1:26">
      <c r="A2" s="8">
        <v>1</v>
      </c>
      <c r="B2" s="16">
        <v>45689</v>
      </c>
      <c r="C2" s="26">
        <f>YEAR(Grid_BD[[#This Row],[Date]])+IF(MONTH(Grid_BD[[#This Row],[Date]])&gt;=4,1,0)</f>
        <v>2025</v>
      </c>
      <c r="D2" s="8">
        <f>YEAR(Grid_BD[[#This Row],[Date]])</f>
        <v>2025</v>
      </c>
      <c r="E2" s="8" t="s">
        <v>218</v>
      </c>
      <c r="G2" s="4" t="str">
        <f>IFERROR(_xlfn.XLOOKUP(Grid_BD[[#This Row],[Date]],RD[Date],RD[Operating Hours]),"")</f>
        <v/>
      </c>
      <c r="H2" s="4" t="str">
        <f>IFERROR(VLOOKUP(Grid_BD[[#This Row],[Affected Feeder ]],'Basic Data'!$AM$2:$AQ$50,3,0),"")</f>
        <v/>
      </c>
      <c r="I2" s="7" t="str">
        <f>IFERROR(VLOOKUP(Grid_BD[[#This Row],[Affected Feeder ]],'Basic Data'!$AM$2:$AQ$50,5,0),"")</f>
        <v/>
      </c>
      <c r="L2" s="18"/>
      <c r="M2" s="18"/>
      <c r="N2" s="18"/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</v>
      </c>
      <c r="Q2" s="19">
        <f>(Grid_BD[[#This Row],[Fault Clearance time]]-Grid_BD[[#This Row],[Fault Start TimeStamp]])*24</f>
        <v>0</v>
      </c>
      <c r="R2" s="23"/>
      <c r="S2" s="4"/>
      <c r="T2" s="24" t="str">
        <f>IFERROR(Grid_BD[[#This Row],[Breakdown Time]]*Grid_BD[[#This Row],[Plant Equivalent Weightage]],"")</f>
        <v/>
      </c>
      <c r="U2" s="24">
        <v>0</v>
      </c>
      <c r="V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45690</v>
      </c>
      <c r="C3" s="26">
        <f>YEAR(Grid_BD[[#This Row],[Date]])+IF(MONTH(Grid_BD[[#This Row],[Date]])&gt;=4,1,0)</f>
        <v>2025</v>
      </c>
      <c r="D3" s="8">
        <f>YEAR(Grid_BD[[#This Row],[Date]])</f>
        <v>2025</v>
      </c>
      <c r="E3" s="8" t="s">
        <v>218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Data'!$AM$2:$AQ$50,3,0),"")</f>
        <v/>
      </c>
      <c r="I3" s="7" t="str">
        <f>IFERROR(VLOOKUP(Grid_BD[[#This Row],[Affected Feeder ]],'Basic Data'!$AM$2:$AQ$50,5,0),"")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>
        <v>45809</v>
      </c>
      <c r="C4" s="26">
        <f>YEAR(Grid_BD[[#This Row],[Date]])+IF(MONTH(Grid_BD[[#This Row],[Date]])&gt;=4,1,0)</f>
        <v>2026</v>
      </c>
      <c r="D4" s="8">
        <f>YEAR(Grid_BD[[#This Row],[Date]])</f>
        <v>2025</v>
      </c>
      <c r="E4" s="8" t="s">
        <v>218</v>
      </c>
      <c r="G4" s="4">
        <f>IFERROR(_xlfn.XLOOKUP(Grid_BD[[#This Row],[Date]],RD[Date],RD[Operating Hours]),"")</f>
        <v>12.583333333333334</v>
      </c>
      <c r="H4" s="4" t="str">
        <f>IFERROR(VLOOKUP(Grid_BD[[#This Row],[Affected Feeder ]],'Basic Data'!$AM$2:$AQ$50,3,0),"")</f>
        <v/>
      </c>
      <c r="I4" s="7" t="str">
        <f>IFERROR(VLOOKUP(Grid_BD[[#This Row],[Affected Feeder ]],'Basic Data'!$AM$2:$AQ$50,5,0),"")</f>
        <v/>
      </c>
      <c r="J4" t="s">
        <v>393</v>
      </c>
      <c r="L4" s="18">
        <v>0.43055555555555558</v>
      </c>
      <c r="M4" s="18">
        <v>0.43055555555555558</v>
      </c>
      <c r="N4" s="18">
        <v>0.62152777777777779</v>
      </c>
      <c r="O4" s="19">
        <f>(Grid_BD[[#This Row],[Work Start TimeStamp]]-Grid_BD[[#This Row],[Fault Start TimeStamp]])*24</f>
        <v>0</v>
      </c>
      <c r="P4" s="19">
        <f>(Grid_BD[[#This Row],[Fault Clearance time]]-Grid_BD[[#This Row],[Work Start TimeStamp]])*24</f>
        <v>4.583333333333333</v>
      </c>
      <c r="Q4" s="19">
        <f>(Grid_BD[[#This Row],[Fault Clearance time]]-Grid_BD[[#This Row],[Fault Start TimeStamp]])*24</f>
        <v>4.583333333333333</v>
      </c>
      <c r="R4" s="23" t="s">
        <v>394</v>
      </c>
      <c r="S4" s="4"/>
      <c r="T4" s="24" t="s">
        <v>345</v>
      </c>
      <c r="U4" s="24">
        <v>3.8859804999999996</v>
      </c>
      <c r="V4" s="74">
        <f>IFERROR(Grid_BD[[#This Row],[POA Lost (kWh/m2)]]*_xlfn.XLOOKUP(Grid_BD[[#This Row],[Date]],'Daily KPI'!$A:$A,'Daily KPI'!$AE:$AE)*_xlfn.XLOOKUP(Grid_BD[[#This Row],[Date]],RD[Date],RD[Connected DC Capcity (MWp)])*1000,"")</f>
        <v>116759.36628911995</v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218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Data'!$AM$2:$AQ$50,3,0),"")</f>
        <v/>
      </c>
      <c r="I5" s="7" t="str">
        <f>IFERROR(VLOOKUP(Grid_BD[[#This Row],[Affected Feeder ]],'Basic Data'!$AM$2:$AQ$50,5,0),"")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218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Data'!$AM$2:$AQ$50,3,0),"")</f>
        <v/>
      </c>
      <c r="I6" s="7" t="str">
        <f>IFERROR(VLOOKUP(Grid_BD[[#This Row],[Affected Feeder ]],'Basic Data'!$AM$2:$AQ$50,5,0),"")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218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Data'!$AM$2:$AQ$50,3,0),"")</f>
        <v/>
      </c>
      <c r="I7" s="7" t="str">
        <f>IFERROR(VLOOKUP(Grid_BD[[#This Row],[Affected Feeder ]],'Basic Data'!$AM$2:$AQ$50,5,0),"")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218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Data'!$AM$2:$AQ$50,3,0),"")</f>
        <v/>
      </c>
      <c r="I8" s="7" t="str">
        <f>IFERROR(VLOOKUP(Grid_BD[[#This Row],[Affected Feeder ]],'Basic Data'!$AM$2:$AQ$50,5,0),"")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218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Data'!$AM$2:$AQ$50,3,0),"")</f>
        <v/>
      </c>
      <c r="I9" s="7" t="str">
        <f>IFERROR(VLOOKUP(Grid_BD[[#This Row],[Affected Feeder ]],'Basic Data'!$AM$2:$AQ$50,5,0),"")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218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Data'!$AM$2:$AQ$50,3,0),"")</f>
        <v/>
      </c>
      <c r="I10" s="7" t="str">
        <f>IFERROR(VLOOKUP(Grid_BD[[#This Row],[Affected Feeder ]],'Basic Data'!$AM$2:$AQ$50,5,0),"")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218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Data'!$AM$2:$AQ$50,3,0),"")</f>
        <v/>
      </c>
      <c r="I11" s="7" t="str">
        <f>IFERROR(VLOOKUP(Grid_BD[[#This Row],[Affected Feeder ]],'Basic Data'!$AM$2:$AQ$50,5,0),"")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218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Data'!$AM$2:$AQ$50,3,0),"")</f>
        <v/>
      </c>
      <c r="I12" s="7" t="str">
        <f>IFERROR(VLOOKUP(Grid_BD[[#This Row],[Affected Feeder ]],'Basic Data'!$AM$2:$AQ$50,5,0),"")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218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Data'!$AM$2:$AQ$50,3,0),"")</f>
        <v/>
      </c>
      <c r="I13" s="7" t="str">
        <f>IFERROR(VLOOKUP(Grid_BD[[#This Row],[Affected Feeder ]],'Basic Data'!$AM$2:$AQ$50,5,0),"")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218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Data'!$AM$2:$AQ$50,3,0),"")</f>
        <v/>
      </c>
      <c r="I14" s="7" t="str">
        <f>IFERROR(VLOOKUP(Grid_BD[[#This Row],[Affected Feeder ]],'Basic Data'!$AM$2:$AQ$50,5,0),"")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218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Data'!$AM$2:$AQ$50,3,0),"")</f>
        <v/>
      </c>
      <c r="I15" s="7" t="str">
        <f>IFERROR(VLOOKUP(Grid_BD[[#This Row],[Affected Feeder ]],'Basic Data'!$AM$2:$AQ$50,5,0),"")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218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Data'!$AM$2:$AQ$50,3,0),"")</f>
        <v/>
      </c>
      <c r="I16" s="7" t="str">
        <f>IFERROR(VLOOKUP(Grid_BD[[#This Row],[Affected Feeder ]],'Basic Data'!$AM$2:$AQ$50,5,0),"")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218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Data'!$AM$2:$AQ$50,3,0),"")</f>
        <v/>
      </c>
      <c r="I17" s="7" t="str">
        <f>IFERROR(VLOOKUP(Grid_BD[[#This Row],[Affected Feeder ]],'Basic Data'!$AM$2:$AQ$50,5,0),"")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5">
        <f t="shared" si="1"/>
        <v>17</v>
      </c>
      <c r="B18" s="173"/>
      <c r="C18" s="165">
        <f>YEAR(Grid_BD[[#This Row],[Date]])+IF(MONTH(Grid_BD[[#This Row],[Date]])&gt;=4,1,0)</f>
        <v>1900</v>
      </c>
      <c r="D18" s="165">
        <f>YEAR(Grid_BD[[#This Row],[Date]])</f>
        <v>1900</v>
      </c>
      <c r="E18" s="8" t="s">
        <v>218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Data'!$AM$2:$AQ$50,3,0),"")</f>
        <v/>
      </c>
      <c r="I18" s="7" t="str">
        <f>IFERROR(VLOOKUP(Grid_BD[[#This Row],[Affected Feeder ]],'Basic Data'!$AM$2:$AQ$50,5,0),"")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5">
        <f t="shared" si="1"/>
        <v>18</v>
      </c>
      <c r="B19" s="176"/>
      <c r="C19" s="175">
        <f>YEAR(Grid_BD[[#This Row],[Date]])+IF(MONTH(Grid_BD[[#This Row],[Date]])&gt;=4,1,0)</f>
        <v>1900</v>
      </c>
      <c r="D19" s="175">
        <f>YEAR(Grid_BD[[#This Row],[Date]])</f>
        <v>1900</v>
      </c>
      <c r="E19" s="8" t="s">
        <v>218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Data'!$AM$2:$AQ$50,3,0),"")</f>
        <v/>
      </c>
      <c r="I19" s="7" t="str">
        <f>IFERROR(VLOOKUP(Grid_BD[[#This Row],[Affected Feeder ]],'Basic Data'!$AM$2:$AQ$50,5,0),"")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5">
        <f t="shared" si="1"/>
        <v>19</v>
      </c>
      <c r="B20" s="173"/>
      <c r="C20" s="165">
        <f>YEAR(Grid_BD[[#This Row],[Date]])+IF(MONTH(Grid_BD[[#This Row],[Date]])&gt;=4,1,0)</f>
        <v>1900</v>
      </c>
      <c r="D20" s="165">
        <f>YEAR(Grid_BD[[#This Row],[Date]])</f>
        <v>1900</v>
      </c>
      <c r="E20" s="8" t="s">
        <v>218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Data'!$AM$2:$AQ$50,3,0),"")</f>
        <v/>
      </c>
      <c r="I20" s="7" t="str">
        <f>IFERROR(VLOOKUP(Grid_BD[[#This Row],[Affected Feeder ]],'Basic Data'!$AM$2:$AQ$50,5,0),"")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1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80" customFormat="1">
      <c r="A21" s="175">
        <f t="shared" si="1"/>
        <v>20</v>
      </c>
      <c r="B21" s="176"/>
      <c r="C21" s="175">
        <f>YEAR(Grid_BD[[#This Row],[Date]])+IF(MONTH(Grid_BD[[#This Row],[Date]])&gt;=4,1,0)</f>
        <v>1900</v>
      </c>
      <c r="D21" s="175">
        <f>YEAR(Grid_BD[[#This Row],[Date]])</f>
        <v>1900</v>
      </c>
      <c r="E21" s="177" t="s">
        <v>218</v>
      </c>
      <c r="F21" s="178"/>
      <c r="G21" s="179" t="str">
        <f>IFERROR(_xlfn.XLOOKUP(Grid_BD[[#This Row],[Date]],RD[Date],RD[Operating Hours]),"")</f>
        <v/>
      </c>
      <c r="H21" s="4" t="str">
        <f>IFERROR(VLOOKUP(Grid_BD[[#This Row],[Affected Feeder ]],'Basic Data'!$AM$2:$AQ$50,3,0),"")</f>
        <v/>
      </c>
      <c r="I21" s="7" t="str">
        <f>IFERROR(VLOOKUP(Grid_BD[[#This Row],[Affected Feeder ]],'Basic Data'!$AM$2:$AQ$50,5,0),"")</f>
        <v/>
      </c>
      <c r="L21" s="181"/>
      <c r="M21" s="182"/>
      <c r="N21" s="182"/>
      <c r="O21" s="183">
        <f>(Grid_BD[[#This Row],[Work Start TimeStamp]]-Grid_BD[[#This Row],[Fault Start TimeStamp]])*24</f>
        <v>0</v>
      </c>
      <c r="P21" s="183">
        <f>(Grid_BD[[#This Row],[Fault Clearance time]]-Grid_BD[[#This Row],[Work Start TimeStamp]])*24</f>
        <v>0</v>
      </c>
      <c r="Q21" s="183">
        <f>(Grid_BD[[#This Row],[Fault Clearance time]]-Grid_BD[[#This Row],[Fault Start TimeStamp]])*24</f>
        <v>0</v>
      </c>
      <c r="R21" s="184"/>
      <c r="S21" s="178"/>
      <c r="T21" s="185" t="str">
        <f>IFERROR(Grid_BD[[#This Row],[Breakdown Time]]*Grid_BD[[#This Row],[Plant Equivalent Weightage]],"")</f>
        <v/>
      </c>
      <c r="U21" s="186"/>
      <c r="V2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8">
        <f>IF(K21="Curtailment Order",(((100%*(Grid_BD[[#This Row],[Op. Hours]]-T21))+(((W21)/'Basic Data'!$AC$4)*T21))/Grid_BD[[#This Row],[Op. Hours]]),1)</f>
        <v>1</v>
      </c>
    </row>
    <row r="22" spans="1:24">
      <c r="A22" s="165">
        <f t="shared" si="1"/>
        <v>21</v>
      </c>
      <c r="B22" s="173"/>
      <c r="C22" s="165">
        <f>YEAR(Grid_BD[[#This Row],[Date]])+IF(MONTH(Grid_BD[[#This Row],[Date]])&gt;=4,1,0)</f>
        <v>1900</v>
      </c>
      <c r="D22" s="165">
        <f>YEAR(Grid_BD[[#This Row],[Date]])</f>
        <v>1900</v>
      </c>
      <c r="E22" s="8" t="s">
        <v>218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Data'!$AM$2:$AQ$50,3,0),"")</f>
        <v/>
      </c>
      <c r="I22" s="7" t="str">
        <f>IFERROR(VLOOKUP(Grid_BD[[#This Row],[Affected Feeder ]],'Basic Data'!$AM$2:$AQ$50,5,0),"")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4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80" customFormat="1">
      <c r="A23" s="175">
        <f t="shared" si="1"/>
        <v>22</v>
      </c>
      <c r="B23" s="176"/>
      <c r="C23" s="175">
        <f>YEAR(Grid_BD[[#This Row],[Date]])+IF(MONTH(Grid_BD[[#This Row],[Date]])&gt;=4,1,0)</f>
        <v>1900</v>
      </c>
      <c r="D23" s="175">
        <f>YEAR(Grid_BD[[#This Row],[Date]])</f>
        <v>1900</v>
      </c>
      <c r="E23" s="177" t="s">
        <v>218</v>
      </c>
      <c r="F23" s="178"/>
      <c r="G23" s="179" t="str">
        <f>IFERROR(_xlfn.XLOOKUP(Grid_BD[[#This Row],[Date]],RD[Date],RD[Operating Hours]),"")</f>
        <v/>
      </c>
      <c r="H23" s="4" t="str">
        <f>IFERROR(VLOOKUP(Grid_BD[[#This Row],[Affected Feeder ]],'Basic Data'!$AM$2:$AQ$50,3,0),"")</f>
        <v/>
      </c>
      <c r="I23" s="7" t="str">
        <f>IFERROR(VLOOKUP(Grid_BD[[#This Row],[Affected Feeder ]],'Basic Data'!$AM$2:$AQ$50,5,0),"")</f>
        <v/>
      </c>
      <c r="L23" s="181"/>
      <c r="M23" s="181"/>
      <c r="N23" s="182"/>
      <c r="O23" s="183">
        <f>(Grid_BD[[#This Row],[Work Start TimeStamp]]-Grid_BD[[#This Row],[Fault Start TimeStamp]])*24</f>
        <v>0</v>
      </c>
      <c r="P23" s="183">
        <f>(Grid_BD[[#This Row],[Fault Clearance time]]-Grid_BD[[#This Row],[Work Start TimeStamp]])*24</f>
        <v>0</v>
      </c>
      <c r="Q23" s="183">
        <f>(Grid_BD[[#This Row],[Fault Clearance time]]-Grid_BD[[#This Row],[Fault Start TimeStamp]])*24</f>
        <v>0</v>
      </c>
      <c r="S23" s="178"/>
      <c r="T23" s="185" t="str">
        <f>IFERROR(Grid_BD[[#This Row],[Breakdown Time]]*Grid_BD[[#This Row],[Plant Equivalent Weightage]],"")</f>
        <v/>
      </c>
      <c r="U23" s="186"/>
      <c r="V2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8">
        <f>IF(K23="Curtailment Order",(((100%*(Grid_BD[[#This Row],[Op. Hours]]-T23))+(((W23)/'Basic Data'!$AC$4)*T23))/Grid_BD[[#This Row],[Op. Hours]]),1)</f>
        <v>1</v>
      </c>
    </row>
    <row r="24" spans="1:24">
      <c r="A24" s="165">
        <f t="shared" si="1"/>
        <v>23</v>
      </c>
      <c r="B24" s="173"/>
      <c r="C24" s="165">
        <f>YEAR(Grid_BD[[#This Row],[Date]])+IF(MONTH(Grid_BD[[#This Row],[Date]])&gt;=4,1,0)</f>
        <v>1900</v>
      </c>
      <c r="D24" s="165">
        <f>YEAR(Grid_BD[[#This Row],[Date]])</f>
        <v>1900</v>
      </c>
      <c r="E24" s="8" t="s">
        <v>218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Data'!$AM$2:$AQ$50,3,0),"")</f>
        <v/>
      </c>
      <c r="I24" s="7" t="str">
        <f>IFERROR(VLOOKUP(Grid_BD[[#This Row],[Affected Feeder ]],'Basic Data'!$AM$2:$AQ$50,5,0),"")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4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80" customFormat="1">
      <c r="A25" s="175">
        <f t="shared" si="1"/>
        <v>24</v>
      </c>
      <c r="B25" s="176"/>
      <c r="C25" s="175">
        <f>YEAR(Grid_BD[[#This Row],[Date]])+IF(MONTH(Grid_BD[[#This Row],[Date]])&gt;=4,1,0)</f>
        <v>1900</v>
      </c>
      <c r="D25" s="175">
        <f>YEAR(Grid_BD[[#This Row],[Date]])</f>
        <v>1900</v>
      </c>
      <c r="E25" s="177" t="s">
        <v>218</v>
      </c>
      <c r="F25" s="178"/>
      <c r="G25" s="179" t="str">
        <f>IFERROR(_xlfn.XLOOKUP(Grid_BD[[#This Row],[Date]],RD[Date],RD[Operating Hours]),"")</f>
        <v/>
      </c>
      <c r="H25" s="4" t="str">
        <f>IFERROR(VLOOKUP(Grid_BD[[#This Row],[Affected Feeder ]],'Basic Data'!$AM$2:$AQ$50,3,0),"")</f>
        <v/>
      </c>
      <c r="I25" s="7" t="str">
        <f>IFERROR(VLOOKUP(Grid_BD[[#This Row],[Affected Feeder ]],'Basic Data'!$AM$2:$AQ$50,5,0),"")</f>
        <v/>
      </c>
      <c r="L25" s="181"/>
      <c r="M25" s="181"/>
      <c r="N25" s="182"/>
      <c r="O25" s="183">
        <f>(Grid_BD[[#This Row],[Work Start TimeStamp]]-Grid_BD[[#This Row],[Fault Start TimeStamp]])*24</f>
        <v>0</v>
      </c>
      <c r="P25" s="183">
        <f>(Grid_BD[[#This Row],[Fault Clearance time]]-Grid_BD[[#This Row],[Work Start TimeStamp]])*24</f>
        <v>0</v>
      </c>
      <c r="Q25" s="183">
        <f>(Grid_BD[[#This Row],[Fault Clearance time]]-Grid_BD[[#This Row],[Fault Start TimeStamp]])*24</f>
        <v>0</v>
      </c>
      <c r="S25" s="178"/>
      <c r="T25" s="185" t="str">
        <f>IFERROR(Grid_BD[[#This Row],[Breakdown Time]]*Grid_BD[[#This Row],[Plant Equivalent Weightage]],"")</f>
        <v/>
      </c>
      <c r="U25" s="186"/>
      <c r="V25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8">
        <f>IF(K25="Curtailment Order",(((100%*(Grid_BD[[#This Row],[Op. Hours]]-T25))+(((W25)/'Basic Data'!$AC$4)*T25))/Grid_BD[[#This Row],[Op. Hours]]),1)</f>
        <v>1</v>
      </c>
    </row>
    <row r="26" spans="1:24">
      <c r="A26" s="165">
        <f t="shared" si="1"/>
        <v>25</v>
      </c>
      <c r="B26" s="173"/>
      <c r="C26" s="165">
        <f>YEAR(Grid_BD[[#This Row],[Date]])+IF(MONTH(Grid_BD[[#This Row],[Date]])&gt;=4,1,0)</f>
        <v>1900</v>
      </c>
      <c r="D26" s="165">
        <f>YEAR(Grid_BD[[#This Row],[Date]])</f>
        <v>1900</v>
      </c>
      <c r="E26" s="8" t="s">
        <v>218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Data'!$AM$2:$AQ$50,3,0),"")</f>
        <v/>
      </c>
      <c r="I26" s="7" t="str">
        <f>IFERROR(VLOOKUP(Grid_BD[[#This Row],[Affected Feeder ]],'Basic Data'!$AM$2:$AQ$50,5,0),"")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5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80" customFormat="1">
      <c r="A27" s="175">
        <f t="shared" si="1"/>
        <v>26</v>
      </c>
      <c r="B27" s="176"/>
      <c r="C27" s="175">
        <f>YEAR(Grid_BD[[#This Row],[Date]])+IF(MONTH(Grid_BD[[#This Row],[Date]])&gt;=4,1,0)</f>
        <v>1900</v>
      </c>
      <c r="D27" s="175">
        <f>YEAR(Grid_BD[[#This Row],[Date]])</f>
        <v>1900</v>
      </c>
      <c r="E27" s="177" t="s">
        <v>218</v>
      </c>
      <c r="F27" s="178"/>
      <c r="G27" s="178" t="str">
        <f>IFERROR(_xlfn.XLOOKUP(Grid_BD[[#This Row],[Date]],RD[Date],RD[Operating Hours]),"")</f>
        <v/>
      </c>
      <c r="H27" s="4" t="str">
        <f>IFERROR(VLOOKUP(Grid_BD[[#This Row],[Affected Feeder ]],'Basic Data'!$AM$2:$AQ$50,3,0),"")</f>
        <v/>
      </c>
      <c r="I27" s="7" t="str">
        <f>IFERROR(VLOOKUP(Grid_BD[[#This Row],[Affected Feeder ]],'Basic Data'!$AM$2:$AQ$50,5,0),"")</f>
        <v/>
      </c>
      <c r="J27"/>
      <c r="L27" s="18"/>
      <c r="M27" s="182"/>
      <c r="N27" s="182"/>
      <c r="O27" s="183">
        <f>(Grid_BD[[#This Row],[Work Start TimeStamp]]-Grid_BD[[#This Row],[Fault Start TimeStamp]])*24</f>
        <v>0</v>
      </c>
      <c r="P27" s="183">
        <f>(Grid_BD[[#This Row],[Fault Clearance time]]-Grid_BD[[#This Row],[Work Start TimeStamp]])*24</f>
        <v>0</v>
      </c>
      <c r="Q27" s="183">
        <f>(Grid_BD[[#This Row],[Fault Clearance time]]-Grid_BD[[#This Row],[Fault Start TimeStamp]])*24</f>
        <v>0</v>
      </c>
      <c r="R27" s="23"/>
      <c r="S27" s="178"/>
      <c r="T27" s="185" t="str">
        <f>IFERROR(Grid_BD[[#This Row],[Breakdown Time]]*Grid_BD[[#This Row],[Plant Equivalent Weightage]],"")</f>
        <v/>
      </c>
      <c r="U27" s="186"/>
      <c r="V27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8">
        <f>IF(K27="Curtailment Order",(((100%*(Grid_BD[[#This Row],[Op. Hours]]-T27))+(((W27)/'Basic Data'!$AC$4)*T27))/Grid_BD[[#This Row],[Op. Hours]]),1)</f>
        <v>1</v>
      </c>
    </row>
    <row r="28" spans="1:24">
      <c r="A28" s="165">
        <f t="shared" si="1"/>
        <v>27</v>
      </c>
      <c r="B28" s="173"/>
      <c r="C28" s="165">
        <f>YEAR(Grid_BD[[#This Row],[Date]])+IF(MONTH(Grid_BD[[#This Row],[Date]])&gt;=4,1,0)</f>
        <v>1900</v>
      </c>
      <c r="D28" s="165">
        <f>YEAR(Grid_BD[[#This Row],[Date]])</f>
        <v>1900</v>
      </c>
      <c r="E28" s="8" t="s">
        <v>218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Data'!$AM$2:$AQ$50,3,0),"")</f>
        <v/>
      </c>
      <c r="I28" s="7" t="str">
        <f>IFERROR(VLOOKUP(Grid_BD[[#This Row],[Affected Feeder ]],'Basic Data'!$AM$2:$AQ$50,5,0),"")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5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80" customFormat="1">
      <c r="A29" s="175">
        <f t="shared" si="1"/>
        <v>28</v>
      </c>
      <c r="B29" s="176"/>
      <c r="C29" s="175">
        <f>YEAR(Grid_BD[[#This Row],[Date]])+IF(MONTH(Grid_BD[[#This Row],[Date]])&gt;=4,1,0)</f>
        <v>1900</v>
      </c>
      <c r="D29" s="175">
        <f>YEAR(Grid_BD[[#This Row],[Date]])</f>
        <v>1900</v>
      </c>
      <c r="E29" s="177" t="s">
        <v>218</v>
      </c>
      <c r="F29" s="178"/>
      <c r="G29" s="178" t="str">
        <f>IFERROR(_xlfn.XLOOKUP(Grid_BD[[#This Row],[Date]],RD[Date],RD[Operating Hours]),"")</f>
        <v/>
      </c>
      <c r="H29" s="4" t="str">
        <f>IFERROR(VLOOKUP(Grid_BD[[#This Row],[Affected Feeder ]],'Basic Data'!$AM$2:$AQ$50,3,0),"")</f>
        <v/>
      </c>
      <c r="I29" s="7" t="str">
        <f>IFERROR(VLOOKUP(Grid_BD[[#This Row],[Affected Feeder ]],'Basic Data'!$AM$2:$AQ$50,5,0),"")</f>
        <v/>
      </c>
      <c r="J29"/>
      <c r="L29" s="18"/>
      <c r="M29" s="182"/>
      <c r="N29" s="182"/>
      <c r="O29" s="183">
        <f>(Grid_BD[[#This Row],[Work Start TimeStamp]]-Grid_BD[[#This Row],[Fault Start TimeStamp]])*24</f>
        <v>0</v>
      </c>
      <c r="P29" s="183">
        <f>(Grid_BD[[#This Row],[Fault Clearance time]]-Grid_BD[[#This Row],[Work Start TimeStamp]])*24</f>
        <v>0</v>
      </c>
      <c r="Q29" s="183">
        <f>(Grid_BD[[#This Row],[Fault Clearance time]]-Grid_BD[[#This Row],[Fault Start TimeStamp]])*24</f>
        <v>0</v>
      </c>
      <c r="S29" s="4"/>
      <c r="T29" s="185" t="str">
        <f>IFERROR(Grid_BD[[#This Row],[Breakdown Time]]*Grid_BD[[#This Row],[Plant Equivalent Weightage]],"")</f>
        <v/>
      </c>
      <c r="U29" s="186"/>
      <c r="V29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8">
        <f>IF(K29="Curtailment Order",(((100%*(Grid_BD[[#This Row],[Op. Hours]]-T29))+(((W29)/'Basic Data'!$AC$4)*T29))/Grid_BD[[#This Row],[Op. Hours]]),1)</f>
        <v>1</v>
      </c>
    </row>
    <row r="30" spans="1:24">
      <c r="A30" s="165">
        <f t="shared" si="1"/>
        <v>29</v>
      </c>
      <c r="B30" s="173"/>
      <c r="C30" s="165">
        <f>YEAR(Grid_BD[[#This Row],[Date]])+IF(MONTH(Grid_BD[[#This Row],[Date]])&gt;=4,1,0)</f>
        <v>1900</v>
      </c>
      <c r="D30" s="165">
        <f>YEAR(Grid_BD[[#This Row],[Date]])</f>
        <v>1900</v>
      </c>
      <c r="E30" s="8" t="s">
        <v>218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Data'!$AM$2:$AQ$50,3,0),"")</f>
        <v/>
      </c>
      <c r="I30" s="7" t="str">
        <f>IFERROR(VLOOKUP(Grid_BD[[#This Row],[Affected Feeder ]],'Basic Data'!$AM$2:$AQ$50,5,0),"")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5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80" customFormat="1">
      <c r="A31" s="175">
        <f t="shared" si="1"/>
        <v>30</v>
      </c>
      <c r="B31" s="176"/>
      <c r="C31" s="175">
        <f>YEAR(Grid_BD[[#This Row],[Date]])+IF(MONTH(Grid_BD[[#This Row],[Date]])&gt;=4,1,0)</f>
        <v>1900</v>
      </c>
      <c r="D31" s="175">
        <f>YEAR(Grid_BD[[#This Row],[Date]])</f>
        <v>1900</v>
      </c>
      <c r="E31" s="177" t="s">
        <v>218</v>
      </c>
      <c r="F31" s="178"/>
      <c r="G31" s="179" t="str">
        <f>IFERROR(_xlfn.XLOOKUP(Grid_BD[[#This Row],[Date]],RD[Date],RD[Operating Hours]),"")</f>
        <v/>
      </c>
      <c r="H31" s="4" t="str">
        <f>IFERROR(VLOOKUP(Grid_BD[[#This Row],[Affected Feeder ]],'Basic Data'!$AM$2:$AQ$50,3,0),"")</f>
        <v/>
      </c>
      <c r="I31" s="7" t="str">
        <f>IFERROR(VLOOKUP(Grid_BD[[#This Row],[Affected Feeder ]],'Basic Data'!$AM$2:$AQ$50,5,0),"")</f>
        <v/>
      </c>
      <c r="J31"/>
      <c r="L31" s="18"/>
      <c r="M31" s="18"/>
      <c r="N31" s="182"/>
      <c r="O31" s="183">
        <f>(Grid_BD[[#This Row],[Work Start TimeStamp]]-Grid_BD[[#This Row],[Fault Start TimeStamp]])*24</f>
        <v>0</v>
      </c>
      <c r="P31" s="183">
        <f>(Grid_BD[[#This Row],[Fault Clearance time]]-Grid_BD[[#This Row],[Work Start TimeStamp]])*24</f>
        <v>0</v>
      </c>
      <c r="Q31" s="183">
        <f>(Grid_BD[[#This Row],[Fault Clearance time]]-Grid_BD[[#This Row],[Fault Start TimeStamp]])*24</f>
        <v>0</v>
      </c>
      <c r="R31" s="23"/>
      <c r="S31" s="178"/>
      <c r="T31" s="185" t="str">
        <f>IFERROR(Grid_BD[[#This Row],[Breakdown Time]]*Grid_BD[[#This Row],[Plant Equivalent Weightage]],"")</f>
        <v/>
      </c>
      <c r="U31" s="186"/>
      <c r="V3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8">
        <f>IF(K31="Curtailment Order",(((100%*(Grid_BD[[#This Row],[Op. Hours]]-T31))+(((W31)/'Basic Data'!$AC$4)*T31))/Grid_BD[[#This Row],[Op. Hours]]),1)</f>
        <v>1</v>
      </c>
    </row>
    <row r="32" spans="1:24">
      <c r="A32" s="165">
        <f t="shared" si="1"/>
        <v>31</v>
      </c>
      <c r="B32" s="173"/>
      <c r="C32" s="165">
        <f>YEAR(Grid_BD[[#This Row],[Date]])+IF(MONTH(Grid_BD[[#This Row],[Date]])&gt;=4,1,0)</f>
        <v>1900</v>
      </c>
      <c r="D32" s="165">
        <f>YEAR(Grid_BD[[#This Row],[Date]])</f>
        <v>1900</v>
      </c>
      <c r="E32" s="8" t="s">
        <v>218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Data'!$AM$2:$AQ$50,3,0),"")</f>
        <v/>
      </c>
      <c r="I32" s="7" t="str">
        <f>IFERROR(VLOOKUP(Grid_BD[[#This Row],[Affected Feeder ]],'Basic Data'!$AM$2:$AQ$50,5,0),"")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5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80" customFormat="1">
      <c r="A33" s="175">
        <f t="shared" si="1"/>
        <v>32</v>
      </c>
      <c r="B33" s="176"/>
      <c r="C33" s="175">
        <f>YEAR(Grid_BD[[#This Row],[Date]])+IF(MONTH(Grid_BD[[#This Row],[Date]])&gt;=4,1,0)</f>
        <v>1900</v>
      </c>
      <c r="D33" s="175">
        <f>YEAR(Grid_BD[[#This Row],[Date]])</f>
        <v>1900</v>
      </c>
      <c r="E33" s="8" t="s">
        <v>218</v>
      </c>
      <c r="F33" s="178"/>
      <c r="G33" s="179" t="str">
        <f>IFERROR(_xlfn.XLOOKUP(Grid_BD[[#This Row],[Date]],RD[Date],RD[Operating Hours]),"")</f>
        <v/>
      </c>
      <c r="H33" s="4" t="str">
        <f>IFERROR(VLOOKUP(Grid_BD[[#This Row],[Affected Feeder ]],'Basic Data'!$AM$2:$AQ$50,3,0),"")</f>
        <v/>
      </c>
      <c r="I33" s="7" t="str">
        <f>IFERROR(VLOOKUP(Grid_BD[[#This Row],[Affected Feeder ]],'Basic Data'!$AM$2:$AQ$50,5,0),"")</f>
        <v/>
      </c>
      <c r="J33"/>
      <c r="L33" s="18"/>
      <c r="M33" s="182"/>
      <c r="N33" s="182"/>
      <c r="O33" s="183">
        <f>(Grid_BD[[#This Row],[Work Start TimeStamp]]-Grid_BD[[#This Row],[Fault Start TimeStamp]])*24</f>
        <v>0</v>
      </c>
      <c r="P33" s="183">
        <f>(Grid_BD[[#This Row],[Fault Clearance time]]-Grid_BD[[#This Row],[Work Start TimeStamp]])*24</f>
        <v>0</v>
      </c>
      <c r="Q33" s="183">
        <f>(Grid_BD[[#This Row],[Fault Clearance time]]-Grid_BD[[#This Row],[Fault Start TimeStamp]])*24</f>
        <v>0</v>
      </c>
      <c r="R33" s="23"/>
      <c r="S33" s="178"/>
      <c r="T33" s="185" t="str">
        <f>IFERROR(Grid_BD[[#This Row],[Breakdown Time]]*Grid_BD[[#This Row],[Plant Equivalent Weightage]],"")</f>
        <v/>
      </c>
      <c r="U33" s="186"/>
      <c r="V3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8">
        <f>IF(K33="Curtailment Order",(((100%*(Grid_BD[[#This Row],[Op. Hours]]-T33))+(((W33)/'Basic Data'!$AC$4)*T33))/Grid_BD[[#This Row],[Op. Hours]]),1)</f>
        <v>1</v>
      </c>
    </row>
    <row r="544" spans="7:7">
      <c r="G544" s="4" t="s">
        <v>395</v>
      </c>
    </row>
    <row r="604" spans="7:7">
      <c r="G604" s="4" t="s">
        <v>396</v>
      </c>
    </row>
  </sheetData>
  <phoneticPr fontId="60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9" sqref="F9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355" t="s">
        <v>736</v>
      </c>
      <c r="B1" s="356" t="s">
        <v>86</v>
      </c>
      <c r="C1" s="356" t="s">
        <v>110</v>
      </c>
      <c r="D1" s="356" t="s">
        <v>737</v>
      </c>
      <c r="E1" s="356" t="s">
        <v>738</v>
      </c>
      <c r="F1" s="356" t="s">
        <v>739</v>
      </c>
      <c r="G1" s="356" t="s">
        <v>740</v>
      </c>
      <c r="H1" s="356" t="s">
        <v>66</v>
      </c>
      <c r="I1" s="356" t="s">
        <v>67</v>
      </c>
      <c r="J1" s="356" t="s">
        <v>741</v>
      </c>
      <c r="K1" s="356" t="s">
        <v>742</v>
      </c>
      <c r="L1" s="356" t="s">
        <v>743</v>
      </c>
      <c r="M1" s="356" t="s">
        <v>744</v>
      </c>
      <c r="N1" s="356" t="s">
        <v>745</v>
      </c>
      <c r="O1" s="356" t="s">
        <v>746</v>
      </c>
      <c r="P1" s="356" t="s">
        <v>747</v>
      </c>
      <c r="Q1" s="356" t="s">
        <v>748</v>
      </c>
      <c r="R1" s="356" t="s">
        <v>749</v>
      </c>
      <c r="S1" s="356" t="s">
        <v>750</v>
      </c>
      <c r="T1" s="356" t="s">
        <v>751</v>
      </c>
      <c r="U1" s="357" t="s">
        <v>752</v>
      </c>
    </row>
    <row r="2" spans="1:21">
      <c r="A2" s="358">
        <v>1</v>
      </c>
      <c r="B2" s="359">
        <f>Table7[[#This Row],[Date]]-DAY(Table7[[#This Row],[Date]])+1</f>
        <v>1</v>
      </c>
      <c r="C2" s="360"/>
      <c r="D2" s="1" t="s">
        <v>753</v>
      </c>
      <c r="E2" s="1"/>
      <c r="F2" s="1"/>
      <c r="G2" s="1"/>
      <c r="H2" s="361"/>
      <c r="I2" s="361"/>
      <c r="J2" s="361">
        <f>I2-H2</f>
        <v>0</v>
      </c>
      <c r="K2" s="361">
        <f>(J2/0.041677)</f>
        <v>0</v>
      </c>
      <c r="L2" s="1"/>
      <c r="M2" s="1"/>
      <c r="N2" s="362"/>
      <c r="O2" s="362">
        <f t="shared" ref="O2:O6" si="0">(N2-M2)</f>
        <v>0</v>
      </c>
      <c r="P2" s="362"/>
      <c r="Q2" s="1" t="str">
        <f>IFERROR(_xlfn.XLOOKUP(Table7[[#This Row],[Month]],'Modelling New'!$D:$D,'Modelling New'!$O:$O),"")</f>
        <v/>
      </c>
      <c r="R2" s="363" t="str">
        <f>IFERROR(Table7[[#This Row],[Loss of Capacity in KWp]]*Table7[[#This Row],[Lost POA]]*Table7[[#This Row],[Estimated PR % (Pvsyst)]],"")</f>
        <v/>
      </c>
      <c r="S2" s="1"/>
      <c r="T2" s="1"/>
      <c r="U2" s="364"/>
    </row>
    <row r="3" spans="1:21">
      <c r="A3" s="358">
        <v>2</v>
      </c>
      <c r="B3" s="359">
        <f>Table7[[#This Row],[Date]]-DAY(Table7[[#This Row],[Date]])+1</f>
        <v>1</v>
      </c>
      <c r="C3" s="360"/>
      <c r="D3" s="1"/>
      <c r="E3" s="1"/>
      <c r="F3" s="1"/>
      <c r="G3" s="1"/>
      <c r="H3" s="361"/>
      <c r="I3" s="361"/>
      <c r="J3" s="361">
        <f>I3-H3</f>
        <v>0</v>
      </c>
      <c r="K3" s="361">
        <f>(J3/0.041677)</f>
        <v>0</v>
      </c>
      <c r="L3" s="1"/>
      <c r="M3" s="1"/>
      <c r="N3" s="362"/>
      <c r="O3" s="362">
        <f t="shared" si="0"/>
        <v>0</v>
      </c>
      <c r="P3" s="362"/>
      <c r="Q3" s="1" t="str">
        <f>IFERROR(_xlfn.XLOOKUP(Table7[[#This Row],[Month]],'Modelling New'!$D:$D,'Modelling New'!$O:$O),"")</f>
        <v/>
      </c>
      <c r="R3" s="363" t="str">
        <f>IFERROR(Table7[[#This Row],[Loss of Capacity in KWp]]*Table7[[#This Row],[Lost POA]]*Table7[[#This Row],[Estimated PR % (Pvsyst)]],"")</f>
        <v/>
      </c>
      <c r="S3" s="1"/>
      <c r="T3" s="1"/>
      <c r="U3" s="364"/>
    </row>
    <row r="4" spans="1:21">
      <c r="A4" s="358">
        <v>3</v>
      </c>
      <c r="B4" s="359">
        <f>Table7[[#This Row],[Date]]-DAY(Table7[[#This Row],[Date]])+1</f>
        <v>1</v>
      </c>
      <c r="C4" s="360"/>
      <c r="D4" s="1"/>
      <c r="E4" s="1"/>
      <c r="F4" s="1"/>
      <c r="G4" s="1"/>
      <c r="H4" s="361"/>
      <c r="I4" s="361"/>
      <c r="J4" s="361">
        <f t="shared" ref="J4:J6" si="1">I4-H4</f>
        <v>0</v>
      </c>
      <c r="K4" s="361">
        <f t="shared" ref="K4:K6" si="2">(J4/0.041677)</f>
        <v>0</v>
      </c>
      <c r="L4" s="1"/>
      <c r="M4" s="1"/>
      <c r="N4" s="362"/>
      <c r="O4" s="362">
        <f t="shared" si="0"/>
        <v>0</v>
      </c>
      <c r="P4" s="362"/>
      <c r="Q4" s="1" t="str">
        <f>IFERROR(_xlfn.XLOOKUP(Table7[[#This Row],[Month]],'Modelling New'!$D:$D,'Modelling New'!$O:$O),"")</f>
        <v/>
      </c>
      <c r="R4" s="363" t="str">
        <f>IFERROR(Table7[[#This Row],[Loss of Capacity in KWp]]*Table7[[#This Row],[Lost POA]]*Table7[[#This Row],[Estimated PR % (Pvsyst)]],"")</f>
        <v/>
      </c>
      <c r="S4" s="1"/>
      <c r="T4" s="1"/>
      <c r="U4" s="364"/>
    </row>
    <row r="5" spans="1:21">
      <c r="A5" s="358">
        <v>4</v>
      </c>
      <c r="B5" s="359">
        <f>Table7[[#This Row],[Date]]-DAY(Table7[[#This Row],[Date]])+1</f>
        <v>1</v>
      </c>
      <c r="C5" s="360"/>
      <c r="D5" s="1"/>
      <c r="E5" s="1"/>
      <c r="F5" s="1"/>
      <c r="G5" s="1"/>
      <c r="H5" s="361"/>
      <c r="I5" s="361"/>
      <c r="J5" s="361">
        <f t="shared" si="1"/>
        <v>0</v>
      </c>
      <c r="K5" s="361">
        <f t="shared" si="2"/>
        <v>0</v>
      </c>
      <c r="L5" s="1"/>
      <c r="M5" s="1"/>
      <c r="N5" s="362"/>
      <c r="O5" s="362">
        <f t="shared" si="0"/>
        <v>0</v>
      </c>
      <c r="P5" s="362"/>
      <c r="Q5" s="1" t="str">
        <f>IFERROR(_xlfn.XLOOKUP(Table7[[#This Row],[Month]],'Modelling New'!$D:$D,'Modelling New'!$O:$O),"")</f>
        <v/>
      </c>
      <c r="R5" s="363" t="str">
        <f>IFERROR(Table7[[#This Row],[Loss of Capacity in KWp]]*Table7[[#This Row],[Lost POA]]*Table7[[#This Row],[Estimated PR % (Pvsyst)]],"")</f>
        <v/>
      </c>
      <c r="S5" s="1"/>
      <c r="T5" s="1"/>
      <c r="U5" s="364"/>
    </row>
    <row r="6" spans="1:21">
      <c r="A6" s="358">
        <v>5</v>
      </c>
      <c r="B6" s="359">
        <f>Table7[[#This Row],[Date]]-DAY(Table7[[#This Row],[Date]])+1</f>
        <v>1</v>
      </c>
      <c r="C6" s="360"/>
      <c r="D6" s="1"/>
      <c r="E6" s="1"/>
      <c r="F6" s="1"/>
      <c r="G6" s="1"/>
      <c r="H6" s="361"/>
      <c r="I6" s="361"/>
      <c r="J6" s="361">
        <f t="shared" si="1"/>
        <v>0</v>
      </c>
      <c r="K6" s="361">
        <f t="shared" si="2"/>
        <v>0</v>
      </c>
      <c r="L6" s="1"/>
      <c r="M6" s="1"/>
      <c r="N6" s="362"/>
      <c r="O6" s="362">
        <f t="shared" si="0"/>
        <v>0</v>
      </c>
      <c r="P6" s="362"/>
      <c r="Q6" s="1" t="str">
        <f>IFERROR(_xlfn.XLOOKUP(Table7[[#This Row],[Month]],'Modelling New'!$D:$D,'Modelling New'!$O:$O),"")</f>
        <v/>
      </c>
      <c r="R6" s="363" t="str">
        <f>IFERROR(Table7[[#This Row],[Loss of Capacity in KWp]]*Table7[[#This Row],[Lost POA]]*Table7[[#This Row],[Estimated PR % (Pvsyst)]],"")</f>
        <v/>
      </c>
      <c r="S6" s="1"/>
      <c r="T6" s="1"/>
      <c r="U6" s="364"/>
    </row>
    <row r="8" spans="1:21">
      <c r="R8" s="36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43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397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  <c r="J3" s="198" t="s">
        <v>398</v>
      </c>
    </row>
    <row r="4" spans="2:10">
      <c r="B4" s="224">
        <f t="shared" ref="B4" ca="1" si="2">TODAY()-60</f>
        <v>45805</v>
      </c>
      <c r="C4" s="225">
        <f ca="1">VLOOKUP($B4,RD[[#All],[Date]:[IS4Inv2]],C$2,0)/C$1</f>
        <v>2.5380901691343292</v>
      </c>
      <c r="D4" s="225">
        <f ca="1">VLOOKUP($B4,RD[[#All],[Date]:[IS4Inv2]],D$2,0)/D$1</f>
        <v>2.568013769510828</v>
      </c>
      <c r="E4" s="225">
        <f ca="1">VLOOKUP($B4,RD[[#All],[Date]:[IS4Inv2]],E$2,0)/E$1</f>
        <v>2.5080047899076341</v>
      </c>
      <c r="F4" s="225">
        <f ca="1">VLOOKUP($B4,RD[[#All],[Date]:[IS4Inv2]],F$2,0)/F$1</f>
        <v>2.5538545819764438</v>
      </c>
      <c r="G4" s="225">
        <f ca="1">VLOOKUP($B4,RD[[#All],[Date]:[IS4Inv2]],G$2,0)/G$1</f>
        <v>2.573728581428615</v>
      </c>
      <c r="H4" s="225">
        <f ca="1">VLOOKUP($B4,RD[[#All],[Date]:[IS4Inv2]],H$2,0)/H$1</f>
        <v>2.5791549870437098</v>
      </c>
      <c r="I4" s="225">
        <f ca="1">VLOOKUP($B4,RD[[#All],[Date]:[IS4Inv2]],I$2,0)/I$1</f>
        <v>2.5947492163009405</v>
      </c>
      <c r="J4" s="225">
        <f ca="1">AVERAGEIFS(Inv_SY_B[[#This Row],[IS1Inv1]:[IS4Inv2]],Inv_SY_B[[#This Row],[IS1Inv1]:[IS4Inv2]],"&lt;&gt;0")</f>
        <v>2.5593708707575002</v>
      </c>
    </row>
    <row r="5" spans="2:10">
      <c r="B5" s="224">
        <f ca="1">B4+1</f>
        <v>45806</v>
      </c>
      <c r="C5" s="225">
        <f ca="1">VLOOKUP($B5,RD[[#All],[Date]:[IS4Inv2]],C$2,0)/C$1</f>
        <v>4.6814833930088273</v>
      </c>
      <c r="D5" s="225">
        <f ca="1">VLOOKUP($B5,RD[[#All],[Date]:[IS4Inv2]],D$2,0)/D$1</f>
        <v>4.7228778706588237</v>
      </c>
      <c r="E5" s="225">
        <f ca="1">VLOOKUP($B5,RD[[#All],[Date]:[IS4Inv2]],E$2,0)/E$1</f>
        <v>4.6198201496464772</v>
      </c>
      <c r="F5" s="225">
        <f ca="1">VLOOKUP($B5,RD[[#All],[Date]:[IS4Inv2]],F$2,0)/F$1</f>
        <v>4.6839334084061237</v>
      </c>
      <c r="G5" s="225">
        <f ca="1">VLOOKUP($B5,RD[[#All],[Date]:[IS4Inv2]],G$2,0)/G$1</f>
        <v>4.7588032991447795</v>
      </c>
      <c r="H5" s="225">
        <f ca="1">VLOOKUP($B5,RD[[#All],[Date]:[IS4Inv2]],H$2,0)/H$1</f>
        <v>4.75783213120671</v>
      </c>
      <c r="I5" s="225">
        <f ca="1">VLOOKUP($B5,RD[[#All],[Date]:[IS4Inv2]],I$2,0)/I$1</f>
        <v>4.7729231974921627</v>
      </c>
      <c r="J5" s="225">
        <f ca="1">AVERAGEIFS(Inv_SY_B[[#This Row],[IS1Inv1]:[IS4Inv2]],Inv_SY_B[[#This Row],[IS1Inv1]:[IS4Inv2]],"&lt;&gt;0")</f>
        <v>4.7139533499377011</v>
      </c>
    </row>
    <row r="6" spans="2:10">
      <c r="B6" s="224">
        <f t="shared" ref="B6:B64" ca="1" si="3">B5+1</f>
        <v>45807</v>
      </c>
      <c r="C6" s="225">
        <f ca="1">VLOOKUP($B6,RD[[#All],[Date]:[IS4Inv2]],C$2,0)/C$1</f>
        <v>3.1208025547562985</v>
      </c>
      <c r="D6" s="225">
        <f ca="1">VLOOKUP($B6,RD[[#All],[Date]:[IS4Inv2]],D$2,0)/D$1</f>
        <v>3.1347299449326806</v>
      </c>
      <c r="E6" s="225">
        <f ca="1">VLOOKUP($B6,RD[[#All],[Date]:[IS4Inv2]],E$2,0)/E$1</f>
        <v>3.1058889931278557</v>
      </c>
      <c r="F6" s="225">
        <f ca="1">VLOOKUP($B6,RD[[#All],[Date]:[IS4Inv2]],F$2,0)/F$1</f>
        <v>3.1489789086039508</v>
      </c>
      <c r="G6" s="225">
        <f ca="1">VLOOKUP($B6,RD[[#All],[Date]:[IS4Inv2]],G$2,0)/G$1</f>
        <v>3.1736007547858907</v>
      </c>
      <c r="H6" s="225">
        <f ca="1">VLOOKUP($B6,RD[[#All],[Date]:[IS4Inv2]],H$2,0)/H$1</f>
        <v>3.1297924051228838</v>
      </c>
      <c r="I6" s="225">
        <f ca="1">VLOOKUP($B6,RD[[#All],[Date]:[IS4Inv2]],I$2,0)/I$1</f>
        <v>3.150058777429467</v>
      </c>
      <c r="J6" s="225">
        <f ca="1">AVERAGEIFS(Inv_SY_B[[#This Row],[IS1Inv1]:[IS4Inv2]],Inv_SY_B[[#This Row],[IS1Inv1]:[IS4Inv2]],"&lt;&gt;0")</f>
        <v>3.13769319125129</v>
      </c>
    </row>
    <row r="7" spans="2:10">
      <c r="B7" s="224">
        <f t="shared" ca="1" si="3"/>
        <v>45808</v>
      </c>
      <c r="C7" s="225">
        <f ca="1">VLOOKUP($B7,RD[[#All],[Date]:[IS4Inv2]],C$2,0)/C$1</f>
        <v>5.5894971129963551</v>
      </c>
      <c r="D7" s="225">
        <f ca="1">VLOOKUP($B7,RD[[#All],[Date]:[IS4Inv2]],D$2,0)/D$1</f>
        <v>5.5867109207019876</v>
      </c>
      <c r="E7" s="225">
        <f ca="1">VLOOKUP($B7,RD[[#All],[Date]:[IS4Inv2]],E$2,0)/E$1</f>
        <v>5.4096667658208064</v>
      </c>
      <c r="F7" s="225">
        <f ca="1">VLOOKUP($B7,RD[[#All],[Date]:[IS4Inv2]],F$2,0)/F$1</f>
        <v>5.4420823568798129</v>
      </c>
      <c r="G7" s="225">
        <f ca="1">VLOOKUP($B7,RD[[#All],[Date]:[IS4Inv2]],G$2,0)/G$1</f>
        <v>5.4952673707276993</v>
      </c>
      <c r="H7" s="225">
        <f ca="1">VLOOKUP($B7,RD[[#All],[Date]:[IS4Inv2]],H$2,0)/H$1</f>
        <v>5.8692287623751698</v>
      </c>
      <c r="I7" s="225">
        <f ca="1">VLOOKUP($B7,RD[[#All],[Date]:[IS4Inv2]],I$2,0)/I$1</f>
        <v>5.8388910658307207</v>
      </c>
      <c r="J7" s="225">
        <f ca="1">AVERAGEIFS(Inv_SY_B[[#This Row],[IS1Inv1]:[IS4Inv2]],Inv_SY_B[[#This Row],[IS1Inv1]:[IS4Inv2]],"&lt;&gt;0")</f>
        <v>5.6044777650475073</v>
      </c>
    </row>
    <row r="8" spans="2:10">
      <c r="B8" s="224">
        <f t="shared" ca="1" si="3"/>
        <v>45809</v>
      </c>
      <c r="C8" s="225">
        <f ca="1">VLOOKUP($B8,RD[[#All],[Date]:[IS4Inv2]],C$2,0)/C$1</f>
        <v>2.4408244895325959</v>
      </c>
      <c r="D8" s="225">
        <f ca="1">VLOOKUP($B8,RD[[#All],[Date]:[IS4Inv2]],D$2,0)/D$1</f>
        <v>2.4418147014193101</v>
      </c>
      <c r="E8" s="225">
        <f ca="1">VLOOKUP($B8,RD[[#All],[Date]:[IS4Inv2]],E$2,0)/E$1</f>
        <v>2.3895232211366118</v>
      </c>
      <c r="F8" s="225">
        <f ca="1">VLOOKUP($B8,RD[[#All],[Date]:[IS4Inv2]],F$2,0)/F$1</f>
        <v>2.4280518610950486</v>
      </c>
      <c r="G8" s="225">
        <f ca="1">VLOOKUP($B8,RD[[#All],[Date]:[IS4Inv2]],G$2,0)/G$1</f>
        <v>2.4580302523054449</v>
      </c>
      <c r="H8" s="225">
        <f ca="1">VLOOKUP($B8,RD[[#All],[Date]:[IS4Inv2]],H$2,0)/H$1</f>
        <v>2.4519459935542214</v>
      </c>
      <c r="I8" s="225">
        <f ca="1">VLOOKUP($B8,RD[[#All],[Date]:[IS4Inv2]],I$2,0)/I$1</f>
        <v>2.4082876175548589</v>
      </c>
      <c r="J8" s="225">
        <f ca="1">AVERAGEIFS(Inv_SY_B[[#This Row],[IS1Inv1]:[IS4Inv2]],Inv_SY_B[[#This Row],[IS1Inv1]:[IS4Inv2]],"&lt;&gt;0")</f>
        <v>2.4312111623711559</v>
      </c>
    </row>
    <row r="9" spans="2:10">
      <c r="B9" s="224">
        <f t="shared" ca="1" si="3"/>
        <v>45810</v>
      </c>
      <c r="C9" s="225">
        <f ca="1">VLOOKUP($B9,RD[[#All],[Date]:[IS4Inv2]],C$2,0)/C$1</f>
        <v>5.0799866670967608</v>
      </c>
      <c r="D9" s="225">
        <f ca="1">VLOOKUP($B9,RD[[#All],[Date]:[IS4Inv2]],D$2,0)/D$1</f>
        <v>5.0755231931538507</v>
      </c>
      <c r="E9" s="225">
        <f ca="1">VLOOKUP($B9,RD[[#All],[Date]:[IS4Inv2]],E$2,0)/E$1</f>
        <v>4.954167906093403</v>
      </c>
      <c r="F9" s="225">
        <f ca="1">VLOOKUP($B9,RD[[#All],[Date]:[IS4Inv2]],F$2,0)/F$1</f>
        <v>4.991523876190767</v>
      </c>
      <c r="G9" s="225">
        <f ca="1">VLOOKUP($B9,RD[[#All],[Date]:[IS4Inv2]],G$2,0)/G$1</f>
        <v>5.1122896186505162</v>
      </c>
      <c r="H9" s="225">
        <f ca="1">VLOOKUP($B9,RD[[#All],[Date]:[IS4Inv2]],H$2,0)/H$1</f>
        <v>5.2525642861486377</v>
      </c>
      <c r="I9" s="225">
        <f ca="1">VLOOKUP($B9,RD[[#All],[Date]:[IS4Inv2]],I$2,0)/I$1</f>
        <v>5.2373040752351097</v>
      </c>
      <c r="J9" s="225">
        <f ca="1">AVERAGEIFS(Inv_SY_B[[#This Row],[IS1Inv1]:[IS4Inv2]],Inv_SY_B[[#This Row],[IS1Inv1]:[IS4Inv2]],"&lt;&gt;0")</f>
        <v>5.1004799460812924</v>
      </c>
    </row>
    <row r="10" spans="2:10">
      <c r="B10" s="224">
        <f t="shared" ca="1" si="3"/>
        <v>45811</v>
      </c>
      <c r="C10" s="225">
        <f ca="1">VLOOKUP($B10,RD[[#All],[Date]:[IS4Inv2]],C$2,0)/C$1</f>
        <v>5.0854918658537898</v>
      </c>
      <c r="D10" s="225">
        <f ca="1">VLOOKUP($B10,RD[[#All],[Date]:[IS4Inv2]],D$2,0)/D$1</f>
        <v>5.0874910857430864</v>
      </c>
      <c r="E10" s="225">
        <f ca="1">VLOOKUP($B10,RD[[#All],[Date]:[IS4Inv2]],E$2,0)/E$1</f>
        <v>4.9435812949530549</v>
      </c>
      <c r="F10" s="225">
        <f ca="1">VLOOKUP($B10,RD[[#All],[Date]:[IS4Inv2]],F$2,0)/F$1</f>
        <v>4.9888456036765376</v>
      </c>
      <c r="G10" s="225">
        <f ca="1">VLOOKUP($B10,RD[[#All],[Date]:[IS4Inv2]],G$2,0)/G$1</f>
        <v>5.0345588459080259</v>
      </c>
      <c r="H10" s="225">
        <f ca="1">VLOOKUP($B10,RD[[#All],[Date]:[IS4Inv2]],H$2,0)/H$1</f>
        <v>5.2973865760674475</v>
      </c>
      <c r="I10" s="225">
        <f ca="1">VLOOKUP($B10,RD[[#All],[Date]:[IS4Inv2]],I$2,0)/I$1</f>
        <v>5.2706308777429465</v>
      </c>
      <c r="J10" s="225">
        <f ca="1">AVERAGEIFS(Inv_SY_B[[#This Row],[IS1Inv1]:[IS4Inv2]],Inv_SY_B[[#This Row],[IS1Inv1]:[IS4Inv2]],"&lt;&gt;0")</f>
        <v>5.1011408785635552</v>
      </c>
    </row>
    <row r="11" spans="2:10">
      <c r="B11" s="224">
        <f t="shared" ca="1" si="3"/>
        <v>45812</v>
      </c>
      <c r="C11" s="225">
        <f ca="1">VLOOKUP($B11,RD[[#All],[Date]:[IS4Inv2]],C$2,0)/C$1</f>
        <v>5.2006279367332242</v>
      </c>
      <c r="D11" s="225">
        <f ca="1">VLOOKUP($B11,RD[[#All],[Date]:[IS4Inv2]],D$2,0)/D$1</f>
        <v>5.1912342693526501</v>
      </c>
      <c r="E11" s="225">
        <f ca="1">VLOOKUP($B11,RD[[#All],[Date]:[IS4Inv2]],E$2,0)/E$1</f>
        <v>5.0785682142339583</v>
      </c>
      <c r="F11" s="225">
        <f ca="1">VLOOKUP($B11,RD[[#All],[Date]:[IS4Inv2]],F$2,0)/F$1</f>
        <v>5.1166418114861374</v>
      </c>
      <c r="G11" s="225">
        <f ca="1">VLOOKUP($B11,RD[[#All],[Date]:[IS4Inv2]],G$2,0)/G$1</f>
        <v>5.1411419180083398</v>
      </c>
      <c r="H11" s="225">
        <f ca="1">VLOOKUP($B11,RD[[#All],[Date]:[IS4Inv2]],H$2,0)/H$1</f>
        <v>5.350898701624784</v>
      </c>
      <c r="I11" s="225">
        <f ca="1">VLOOKUP($B11,RD[[#All],[Date]:[IS4Inv2]],I$2,0)/I$1</f>
        <v>5.3467868338557993</v>
      </c>
      <c r="J11" s="225">
        <f ca="1">AVERAGEIFS(Inv_SY_B[[#This Row],[IS1Inv1]:[IS4Inv2]],Inv_SY_B[[#This Row],[IS1Inv1]:[IS4Inv2]],"&lt;&gt;0")</f>
        <v>5.2036999550421275</v>
      </c>
    </row>
    <row r="12" spans="2:10">
      <c r="B12" s="224">
        <f t="shared" ca="1" si="3"/>
        <v>45813</v>
      </c>
      <c r="C12" s="225">
        <f ca="1">VLOOKUP($B12,RD[[#All],[Date]:[IS4Inv2]],C$2,0)/C$1</f>
        <v>4.3617087620829436</v>
      </c>
      <c r="D12" s="225">
        <f ca="1">VLOOKUP($B12,RD[[#All],[Date]:[IS4Inv2]],D$2,0)/D$1</f>
        <v>4.3214601686872314</v>
      </c>
      <c r="E12" s="225">
        <f ca="1">VLOOKUP($B12,RD[[#All],[Date]:[IS4Inv2]],E$2,0)/E$1</f>
        <v>4.2082694551861426</v>
      </c>
      <c r="F12" s="225">
        <f ca="1">VLOOKUP($B12,RD[[#All],[Date]:[IS4Inv2]],F$2,0)/F$1</f>
        <v>4.2295249109778741</v>
      </c>
      <c r="G12" s="225">
        <f ca="1">VLOOKUP($B12,RD[[#All],[Date]:[IS4Inv2]],G$2,0)/G$1</f>
        <v>4.2152509358736339</v>
      </c>
      <c r="H12" s="225">
        <f ca="1">VLOOKUP($B12,RD[[#All],[Date]:[IS4Inv2]],H$2,0)/H$1</f>
        <v>4.4813070454362673</v>
      </c>
      <c r="I12" s="225">
        <f ca="1">VLOOKUP($B12,RD[[#All],[Date]:[IS4Inv2]],I$2,0)/I$1</f>
        <v>4.4137539184952974</v>
      </c>
      <c r="J12" s="225">
        <f ca="1">AVERAGEIFS(Inv_SY_B[[#This Row],[IS1Inv1]:[IS4Inv2]],Inv_SY_B[[#This Row],[IS1Inv1]:[IS4Inv2]],"&lt;&gt;0")</f>
        <v>4.3187535995341984</v>
      </c>
    </row>
    <row r="13" spans="2:10">
      <c r="B13" s="224">
        <f t="shared" ca="1" si="3"/>
        <v>45814</v>
      </c>
      <c r="C13" s="225">
        <f ca="1">VLOOKUP($B13,RD[[#All],[Date]:[IS4Inv2]],C$2,0)/C$1</f>
        <v>5.6439254647699535</v>
      </c>
      <c r="D13" s="225">
        <f ca="1">VLOOKUP($B13,RD[[#All],[Date]:[IS4Inv2]],D$2,0)/D$1</f>
        <v>5.5947324114338413</v>
      </c>
      <c r="E13" s="225">
        <f ca="1">VLOOKUP($B13,RD[[#All],[Date]:[IS4Inv2]],E$2,0)/E$1</f>
        <v>5.4604641939149872</v>
      </c>
      <c r="F13" s="225">
        <f ca="1">VLOOKUP($B13,RD[[#All],[Date]:[IS4Inv2]],F$2,0)/F$1</f>
        <v>5.4860303740451046</v>
      </c>
      <c r="G13" s="225">
        <f ca="1">VLOOKUP($B13,RD[[#All],[Date]:[IS4Inv2]],G$2,0)/G$1</f>
        <v>5.4395258240253224</v>
      </c>
      <c r="H13" s="225">
        <f ca="1">VLOOKUP($B13,RD[[#All],[Date]:[IS4Inv2]],H$2,0)/H$1</f>
        <v>5.6207936193459673</v>
      </c>
      <c r="I13" s="225">
        <f ca="1">VLOOKUP($B13,RD[[#All],[Date]:[IS4Inv2]],I$2,0)/I$1</f>
        <v>5.5831308777429465</v>
      </c>
      <c r="J13" s="225">
        <f ca="1">AVERAGEIFS(Inv_SY_B[[#This Row],[IS1Inv1]:[IS4Inv2]],Inv_SY_B[[#This Row],[IS1Inv1]:[IS4Inv2]],"&lt;&gt;0")</f>
        <v>5.5469432521825883</v>
      </c>
    </row>
    <row r="14" spans="2:10">
      <c r="B14" s="224">
        <f t="shared" ca="1" si="3"/>
        <v>45815</v>
      </c>
      <c r="C14" s="225">
        <f ca="1">VLOOKUP($B14,RD[[#All],[Date]:[IS4Inv2]],C$2,0)/C$1</f>
        <v>4.4188251991871237</v>
      </c>
      <c r="D14" s="225">
        <f ca="1">VLOOKUP($B14,RD[[#All],[Date]:[IS4Inv2]],D$2,0)/D$1</f>
        <v>4.4010745365926898</v>
      </c>
      <c r="E14" s="225">
        <f ca="1">VLOOKUP($B14,RD[[#All],[Date]:[IS4Inv2]],E$2,0)/E$1</f>
        <v>4.3059744182321582</v>
      </c>
      <c r="F14" s="225">
        <f ca="1">VLOOKUP($B14,RD[[#All],[Date]:[IS4Inv2]],F$2,0)/F$1</f>
        <v>4.3379340779742526</v>
      </c>
      <c r="G14" s="225">
        <f ca="1">VLOOKUP($B14,RD[[#All],[Date]:[IS4Inv2]],G$2,0)/G$1</f>
        <v>4.3521928356210244</v>
      </c>
      <c r="H14" s="225">
        <f ca="1">VLOOKUP($B14,RD[[#All],[Date]:[IS4Inv2]],H$2,0)/H$1</f>
        <v>4.527188592972414</v>
      </c>
      <c r="I14" s="225">
        <f ca="1">VLOOKUP($B14,RD[[#All],[Date]:[IS4Inv2]],I$2,0)/I$1</f>
        <v>4.4932797805642632</v>
      </c>
      <c r="J14" s="225">
        <f ca="1">AVERAGEIFS(Inv_SY_B[[#This Row],[IS1Inv1]:[IS4Inv2]],Inv_SY_B[[#This Row],[IS1Inv1]:[IS4Inv2]],"&lt;&gt;0")</f>
        <v>4.4052099201634176</v>
      </c>
    </row>
    <row r="15" spans="2:10">
      <c r="B15" s="224">
        <f t="shared" ca="1" si="3"/>
        <v>45816</v>
      </c>
      <c r="C15" s="225">
        <f ca="1">VLOOKUP($B15,RD[[#All],[Date]:[IS4Inv2]],C$2,0)/C$1</f>
        <v>4.8316505919163903</v>
      </c>
      <c r="D15" s="225">
        <f ca="1">VLOOKUP($B15,RD[[#All],[Date]:[IS4Inv2]],D$2,0)/D$1</f>
        <v>4.8673504951769182</v>
      </c>
      <c r="E15" s="225">
        <f ca="1">VLOOKUP($B15,RD[[#All],[Date]:[IS4Inv2]],E$2,0)/E$1</f>
        <v>4.7636089055671231</v>
      </c>
      <c r="F15" s="225">
        <f ca="1">VLOOKUP($B15,RD[[#All],[Date]:[IS4Inv2]],F$2,0)/F$1</f>
        <v>4.8358949386736461</v>
      </c>
      <c r="G15" s="225">
        <f ca="1">VLOOKUP($B15,RD[[#All],[Date]:[IS4Inv2]],G$2,0)/G$1</f>
        <v>4.8829016647898476</v>
      </c>
      <c r="H15" s="225">
        <f ca="1">VLOOKUP($B15,RD[[#All],[Date]:[IS4Inv2]],H$2,0)/H$1</f>
        <v>4.9333158098122558</v>
      </c>
      <c r="I15" s="225">
        <f ca="1">VLOOKUP($B15,RD[[#All],[Date]:[IS4Inv2]],I$2,0)/I$1</f>
        <v>4.9258620689655173</v>
      </c>
      <c r="J15" s="225">
        <f ca="1">AVERAGEIFS(Inv_SY_B[[#This Row],[IS1Inv1]:[IS4Inv2]],Inv_SY_B[[#This Row],[IS1Inv1]:[IS4Inv2]],"&lt;&gt;0")</f>
        <v>4.8629406392716712</v>
      </c>
    </row>
    <row r="16" spans="2:10">
      <c r="B16" s="224">
        <f t="shared" ca="1" si="3"/>
        <v>45817</v>
      </c>
      <c r="C16" s="225">
        <f ca="1">VLOOKUP($B16,RD[[#All],[Date]:[IS4Inv2]],C$2,0)/C$1</f>
        <v>5.2558089523993852</v>
      </c>
      <c r="D16" s="225">
        <f ca="1">VLOOKUP($B16,RD[[#All],[Date]:[IS4Inv2]],D$2,0)/D$1</f>
        <v>5.2774545708019875</v>
      </c>
      <c r="E16" s="225">
        <f ca="1">VLOOKUP($B16,RD[[#All],[Date]:[IS4Inv2]],E$2,0)/E$1</f>
        <v>5.142850605221609</v>
      </c>
      <c r="F16" s="225">
        <f ca="1">VLOOKUP($B16,RD[[#All],[Date]:[IS4Inv2]],F$2,0)/F$1</f>
        <v>5.1722311836138424</v>
      </c>
      <c r="G16" s="225">
        <f ca="1">VLOOKUP($B16,RD[[#All],[Date]:[IS4Inv2]],G$2,0)/G$1</f>
        <v>5.1817420945308461</v>
      </c>
      <c r="H16" s="225">
        <f ca="1">VLOOKUP($B16,RD[[#All],[Date]:[IS4Inv2]],H$2,0)/H$1</f>
        <v>5.3888162011490985</v>
      </c>
      <c r="I16" s="225">
        <f ca="1">VLOOKUP($B16,RD[[#All],[Date]:[IS4Inv2]],I$2,0)/I$1</f>
        <v>5.32762539184953</v>
      </c>
      <c r="J16" s="225">
        <f ca="1">AVERAGEIFS(Inv_SY_B[[#This Row],[IS1Inv1]:[IS4Inv2]],Inv_SY_B[[#This Row],[IS1Inv1]:[IS4Inv2]],"&lt;&gt;0")</f>
        <v>5.2495041427951863</v>
      </c>
    </row>
    <row r="17" spans="2:10">
      <c r="B17" s="224">
        <f t="shared" ca="1" si="3"/>
        <v>45818</v>
      </c>
      <c r="C17" s="225">
        <f ca="1">VLOOKUP($B17,RD[[#All],[Date]:[IS4Inv2]],C$2,0)/C$1</f>
        <v>4.2299280668365542</v>
      </c>
      <c r="D17" s="225">
        <f ca="1">VLOOKUP($B17,RD[[#All],[Date]:[IS4Inv2]],D$2,0)/D$1</f>
        <v>4.2119260693086824</v>
      </c>
      <c r="E17" s="225">
        <f ca="1">VLOOKUP($B17,RD[[#All],[Date]:[IS4Inv2]],E$2,0)/E$1</f>
        <v>4.1443989352370929</v>
      </c>
      <c r="F17" s="225">
        <f ca="1">VLOOKUP($B17,RD[[#All],[Date]:[IS4Inv2]],F$2,0)/F$1</f>
        <v>4.1660833307970906</v>
      </c>
      <c r="G17" s="225">
        <f ca="1">VLOOKUP($B17,RD[[#All],[Date]:[IS4Inv2]],G$2,0)/G$1</f>
        <v>4.1767507684816021</v>
      </c>
      <c r="H17" s="225">
        <f ca="1">VLOOKUP($B17,RD[[#All],[Date]:[IS4Inv2]],H$2,0)/H$1</f>
        <v>4.2783415164253586</v>
      </c>
      <c r="I17" s="225">
        <f ca="1">VLOOKUP($B17,RD[[#All],[Date]:[IS4Inv2]],I$2,0)/I$1</f>
        <v>4.2419866771159871</v>
      </c>
      <c r="J17" s="225">
        <f ca="1">AVERAGEIFS(Inv_SY_B[[#This Row],[IS1Inv1]:[IS4Inv2]],Inv_SY_B[[#This Row],[IS1Inv1]:[IS4Inv2]],"&lt;&gt;0")</f>
        <v>4.2070593377431953</v>
      </c>
    </row>
    <row r="18" spans="2:10">
      <c r="B18" s="224">
        <f t="shared" ca="1" si="3"/>
        <v>45819</v>
      </c>
      <c r="C18" s="225">
        <f ca="1">VLOOKUP($B18,RD[[#All],[Date]:[IS4Inv2]],C$2,0)/C$1</f>
        <v>3.9380880186660652</v>
      </c>
      <c r="D18" s="225">
        <f ca="1">VLOOKUP($B18,RD[[#All],[Date]:[IS4Inv2]],D$2,0)/D$1</f>
        <v>3.9323535246837782</v>
      </c>
      <c r="E18" s="225">
        <f ca="1">VLOOKUP($B18,RD[[#All],[Date]:[IS4Inv2]],E$2,0)/E$1</f>
        <v>3.8850117078156345</v>
      </c>
      <c r="F18" s="225">
        <f ca="1">VLOOKUP($B18,RD[[#All],[Date]:[IS4Inv2]],F$2,0)/F$1</f>
        <v>3.9176431201874795</v>
      </c>
      <c r="G18" s="225">
        <f ca="1">VLOOKUP($B18,RD[[#All],[Date]:[IS4Inv2]],G$2,0)/G$1</f>
        <v>3.9501476093374319</v>
      </c>
      <c r="H18" s="225">
        <f ca="1">VLOOKUP($B18,RD[[#All],[Date]:[IS4Inv2]],H$2,0)/H$1</f>
        <v>3.9586418748075189</v>
      </c>
      <c r="I18" s="225">
        <f ca="1">VLOOKUP($B18,RD[[#All],[Date]:[IS4Inv2]],I$2,0)/I$1</f>
        <v>3.9278213166144198</v>
      </c>
      <c r="J18" s="225">
        <f ca="1">AVERAGEIFS(Inv_SY_B[[#This Row],[IS1Inv1]:[IS4Inv2]],Inv_SY_B[[#This Row],[IS1Inv1]:[IS4Inv2]],"&lt;&gt;0")</f>
        <v>3.9299581674446182</v>
      </c>
    </row>
    <row r="19" spans="2:10">
      <c r="B19" s="224">
        <f t="shared" ca="1" si="3"/>
        <v>45820</v>
      </c>
      <c r="C19" s="225">
        <f ca="1">VLOOKUP($B19,RD[[#All],[Date]:[IS4Inv2]],C$2,0)/C$1</f>
        <v>3.0076664193628164</v>
      </c>
      <c r="D19" s="225">
        <f ca="1">VLOOKUP($B19,RD[[#All],[Date]:[IS4Inv2]],D$2,0)/D$1</f>
        <v>3.0221288049801873</v>
      </c>
      <c r="E19" s="225">
        <f ca="1">VLOOKUP($B19,RD[[#All],[Date]:[IS4Inv2]],E$2,0)/E$1</f>
        <v>2.9287844465292237</v>
      </c>
      <c r="F19" s="225">
        <f ca="1">VLOOKUP($B19,RD[[#All],[Date]:[IS4Inv2]],F$2,0)/F$1</f>
        <v>2.9695498676081198</v>
      </c>
      <c r="G19" s="225">
        <f ca="1">VLOOKUP($B19,RD[[#All],[Date]:[IS4Inv2]],G$2,0)/G$1</f>
        <v>3.0389110387436471</v>
      </c>
      <c r="H19" s="225">
        <f ca="1">VLOOKUP($B19,RD[[#All],[Date]:[IS4Inv2]],H$2,0)/H$1</f>
        <v>3.1310674374400489</v>
      </c>
      <c r="I19" s="225">
        <f ca="1">VLOOKUP($B19,RD[[#All],[Date]:[IS4Inv2]],I$2,0)/I$1</f>
        <v>3.1257641065830719</v>
      </c>
      <c r="J19" s="225">
        <f ca="1">AVERAGEIFS(Inv_SY_B[[#This Row],[IS1Inv1]:[IS4Inv2]],Inv_SY_B[[#This Row],[IS1Inv1]:[IS4Inv2]],"&lt;&gt;0")</f>
        <v>3.0319817316067308</v>
      </c>
    </row>
    <row r="20" spans="2:10">
      <c r="B20" s="224">
        <f t="shared" ca="1" si="3"/>
        <v>45821</v>
      </c>
      <c r="C20" s="225">
        <f ca="1">VLOOKUP($B20,RD[[#All],[Date]:[IS4Inv2]],C$2,0)/C$1</f>
        <v>4.0919110136232169</v>
      </c>
      <c r="D20" s="225">
        <f ca="1">VLOOKUP($B20,RD[[#All],[Date]:[IS4Inv2]],D$2,0)/D$1</f>
        <v>4.0652228698277195</v>
      </c>
      <c r="E20" s="225">
        <f ca="1">VLOOKUP($B20,RD[[#All],[Date]:[IS4Inv2]],E$2,0)/E$1</f>
        <v>4.0740757690166198</v>
      </c>
      <c r="F20" s="225">
        <f ca="1">VLOOKUP($B20,RD[[#All],[Date]:[IS4Inv2]],F$2,0)/F$1</f>
        <v>4.0986547767598998</v>
      </c>
      <c r="G20" s="225">
        <f ca="1">VLOOKUP($B20,RD[[#All],[Date]:[IS4Inv2]],G$2,0)/G$1</f>
        <v>4.1375810329610134</v>
      </c>
      <c r="H20" s="225">
        <f ca="1">VLOOKUP($B20,RD[[#All],[Date]:[IS4Inv2]],H$2,0)/H$1</f>
        <v>4.0899505875937399</v>
      </c>
      <c r="I20" s="225">
        <f ca="1">VLOOKUP($B20,RD[[#All],[Date]:[IS4Inv2]],I$2,0)/I$1</f>
        <v>4.1353448275862066</v>
      </c>
      <c r="J20" s="225">
        <f ca="1">AVERAGEIFS(Inv_SY_B[[#This Row],[IS1Inv1]:[IS4Inv2]],Inv_SY_B[[#This Row],[IS1Inv1]:[IS4Inv2]],"&lt;&gt;0")</f>
        <v>4.0989629824812024</v>
      </c>
    </row>
    <row r="21" spans="2:10">
      <c r="B21" s="224">
        <f t="shared" ca="1" si="3"/>
        <v>45822</v>
      </c>
      <c r="C21" s="225">
        <f ca="1">VLOOKUP($B21,RD[[#All],[Date]:[IS4Inv2]],C$2,0)/C$1</f>
        <v>5.0748470479446901</v>
      </c>
      <c r="D21" s="225">
        <f ca="1">VLOOKUP($B21,RD[[#All],[Date]:[IS4Inv2]],D$2,0)/D$1</f>
        <v>5.0024504152837279</v>
      </c>
      <c r="E21" s="225">
        <f ca="1">VLOOKUP($B21,RD[[#All],[Date]:[IS4Inv2]],E$2,0)/E$1</f>
        <v>4.9073671525219478</v>
      </c>
      <c r="F21" s="225">
        <f ca="1">VLOOKUP($B21,RD[[#All],[Date]:[IS4Inv2]],F$2,0)/F$1</f>
        <v>4.904738716255288</v>
      </c>
      <c r="G21" s="225">
        <f ca="1">VLOOKUP($B21,RD[[#All],[Date]:[IS4Inv2]],G$2,0)/G$1</f>
        <v>4.8777429467084641</v>
      </c>
      <c r="H21" s="225">
        <f ca="1">VLOOKUP($B21,RD[[#All],[Date]:[IS4Inv2]],H$2,0)/H$1</f>
        <v>5.171746853122162</v>
      </c>
      <c r="I21" s="225">
        <f ca="1">VLOOKUP($B21,RD[[#All],[Date]:[IS4Inv2]],I$2,0)/I$1</f>
        <v>5.0854819749216302</v>
      </c>
      <c r="J21" s="225">
        <f ca="1">AVERAGEIFS(Inv_SY_B[[#This Row],[IS1Inv1]:[IS4Inv2]],Inv_SY_B[[#This Row],[IS1Inv1]:[IS4Inv2]],"&lt;&gt;0")</f>
        <v>5.003482158108274</v>
      </c>
    </row>
    <row r="22" spans="2:10">
      <c r="B22" s="224">
        <f t="shared" ca="1" si="3"/>
        <v>45823</v>
      </c>
      <c r="C22" s="225">
        <f ca="1">VLOOKUP($B22,RD[[#All],[Date]:[IS4Inv2]],C$2,0)/C$1</f>
        <v>4.1352859585174677</v>
      </c>
      <c r="D22" s="225">
        <f ca="1">VLOOKUP($B22,RD[[#All],[Date]:[IS4Inv2]],D$2,0)/D$1</f>
        <v>4.2024246778803098</v>
      </c>
      <c r="E22" s="225">
        <f ca="1">VLOOKUP($B22,RD[[#All],[Date]:[IS4Inv2]],E$2,0)/E$1</f>
        <v>4.0624518530383122</v>
      </c>
      <c r="F22" s="225">
        <f ca="1">VLOOKUP($B22,RD[[#All],[Date]:[IS4Inv2]],F$2,0)/F$1</f>
        <v>4.1496332592750411</v>
      </c>
      <c r="G22" s="225">
        <f ca="1">VLOOKUP($B22,RD[[#All],[Date]:[IS4Inv2]],G$2,0)/G$1</f>
        <v>4.362373314666586</v>
      </c>
      <c r="H22" s="225">
        <f ca="1">VLOOKUP($B22,RD[[#All],[Date]:[IS4Inv2]],H$2,0)/H$1</f>
        <v>4.4130633926452214</v>
      </c>
      <c r="I22" s="225">
        <f ca="1">VLOOKUP($B22,RD[[#All],[Date]:[IS4Inv2]],I$2,0)/I$1</f>
        <v>4.3947100313479623</v>
      </c>
      <c r="J22" s="225">
        <f ca="1">AVERAGEIFS(Inv_SY_B[[#This Row],[IS1Inv1]:[IS4Inv2]],Inv_SY_B[[#This Row],[IS1Inv1]:[IS4Inv2]],"&lt;&gt;0")</f>
        <v>4.245706069624414</v>
      </c>
    </row>
    <row r="23" spans="2:10">
      <c r="B23" s="224">
        <f t="shared" ca="1" si="3"/>
        <v>45824</v>
      </c>
      <c r="C23" s="225">
        <f ca="1">VLOOKUP($B23,RD[[#All],[Date]:[IS4Inv2]],C$2,0)/C$1</f>
        <v>3.1471888003612789</v>
      </c>
      <c r="D23" s="225">
        <f ca="1">VLOOKUP($B23,RD[[#All],[Date]:[IS4Inv2]],D$2,0)/D$1</f>
        <v>3.1706121748642082</v>
      </c>
      <c r="E23" s="225">
        <f ca="1">VLOOKUP($B23,RD[[#All],[Date]:[IS4Inv2]],E$2,0)/E$1</f>
        <v>3.10935176074869</v>
      </c>
      <c r="F23" s="225">
        <f ca="1">VLOOKUP($B23,RD[[#All],[Date]:[IS4Inv2]],F$2,0)/F$1</f>
        <v>3.1445354110235262</v>
      </c>
      <c r="G23" s="225">
        <f ca="1">VLOOKUP($B23,RD[[#All],[Date]:[IS4Inv2]],G$2,0)/G$1</f>
        <v>3.1532550141522355</v>
      </c>
      <c r="H23" s="225">
        <f ca="1">VLOOKUP($B23,RD[[#All],[Date]:[IS4Inv2]],H$2,0)/H$1</f>
        <v>3.220437394932433</v>
      </c>
      <c r="I23" s="225">
        <f ca="1">VLOOKUP($B23,RD[[#All],[Date]:[IS4Inv2]],I$2,0)/I$1</f>
        <v>3.179760971786834</v>
      </c>
      <c r="J23" s="225">
        <f ca="1">AVERAGEIFS(Inv_SY_B[[#This Row],[IS1Inv1]:[IS4Inv2]],Inv_SY_B[[#This Row],[IS1Inv1]:[IS4Inv2]],"&lt;&gt;0")</f>
        <v>3.1607345039813146</v>
      </c>
    </row>
    <row r="24" spans="2:10">
      <c r="B24" s="224">
        <f t="shared" ca="1" si="3"/>
        <v>45825</v>
      </c>
      <c r="C24" s="225">
        <f ca="1">VLOOKUP($B24,RD[[#All],[Date]:[IS4Inv2]],C$2,0)/C$1</f>
        <v>5.3858477683515593</v>
      </c>
      <c r="D24" s="225">
        <f ca="1">VLOOKUP($B24,RD[[#All],[Date]:[IS4Inv2]],D$2,0)/D$1</f>
        <v>5.4216269256135421</v>
      </c>
      <c r="E24" s="225">
        <f ca="1">VLOOKUP($B24,RD[[#All],[Date]:[IS4Inv2]],E$2,0)/E$1</f>
        <v>5.2218383177356245</v>
      </c>
      <c r="F24" s="225">
        <f ca="1">VLOOKUP($B24,RD[[#All],[Date]:[IS4Inv2]],F$2,0)/F$1</f>
        <v>5.2609641781051231</v>
      </c>
      <c r="G24" s="225">
        <f ca="1">VLOOKUP($B24,RD[[#All],[Date]:[IS4Inv2]],G$2,0)/G$1</f>
        <v>5.3538211035700156</v>
      </c>
      <c r="H24" s="225">
        <f ca="1">VLOOKUP($B24,RD[[#All],[Date]:[IS4Inv2]],H$2,0)/H$1</f>
        <v>5.643685353409535</v>
      </c>
      <c r="I24" s="225">
        <f ca="1">VLOOKUP($B24,RD[[#All],[Date]:[IS4Inv2]],I$2,0)/I$1</f>
        <v>5.5802507836990589</v>
      </c>
      <c r="J24" s="225">
        <f ca="1">AVERAGEIFS(Inv_SY_B[[#This Row],[IS1Inv1]:[IS4Inv2]],Inv_SY_B[[#This Row],[IS1Inv1]:[IS4Inv2]],"&lt;&gt;0")</f>
        <v>5.4097192043549223</v>
      </c>
    </row>
    <row r="25" spans="2:10">
      <c r="B25" s="224">
        <f t="shared" ca="1" si="3"/>
        <v>45826</v>
      </c>
      <c r="C25" s="225">
        <f ca="1">VLOOKUP($B25,RD[[#All],[Date]:[IS4Inv2]],C$2,0)/C$1</f>
        <v>3.6638603055815406</v>
      </c>
      <c r="D25" s="225">
        <f ca="1">VLOOKUP($B25,RD[[#All],[Date]:[IS4Inv2]],D$2,0)/D$1</f>
        <v>3.660416409739462</v>
      </c>
      <c r="E25" s="225">
        <f ca="1">VLOOKUP($B25,RD[[#All],[Date]:[IS4Inv2]],E$2,0)/E$1</f>
        <v>3.6359060018763016</v>
      </c>
      <c r="F25" s="225">
        <f ca="1">VLOOKUP($B25,RD[[#All],[Date]:[IS4Inv2]],F$2,0)/F$1</f>
        <v>3.6675137717990083</v>
      </c>
      <c r="G25" s="225">
        <f ca="1">VLOOKUP($B25,RD[[#All],[Date]:[IS4Inv2]],G$2,0)/G$1</f>
        <v>3.7171226831421009</v>
      </c>
      <c r="H25" s="225">
        <f ca="1">VLOOKUP($B25,RD[[#All],[Date]:[IS4Inv2]],H$2,0)/H$1</f>
        <v>3.7131491140486985</v>
      </c>
      <c r="I25" s="225">
        <f ca="1">VLOOKUP($B25,RD[[#All],[Date]:[IS4Inv2]],I$2,0)/I$1</f>
        <v>3.7065047021943576</v>
      </c>
      <c r="J25" s="225">
        <f ca="1">AVERAGEIFS(Inv_SY_B[[#This Row],[IS1Inv1]:[IS4Inv2]],Inv_SY_B[[#This Row],[IS1Inv1]:[IS4Inv2]],"&lt;&gt;0")</f>
        <v>3.6806389983402101</v>
      </c>
    </row>
    <row r="26" spans="2:10">
      <c r="B26" s="224">
        <f t="shared" ca="1" si="3"/>
        <v>45827</v>
      </c>
      <c r="C26" s="225">
        <f ca="1">VLOOKUP($B26,RD[[#All],[Date]:[IS4Inv2]],C$2,0)/C$1</f>
        <v>3.3265378536176256</v>
      </c>
      <c r="D26" s="225">
        <f ca="1">VLOOKUP($B26,RD[[#All],[Date]:[IS4Inv2]],D$2,0)/D$1</f>
        <v>3.3331438774470641</v>
      </c>
      <c r="E26" s="225">
        <f ca="1">VLOOKUP($B26,RD[[#All],[Date]:[IS4Inv2]],E$2,0)/E$1</f>
        <v>3.2410894751695154</v>
      </c>
      <c r="F26" s="225">
        <f ca="1">VLOOKUP($B26,RD[[#All],[Date]:[IS4Inv2]],F$2,0)/F$1</f>
        <v>3.2595337371032049</v>
      </c>
      <c r="G26" s="225">
        <f ca="1">VLOOKUP($B26,RD[[#All],[Date]:[IS4Inv2]],G$2,0)/G$1</f>
        <v>3.3119883129926655</v>
      </c>
      <c r="H26" s="225">
        <f ca="1">VLOOKUP($B26,RD[[#All],[Date]:[IS4Inv2]],H$2,0)/H$1</f>
        <v>3.427953808521532</v>
      </c>
      <c r="I26" s="225">
        <f ca="1">VLOOKUP($B26,RD[[#All],[Date]:[IS4Inv2]],I$2,0)/I$1</f>
        <v>3.4071120689655174</v>
      </c>
      <c r="J26" s="225">
        <f ca="1">AVERAGEIFS(Inv_SY_B[[#This Row],[IS1Inv1]:[IS4Inv2]],Inv_SY_B[[#This Row],[IS1Inv1]:[IS4Inv2]],"&lt;&gt;0")</f>
        <v>3.3296227334024464</v>
      </c>
    </row>
    <row r="27" spans="2:10">
      <c r="B27" s="224">
        <f t="shared" ca="1" si="3"/>
        <v>45828</v>
      </c>
      <c r="C27" s="225">
        <f ca="1">VLOOKUP($B27,RD[[#All],[Date]:[IS4Inv2]],C$2,0)/C$1</f>
        <v>5.1351031687149877</v>
      </c>
      <c r="D27" s="225">
        <f ca="1">VLOOKUP($B27,RD[[#All],[Date]:[IS4Inv2]],D$2,0)/D$1</f>
        <v>5.149732706341589</v>
      </c>
      <c r="E27" s="225">
        <f ca="1">VLOOKUP($B27,RD[[#All],[Date]:[IS4Inv2]],E$2,0)/E$1</f>
        <v>5.0387997772845496</v>
      </c>
      <c r="F27" s="225">
        <f ca="1">VLOOKUP($B27,RD[[#All],[Date]:[IS4Inv2]],F$2,0)/F$1</f>
        <v>5.050324131844051</v>
      </c>
      <c r="G27" s="225">
        <f ca="1">VLOOKUP($B27,RD[[#All],[Date]:[IS4Inv2]],G$2,0)/G$1</f>
        <v>5.1530571872051629</v>
      </c>
      <c r="H27" s="225">
        <f ca="1">VLOOKUP($B27,RD[[#All],[Date]:[IS4Inv2]],H$2,0)/H$1</f>
        <v>5.3661794735489643</v>
      </c>
      <c r="I27" s="225">
        <f ca="1">VLOOKUP($B27,RD[[#All],[Date]:[IS4Inv2]],I$2,0)/I$1</f>
        <v>5.3417515673981191</v>
      </c>
      <c r="J27" s="225">
        <f ca="1">AVERAGEIFS(Inv_SY_B[[#This Row],[IS1Inv1]:[IS4Inv2]],Inv_SY_B[[#This Row],[IS1Inv1]:[IS4Inv2]],"&lt;&gt;0")</f>
        <v>5.1764211446196313</v>
      </c>
    </row>
    <row r="28" spans="2:10">
      <c r="B28" s="224">
        <f t="shared" ca="1" si="3"/>
        <v>45829</v>
      </c>
      <c r="C28" s="225">
        <f ca="1">VLOOKUP($B28,RD[[#All],[Date]:[IS4Inv2]],C$2,0)/C$1</f>
        <v>4.120082147887703</v>
      </c>
      <c r="D28" s="225">
        <f ca="1">VLOOKUP($B28,RD[[#All],[Date]:[IS4Inv2]],D$2,0)/D$1</f>
        <v>4.1355717725028009</v>
      </c>
      <c r="E28" s="225">
        <f ca="1">VLOOKUP($B28,RD[[#All],[Date]:[IS4Inv2]],E$2,0)/E$1</f>
        <v>4.0097933780289683</v>
      </c>
      <c r="F28" s="225">
        <f ca="1">VLOOKUP($B28,RD[[#All],[Date]:[IS4Inv2]],F$2,0)/F$1</f>
        <v>4.0370392914751809</v>
      </c>
      <c r="G28" s="225">
        <f ca="1">VLOOKUP($B28,RD[[#All],[Date]:[IS4Inv2]],G$2,0)/G$1</f>
        <v>4.1068874212496578</v>
      </c>
      <c r="H28" s="225">
        <f ca="1">VLOOKUP($B28,RD[[#All],[Date]:[IS4Inv2]],H$2,0)/H$1</f>
        <v>4.2992128146632638</v>
      </c>
      <c r="I28" s="225">
        <f ca="1">VLOOKUP($B28,RD[[#All],[Date]:[IS4Inv2]],I$2,0)/I$1</f>
        <v>4.2758620689655169</v>
      </c>
      <c r="J28" s="225">
        <f ca="1">AVERAGEIFS(Inv_SY_B[[#This Row],[IS1Inv1]:[IS4Inv2]],Inv_SY_B[[#This Row],[IS1Inv1]:[IS4Inv2]],"&lt;&gt;0")</f>
        <v>4.1406355563961554</v>
      </c>
    </row>
    <row r="29" spans="2:10">
      <c r="B29" s="224">
        <f t="shared" ca="1" si="3"/>
        <v>45830</v>
      </c>
      <c r="C29" s="225">
        <f ca="1">VLOOKUP($B29,RD[[#All],[Date]:[IS4Inv2]],C$2,0)/C$1</f>
        <v>3.8531445222197136</v>
      </c>
      <c r="D29" s="225">
        <f ca="1">VLOOKUP($B29,RD[[#All],[Date]:[IS4Inv2]],D$2,0)/D$1</f>
        <v>3.8365460404613425</v>
      </c>
      <c r="E29" s="225">
        <f ca="1">VLOOKUP($B29,RD[[#All],[Date]:[IS4Inv2]],E$2,0)/E$1</f>
        <v>3.7409483712025868</v>
      </c>
      <c r="F29" s="225">
        <f ca="1">VLOOKUP($B29,RD[[#All],[Date]:[IS4Inv2]],F$2,0)/F$1</f>
        <v>3.7609337431901877</v>
      </c>
      <c r="G29" s="225">
        <f ca="1">VLOOKUP($B29,RD[[#All],[Date]:[IS4Inv2]],G$2,0)/G$1</f>
        <v>3.7772164226800986</v>
      </c>
      <c r="H29" s="225">
        <f ca="1">VLOOKUP($B29,RD[[#All],[Date]:[IS4Inv2]],H$2,0)/H$1</f>
        <v>3.938005967151244</v>
      </c>
      <c r="I29" s="225">
        <f ca="1">VLOOKUP($B29,RD[[#All],[Date]:[IS4Inv2]],I$2,0)/I$1</f>
        <v>3.906563479623824</v>
      </c>
      <c r="J29" s="225">
        <f ca="1">AVERAGEIFS(Inv_SY_B[[#This Row],[IS1Inv1]:[IS4Inv2]],Inv_SY_B[[#This Row],[IS1Inv1]:[IS4Inv2]],"&lt;&gt;0")</f>
        <v>3.8304797923612854</v>
      </c>
    </row>
    <row r="30" spans="2:10">
      <c r="B30" s="224">
        <f t="shared" ca="1" si="3"/>
        <v>45831</v>
      </c>
      <c r="C30" s="225">
        <f ca="1">VLOOKUP($B30,RD[[#All],[Date]:[IS4Inv2]],C$2,0)/C$1</f>
        <v>2.6436136468716067</v>
      </c>
      <c r="D30" s="225">
        <f ca="1">VLOOKUP($B30,RD[[#All],[Date]:[IS4Inv2]],D$2,0)/D$1</f>
        <v>2.6629847881221882</v>
      </c>
      <c r="E30" s="225">
        <f ca="1">VLOOKUP($B30,RD[[#All],[Date]:[IS4Inv2]],E$2,0)/E$1</f>
        <v>2.6120403633617828</v>
      </c>
      <c r="F30" s="225">
        <f ca="1">VLOOKUP($B30,RD[[#All],[Date]:[IS4Inv2]],F$2,0)/F$1</f>
        <v>2.642800620872265</v>
      </c>
      <c r="G30" s="225">
        <f ca="1">VLOOKUP($B30,RD[[#All],[Date]:[IS4Inv2]],G$2,0)/G$1</f>
        <v>2.645418023556624</v>
      </c>
      <c r="H30" s="225">
        <f ca="1">VLOOKUP($B30,RD[[#All],[Date]:[IS4Inv2]],H$2,0)/H$1</f>
        <v>2.6858065364041344</v>
      </c>
      <c r="I30" s="225">
        <f ca="1">VLOOKUP($B30,RD[[#All],[Date]:[IS4Inv2]],I$2,0)/I$1</f>
        <v>2.6776253918495296</v>
      </c>
      <c r="J30" s="225">
        <f ca="1">AVERAGEIFS(Inv_SY_B[[#This Row],[IS1Inv1]:[IS4Inv2]],Inv_SY_B[[#This Row],[IS1Inv1]:[IS4Inv2]],"&lt;&gt;0")</f>
        <v>2.6528984815768757</v>
      </c>
    </row>
    <row r="31" spans="2:10">
      <c r="B31" s="224">
        <f t="shared" ca="1" si="3"/>
        <v>45832</v>
      </c>
      <c r="C31" s="225">
        <f ca="1">VLOOKUP($B31,RD[[#All],[Date]:[IS4Inv2]],C$2,0)/C$1</f>
        <v>3.6038837456856232</v>
      </c>
      <c r="D31" s="225">
        <f ca="1">VLOOKUP($B31,RD[[#All],[Date]:[IS4Inv2]],D$2,0)/D$1</f>
        <v>3.614282114113212</v>
      </c>
      <c r="E31" s="225">
        <f ca="1">VLOOKUP($B31,RD[[#All],[Date]:[IS4Inv2]],E$2,0)/E$1</f>
        <v>3.5137633572065989</v>
      </c>
      <c r="F31" s="225">
        <f ca="1">VLOOKUP($B31,RD[[#All],[Date]:[IS4Inv2]],F$2,0)/F$1</f>
        <v>3.5378914690933443</v>
      </c>
      <c r="G31" s="225">
        <f ca="1">VLOOKUP($B31,RD[[#All],[Date]:[IS4Inv2]],G$2,0)/G$1</f>
        <v>3.5535197979121649</v>
      </c>
      <c r="H31" s="225">
        <f ca="1">VLOOKUP($B31,RD[[#All],[Date]:[IS4Inv2]],H$2,0)/H$1</f>
        <v>3.6874523088873676</v>
      </c>
      <c r="I31" s="225">
        <f ca="1">VLOOKUP($B31,RD[[#All],[Date]:[IS4Inv2]],I$2,0)/I$1</f>
        <v>3.6492946708463951</v>
      </c>
      <c r="J31" s="225">
        <f ca="1">AVERAGEIFS(Inv_SY_B[[#This Row],[IS1Inv1]:[IS4Inv2]],Inv_SY_B[[#This Row],[IS1Inv1]:[IS4Inv2]],"&lt;&gt;0")</f>
        <v>3.5942982091063871</v>
      </c>
    </row>
    <row r="32" spans="2:10">
      <c r="B32" s="224">
        <f t="shared" ca="1" si="3"/>
        <v>45833</v>
      </c>
      <c r="C32" s="225">
        <f ca="1">VLOOKUP($B32,RD[[#All],[Date]:[IS4Inv2]],C$2,0)/C$1</f>
        <v>2.7116329580766214</v>
      </c>
      <c r="D32" s="225">
        <f ca="1">VLOOKUP($B32,RD[[#All],[Date]:[IS4Inv2]],D$2,0)/D$1</f>
        <v>2.7319610292816581</v>
      </c>
      <c r="E32" s="225">
        <f ca="1">VLOOKUP($B32,RD[[#All],[Date]:[IS4Inv2]],E$2,0)/E$1</f>
        <v>2.6948416966035897</v>
      </c>
      <c r="F32" s="225">
        <f ca="1">VLOOKUP($B32,RD[[#All],[Date]:[IS4Inv2]],F$2,0)/F$1</f>
        <v>2.7289922999665217</v>
      </c>
      <c r="G32" s="225">
        <f ca="1">VLOOKUP($B32,RD[[#All],[Date]:[IS4Inv2]],G$2,0)/G$1</f>
        <v>2.7308640472349879</v>
      </c>
      <c r="H32" s="225">
        <f ca="1">VLOOKUP($B32,RD[[#All],[Date]:[IS4Inv2]],H$2,0)/H$1</f>
        <v>2.7540698050769827</v>
      </c>
      <c r="I32" s="225">
        <f ca="1">VLOOKUP($B32,RD[[#All],[Date]:[IS4Inv2]],I$2,0)/I$1</f>
        <v>2.7406935736677114</v>
      </c>
      <c r="J32" s="225">
        <f ca="1">AVERAGEIFS(Inv_SY_B[[#This Row],[IS1Inv1]:[IS4Inv2]],Inv_SY_B[[#This Row],[IS1Inv1]:[IS4Inv2]],"&lt;&gt;0")</f>
        <v>2.727579344272582</v>
      </c>
    </row>
    <row r="33" spans="2:10">
      <c r="B33" s="224">
        <f t="shared" ca="1" si="3"/>
        <v>45834</v>
      </c>
      <c r="C33" s="225">
        <f ca="1">VLOOKUP($B33,RD[[#All],[Date]:[IS4Inv2]],C$2,0)/C$1</f>
        <v>0.82900551595109839</v>
      </c>
      <c r="D33" s="225">
        <f ca="1">VLOOKUP($B33,RD[[#All],[Date]:[IS4Inv2]],D$2,0)/D$1</f>
        <v>0.84214928766374075</v>
      </c>
      <c r="E33" s="225">
        <f ca="1">VLOOKUP($B33,RD[[#All],[Date]:[IS4Inv2]],E$2,0)/E$1</f>
        <v>0.82037083647957043</v>
      </c>
      <c r="F33" s="225">
        <f ca="1">VLOOKUP($B33,RD[[#All],[Date]:[IS4Inv2]],F$2,0)/F$1</f>
        <v>0.83677755120674446</v>
      </c>
      <c r="G33" s="225">
        <f ca="1">VLOOKUP($B33,RD[[#All],[Date]:[IS4Inv2]],G$2,0)/G$1</f>
        <v>0.25583589493867365</v>
      </c>
      <c r="H33" s="225">
        <f ca="1">VLOOKUP($B33,RD[[#All],[Date]:[IS4Inv2]],H$2,0)/H$1</f>
        <v>0.4830607052694143</v>
      </c>
      <c r="I33" s="225">
        <f ca="1">VLOOKUP($B33,RD[[#All],[Date]:[IS4Inv2]],I$2,0)/I$1</f>
        <v>0.8538401253918495</v>
      </c>
      <c r="J33" s="225">
        <f ca="1">AVERAGEIFS(Inv_SY_B[[#This Row],[IS1Inv1]:[IS4Inv2]],Inv_SY_B[[#This Row],[IS1Inv1]:[IS4Inv2]],"&lt;&gt;0")</f>
        <v>0.7030057024144416</v>
      </c>
    </row>
    <row r="34" spans="2:10">
      <c r="B34" s="224">
        <f t="shared" ca="1" si="3"/>
        <v>45835</v>
      </c>
      <c r="C34" s="225">
        <f ca="1">VLOOKUP($B34,RD[[#All],[Date]:[IS4Inv2]],C$2,0)/C$1</f>
        <v>3.7699859144328682</v>
      </c>
      <c r="D34" s="225">
        <f ca="1">VLOOKUP($B34,RD[[#All],[Date]:[IS4Inv2]],D$2,0)/D$1</f>
        <v>3.7898326532581943</v>
      </c>
      <c r="E34" s="225">
        <f ca="1">VLOOKUP($B34,RD[[#All],[Date]:[IS4Inv2]],E$2,0)/E$1</f>
        <v>3.667482781502414</v>
      </c>
      <c r="F34" s="225">
        <f ca="1">VLOOKUP($B34,RD[[#All],[Date]:[IS4Inv2]],F$2,0)/F$1</f>
        <v>3.7570685089935179</v>
      </c>
      <c r="G34" s="225">
        <f ca="1">VLOOKUP($B34,RD[[#All],[Date]:[IS4Inv2]],G$2,0)/G$1</f>
        <v>3.6679246431506227</v>
      </c>
      <c r="H34" s="225">
        <f ca="1">VLOOKUP($B34,RD[[#All],[Date]:[IS4Inv2]],H$2,0)/H$1</f>
        <v>3.7970462405181733</v>
      </c>
      <c r="I34" s="225">
        <f ca="1">VLOOKUP($B34,RD[[#All],[Date]:[IS4Inv2]],I$2,0)/I$1</f>
        <v>3.7863636363636362</v>
      </c>
      <c r="J34" s="225">
        <f ca="1">AVERAGEIFS(Inv_SY_B[[#This Row],[IS1Inv1]:[IS4Inv2]],Inv_SY_B[[#This Row],[IS1Inv1]:[IS4Inv2]],"&lt;&gt;0")</f>
        <v>3.7479577683170611</v>
      </c>
    </row>
    <row r="35" spans="2:10">
      <c r="B35" s="224">
        <f t="shared" ca="1" si="3"/>
        <v>45836</v>
      </c>
      <c r="C35" s="225">
        <f ca="1">VLOOKUP($B35,RD[[#All],[Date]:[IS4Inv2]],C$2,0)/C$1</f>
        <v>4.1766394632431219</v>
      </c>
      <c r="D35" s="225">
        <f ca="1">VLOOKUP($B35,RD[[#All],[Date]:[IS4Inv2]],D$2,0)/D$1</f>
        <v>4.1876900144236693</v>
      </c>
      <c r="E35" s="225">
        <f ca="1">VLOOKUP($B35,RD[[#All],[Date]:[IS4Inv2]],E$2,0)/E$1</f>
        <v>4.0688587358610011</v>
      </c>
      <c r="F35" s="225">
        <f ca="1">VLOOKUP($B35,RD[[#All],[Date]:[IS4Inv2]],F$2,0)/F$1</f>
        <v>4.1140396262592445</v>
      </c>
      <c r="G35" s="225">
        <f ca="1">VLOOKUP($B35,RD[[#All],[Date]:[IS4Inv2]],G$2,0)/G$1</f>
        <v>4.1511550050217618</v>
      </c>
      <c r="H35" s="225">
        <f ca="1">VLOOKUP($B35,RD[[#All],[Date]:[IS4Inv2]],H$2,0)/H$1</f>
        <v>4.3132577860338843</v>
      </c>
      <c r="I35" s="225">
        <f ca="1">VLOOKUP($B35,RD[[#All],[Date]:[IS4Inv2]],I$2,0)/I$1</f>
        <v>4.2880094043887151</v>
      </c>
      <c r="J35" s="225">
        <f ca="1">AVERAGEIFS(Inv_SY_B[[#This Row],[IS1Inv1]:[IS4Inv2]],Inv_SY_B[[#This Row],[IS1Inv1]:[IS4Inv2]],"&lt;&gt;0")</f>
        <v>4.1856642907473418</v>
      </c>
    </row>
    <row r="36" spans="2:10">
      <c r="B36" s="224">
        <f t="shared" ca="1" si="3"/>
        <v>45837</v>
      </c>
      <c r="C36" s="225">
        <f ca="1">VLOOKUP($B36,RD[[#All],[Date]:[IS4Inv2]],C$2,0)/C$1</f>
        <v>0.73047106007333107</v>
      </c>
      <c r="D36" s="225">
        <f ca="1">VLOOKUP($B36,RD[[#All],[Date]:[IS4Inv2]],D$2,0)/D$1</f>
        <v>0.73274387530228036</v>
      </c>
      <c r="E36" s="225">
        <f ca="1">VLOOKUP($B36,RD[[#All],[Date]:[IS4Inv2]],E$2,0)/E$1</f>
        <v>0.68285167303541328</v>
      </c>
      <c r="F36" s="225">
        <f ca="1">VLOOKUP($B36,RD[[#All],[Date]:[IS4Inv2]],F$2,0)/F$1</f>
        <v>0.6873725537937122</v>
      </c>
      <c r="G36" s="225">
        <f ca="1">VLOOKUP($B36,RD[[#All],[Date]:[IS4Inv2]],G$2,0)/G$1</f>
        <v>0.69890738655385465</v>
      </c>
      <c r="H36" s="225">
        <f ca="1">VLOOKUP($B36,RD[[#All],[Date]:[IS4Inv2]],H$2,0)/H$1</f>
        <v>0.76733406435186191</v>
      </c>
      <c r="I36" s="225">
        <f ca="1">VLOOKUP($B36,RD[[#All],[Date]:[IS4Inv2]],I$2,0)/I$1</f>
        <v>0.74278996865203761</v>
      </c>
      <c r="J36" s="225">
        <f ca="1">AVERAGEIFS(Inv_SY_B[[#This Row],[IS1Inv1]:[IS4Inv2]],Inv_SY_B[[#This Row],[IS1Inv1]:[IS4Inv2]],"&lt;&gt;0")</f>
        <v>0.72035294025178442</v>
      </c>
    </row>
    <row r="37" spans="2:10">
      <c r="B37" s="224">
        <f t="shared" ca="1" si="3"/>
        <v>45838</v>
      </c>
      <c r="C37" s="225">
        <f ca="1">VLOOKUP($B37,RD[[#All],[Date]:[IS4Inv2]],C$2,0)/C$1</f>
        <v>1.6480113544724364</v>
      </c>
      <c r="D37" s="225">
        <f ca="1">VLOOKUP($B37,RD[[#All],[Date]:[IS4Inv2]],D$2,0)/D$1</f>
        <v>1.655858744550909</v>
      </c>
      <c r="E37" s="225">
        <f ca="1">VLOOKUP($B37,RD[[#All],[Date]:[IS4Inv2]],E$2,0)/E$1</f>
        <v>1.6356619301497228</v>
      </c>
      <c r="F37" s="225">
        <f ca="1">VLOOKUP($B37,RD[[#All],[Date]:[IS4Inv2]],F$2,0)/F$1</f>
        <v>1.6527680555132849</v>
      </c>
      <c r="G37" s="225">
        <f ca="1">VLOOKUP($B37,RD[[#All],[Date]:[IS4Inv2]],G$2,0)/G$1</f>
        <v>1.6513376145113676</v>
      </c>
      <c r="H37" s="225">
        <f ca="1">VLOOKUP($B37,RD[[#All],[Date]:[IS4Inv2]],H$2,0)/H$1</f>
        <v>1.6685465220060771</v>
      </c>
      <c r="I37" s="225">
        <f ca="1">VLOOKUP($B37,RD[[#All],[Date]:[IS4Inv2]],I$2,0)/I$1</f>
        <v>1.6459639498432601</v>
      </c>
      <c r="J37" s="225">
        <f ca="1">AVERAGEIFS(Inv_SY_B[[#This Row],[IS1Inv1]:[IS4Inv2]],Inv_SY_B[[#This Row],[IS1Inv1]:[IS4Inv2]],"&lt;&gt;0")</f>
        <v>1.6511640244352939</v>
      </c>
    </row>
    <row r="38" spans="2:10">
      <c r="B38" s="224">
        <f t="shared" ca="1" si="3"/>
        <v>45839</v>
      </c>
      <c r="C38" s="225">
        <f ca="1">VLOOKUP($B38,RD[[#All],[Date]:[IS4Inv2]],C$2,0)/C$1</f>
        <v>1.3636764405449289</v>
      </c>
      <c r="D38" s="225">
        <f ca="1">VLOOKUP($B38,RD[[#All],[Date]:[IS4Inv2]],D$2,0)/D$1</f>
        <v>1.3783880878717847</v>
      </c>
      <c r="E38" s="225">
        <f ca="1">VLOOKUP($B38,RD[[#All],[Date]:[IS4Inv2]],E$2,0)/E$1</f>
        <v>1.3449877582774639</v>
      </c>
      <c r="F38" s="225">
        <f ca="1">VLOOKUP($B38,RD[[#All],[Date]:[IS4Inv2]],F$2,0)/F$1</f>
        <v>1.3634841890616916</v>
      </c>
      <c r="G38" s="225">
        <f ca="1">VLOOKUP($B38,RD[[#All],[Date]:[IS4Inv2]],G$2,0)/G$1</f>
        <v>1.3898103904799586</v>
      </c>
      <c r="H38" s="225">
        <f ca="1">VLOOKUP($B38,RD[[#All],[Date]:[IS4Inv2]],H$2,0)/H$1</f>
        <v>1.427055401134975</v>
      </c>
      <c r="I38" s="225">
        <f ca="1">VLOOKUP($B38,RD[[#All],[Date]:[IS4Inv2]],I$2,0)/I$1</f>
        <v>1.2983542319749217</v>
      </c>
      <c r="J38" s="225">
        <f ca="1">AVERAGEIFS(Inv_SY_B[[#This Row],[IS1Inv1]:[IS4Inv2]],Inv_SY_B[[#This Row],[IS1Inv1]:[IS4Inv2]],"&lt;&gt;0")</f>
        <v>1.3665366427636749</v>
      </c>
    </row>
    <row r="39" spans="2:10">
      <c r="B39" s="224">
        <f t="shared" ca="1" si="3"/>
        <v>45840</v>
      </c>
      <c r="C39" s="225">
        <f ca="1">VLOOKUP($B39,RD[[#All],[Date]:[IS4Inv2]],C$2,0)/C$1</f>
        <v>2.5895723793856114</v>
      </c>
      <c r="D39" s="225">
        <f ca="1">VLOOKUP($B39,RD[[#All],[Date]:[IS4Inv2]],D$2,0)/D$1</f>
        <v>2.5967753178301223</v>
      </c>
      <c r="E39" s="225">
        <f ca="1">VLOOKUP($B39,RD[[#All],[Date]:[IS4Inv2]],E$2,0)/E$1</f>
        <v>2.4634922087728532</v>
      </c>
      <c r="F39" s="225">
        <f ca="1">VLOOKUP($B39,RD[[#All],[Date]:[IS4Inv2]],F$2,0)/F$1</f>
        <v>2.4875369023343583</v>
      </c>
      <c r="G39" s="225">
        <f ca="1">VLOOKUP($B39,RD[[#All],[Date]:[IS4Inv2]],G$2,0)/G$1</f>
        <v>2.5745198892169099</v>
      </c>
      <c r="H39" s="225">
        <f ca="1">VLOOKUP($B39,RD[[#All],[Date]:[IS4Inv2]],H$2,0)/H$1</f>
        <v>2.6208191199923108</v>
      </c>
      <c r="I39" s="225">
        <f ca="1">VLOOKUP($B39,RD[[#All],[Date]:[IS4Inv2]],I$2,0)/I$1</f>
        <v>2.5834639498432601</v>
      </c>
      <c r="J39" s="225">
        <f ca="1">AVERAGEIFS(Inv_SY_B[[#This Row],[IS1Inv1]:[IS4Inv2]],Inv_SY_B[[#This Row],[IS1Inv1]:[IS4Inv2]],"&lt;&gt;0")</f>
        <v>2.5594542524822037</v>
      </c>
    </row>
    <row r="40" spans="2:10">
      <c r="B40" s="224">
        <f t="shared" ca="1" si="3"/>
        <v>45841</v>
      </c>
      <c r="C40" s="225">
        <f ca="1">VLOOKUP($B40,RD[[#All],[Date]:[IS4Inv2]],C$2,0)/C$1</f>
        <v>3.695278646925368</v>
      </c>
      <c r="D40" s="225">
        <f ca="1">VLOOKUP($B40,RD[[#All],[Date]:[IS4Inv2]],D$2,0)/D$1</f>
        <v>3.6958267872749988</v>
      </c>
      <c r="E40" s="225">
        <f ca="1">VLOOKUP($B40,RD[[#All],[Date]:[IS4Inv2]],E$2,0)/E$1</f>
        <v>3.6202854113752676</v>
      </c>
      <c r="F40" s="225">
        <f ca="1">VLOOKUP($B40,RD[[#All],[Date]:[IS4Inv2]],F$2,0)/F$1</f>
        <v>3.6435310588306904</v>
      </c>
      <c r="G40" s="225">
        <f ca="1">VLOOKUP($B40,RD[[#All],[Date]:[IS4Inv2]],G$2,0)/G$1</f>
        <v>3.650698481297745</v>
      </c>
      <c r="H40" s="225">
        <f ca="1">VLOOKUP($B40,RD[[#All],[Date]:[IS4Inv2]],H$2,0)/H$1</f>
        <v>3.7332946246599099</v>
      </c>
      <c r="I40" s="225">
        <f ca="1">VLOOKUP($B40,RD[[#All],[Date]:[IS4Inv2]],I$2,0)/I$1</f>
        <v>3.6633032915360499</v>
      </c>
      <c r="J40" s="225">
        <f ca="1">AVERAGEIFS(Inv_SY_B[[#This Row],[IS1Inv1]:[IS4Inv2]],Inv_SY_B[[#This Row],[IS1Inv1]:[IS4Inv2]],"&lt;&gt;0")</f>
        <v>3.671745471700004</v>
      </c>
    </row>
    <row r="41" spans="2:10">
      <c r="B41" s="224">
        <f t="shared" ca="1" si="3"/>
        <v>45842</v>
      </c>
      <c r="C41" s="225">
        <f ca="1">VLOOKUP($B41,RD[[#All],[Date]:[IS4Inv2]],C$2,0)/C$1</f>
        <v>2.5457243314731786</v>
      </c>
      <c r="D41" s="225">
        <f ca="1">VLOOKUP($B41,RD[[#All],[Date]:[IS4Inv2]],D$2,0)/D$1</f>
        <v>2.5644105330323486</v>
      </c>
      <c r="E41" s="225">
        <f ca="1">VLOOKUP($B41,RD[[#All],[Date]:[IS4Inv2]],E$2,0)/E$1</f>
        <v>2.5247999755928276</v>
      </c>
      <c r="F41" s="225">
        <f ca="1">VLOOKUP($B41,RD[[#All],[Date]:[IS4Inv2]],F$2,0)/F$1</f>
        <v>2.5550719785738201</v>
      </c>
      <c r="G41" s="225">
        <f ca="1">VLOOKUP($B41,RD[[#All],[Date]:[IS4Inv2]],G$2,0)/G$1</f>
        <v>2.5758438080165571</v>
      </c>
      <c r="H41" s="225">
        <f ca="1">VLOOKUP($B41,RD[[#All],[Date]:[IS4Inv2]],H$2,0)/H$1</f>
        <v>2.573937162484234</v>
      </c>
      <c r="I41" s="225">
        <f ca="1">VLOOKUP($B41,RD[[#All],[Date]:[IS4Inv2]],I$2,0)/I$1</f>
        <v>2.5416144200626958</v>
      </c>
      <c r="J41" s="225">
        <f ca="1">AVERAGEIFS(Inv_SY_B[[#This Row],[IS1Inv1]:[IS4Inv2]],Inv_SY_B[[#This Row],[IS1Inv1]:[IS4Inv2]],"&lt;&gt;0")</f>
        <v>2.5544860298908092</v>
      </c>
    </row>
    <row r="42" spans="2:10">
      <c r="B42" s="224">
        <f t="shared" ca="1" si="3"/>
        <v>45843</v>
      </c>
      <c r="C42" s="225">
        <f ca="1">VLOOKUP($B42,RD[[#All],[Date]:[IS4Inv2]],C$2,0)/C$1</f>
        <v>2.7609647000634387</v>
      </c>
      <c r="D42" s="225">
        <f ca="1">VLOOKUP($B42,RD[[#All],[Date]:[IS4Inv2]],D$2,0)/D$1</f>
        <v>2.7720470351047459</v>
      </c>
      <c r="E42" s="225">
        <f ca="1">VLOOKUP($B42,RD[[#All],[Date]:[IS4Inv2]],E$2,0)/E$1</f>
        <v>2.7379356108276323</v>
      </c>
      <c r="F42" s="225">
        <f ca="1">VLOOKUP($B42,RD[[#All],[Date]:[IS4Inv2]],F$2,0)/F$1</f>
        <v>2.7566272027269689</v>
      </c>
      <c r="G42" s="225">
        <f ca="1">VLOOKUP($B42,RD[[#All],[Date]:[IS4Inv2]],G$2,0)/G$1</f>
        <v>2.7491858660255044</v>
      </c>
      <c r="H42" s="225">
        <f ca="1">VLOOKUP($B42,RD[[#All],[Date]:[IS4Inv2]],H$2,0)/H$1</f>
        <v>2.7734895280615</v>
      </c>
      <c r="I42" s="225">
        <f ca="1">VLOOKUP($B42,RD[[#All],[Date]:[IS4Inv2]],I$2,0)/I$1</f>
        <v>2.7213362068965519</v>
      </c>
      <c r="J42" s="225">
        <f ca="1">AVERAGEIFS(Inv_SY_B[[#This Row],[IS1Inv1]:[IS4Inv2]],Inv_SY_B[[#This Row],[IS1Inv1]:[IS4Inv2]],"&lt;&gt;0")</f>
        <v>2.7530837356723348</v>
      </c>
    </row>
    <row r="43" spans="2:10">
      <c r="B43" s="224">
        <f t="shared" ca="1" si="3"/>
        <v>45844</v>
      </c>
      <c r="C43" s="225">
        <f ca="1">VLOOKUP($B43,RD[[#All],[Date]:[IS4Inv2]],C$2,0)/C$1</f>
        <v>1.9723449781189857</v>
      </c>
      <c r="D43" s="225">
        <f ca="1">VLOOKUP($B43,RD[[#All],[Date]:[IS4Inv2]],D$2,0)/D$1</f>
        <v>1.9817157196553332</v>
      </c>
      <c r="E43" s="225">
        <f ca="1">VLOOKUP($B43,RD[[#All],[Date]:[IS4Inv2]],E$2,0)/E$1</f>
        <v>1.9611620865081725</v>
      </c>
      <c r="F43" s="225">
        <f ca="1">VLOOKUP($B43,RD[[#All],[Date]:[IS4Inv2]],F$2,0)/F$1</f>
        <v>1.8929756216331377</v>
      </c>
      <c r="G43" s="225">
        <f ca="1">VLOOKUP($B43,RD[[#All],[Date]:[IS4Inv2]],G$2,0)/G$1</f>
        <v>1.9064278540341479</v>
      </c>
      <c r="H43" s="225">
        <f ca="1">VLOOKUP($B43,RD[[#All],[Date]:[IS4Inv2]],H$2,0)/H$1</f>
        <v>1.9775162762779259</v>
      </c>
      <c r="I43" s="225">
        <f ca="1">VLOOKUP($B43,RD[[#All],[Date]:[IS4Inv2]],I$2,0)/I$1</f>
        <v>1.9110893416927901</v>
      </c>
      <c r="J43" s="225">
        <f ca="1">AVERAGEIFS(Inv_SY_B[[#This Row],[IS1Inv1]:[IS4Inv2]],Inv_SY_B[[#This Row],[IS1Inv1]:[IS4Inv2]],"&lt;&gt;0")</f>
        <v>1.9433188397029275</v>
      </c>
    </row>
    <row r="44" spans="2:10">
      <c r="B44" s="224">
        <f t="shared" ca="1" si="3"/>
        <v>45845</v>
      </c>
      <c r="C44" s="225">
        <f ca="1">VLOOKUP($B44,RD[[#All],[Date]:[IS4Inv2]],C$2,0)/C$1</f>
        <v>1.4498026945367355</v>
      </c>
      <c r="D44" s="225">
        <f ca="1">VLOOKUP($B44,RD[[#All],[Date]:[IS4Inv2]],D$2,0)/D$1</f>
        <v>1.4640507455804053</v>
      </c>
      <c r="E44" s="225">
        <f ca="1">VLOOKUP($B44,RD[[#All],[Date]:[IS4Inv2]],E$2,0)/E$1</f>
        <v>1.4298179377464553</v>
      </c>
      <c r="F44" s="225">
        <f ca="1">VLOOKUP($B44,RD[[#All],[Date]:[IS4Inv2]],F$2,0)/F$1</f>
        <v>1.4461454180235569</v>
      </c>
      <c r="G44" s="225">
        <f ca="1">VLOOKUP($B44,RD[[#All],[Date]:[IS4Inv2]],G$2,0)/G$1</f>
        <v>1.4509084822107923</v>
      </c>
      <c r="H44" s="225">
        <f ca="1">VLOOKUP($B44,RD[[#All],[Date]:[IS4Inv2]],H$2,0)/H$1</f>
        <v>1.4699357187553332</v>
      </c>
      <c r="I44" s="225">
        <f ca="1">VLOOKUP($B44,RD[[#All],[Date]:[IS4Inv2]],I$2,0)/I$1</f>
        <v>1.4512735109717869</v>
      </c>
      <c r="J44" s="225">
        <f ca="1">AVERAGEIFS(Inv_SY_B[[#This Row],[IS1Inv1]:[IS4Inv2]],Inv_SY_B[[#This Row],[IS1Inv1]:[IS4Inv2]],"&lt;&gt;0")</f>
        <v>1.451704929689295</v>
      </c>
    </row>
    <row r="45" spans="2:10">
      <c r="B45" s="224">
        <f t="shared" ca="1" si="3"/>
        <v>45846</v>
      </c>
      <c r="C45" s="225">
        <f ca="1">VLOOKUP($B45,RD[[#All],[Date]:[IS4Inv2]],C$2,0)/C$1</f>
        <v>1.6758814231798975</v>
      </c>
      <c r="D45" s="225">
        <f ca="1">VLOOKUP($B45,RD[[#All],[Date]:[IS4Inv2]],D$2,0)/D$1</f>
        <v>1.6941216842985751</v>
      </c>
      <c r="E45" s="225">
        <f ca="1">VLOOKUP($B45,RD[[#All],[Date]:[IS4Inv2]],E$2,0)/E$1</f>
        <v>1.6740574636371266</v>
      </c>
      <c r="F45" s="225">
        <f ca="1">VLOOKUP($B45,RD[[#All],[Date]:[IS4Inv2]],F$2,0)/F$1</f>
        <v>1.695833460145479</v>
      </c>
      <c r="G45" s="225">
        <f ca="1">VLOOKUP($B45,RD[[#All],[Date]:[IS4Inv2]],G$2,0)/G$1</f>
        <v>1.7040356697203032</v>
      </c>
      <c r="H45" s="225">
        <f ca="1">VLOOKUP($B45,RD[[#All],[Date]:[IS4Inv2]],H$2,0)/H$1</f>
        <v>1.7107795155269512</v>
      </c>
      <c r="I45" s="225">
        <f ca="1">VLOOKUP($B45,RD[[#All],[Date]:[IS4Inv2]],I$2,0)/I$1</f>
        <v>1.6894004702194358</v>
      </c>
      <c r="J45" s="225">
        <f ca="1">AVERAGEIFS(Inv_SY_B[[#This Row],[IS1Inv1]:[IS4Inv2]],Inv_SY_B[[#This Row],[IS1Inv1]:[IS4Inv2]],"&lt;&gt;0")</f>
        <v>1.6920156695325386</v>
      </c>
    </row>
    <row r="46" spans="2:10">
      <c r="B46" s="224">
        <f t="shared" ca="1" si="3"/>
        <v>45847</v>
      </c>
      <c r="C46" s="225">
        <f ca="1">VLOOKUP($B46,RD[[#All],[Date]:[IS4Inv2]],C$2,0)/C$1</f>
        <v>1.4287066008623379</v>
      </c>
      <c r="D46" s="225">
        <f ca="1">VLOOKUP($B46,RD[[#All],[Date]:[IS4Inv2]],D$2,0)/D$1</f>
        <v>1.4405010214531981</v>
      </c>
      <c r="E46" s="225">
        <f ca="1">VLOOKUP($B46,RD[[#All],[Date]:[IS4Inv2]],E$2,0)/E$1</f>
        <v>1.4174312976225889</v>
      </c>
      <c r="F46" s="225">
        <f ca="1">VLOOKUP($B46,RD[[#All],[Date]:[IS4Inv2]],F$2,0)/F$1</f>
        <v>1.4321149222387923</v>
      </c>
      <c r="G46" s="225">
        <f ca="1">VLOOKUP($B46,RD[[#All],[Date]:[IS4Inv2]],G$2,0)/G$1</f>
        <v>1.4327692729098822</v>
      </c>
      <c r="H46" s="225">
        <f ca="1">VLOOKUP($B46,RD[[#All],[Date]:[IS4Inv2]],H$2,0)/H$1</f>
        <v>1.4463770447104793</v>
      </c>
      <c r="I46" s="225">
        <f ca="1">VLOOKUP($B46,RD[[#All],[Date]:[IS4Inv2]],I$2,0)/I$1</f>
        <v>1.4381465517241379</v>
      </c>
      <c r="J46" s="225">
        <f ca="1">AVERAGEIFS(Inv_SY_B[[#This Row],[IS1Inv1]:[IS4Inv2]],Inv_SY_B[[#This Row],[IS1Inv1]:[IS4Inv2]],"&lt;&gt;0")</f>
        <v>1.4337209587887738</v>
      </c>
    </row>
    <row r="47" spans="2:10">
      <c r="B47" s="224">
        <f t="shared" ca="1" si="3"/>
        <v>45848</v>
      </c>
      <c r="C47" s="225">
        <f ca="1">VLOOKUP($B47,RD[[#All],[Date]:[IS4Inv2]],C$2,0)/C$1</f>
        <v>1.4810059890541165</v>
      </c>
      <c r="D47" s="225">
        <f ca="1">VLOOKUP($B47,RD[[#All],[Date]:[IS4Inv2]],D$2,0)/D$1</f>
        <v>1.4919758282886235</v>
      </c>
      <c r="E47" s="225">
        <f ca="1">VLOOKUP($B47,RD[[#All],[Date]:[IS4Inv2]],E$2,0)/E$1</f>
        <v>1.4777932865020709</v>
      </c>
      <c r="F47" s="225">
        <f ca="1">VLOOKUP($B47,RD[[#All],[Date]:[IS4Inv2]],F$2,0)/F$1</f>
        <v>1.4907934382323402</v>
      </c>
      <c r="G47" s="225">
        <f ca="1">VLOOKUP($B47,RD[[#All],[Date]:[IS4Inv2]],G$2,0)/G$1</f>
        <v>1.491965182457315</v>
      </c>
      <c r="H47" s="225">
        <f ca="1">VLOOKUP($B47,RD[[#All],[Date]:[IS4Inv2]],H$2,0)/H$1</f>
        <v>1.5149345516103658</v>
      </c>
      <c r="I47" s="225">
        <f ca="1">VLOOKUP($B47,RD[[#All],[Date]:[IS4Inv2]],I$2,0)/I$1</f>
        <v>1.5024882445141066</v>
      </c>
      <c r="J47" s="225">
        <f ca="1">AVERAGEIFS(Inv_SY_B[[#This Row],[IS1Inv1]:[IS4Inv2]],Inv_SY_B[[#This Row],[IS1Inv1]:[IS4Inv2]],"&lt;&gt;0")</f>
        <v>1.4929937886655629</v>
      </c>
    </row>
    <row r="48" spans="2:10">
      <c r="B48" s="224">
        <f t="shared" ca="1" si="3"/>
        <v>45849</v>
      </c>
      <c r="C48" s="225">
        <f ca="1">VLOOKUP($B48,RD[[#All],[Date]:[IS4Inv2]],C$2,0)/C$1</f>
        <v>4.9247873724503517</v>
      </c>
      <c r="D48" s="225">
        <f ca="1">VLOOKUP($B48,RD[[#All],[Date]:[IS4Inv2]],D$2,0)/D$1</f>
        <v>4.9482302854170799</v>
      </c>
      <c r="E48" s="225">
        <f ca="1">VLOOKUP($B48,RD[[#All],[Date]:[IS4Inv2]],E$2,0)/E$1</f>
        <v>4.8340846166167077</v>
      </c>
      <c r="F48" s="225">
        <f ca="1">VLOOKUP($B48,RD[[#All],[Date]:[IS4Inv2]],F$2,0)/F$1</f>
        <v>4.8660863742885843</v>
      </c>
      <c r="G48" s="225">
        <f ca="1">VLOOKUP($B48,RD[[#All],[Date]:[IS4Inv2]],G$2,0)/G$1</f>
        <v>4.9325105761329402</v>
      </c>
      <c r="H48" s="225">
        <f ca="1">VLOOKUP($B48,RD[[#All],[Date]:[IS4Inv2]],H$2,0)/H$1</f>
        <v>5.0543065687703397</v>
      </c>
      <c r="I48" s="225">
        <f ca="1">VLOOKUP($B48,RD[[#All],[Date]:[IS4Inv2]],I$2,0)/I$1</f>
        <v>5.0226684952978058</v>
      </c>
      <c r="J48" s="225">
        <f ca="1">AVERAGEIFS(Inv_SY_B[[#This Row],[IS1Inv1]:[IS4Inv2]],Inv_SY_B[[#This Row],[IS1Inv1]:[IS4Inv2]],"&lt;&gt;0")</f>
        <v>4.940382041281973</v>
      </c>
    </row>
    <row r="49" spans="2:10">
      <c r="B49" s="224">
        <f t="shared" ca="1" si="3"/>
        <v>45850</v>
      </c>
      <c r="C49" s="225">
        <f ca="1">VLOOKUP($B49,RD[[#All],[Date]:[IS4Inv2]],C$2,0)/C$1</f>
        <v>4.9401202111759837</v>
      </c>
      <c r="D49" s="225">
        <f ca="1">VLOOKUP($B49,RD[[#All],[Date]:[IS4Inv2]],D$2,0)/D$1</f>
        <v>4.9502249341819518</v>
      </c>
      <c r="E49" s="225">
        <f ca="1">VLOOKUP($B49,RD[[#All],[Date]:[IS4Inv2]],E$2,0)/E$1</f>
        <v>4.8161758536789998</v>
      </c>
      <c r="F49" s="225">
        <f ca="1">VLOOKUP($B49,RD[[#All],[Date]:[IS4Inv2]],F$2,0)/F$1</f>
        <v>4.8407645250631521</v>
      </c>
      <c r="G49" s="225">
        <f ca="1">VLOOKUP($B49,RD[[#All],[Date]:[IS4Inv2]],G$2,0)/G$1</f>
        <v>4.9339866695072594</v>
      </c>
      <c r="H49" s="225">
        <f ca="1">VLOOKUP($B49,RD[[#All],[Date]:[IS4Inv2]],H$2,0)/H$1</f>
        <v>4.8035371358066348</v>
      </c>
      <c r="I49" s="225">
        <f ca="1">VLOOKUP($B49,RD[[#All],[Date]:[IS4Inv2]],I$2,0)/I$1</f>
        <v>4.749177115987461</v>
      </c>
      <c r="J49" s="225">
        <f ca="1">AVERAGEIFS(Inv_SY_B[[#This Row],[IS1Inv1]:[IS4Inv2]],Inv_SY_B[[#This Row],[IS1Inv1]:[IS4Inv2]],"&lt;&gt;0")</f>
        <v>4.8619980636287776</v>
      </c>
    </row>
    <row r="50" spans="2:10">
      <c r="B50" s="224">
        <f t="shared" ca="1" si="3"/>
        <v>45851</v>
      </c>
      <c r="C50" s="225">
        <f ca="1">VLOOKUP($B50,RD[[#All],[Date]:[IS4Inv2]],C$2,0)/C$1</f>
        <v>3.8579400664494696</v>
      </c>
      <c r="D50" s="225">
        <f ca="1">VLOOKUP($B50,RD[[#All],[Date]:[IS4Inv2]],D$2,0)/D$1</f>
        <v>3.8822728272001457</v>
      </c>
      <c r="E50" s="225">
        <f ca="1">VLOOKUP($B50,RD[[#All],[Date]:[IS4Inv2]],E$2,0)/E$1</f>
        <v>3.8255192244620888</v>
      </c>
      <c r="F50" s="225">
        <f ca="1">VLOOKUP($B50,RD[[#All],[Date]:[IS4Inv2]],F$2,0)/F$1</f>
        <v>3.8471254222844449</v>
      </c>
      <c r="G50" s="225">
        <f ca="1">VLOOKUP($B50,RD[[#All],[Date]:[IS4Inv2]],G$2,0)/G$1</f>
        <v>3.8560276349027607</v>
      </c>
      <c r="H50" s="225">
        <f ca="1">VLOOKUP($B50,RD[[#All],[Date]:[IS4Inv2]],H$2,0)/H$1</f>
        <v>3.9040901075146484</v>
      </c>
      <c r="I50" s="225">
        <f ca="1">VLOOKUP($B50,RD[[#All],[Date]:[IS4Inv2]],I$2,0)/I$1</f>
        <v>3.8705916927899686</v>
      </c>
      <c r="J50" s="225">
        <f ca="1">AVERAGEIFS(Inv_SY_B[[#This Row],[IS1Inv1]:[IS4Inv2]],Inv_SY_B[[#This Row],[IS1Inv1]:[IS4Inv2]],"&lt;&gt;0")</f>
        <v>3.8633667108005043</v>
      </c>
    </row>
    <row r="51" spans="2:10">
      <c r="B51" s="224">
        <f t="shared" ca="1" si="3"/>
        <v>45852</v>
      </c>
      <c r="C51" s="225">
        <f ca="1">VLOOKUP($B51,RD[[#All],[Date]:[IS4Inv2]],C$2,0)/C$1</f>
        <v>4.364074277173855</v>
      </c>
      <c r="D51" s="225">
        <f ca="1">VLOOKUP($B51,RD[[#All],[Date]:[IS4Inv2]],D$2,0)/D$1</f>
        <v>4.4059646432420552</v>
      </c>
      <c r="E51" s="225">
        <f ca="1">VLOOKUP($B51,RD[[#All],[Date]:[IS4Inv2]],E$2,0)/E$1</f>
        <v>4.2459175190108995</v>
      </c>
      <c r="F51" s="225">
        <f ca="1">VLOOKUP($B51,RD[[#All],[Date]:[IS4Inv2]],F$2,0)/F$1</f>
        <v>4.2916425723590104</v>
      </c>
      <c r="G51" s="225">
        <f ca="1">VLOOKUP($B51,RD[[#All],[Date]:[IS4Inv2]],G$2,0)/G$1</f>
        <v>4.359801564354628</v>
      </c>
      <c r="H51" s="225">
        <f ca="1">VLOOKUP($B51,RD[[#All],[Date]:[IS4Inv2]],H$2,0)/H$1</f>
        <v>4.4919192374914427</v>
      </c>
      <c r="I51" s="225">
        <f ca="1">VLOOKUP($B51,RD[[#All],[Date]:[IS4Inv2]],I$2,0)/I$1</f>
        <v>4.4735305642633234</v>
      </c>
      <c r="J51" s="225">
        <f ca="1">AVERAGEIFS(Inv_SY_B[[#This Row],[IS1Inv1]:[IS4Inv2]],Inv_SY_B[[#This Row],[IS1Inv1]:[IS4Inv2]],"&lt;&gt;0")</f>
        <v>4.3761214825564592</v>
      </c>
    </row>
    <row r="52" spans="2:10">
      <c r="B52" s="224">
        <f t="shared" ca="1" si="3"/>
        <v>45853</v>
      </c>
      <c r="C52" s="225">
        <f ca="1">VLOOKUP($B52,RD[[#All],[Date]:[IS4Inv2]],C$2,0)/C$1</f>
        <v>3.7059234648344677</v>
      </c>
      <c r="D52" s="225">
        <f ca="1">VLOOKUP($B52,RD[[#All],[Date]:[IS4Inv2]],D$2,0)/D$1</f>
        <v>3.6769097957629797</v>
      </c>
      <c r="E52" s="225">
        <f ca="1">VLOOKUP($B52,RD[[#All],[Date]:[IS4Inv2]],E$2,0)/E$1</f>
        <v>3.6070750291741986</v>
      </c>
      <c r="F52" s="225">
        <f ca="1">VLOOKUP($B52,RD[[#All],[Date]:[IS4Inv2]],F$2,0)/F$1</f>
        <v>3.6308853516754422</v>
      </c>
      <c r="G52" s="225">
        <f ca="1">VLOOKUP($B52,RD[[#All],[Date]:[IS4Inv2]],G$2,0)/G$1</f>
        <v>3.65873329884043</v>
      </c>
      <c r="H52" s="225">
        <f ca="1">VLOOKUP($B52,RD[[#All],[Date]:[IS4Inv2]],H$2,0)/H$1</f>
        <v>3.7899845230692577</v>
      </c>
      <c r="I52" s="225">
        <f ca="1">VLOOKUP($B52,RD[[#All],[Date]:[IS4Inv2]],I$2,0)/I$1</f>
        <v>3.7466692789968654</v>
      </c>
      <c r="J52" s="225">
        <f ca="1">AVERAGEIFS(Inv_SY_B[[#This Row],[IS1Inv1]:[IS4Inv2]],Inv_SY_B[[#This Row],[IS1Inv1]:[IS4Inv2]],"&lt;&gt;0")</f>
        <v>3.6880258203362346</v>
      </c>
    </row>
    <row r="53" spans="2:10">
      <c r="B53" s="224">
        <f t="shared" ca="1" si="3"/>
        <v>45854</v>
      </c>
      <c r="C53" s="225">
        <f ca="1">VLOOKUP($B53,RD[[#All],[Date]:[IS4Inv2]],C$2,0)/C$1</f>
        <v>3.4201047278044796</v>
      </c>
      <c r="D53" s="225">
        <f ca="1">VLOOKUP($B53,RD[[#All],[Date]:[IS4Inv2]],D$2,0)/D$1</f>
        <v>3.4869892063764416</v>
      </c>
      <c r="E53" s="225">
        <f ca="1">VLOOKUP($B53,RD[[#All],[Date]:[IS4Inv2]],E$2,0)/E$1</f>
        <v>3.3073549489356187</v>
      </c>
      <c r="F53" s="225">
        <f ca="1">VLOOKUP($B53,RD[[#All],[Date]:[IS4Inv2]],F$2,0)/F$1</f>
        <v>3.3903430014913107</v>
      </c>
      <c r="G53" s="225">
        <f ca="1">VLOOKUP($B53,RD[[#All],[Date]:[IS4Inv2]],G$2,0)/G$1</f>
        <v>3.5017500076087291</v>
      </c>
      <c r="H53" s="225">
        <f ca="1">VLOOKUP($B53,RD[[#All],[Date]:[IS4Inv2]],H$2,0)/H$1</f>
        <v>3.6359998509192986</v>
      </c>
      <c r="I53" s="225">
        <f ca="1">VLOOKUP($B53,RD[[#All],[Date]:[IS4Inv2]],I$2,0)/I$1</f>
        <v>3.6287225705329154</v>
      </c>
      <c r="J53" s="225">
        <f ca="1">AVERAGEIFS(Inv_SY_B[[#This Row],[IS1Inv1]:[IS4Inv2]],Inv_SY_B[[#This Row],[IS1Inv1]:[IS4Inv2]],"&lt;&gt;0")</f>
        <v>3.4816091876669697</v>
      </c>
    </row>
    <row r="54" spans="2:10">
      <c r="B54" s="224">
        <f t="shared" ca="1" si="3"/>
        <v>45855</v>
      </c>
      <c r="C54" s="225">
        <f ca="1">VLOOKUP($B54,RD[[#All],[Date]:[IS4Inv2]],C$2,0)/C$1</f>
        <v>3.0587615453264951</v>
      </c>
      <c r="D54" s="225">
        <f ca="1">VLOOKUP($B54,RD[[#All],[Date]:[IS4Inv2]],D$2,0)/D$1</f>
        <v>3.082054059271095</v>
      </c>
      <c r="E54" s="225">
        <f ca="1">VLOOKUP($B54,RD[[#All],[Date]:[IS4Inv2]],E$2,0)/E$1</f>
        <v>3.0537186615716694</v>
      </c>
      <c r="F54" s="225">
        <f ca="1">VLOOKUP($B54,RD[[#All],[Date]:[IS4Inv2]],F$2,0)/F$1</f>
        <v>3.0973308579602521</v>
      </c>
      <c r="G54" s="225">
        <f ca="1">VLOOKUP($B54,RD[[#All],[Date]:[IS4Inv2]],G$2,0)/G$1</f>
        <v>3.1263353318927476</v>
      </c>
      <c r="H54" s="225">
        <f ca="1">VLOOKUP($B54,RD[[#All],[Date]:[IS4Inv2]],H$2,0)/H$1</f>
        <v>3.125104209372076</v>
      </c>
      <c r="I54" s="225">
        <f ca="1">VLOOKUP($B54,RD[[#All],[Date]:[IS4Inv2]],I$2,0)/I$1</f>
        <v>3.1173393416927899</v>
      </c>
      <c r="J54" s="225">
        <f ca="1">AVERAGEIFS(Inv_SY_B[[#This Row],[IS1Inv1]:[IS4Inv2]],Inv_SY_B[[#This Row],[IS1Inv1]:[IS4Inv2]],"&lt;&gt;0")</f>
        <v>3.0943777152981609</v>
      </c>
    </row>
    <row r="55" spans="2:10">
      <c r="B55" s="224">
        <f t="shared" ca="1" si="3"/>
        <v>45856</v>
      </c>
      <c r="C55" s="225">
        <f ca="1">VLOOKUP($B55,RD[[#All],[Date]:[IS4Inv2]],C$2,0)/C$1</f>
        <v>3.6982893024956183</v>
      </c>
      <c r="D55" s="225">
        <f ca="1">VLOOKUP($B55,RD[[#All],[Date]:[IS4Inv2]],D$2,0)/D$1</f>
        <v>3.7423685917886957</v>
      </c>
      <c r="E55" s="225">
        <f ca="1">VLOOKUP($B55,RD[[#All],[Date]:[IS4Inv2]],E$2,0)/E$1</f>
        <v>3.6676048173657034</v>
      </c>
      <c r="F55" s="225">
        <f ca="1">VLOOKUP($B55,RD[[#All],[Date]:[IS4Inv2]],F$2,0)/F$1</f>
        <v>3.7127248379340783</v>
      </c>
      <c r="G55" s="225">
        <f ca="1">VLOOKUP($B55,RD[[#All],[Date]:[IS4Inv2]],G$2,0)/G$1</f>
        <v>3.7353227622728795</v>
      </c>
      <c r="H55" s="225">
        <f ca="1">VLOOKUP($B55,RD[[#All],[Date]:[IS4Inv2]],H$2,0)/H$1</f>
        <v>3.7481830789480397</v>
      </c>
      <c r="I55" s="225">
        <f ca="1">VLOOKUP($B55,RD[[#All],[Date]:[IS4Inv2]],I$2,0)/I$1</f>
        <v>3.727135579937304</v>
      </c>
      <c r="J55" s="225">
        <f ca="1">AVERAGEIFS(Inv_SY_B[[#This Row],[IS1Inv1]:[IS4Inv2]],Inv_SY_B[[#This Row],[IS1Inv1]:[IS4Inv2]],"&lt;&gt;0")</f>
        <v>3.7188041386774739</v>
      </c>
    </row>
    <row r="56" spans="2:10">
      <c r="B56" s="224">
        <f t="shared" ca="1" si="3"/>
        <v>45857</v>
      </c>
      <c r="C56" s="225">
        <f ca="1">VLOOKUP($B56,RD[[#All],[Date]:[IS4Inv2]],C$2,0)/C$1</f>
        <v>5.1763061406621294</v>
      </c>
      <c r="D56" s="225">
        <f ca="1">VLOOKUP($B56,RD[[#All],[Date]:[IS4Inv2]],D$2,0)/D$1</f>
        <v>5.1649606700304016</v>
      </c>
      <c r="E56" s="225">
        <f ca="1">VLOOKUP($B56,RD[[#All],[Date]:[IS4Inv2]],E$2,0)/E$1</f>
        <v>5.0009991686306821</v>
      </c>
      <c r="F56" s="225">
        <f ca="1">VLOOKUP($B56,RD[[#All],[Date]:[IS4Inv2]],F$2,0)/F$1</f>
        <v>5.0509176126852724</v>
      </c>
      <c r="G56" s="225">
        <f ca="1">VLOOKUP($B56,RD[[#All],[Date]:[IS4Inv2]],G$2,0)/G$1</f>
        <v>5.171942051921965</v>
      </c>
      <c r="H56" s="225">
        <f ca="1">VLOOKUP($B56,RD[[#All],[Date]:[IS4Inv2]],H$2,0)/H$1</f>
        <v>5.3888946646763083</v>
      </c>
      <c r="I56" s="225">
        <f ca="1">VLOOKUP($B56,RD[[#All],[Date]:[IS4Inv2]],I$2,0)/I$1</f>
        <v>5.3446316614420066</v>
      </c>
      <c r="J56" s="225">
        <f ca="1">AVERAGEIFS(Inv_SY_B[[#This Row],[IS1Inv1]:[IS4Inv2]],Inv_SY_B[[#This Row],[IS1Inv1]:[IS4Inv2]],"&lt;&gt;0")</f>
        <v>5.1855217100069666</v>
      </c>
    </row>
    <row r="57" spans="2:10">
      <c r="B57" s="224">
        <f t="shared" ca="1" si="3"/>
        <v>45858</v>
      </c>
      <c r="C57" s="225">
        <f ca="1">VLOOKUP($B57,RD[[#All],[Date]:[IS4Inv2]],C$2,0)/C$1</f>
        <v>4.3924604582647868</v>
      </c>
      <c r="D57" s="225">
        <f ca="1">VLOOKUP($B57,RD[[#All],[Date]:[IS4Inv2]],D$2,0)/D$1</f>
        <v>4.4279057796556547</v>
      </c>
      <c r="E57" s="225">
        <f ca="1">VLOOKUP($B57,RD[[#All],[Date]:[IS4Inv2]],E$2,0)/E$1</f>
        <v>4.3517226124827433</v>
      </c>
      <c r="F57" s="225">
        <f ca="1">VLOOKUP($B57,RD[[#All],[Date]:[IS4Inv2]],F$2,0)/F$1</f>
        <v>4.4109170039869747</v>
      </c>
      <c r="G57" s="225">
        <f ca="1">VLOOKUP($B57,RD[[#All],[Date]:[IS4Inv2]],G$2,0)/G$1</f>
        <v>4.4322670968134652</v>
      </c>
      <c r="H57" s="225">
        <f ca="1">VLOOKUP($B57,RD[[#All],[Date]:[IS4Inv2]],H$2,0)/H$1</f>
        <v>4.4479011987265373</v>
      </c>
      <c r="I57" s="225">
        <f ca="1">VLOOKUP($B57,RD[[#All],[Date]:[IS4Inv2]],I$2,0)/I$1</f>
        <v>4.4212774294670849</v>
      </c>
      <c r="J57" s="225">
        <f ca="1">AVERAGEIFS(Inv_SY_B[[#This Row],[IS1Inv1]:[IS4Inv2]],Inv_SY_B[[#This Row],[IS1Inv1]:[IS4Inv2]],"&lt;&gt;0")</f>
        <v>4.4120645113424635</v>
      </c>
    </row>
    <row r="58" spans="2:10">
      <c r="B58" s="224">
        <f t="shared" ca="1" si="3"/>
        <v>45859</v>
      </c>
      <c r="C58" s="225">
        <f ca="1">VLOOKUP($B58,RD[[#All],[Date]:[IS4Inv2]],C$2,0)/C$1</f>
        <v>4.1833059148629621</v>
      </c>
      <c r="D58" s="225">
        <f ca="1">VLOOKUP($B58,RD[[#All],[Date]:[IS4Inv2]],D$2,0)/D$1</f>
        <v>4.1854808872969826</v>
      </c>
      <c r="E58" s="225">
        <f ca="1">VLOOKUP($B58,RD[[#All],[Date]:[IS4Inv2]],E$2,0)/E$1</f>
        <v>4.1161171239197918</v>
      </c>
      <c r="F58" s="225">
        <f ca="1">VLOOKUP($B58,RD[[#All],[Date]:[IS4Inv2]],F$2,0)/F$1</f>
        <v>4.1408984386888639</v>
      </c>
      <c r="G58" s="225">
        <f ca="1">VLOOKUP($B58,RD[[#All],[Date]:[IS4Inv2]],G$2,0)/G$1</f>
        <v>4.1453875886416895</v>
      </c>
      <c r="H58" s="225">
        <f ca="1">VLOOKUP($B58,RD[[#All],[Date]:[IS4Inv2]],H$2,0)/H$1</f>
        <v>4.2642769291729357</v>
      </c>
      <c r="I58" s="225">
        <f ca="1">VLOOKUP($B58,RD[[#All],[Date]:[IS4Inv2]],I$2,0)/I$1</f>
        <v>4.2151253918495302</v>
      </c>
      <c r="J58" s="225">
        <f ca="1">AVERAGEIFS(Inv_SY_B[[#This Row],[IS1Inv1]:[IS4Inv2]],Inv_SY_B[[#This Row],[IS1Inv1]:[IS4Inv2]],"&lt;&gt;0")</f>
        <v>4.1786560392046797</v>
      </c>
    </row>
    <row r="59" spans="2:10">
      <c r="B59" s="224">
        <f t="shared" ca="1" si="3"/>
        <v>45860</v>
      </c>
      <c r="C59" s="225">
        <f ca="1">VLOOKUP($B59,RD[[#All],[Date]:[IS4Inv2]],C$2,0)/C$1</f>
        <v>2.8491554035891316</v>
      </c>
      <c r="D59" s="225">
        <f ca="1">VLOOKUP($B59,RD[[#All],[Date]:[IS4Inv2]],D$2,0)/D$1</f>
        <v>2.8272966611081025</v>
      </c>
      <c r="E59" s="225">
        <f ca="1">VLOOKUP($B59,RD[[#All],[Date]:[IS4Inv2]],E$2,0)/E$1</f>
        <v>2.8228573171940901</v>
      </c>
      <c r="F59" s="225">
        <f ca="1">VLOOKUP($B59,RD[[#All],[Date]:[IS4Inv2]],F$2,0)/F$1</f>
        <v>2.8216666159418087</v>
      </c>
      <c r="G59" s="225">
        <f ca="1">VLOOKUP($B59,RD[[#All],[Date]:[IS4Inv2]],G$2,0)/G$1</f>
        <v>2.8063882886447336</v>
      </c>
      <c r="H59" s="225">
        <f ca="1">VLOOKUP($B59,RD[[#All],[Date]:[IS4Inv2]],H$2,0)/H$1</f>
        <v>2.8555035298779305</v>
      </c>
      <c r="I59" s="225">
        <f ca="1">VLOOKUP($B59,RD[[#All],[Date]:[IS4Inv2]],I$2,0)/I$1</f>
        <v>2.8515086206896552</v>
      </c>
      <c r="J59" s="225">
        <f ca="1">AVERAGEIFS(Inv_SY_B[[#This Row],[IS1Inv1]:[IS4Inv2]],Inv_SY_B[[#This Row],[IS1Inv1]:[IS4Inv2]],"&lt;&gt;0")</f>
        <v>2.8334823481493498</v>
      </c>
    </row>
    <row r="60" spans="2:10">
      <c r="B60" s="224">
        <f t="shared" ca="1" si="3"/>
        <v>45861</v>
      </c>
      <c r="C60" s="225">
        <f ca="1">VLOOKUP($B60,RD[[#All],[Date]:[IS4Inv2]],C$2,0)/C$1</f>
        <v>3.4078900680623212</v>
      </c>
      <c r="D60" s="225">
        <f ca="1">VLOOKUP($B60,RD[[#All],[Date]:[IS4Inv2]],D$2,0)/D$1</f>
        <v>3.4249620641397538</v>
      </c>
      <c r="E60" s="225">
        <f ca="1">VLOOKUP($B60,RD[[#All],[Date]:[IS4Inv2]],E$2,0)/E$1</f>
        <v>3.3607914025734313</v>
      </c>
      <c r="F60" s="225">
        <f ca="1">VLOOKUP($B60,RD[[#All],[Date]:[IS4Inv2]],F$2,0)/F$1</f>
        <v>3.3923517058769823</v>
      </c>
      <c r="G60" s="225">
        <f ca="1">VLOOKUP($B60,RD[[#All],[Date]:[IS4Inv2]],G$2,0)/G$1</f>
        <v>3.4136865812460058</v>
      </c>
      <c r="H60" s="225">
        <f ca="1">VLOOKUP($B60,RD[[#All],[Date]:[IS4Inv2]],H$2,0)/H$1</f>
        <v>3.5016114446900795</v>
      </c>
      <c r="I60" s="225">
        <f ca="1">VLOOKUP($B60,RD[[#All],[Date]:[IS4Inv2]],I$2,0)/I$1</f>
        <v>3.4545258620689658</v>
      </c>
      <c r="J60" s="225">
        <f ca="1">AVERAGEIFS(Inv_SY_B[[#This Row],[IS1Inv1]:[IS4Inv2]],Inv_SY_B[[#This Row],[IS1Inv1]:[IS4Inv2]],"&lt;&gt;0")</f>
        <v>3.422259875522506</v>
      </c>
    </row>
    <row r="61" spans="2:10">
      <c r="B61" s="224">
        <f t="shared" ca="1" si="3"/>
        <v>45862</v>
      </c>
      <c r="C61" s="225">
        <f ca="1">VLOOKUP($B61,RD[[#All],[Date]:[IS4Inv2]],C$2,0)/C$1</f>
        <v>2.0863843101835426</v>
      </c>
      <c r="D61" s="225">
        <f ca="1">VLOOKUP($B61,RD[[#All],[Date]:[IS4Inv2]],D$2,0)/D$1</f>
        <v>2.0962042691917917</v>
      </c>
      <c r="E61" s="225">
        <f ca="1">VLOOKUP($B61,RD[[#All],[Date]:[IS4Inv2]],E$2,0)/E$1</f>
        <v>2.0823894622032051</v>
      </c>
      <c r="F61" s="225">
        <f ca="1">VLOOKUP($B61,RD[[#All],[Date]:[IS4Inv2]],F$2,0)/F$1</f>
        <v>2.1100374349453692</v>
      </c>
      <c r="G61" s="225">
        <f ca="1">VLOOKUP($B61,RD[[#All],[Date]:[IS4Inv2]],G$2,0)/G$1</f>
        <v>2.1138874516845729</v>
      </c>
      <c r="H61" s="225">
        <f ca="1">VLOOKUP($B61,RD[[#All],[Date]:[IS4Inv2]],H$2,0)/H$1</f>
        <v>2.1043917997767712</v>
      </c>
      <c r="I61" s="225">
        <f ca="1">VLOOKUP($B61,RD[[#All],[Date]:[IS4Inv2]],I$2,0)/I$1</f>
        <v>2.0888910658307211</v>
      </c>
      <c r="J61" s="225">
        <f ca="1">AVERAGEIFS(Inv_SY_B[[#This Row],[IS1Inv1]:[IS4Inv2]],Inv_SY_B[[#This Row],[IS1Inv1]:[IS4Inv2]],"&lt;&gt;0")</f>
        <v>2.0974551134022819</v>
      </c>
    </row>
    <row r="62" spans="2:10">
      <c r="B62" s="224">
        <f t="shared" ca="1" si="3"/>
        <v>45863</v>
      </c>
      <c r="C62" s="225">
        <f ca="1">VLOOKUP($B62,RD[[#All],[Date]:[IS4Inv2]],C$2,0)/C$1</f>
        <v>1.5797554917583305</v>
      </c>
      <c r="D62" s="225">
        <f ca="1">VLOOKUP($B62,RD[[#All],[Date]:[IS4Inv2]],D$2,0)/D$1</f>
        <v>1.6034402329235009</v>
      </c>
      <c r="E62" s="225">
        <f ca="1">VLOOKUP($B62,RD[[#All],[Date]:[IS4Inv2]],E$2,0)/E$1</f>
        <v>1.5725236253804087</v>
      </c>
      <c r="F62" s="225">
        <f ca="1">VLOOKUP($B62,RD[[#All],[Date]:[IS4Inv2]],F$2,0)/F$1</f>
        <v>1.5994613020056612</v>
      </c>
      <c r="G62" s="225">
        <f ca="1">VLOOKUP($B62,RD[[#All],[Date]:[IS4Inv2]],G$2,0)/G$1</f>
        <v>1.6142222357488514</v>
      </c>
      <c r="H62" s="225">
        <f ca="1">VLOOKUP($B62,RD[[#All],[Date]:[IS4Inv2]],H$2,0)/H$1</f>
        <v>1.6121508618237672</v>
      </c>
      <c r="I62" s="225">
        <f ca="1">VLOOKUP($B62,RD[[#All],[Date]:[IS4Inv2]],I$2,0)/I$1</f>
        <v>1.6042319749216301</v>
      </c>
      <c r="J62" s="225">
        <f ca="1">AVERAGEIFS(Inv_SY_B[[#This Row],[IS1Inv1]:[IS4Inv2]],Inv_SY_B[[#This Row],[IS1Inv1]:[IS4Inv2]],"&lt;&gt;0")</f>
        <v>1.5979693892231643</v>
      </c>
    </row>
    <row r="63" spans="2:10">
      <c r="B63" s="224">
        <f t="shared" ca="1" si="3"/>
        <v>45864</v>
      </c>
      <c r="C63" s="225">
        <f ca="1">VLOOKUP($B63,RD[[#All],[Date]:[IS4Inv2]],C$2,0)/C$1</f>
        <v>1.0980290958356183</v>
      </c>
      <c r="D63" s="225">
        <f ca="1">VLOOKUP($B63,RD[[#All],[Date]:[IS4Inv2]],D$2,0)/D$1</f>
        <v>1.1193625703086878</v>
      </c>
      <c r="E63" s="225">
        <f ca="1">VLOOKUP($B63,RD[[#All],[Date]:[IS4Inv2]],E$2,0)/E$1</f>
        <v>1.0908480729774463</v>
      </c>
      <c r="F63" s="225">
        <f ca="1">VLOOKUP($B63,RD[[#All],[Date]:[IS4Inv2]],F$2,0)/F$1</f>
        <v>1.1124874455975897</v>
      </c>
      <c r="G63" s="225">
        <f ca="1">VLOOKUP($B63,RD[[#All],[Date]:[IS4Inv2]],G$2,0)/G$1</f>
        <v>1.1265483762972883</v>
      </c>
      <c r="H63" s="225">
        <f ca="1">VLOOKUP($B63,RD[[#All],[Date]:[IS4Inv2]],H$2,0)/H$1</f>
        <v>1.1251473643120415</v>
      </c>
      <c r="I63" s="225">
        <f ca="1">VLOOKUP($B63,RD[[#All],[Date]:[IS4Inv2]],I$2,0)/I$1</f>
        <v>1.1228448275862069</v>
      </c>
      <c r="J63" s="225">
        <f ca="1">AVERAGEIFS(Inv_SY_B[[#This Row],[IS1Inv1]:[IS4Inv2]],Inv_SY_B[[#This Row],[IS1Inv1]:[IS4Inv2]],"&lt;&gt;0")</f>
        <v>1.1136096789878398</v>
      </c>
    </row>
    <row r="64" spans="2:10">
      <c r="B64" s="224">
        <f t="shared" ca="1" si="3"/>
        <v>45865</v>
      </c>
      <c r="C64" s="225">
        <f ca="1">VLOOKUP($B64,RD[[#All],[Date]:[IS4Inv2]],C$2,0)/C$1</f>
        <v>2.0635678418975734</v>
      </c>
      <c r="D64" s="225">
        <f ca="1">VLOOKUP($B64,RD[[#All],[Date]:[IS4Inv2]],D$2,0)/D$1</f>
        <v>2.1007726582984354</v>
      </c>
      <c r="E64" s="225">
        <f ca="1">VLOOKUP($B64,RD[[#All],[Date]:[IS4Inv2]],E$2,0)/E$1</f>
        <v>2.0579365260966069</v>
      </c>
      <c r="F64" s="225">
        <f ca="1">VLOOKUP($B64,RD[[#All],[Date]:[IS4Inv2]],F$2,0)/F$1</f>
        <v>2.0911373527710992</v>
      </c>
      <c r="G64" s="225">
        <f ca="1">VLOOKUP($B64,RD[[#All],[Date]:[IS4Inv2]],G$2,0)/G$1</f>
        <v>2.1152265879416867</v>
      </c>
      <c r="H64" s="225">
        <f ca="1">VLOOKUP($B64,RD[[#All],[Date]:[IS4Inv2]],H$2,0)/H$1</f>
        <v>2.1126304701338392</v>
      </c>
      <c r="I64" s="225">
        <f ca="1">VLOOKUP($B64,RD[[#All],[Date]:[IS4Inv2]],I$2,0)/I$1</f>
        <v>2.1082680250783699</v>
      </c>
      <c r="J64" s="225">
        <f ca="1">AVERAGEIFS(Inv_SY_B[[#This Row],[IS1Inv1]:[IS4Inv2]],Inv_SY_B[[#This Row],[IS1Inv1]:[IS4Inv2]],"&lt;&gt;0")</f>
        <v>2.0927913517453729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5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223" t="s">
        <v>110</v>
      </c>
      <c r="C2" s="198" t="s">
        <v>160</v>
      </c>
      <c r="D2" s="198" t="s">
        <v>161</v>
      </c>
      <c r="E2" s="198" t="s">
        <v>162</v>
      </c>
      <c r="F2" s="198" t="s">
        <v>163</v>
      </c>
      <c r="G2" s="198" t="s">
        <v>164</v>
      </c>
      <c r="H2" s="198" t="s">
        <v>165</v>
      </c>
      <c r="I2" s="198" t="s">
        <v>166</v>
      </c>
    </row>
    <row r="3" spans="2:9">
      <c r="B3" s="224">
        <f t="shared" ref="B3" ca="1" si="0">TODAY()-60</f>
        <v>45805</v>
      </c>
      <c r="C3" s="226">
        <f ca="1">IFERROR((Inv_SY_B!C4/Inv_SY_B!$J4)-1,"")</f>
        <v>-8.3148174679633646E-3</v>
      </c>
      <c r="D3" s="226">
        <f ca="1">IFERROR((Inv_SY_B!D4/Inv_SY_B!$J4)-1,"")</f>
        <v>3.3769622261776711E-3</v>
      </c>
      <c r="E3" s="226">
        <f ca="1">IFERROR((Inv_SY_B!E4/Inv_SY_B!$J4)-1,"")</f>
        <v>-2.0069807559645825E-2</v>
      </c>
      <c r="F3" s="226">
        <f ca="1">IFERROR((Inv_SY_B!F4/Inv_SY_B!$J4)-1,"")</f>
        <v>-2.1553299852256069E-3</v>
      </c>
      <c r="G3" s="226">
        <f ca="1">IFERROR((Inv_SY_B!G4/Inv_SY_B!$J4)-1,"")</f>
        <v>5.6098593740989688E-3</v>
      </c>
      <c r="H3" s="226">
        <f ca="1">IFERROR((Inv_SY_B!H4/Inv_SY_B!$J4)-1,"")</f>
        <v>7.7300701169400465E-3</v>
      </c>
      <c r="I3" s="226">
        <f ca="1">IFERROR((Inv_SY_B!I4/Inv_SY_B!$J4)-1,"")</f>
        <v>1.3823063295617333E-2</v>
      </c>
    </row>
    <row r="4" spans="2:9">
      <c r="B4" s="224">
        <f ca="1">B3+1</f>
        <v>45806</v>
      </c>
      <c r="C4" s="226">
        <f ca="1">IFERROR((Inv_SY_B!C5/Inv_SY_B!$J5)-1,"")</f>
        <v>-6.8880522394866306E-3</v>
      </c>
      <c r="D4" s="226">
        <f ca="1">IFERROR((Inv_SY_B!D5/Inv_SY_B!$J5)-1,"")</f>
        <v>1.8932136274196765E-3</v>
      </c>
      <c r="E4" s="226">
        <f ca="1">IFERROR((Inv_SY_B!E5/Inv_SY_B!$J5)-1,"")</f>
        <v>-1.9969056395619189E-2</v>
      </c>
      <c r="F4" s="226">
        <f ca="1">IFERROR((Inv_SY_B!F5/Inv_SY_B!$J5)-1,"")</f>
        <v>-6.3683153614522148E-3</v>
      </c>
      <c r="G4" s="226">
        <f ca="1">IFERROR((Inv_SY_B!G5/Inv_SY_B!$J5)-1,"")</f>
        <v>9.5142963618151111E-3</v>
      </c>
      <c r="H4" s="226">
        <f ca="1">IFERROR((Inv_SY_B!H5/Inv_SY_B!$J5)-1,"")</f>
        <v>9.3082765169045789E-3</v>
      </c>
      <c r="I4" s="226">
        <f ca="1">IFERROR((Inv_SY_B!I5/Inv_SY_B!$J5)-1,"")</f>
        <v>1.2509637490417891E-2</v>
      </c>
    </row>
    <row r="5" spans="2:9">
      <c r="B5" s="224">
        <f t="shared" ref="B5:B63" ca="1" si="1">B4+1</f>
        <v>45807</v>
      </c>
      <c r="C5" s="226">
        <f ca="1">IFERROR((Inv_SY_B!C6/Inv_SY_B!$J6)-1,"")</f>
        <v>-5.3831383329915328E-3</v>
      </c>
      <c r="D5" s="226">
        <f ca="1">IFERROR((Inv_SY_B!D6/Inv_SY_B!$J6)-1,"")</f>
        <v>-9.4440282653240892E-4</v>
      </c>
      <c r="E5" s="226">
        <f ca="1">IFERROR((Inv_SY_B!E6/Inv_SY_B!$J6)-1,"")</f>
        <v>-1.0136172080849937E-2</v>
      </c>
      <c r="F5" s="226">
        <f ca="1">IFERROR((Inv_SY_B!F6/Inv_SY_B!$J6)-1,"")</f>
        <v>3.5968199134728263E-3</v>
      </c>
      <c r="G5" s="226">
        <f ca="1">IFERROR((Inv_SY_B!G6/Inv_SY_B!$J6)-1,"")</f>
        <v>1.1443937104724133E-2</v>
      </c>
      <c r="H5" s="226">
        <f ca="1">IFERROR((Inv_SY_B!H6/Inv_SY_B!$J6)-1,"")</f>
        <v>-2.5180237986415221E-3</v>
      </c>
      <c r="I5" s="226">
        <f ca="1">IFERROR((Inv_SY_B!I6/Inv_SY_B!$J6)-1,"")</f>
        <v>3.9409800208176637E-3</v>
      </c>
    </row>
    <row r="6" spans="2:9">
      <c r="B6" s="224">
        <f t="shared" ca="1" si="1"/>
        <v>45808</v>
      </c>
      <c r="C6" s="226">
        <f ca="1">IFERROR((Inv_SY_B!C7/Inv_SY_B!$J7)-1,"")</f>
        <v>-2.6729791211911325E-3</v>
      </c>
      <c r="D6" s="226">
        <f ca="1">IFERROR((Inv_SY_B!D7/Inv_SY_B!$J7)-1,"")</f>
        <v>-3.1701159484159858E-3</v>
      </c>
      <c r="E6" s="226">
        <f ca="1">IFERROR((Inv_SY_B!E7/Inv_SY_B!$J7)-1,"")</f>
        <v>-3.4759884398443908E-2</v>
      </c>
      <c r="F6" s="226">
        <f ca="1">IFERROR((Inv_SY_B!F7/Inv_SY_B!$J7)-1,"")</f>
        <v>-2.8976010785603967E-2</v>
      </c>
      <c r="G6" s="226">
        <f ca="1">IFERROR((Inv_SY_B!G7/Inv_SY_B!$J7)-1,"")</f>
        <v>-1.9486274885574861E-2</v>
      </c>
      <c r="H6" s="226">
        <f ca="1">IFERROR((Inv_SY_B!H7/Inv_SY_B!$J7)-1,"")</f>
        <v>4.7239191308562134E-2</v>
      </c>
      <c r="I6" s="226">
        <f ca="1">IFERROR((Inv_SY_B!I7/Inv_SY_B!$J7)-1,"")</f>
        <v>4.1826073830667942E-2</v>
      </c>
    </row>
    <row r="7" spans="2:9">
      <c r="B7" s="224">
        <f t="shared" ca="1" si="1"/>
        <v>45809</v>
      </c>
      <c r="C7" s="226">
        <f ca="1">IFERROR((Inv_SY_B!C8/Inv_SY_B!$J8)-1,"")</f>
        <v>3.9541308917256934E-3</v>
      </c>
      <c r="D7" s="226">
        <f ca="1">IFERROR((Inv_SY_B!D8/Inv_SY_B!$J8)-1,"")</f>
        <v>4.3614224927350786E-3</v>
      </c>
      <c r="E7" s="226">
        <f ca="1">IFERROR((Inv_SY_B!E8/Inv_SY_B!$J8)-1,"")</f>
        <v>-1.7146984959498957E-2</v>
      </c>
      <c r="F7" s="226">
        <f ca="1">IFERROR((Inv_SY_B!F8/Inv_SY_B!$J8)-1,"")</f>
        <v>-1.2994762960145678E-3</v>
      </c>
      <c r="G7" s="226">
        <f ca="1">IFERROR((Inv_SY_B!G8/Inv_SY_B!$J8)-1,"")</f>
        <v>1.1031164363416446E-2</v>
      </c>
      <c r="H7" s="226">
        <f ca="1">IFERROR((Inv_SY_B!H8/Inv_SY_B!$J8)-1,"")</f>
        <v>8.5286015069307997E-3</v>
      </c>
      <c r="I7" s="226">
        <f ca="1">IFERROR((Inv_SY_B!I8/Inv_SY_B!$J8)-1,"")</f>
        <v>-9.4288579992943822E-3</v>
      </c>
    </row>
    <row r="8" spans="2:9">
      <c r="B8" s="224">
        <f t="shared" ca="1" si="1"/>
        <v>45810</v>
      </c>
      <c r="C8" s="226">
        <f ca="1">IFERROR((Inv_SY_B!C9/Inv_SY_B!$J9)-1,"")</f>
        <v>-4.0179118830330207E-3</v>
      </c>
      <c r="D8" s="226">
        <f ca="1">IFERROR((Inv_SY_B!D9/Inv_SY_B!$J9)-1,"")</f>
        <v>-4.8930204983191894E-3</v>
      </c>
      <c r="E8" s="226">
        <f ca="1">IFERROR((Inv_SY_B!E9/Inv_SY_B!$J9)-1,"")</f>
        <v>-2.8685935742243429E-2</v>
      </c>
      <c r="F8" s="226">
        <f ca="1">IFERROR((Inv_SY_B!F9/Inv_SY_B!$J9)-1,"")</f>
        <v>-2.1361924964382384E-2</v>
      </c>
      <c r="G8" s="226">
        <f ca="1">IFERROR((Inv_SY_B!G9/Inv_SY_B!$J9)-1,"")</f>
        <v>2.3154041764827937E-3</v>
      </c>
      <c r="H8" s="226">
        <f ca="1">IFERROR((Inv_SY_B!H9/Inv_SY_B!$J9)-1,"")</f>
        <v>2.9817652784654536E-2</v>
      </c>
      <c r="I8" s="226">
        <f ca="1">IFERROR((Inv_SY_B!I9/Inv_SY_B!$J9)-1,"")</f>
        <v>2.6825736126840249E-2</v>
      </c>
    </row>
    <row r="9" spans="2:9">
      <c r="B9" s="224">
        <f t="shared" ca="1" si="1"/>
        <v>45811</v>
      </c>
      <c r="C9" s="226">
        <f ca="1">IFERROR((Inv_SY_B!C10/Inv_SY_B!$J10)-1,"")</f>
        <v>-3.067747604369675E-3</v>
      </c>
      <c r="D9" s="226">
        <f ca="1">IFERROR((Inv_SY_B!D10/Inv_SY_B!$J10)-1,"")</f>
        <v>-2.6758313768256992E-3</v>
      </c>
      <c r="E9" s="226">
        <f ca="1">IFERROR((Inv_SY_B!E10/Inv_SY_B!$J10)-1,"")</f>
        <v>-3.0887126499997364E-2</v>
      </c>
      <c r="F9" s="226">
        <f ca="1">IFERROR((Inv_SY_B!F10/Inv_SY_B!$J10)-1,"")</f>
        <v>-2.2013756836027465E-2</v>
      </c>
      <c r="G9" s="226">
        <f ca="1">IFERROR((Inv_SY_B!G10/Inv_SY_B!$J10)-1,"")</f>
        <v>-1.3052380681217057E-2</v>
      </c>
      <c r="H9" s="226">
        <f ca="1">IFERROR((Inv_SY_B!H10/Inv_SY_B!$J10)-1,"")</f>
        <v>3.8470942515736573E-2</v>
      </c>
      <c r="I9" s="226">
        <f ca="1">IFERROR((Inv_SY_B!I10/Inv_SY_B!$J10)-1,"")</f>
        <v>3.3225900482701132E-2</v>
      </c>
    </row>
    <row r="10" spans="2:9">
      <c r="B10" s="224">
        <f t="shared" ca="1" si="1"/>
        <v>45812</v>
      </c>
      <c r="C10" s="226">
        <f ca="1">IFERROR((Inv_SY_B!C11/Inv_SY_B!$J11)-1,"")</f>
        <v>-5.9035269816554159E-4</v>
      </c>
      <c r="D10" s="226">
        <f ca="1">IFERROR((Inv_SY_B!D11/Inv_SY_B!$J11)-1,"")</f>
        <v>-2.3955427478863367E-3</v>
      </c>
      <c r="E10" s="226">
        <f ca="1">IFERROR((Inv_SY_B!E11/Inv_SY_B!$J11)-1,"")</f>
        <v>-2.4046686374936455E-2</v>
      </c>
      <c r="F10" s="226">
        <f ca="1">IFERROR((Inv_SY_B!F11/Inv_SY_B!$J11)-1,"")</f>
        <v>-1.6730046756757155E-2</v>
      </c>
      <c r="G10" s="226">
        <f ca="1">IFERROR((Inv_SY_B!G11/Inv_SY_B!$J11)-1,"")</f>
        <v>-1.2021837841202254E-2</v>
      </c>
      <c r="H10" s="226">
        <f ca="1">IFERROR((Inv_SY_B!H11/Inv_SY_B!$J11)-1,"")</f>
        <v>2.8287323991466495E-2</v>
      </c>
      <c r="I10" s="226">
        <f ca="1">IFERROR((Inv_SY_B!I11/Inv_SY_B!$J11)-1,"")</f>
        <v>2.7497142427481469E-2</v>
      </c>
    </row>
    <row r="11" spans="2:9">
      <c r="B11" s="224">
        <f t="shared" ca="1" si="1"/>
        <v>45813</v>
      </c>
      <c r="C11" s="226">
        <f ca="1">IFERROR((Inv_SY_B!C12/Inv_SY_B!$J12)-1,"")</f>
        <v>9.9461943263858821E-3</v>
      </c>
      <c r="D11" s="226">
        <f ca="1">IFERROR((Inv_SY_B!D12/Inv_SY_B!$J12)-1,"")</f>
        <v>6.267014523182457E-4</v>
      </c>
      <c r="E11" s="226">
        <f ca="1">IFERROR((Inv_SY_B!E12/Inv_SY_B!$J12)-1,"")</f>
        <v>-2.5582414416967958E-2</v>
      </c>
      <c r="F11" s="226">
        <f ca="1">IFERROR((Inv_SY_B!F12/Inv_SY_B!$J12)-1,"")</f>
        <v>-2.0660750028885233E-2</v>
      </c>
      <c r="G11" s="226">
        <f ca="1">IFERROR((Inv_SY_B!G12/Inv_SY_B!$J12)-1,"")</f>
        <v>-2.3965864519737368E-2</v>
      </c>
      <c r="H11" s="226">
        <f ca="1">IFERROR((Inv_SY_B!H12/Inv_SY_B!$J12)-1,"")</f>
        <v>3.7638972021835526E-2</v>
      </c>
      <c r="I11" s="226">
        <f ca="1">IFERROR((Inv_SY_B!I12/Inv_SY_B!$J12)-1,"")</f>
        <v>2.1997161165051349E-2</v>
      </c>
    </row>
    <row r="12" spans="2:9">
      <c r="B12" s="224">
        <f t="shared" ca="1" si="1"/>
        <v>45814</v>
      </c>
      <c r="C12" s="226">
        <f ca="1">IFERROR((Inv_SY_B!C13/Inv_SY_B!$J13)-1,"")</f>
        <v>1.74839020660984E-2</v>
      </c>
      <c r="D12" s="226">
        <f ca="1">IFERROR((Inv_SY_B!D13/Inv_SY_B!$J13)-1,"")</f>
        <v>8.6154043909587585E-3</v>
      </c>
      <c r="E12" s="226">
        <f ca="1">IFERROR((Inv_SY_B!E13/Inv_SY_B!$J13)-1,"")</f>
        <v>-1.5590398952355145E-2</v>
      </c>
      <c r="F12" s="226">
        <f ca="1">IFERROR((Inv_SY_B!F13/Inv_SY_B!$J13)-1,"")</f>
        <v>-1.0981341500747477E-2</v>
      </c>
      <c r="G12" s="226">
        <f ca="1">IFERROR((Inv_SY_B!G13/Inv_SY_B!$J13)-1,"")</f>
        <v>-1.9365157217896556E-2</v>
      </c>
      <c r="H12" s="226">
        <f ca="1">IFERROR((Inv_SY_B!H13/Inv_SY_B!$J13)-1,"")</f>
        <v>1.3313705189668346E-2</v>
      </c>
      <c r="I12" s="226">
        <f ca="1">IFERROR((Inv_SY_B!I13/Inv_SY_B!$J13)-1,"")</f>
        <v>6.5238860242746721E-3</v>
      </c>
    </row>
    <row r="13" spans="2:9">
      <c r="B13" s="224">
        <f t="shared" ca="1" si="1"/>
        <v>45815</v>
      </c>
      <c r="C13" s="226">
        <f ca="1">IFERROR((Inv_SY_B!C14/Inv_SY_B!$J14)-1,"")</f>
        <v>3.0907219566056465E-3</v>
      </c>
      <c r="D13" s="226">
        <f ca="1">IFERROR((Inv_SY_B!D14/Inv_SY_B!$J14)-1,"")</f>
        <v>-9.387483560771015E-4</v>
      </c>
      <c r="E13" s="226">
        <f ca="1">IFERROR((Inv_SY_B!E14/Inv_SY_B!$J14)-1,"")</f>
        <v>-2.2526849736953736E-2</v>
      </c>
      <c r="F13" s="226">
        <f ca="1">IFERROR((Inv_SY_B!F14/Inv_SY_B!$J14)-1,"")</f>
        <v>-1.5271881115411001E-2</v>
      </c>
      <c r="G13" s="226">
        <f ca="1">IFERROR((Inv_SY_B!G14/Inv_SY_B!$J14)-1,"")</f>
        <v>-1.2035086977291276E-2</v>
      </c>
      <c r="H13" s="226">
        <f ca="1">IFERROR((Inv_SY_B!H14/Inv_SY_B!$J14)-1,"")</f>
        <v>2.7689639090904272E-2</v>
      </c>
      <c r="I13" s="226">
        <f ca="1">IFERROR((Inv_SY_B!I14/Inv_SY_B!$J14)-1,"")</f>
        <v>1.9992205138223751E-2</v>
      </c>
    </row>
    <row r="14" spans="2:9">
      <c r="B14" s="224">
        <f t="shared" ca="1" si="1"/>
        <v>45816</v>
      </c>
      <c r="C14" s="226">
        <f ca="1">IFERROR((Inv_SY_B!C15/Inv_SY_B!$J15)-1,"")</f>
        <v>-6.4343880948477539E-3</v>
      </c>
      <c r="D14" s="226">
        <f ca="1">IFERROR((Inv_SY_B!D15/Inv_SY_B!$J15)-1,"")</f>
        <v>9.0682906339312197E-4</v>
      </c>
      <c r="E14" s="226">
        <f ca="1">IFERROR((Inv_SY_B!E15/Inv_SY_B!$J15)-1,"")</f>
        <v>-2.0426269015577647E-2</v>
      </c>
      <c r="F14" s="226">
        <f ca="1">IFERROR((Inv_SY_B!F15/Inv_SY_B!$J15)-1,"")</f>
        <v>-5.5615938182778102E-3</v>
      </c>
      <c r="G14" s="226">
        <f ca="1">IFERROR((Inv_SY_B!G15/Inv_SY_B!$J15)-1,"")</f>
        <v>4.1047232526296717E-3</v>
      </c>
      <c r="H14" s="226">
        <f ca="1">IFERROR((Inv_SY_B!H15/Inv_SY_B!$J15)-1,"")</f>
        <v>1.447173135782398E-2</v>
      </c>
      <c r="I14" s="226">
        <f ca="1">IFERROR((Inv_SY_B!I15/Inv_SY_B!$J15)-1,"")</f>
        <v>1.2938967254856326E-2</v>
      </c>
    </row>
    <row r="15" spans="2:9">
      <c r="B15" s="224">
        <f t="shared" ca="1" si="1"/>
        <v>45817</v>
      </c>
      <c r="C15" s="226">
        <f ca="1">IFERROR((Inv_SY_B!C16/Inv_SY_B!$J16)-1,"")</f>
        <v>1.2010295511153402E-3</v>
      </c>
      <c r="D15" s="226">
        <f ca="1">IFERROR((Inv_SY_B!D16/Inv_SY_B!$J16)-1,"")</f>
        <v>5.3243939325511302E-3</v>
      </c>
      <c r="E15" s="226">
        <f ca="1">IFERROR((Inv_SY_B!E16/Inv_SY_B!$J16)-1,"")</f>
        <v>-2.0316878446501763E-2</v>
      </c>
      <c r="F15" s="226">
        <f ca="1">IFERROR((Inv_SY_B!F16/Inv_SY_B!$J16)-1,"")</f>
        <v>-1.4720049185483419E-2</v>
      </c>
      <c r="G15" s="226">
        <f ca="1">IFERROR((Inv_SY_B!G16/Inv_SY_B!$J16)-1,"")</f>
        <v>-1.2908275985902717E-2</v>
      </c>
      <c r="H15" s="226">
        <f ca="1">IFERROR((Inv_SY_B!H16/Inv_SY_B!$J16)-1,"")</f>
        <v>2.6538136662891176E-2</v>
      </c>
      <c r="I15" s="226">
        <f ca="1">IFERROR((Inv_SY_B!I16/Inv_SY_B!$J16)-1,"")</f>
        <v>1.4881643471329253E-2</v>
      </c>
    </row>
    <row r="16" spans="2:9">
      <c r="B16" s="224">
        <f t="shared" ca="1" si="1"/>
        <v>45818</v>
      </c>
      <c r="C16" s="226">
        <f ca="1">IFERROR((Inv_SY_B!C17/Inv_SY_B!$J17)-1,"")</f>
        <v>5.4357990362043918E-3</v>
      </c>
      <c r="D16" s="226">
        <f ca="1">IFERROR((Inv_SY_B!D17/Inv_SY_B!$J17)-1,"")</f>
        <v>1.1568012653935256E-3</v>
      </c>
      <c r="E16" s="226">
        <f ca="1">IFERROR((Inv_SY_B!E17/Inv_SY_B!$J17)-1,"")</f>
        <v>-1.4894109513491127E-2</v>
      </c>
      <c r="F16" s="226">
        <f ca="1">IFERROR((Inv_SY_B!F17/Inv_SY_B!$J17)-1,"")</f>
        <v>-9.7398214896786683E-3</v>
      </c>
      <c r="G16" s="226">
        <f ca="1">IFERROR((Inv_SY_B!G17/Inv_SY_B!$J17)-1,"")</f>
        <v>-7.2042172045644337E-3</v>
      </c>
      <c r="H16" s="226">
        <f ca="1">IFERROR((Inv_SY_B!H17/Inv_SY_B!$J17)-1,"")</f>
        <v>1.6943468812684159E-2</v>
      </c>
      <c r="I16" s="226">
        <f ca="1">IFERROR((Inv_SY_B!I17/Inv_SY_B!$J17)-1,"")</f>
        <v>8.3020790934524857E-3</v>
      </c>
    </row>
    <row r="17" spans="2:9">
      <c r="B17" s="224">
        <f t="shared" ca="1" si="1"/>
        <v>45819</v>
      </c>
      <c r="C17" s="226">
        <f ca="1">IFERROR((Inv_SY_B!C18/Inv_SY_B!$J18)-1,"")</f>
        <v>2.0686864528975946E-3</v>
      </c>
      <c r="D17" s="226">
        <f ca="1">IFERROR((Inv_SY_B!D18/Inv_SY_B!$J18)-1,"")</f>
        <v>6.095121467202258E-4</v>
      </c>
      <c r="E17" s="226">
        <f ca="1">IFERROR((Inv_SY_B!E18/Inv_SY_B!$J18)-1,"")</f>
        <v>-1.143687991422293E-2</v>
      </c>
      <c r="F17" s="226">
        <f ca="1">IFERROR((Inv_SY_B!F18/Inv_SY_B!$J18)-1,"")</f>
        <v>-3.1336331666721451E-3</v>
      </c>
      <c r="G17" s="226">
        <f ca="1">IFERROR((Inv_SY_B!G18/Inv_SY_B!$J18)-1,"")</f>
        <v>5.1373172518884846E-3</v>
      </c>
      <c r="H17" s="226">
        <f ca="1">IFERROR((Inv_SY_B!H18/Inv_SY_B!$J18)-1,"")</f>
        <v>7.2987309637322362E-3</v>
      </c>
      <c r="I17" s="226">
        <f ca="1">IFERROR((Inv_SY_B!I18/Inv_SY_B!$J18)-1,"")</f>
        <v>-5.4373373434346561E-4</v>
      </c>
    </row>
    <row r="18" spans="2:9">
      <c r="B18" s="224">
        <f t="shared" ca="1" si="1"/>
        <v>45820</v>
      </c>
      <c r="C18" s="226">
        <f ca="1">IFERROR((Inv_SY_B!C19/Inv_SY_B!$J19)-1,"")</f>
        <v>-8.0196104054456319E-3</v>
      </c>
      <c r="D18" s="226">
        <f ca="1">IFERROR((Inv_SY_B!D19/Inv_SY_B!$J19)-1,"")</f>
        <v>-3.249665564878601E-3</v>
      </c>
      <c r="E18" s="226">
        <f ca="1">IFERROR((Inv_SY_B!E19/Inv_SY_B!$J19)-1,"")</f>
        <v>-3.403624896605828E-2</v>
      </c>
      <c r="F18" s="226">
        <f ca="1">IFERROR((Inv_SY_B!F19/Inv_SY_B!$J19)-1,"")</f>
        <v>-2.0591108233863453E-2</v>
      </c>
      <c r="G18" s="226">
        <f ca="1">IFERROR((Inv_SY_B!G19/Inv_SY_B!$J19)-1,"")</f>
        <v>2.285405305936461E-3</v>
      </c>
      <c r="H18" s="226">
        <f ca="1">IFERROR((Inv_SY_B!H19/Inv_SY_B!$J19)-1,"")</f>
        <v>3.2680179039472623E-2</v>
      </c>
      <c r="I18" s="226">
        <f ca="1">IFERROR((Inv_SY_B!I19/Inv_SY_B!$J19)-1,"")</f>
        <v>3.0931048824836882E-2</v>
      </c>
    </row>
    <row r="19" spans="2:9">
      <c r="B19" s="224">
        <f t="shared" ca="1" si="1"/>
        <v>45821</v>
      </c>
      <c r="C19" s="226">
        <f ca="1">IFERROR((Inv_SY_B!C20/Inv_SY_B!$J20)-1,"")</f>
        <v>-1.7204275540241287E-3</v>
      </c>
      <c r="D19" s="226">
        <f ca="1">IFERROR((Inv_SY_B!D20/Inv_SY_B!$J20)-1,"")</f>
        <v>-8.2313777405862432E-3</v>
      </c>
      <c r="E19" s="226">
        <f ca="1">IFERROR((Inv_SY_B!E20/Inv_SY_B!$J20)-1,"")</f>
        <v>-6.0715877579157196E-3</v>
      </c>
      <c r="F19" s="226">
        <f ca="1">IFERROR((Inv_SY_B!F20/Inv_SY_B!$J20)-1,"")</f>
        <v>-7.5191145326281017E-5</v>
      </c>
      <c r="G19" s="226">
        <f ca="1">IFERROR((Inv_SY_B!G20/Inv_SY_B!$J20)-1,"")</f>
        <v>9.4214196724544674E-3</v>
      </c>
      <c r="H19" s="226">
        <f ca="1">IFERROR((Inv_SY_B!H20/Inv_SY_B!$J20)-1,"")</f>
        <v>-2.1987012144245588E-3</v>
      </c>
      <c r="I19" s="226">
        <f ca="1">IFERROR((Inv_SY_B!I20/Inv_SY_B!$J20)-1,"")</f>
        <v>8.8758657398222418E-3</v>
      </c>
    </row>
    <row r="20" spans="2:9">
      <c r="B20" s="224">
        <f t="shared" ca="1" si="1"/>
        <v>45822</v>
      </c>
      <c r="C20" s="226">
        <f ca="1">IFERROR((Inv_SY_B!C21/Inv_SY_B!$J21)-1,"")</f>
        <v>1.4263044731910757E-2</v>
      </c>
      <c r="D20" s="226">
        <f ca="1">IFERROR((Inv_SY_B!D21/Inv_SY_B!$J21)-1,"")</f>
        <v>-2.062049572564284E-4</v>
      </c>
      <c r="E20" s="226">
        <f ca="1">IFERROR((Inv_SY_B!E21/Inv_SY_B!$J21)-1,"")</f>
        <v>-1.920962292841788E-2</v>
      </c>
      <c r="F20" s="226">
        <f ca="1">IFERROR((Inv_SY_B!F21/Inv_SY_B!$J21)-1,"")</f>
        <v>-1.9734944331313287E-2</v>
      </c>
      <c r="G20" s="226">
        <f ca="1">IFERROR((Inv_SY_B!G21/Inv_SY_B!$J21)-1,"")</f>
        <v>-2.513034071602438E-2</v>
      </c>
      <c r="H20" s="226">
        <f ca="1">IFERROR((Inv_SY_B!H21/Inv_SY_B!$J21)-1,"")</f>
        <v>3.3629518342782605E-2</v>
      </c>
      <c r="I20" s="226">
        <f ca="1">IFERROR((Inv_SY_B!I21/Inv_SY_B!$J21)-1,"")</f>
        <v>1.6388549858316948E-2</v>
      </c>
    </row>
    <row r="21" spans="2:9">
      <c r="B21" s="224">
        <f t="shared" ca="1" si="1"/>
        <v>45823</v>
      </c>
      <c r="C21" s="226">
        <f ca="1">IFERROR((Inv_SY_B!C22/Inv_SY_B!$J22)-1,"")</f>
        <v>-2.6007478920158533E-2</v>
      </c>
      <c r="D21" s="226">
        <f ca="1">IFERROR((Inv_SY_B!D22/Inv_SY_B!$J22)-1,"")</f>
        <v>-1.0194156409874311E-2</v>
      </c>
      <c r="E21" s="226">
        <f ca="1">IFERROR((Inv_SY_B!E22/Inv_SY_B!$J22)-1,"")</f>
        <v>-4.316224759344045E-2</v>
      </c>
      <c r="F21" s="226">
        <f ca="1">IFERROR((Inv_SY_B!F22/Inv_SY_B!$J22)-1,"")</f>
        <v>-2.2628229268323308E-2</v>
      </c>
      <c r="G21" s="226">
        <f ca="1">IFERROR((Inv_SY_B!G22/Inv_SY_B!$J22)-1,"")</f>
        <v>2.7478879396965139E-2</v>
      </c>
      <c r="H21" s="226">
        <f ca="1">IFERROR((Inv_SY_B!H22/Inv_SY_B!$J22)-1,"")</f>
        <v>3.9418019117751113E-2</v>
      </c>
      <c r="I21" s="226">
        <f ca="1">IFERROR((Inv_SY_B!I22/Inv_SY_B!$J22)-1,"")</f>
        <v>3.5095213677081016E-2</v>
      </c>
    </row>
    <row r="22" spans="2:9">
      <c r="B22" s="224">
        <f t="shared" ca="1" si="1"/>
        <v>45824</v>
      </c>
      <c r="C22" s="226">
        <f ca="1">IFERROR((Inv_SY_B!C23/Inv_SY_B!$J23)-1,"")</f>
        <v>-4.2856189290727542E-3</v>
      </c>
      <c r="D22" s="226">
        <f ca="1">IFERROR((Inv_SY_B!D23/Inv_SY_B!$J23)-1,"")</f>
        <v>3.1251188198349045E-3</v>
      </c>
      <c r="E22" s="226">
        <f ca="1">IFERROR((Inv_SY_B!E23/Inv_SY_B!$J23)-1,"")</f>
        <v>-1.6256583135312974E-2</v>
      </c>
      <c r="F22" s="226">
        <f ca="1">IFERROR((Inv_SY_B!F23/Inv_SY_B!$J23)-1,"")</f>
        <v>-5.1251039710497048E-3</v>
      </c>
      <c r="G22" s="226">
        <f ca="1">IFERROR((Inv_SY_B!G23/Inv_SY_B!$J23)-1,"")</f>
        <v>-2.3663771252085963E-3</v>
      </c>
      <c r="H22" s="226">
        <f ca="1">IFERROR((Inv_SY_B!H23/Inv_SY_B!$J23)-1,"")</f>
        <v>1.8888929416854161E-2</v>
      </c>
      <c r="I22" s="226">
        <f ca="1">IFERROR((Inv_SY_B!I23/Inv_SY_B!$J23)-1,"")</f>
        <v>6.0196349239562963E-3</v>
      </c>
    </row>
    <row r="23" spans="2:9">
      <c r="B23" s="224">
        <f t="shared" ca="1" si="1"/>
        <v>45825</v>
      </c>
      <c r="C23" s="226">
        <f ca="1">IFERROR((Inv_SY_B!C24/Inv_SY_B!$J24)-1,"")</f>
        <v>-4.4126940977169404E-3</v>
      </c>
      <c r="D23" s="226">
        <f ca="1">IFERROR((Inv_SY_B!D24/Inv_SY_B!$J24)-1,"")</f>
        <v>2.2011717815286769E-3</v>
      </c>
      <c r="E23" s="226">
        <f ca="1">IFERROR((Inv_SY_B!E24/Inv_SY_B!$J24)-1,"")</f>
        <v>-3.4730247453148788E-2</v>
      </c>
      <c r="F23" s="226">
        <f ca="1">IFERROR((Inv_SY_B!F24/Inv_SY_B!$J24)-1,"")</f>
        <v>-2.7497735211478025E-2</v>
      </c>
      <c r="G23" s="226">
        <f ca="1">IFERROR((Inv_SY_B!G24/Inv_SY_B!$J24)-1,"")</f>
        <v>-1.033290244342211E-2</v>
      </c>
      <c r="H23" s="226">
        <f ca="1">IFERROR((Inv_SY_B!H24/Inv_SY_B!$J24)-1,"")</f>
        <v>4.3249222411815058E-2</v>
      </c>
      <c r="I23" s="226">
        <f ca="1">IFERROR((Inv_SY_B!I24/Inv_SY_B!$J24)-1,"")</f>
        <v>3.1523185012422683E-2</v>
      </c>
    </row>
    <row r="24" spans="2:9">
      <c r="B24" s="224">
        <f t="shared" ca="1" si="1"/>
        <v>45826</v>
      </c>
      <c r="C24" s="226">
        <f ca="1">IFERROR((Inv_SY_B!C25/Inv_SY_B!$J25)-1,"")</f>
        <v>-4.5586358146604278E-3</v>
      </c>
      <c r="D24" s="226">
        <f ca="1">IFERROR((Inv_SY_B!D25/Inv_SY_B!$J25)-1,"")</f>
        <v>-5.4943146040313806E-3</v>
      </c>
      <c r="E24" s="226">
        <f ca="1">IFERROR((Inv_SY_B!E25/Inv_SY_B!$J25)-1,"")</f>
        <v>-1.2153595200203204E-2</v>
      </c>
      <c r="F24" s="226">
        <f ca="1">IFERROR((Inv_SY_B!F25/Inv_SY_B!$J25)-1,"")</f>
        <v>-3.5660184405807982E-3</v>
      </c>
      <c r="G24" s="226">
        <f ca="1">IFERROR((Inv_SY_B!G25/Inv_SY_B!$J25)-1,"")</f>
        <v>9.9123235987943481E-3</v>
      </c>
      <c r="H24" s="226">
        <f ca="1">IFERROR((Inv_SY_B!H25/Inv_SY_B!$J25)-1,"")</f>
        <v>8.8327368489951041E-3</v>
      </c>
      <c r="I24" s="226">
        <f ca="1">IFERROR((Inv_SY_B!I25/Inv_SY_B!$J25)-1,"")</f>
        <v>7.0275036116858036E-3</v>
      </c>
    </row>
    <row r="25" spans="2:9">
      <c r="B25" s="224">
        <f t="shared" ca="1" si="1"/>
        <v>45827</v>
      </c>
      <c r="C25" s="226">
        <f ca="1">IFERROR((Inv_SY_B!C26/Inv_SY_B!$J26)-1,"")</f>
        <v>-9.2649529145560905E-4</v>
      </c>
      <c r="D25" s="226">
        <f ca="1">IFERROR((Inv_SY_B!D26/Inv_SY_B!$J26)-1,"")</f>
        <v>1.05752042394891E-3</v>
      </c>
      <c r="E25" s="226">
        <f ca="1">IFERROR((Inv_SY_B!E26/Inv_SY_B!$J26)-1,"")</f>
        <v>-2.6589576454045138E-2</v>
      </c>
      <c r="F25" s="226">
        <f ca="1">IFERROR((Inv_SY_B!F26/Inv_SY_B!$J26)-1,"")</f>
        <v>-2.1050131474691036E-2</v>
      </c>
      <c r="G25" s="226">
        <f ca="1">IFERROR((Inv_SY_B!G26/Inv_SY_B!$J26)-1,"")</f>
        <v>-5.29622177097544E-3</v>
      </c>
      <c r="H25" s="226">
        <f ca="1">IFERROR((Inv_SY_B!H26/Inv_SY_B!$J26)-1,"")</f>
        <v>2.953219718637734E-2</v>
      </c>
      <c r="I25" s="226">
        <f ca="1">IFERROR((Inv_SY_B!I26/Inv_SY_B!$J26)-1,"")</f>
        <v>2.3272707380840973E-2</v>
      </c>
    </row>
    <row r="26" spans="2:9">
      <c r="B26" s="224">
        <f t="shared" ca="1" si="1"/>
        <v>45828</v>
      </c>
      <c r="C26" s="226">
        <f ca="1">IFERROR((Inv_SY_B!C27/Inv_SY_B!$J27)-1,"")</f>
        <v>-7.9819579493816128E-3</v>
      </c>
      <c r="D26" s="226">
        <f ca="1">IFERROR((Inv_SY_B!D27/Inv_SY_B!$J27)-1,"")</f>
        <v>-5.1557702768798563E-3</v>
      </c>
      <c r="E26" s="226">
        <f ca="1">IFERROR((Inv_SY_B!E27/Inv_SY_B!$J27)-1,"")</f>
        <v>-2.658619990340727E-2</v>
      </c>
      <c r="F26" s="226">
        <f ca="1">IFERROR((Inv_SY_B!F27/Inv_SY_B!$J27)-1,"")</f>
        <v>-2.4359882871324179E-2</v>
      </c>
      <c r="G26" s="226">
        <f ca="1">IFERROR((Inv_SY_B!G27/Inv_SY_B!$J27)-1,"")</f>
        <v>-4.5135348847635814E-3</v>
      </c>
      <c r="H26" s="226">
        <f ca="1">IFERROR((Inv_SY_B!H27/Inv_SY_B!$J27)-1,"")</f>
        <v>3.6658209142540032E-2</v>
      </c>
      <c r="I26" s="226">
        <f ca="1">IFERROR((Inv_SY_B!I27/Inv_SY_B!$J27)-1,"")</f>
        <v>3.1939136743217356E-2</v>
      </c>
    </row>
    <row r="27" spans="2:9">
      <c r="B27" s="224">
        <f t="shared" ca="1" si="1"/>
        <v>45829</v>
      </c>
      <c r="C27" s="226">
        <f ca="1">IFERROR((Inv_SY_B!C28/Inv_SY_B!$J28)-1,"")</f>
        <v>-4.9638293997410488E-3</v>
      </c>
      <c r="D27" s="226">
        <f ca="1">IFERROR((Inv_SY_B!D28/Inv_SY_B!$J28)-1,"")</f>
        <v>-1.2229484639217914E-3</v>
      </c>
      <c r="E27" s="226">
        <f ca="1">IFERROR((Inv_SY_B!E28/Inv_SY_B!$J28)-1,"")</f>
        <v>-3.1599539873793381E-2</v>
      </c>
      <c r="F27" s="226">
        <f ca="1">IFERROR((Inv_SY_B!F28/Inv_SY_B!$J28)-1,"")</f>
        <v>-2.5019411515448731E-2</v>
      </c>
      <c r="G27" s="226">
        <f ca="1">IFERROR((Inv_SY_B!G28/Inv_SY_B!$J28)-1,"")</f>
        <v>-8.1504722371341654E-3</v>
      </c>
      <c r="H27" s="226">
        <f ca="1">IFERROR((Inv_SY_B!H28/Inv_SY_B!$J28)-1,"")</f>
        <v>3.829780624429735E-2</v>
      </c>
      <c r="I27" s="226">
        <f ca="1">IFERROR((Inv_SY_B!I28/Inv_SY_B!$J28)-1,"")</f>
        <v>3.2658395245742655E-2</v>
      </c>
    </row>
    <row r="28" spans="2:9">
      <c r="B28" s="224">
        <f t="shared" ca="1" si="1"/>
        <v>45830</v>
      </c>
      <c r="C28" s="226">
        <f ca="1">IFERROR((Inv_SY_B!C29/Inv_SY_B!$J29)-1,"")</f>
        <v>5.9169428079548503E-3</v>
      </c>
      <c r="D28" s="226">
        <f ca="1">IFERROR((Inv_SY_B!D29/Inv_SY_B!$J29)-1,"")</f>
        <v>1.5836783977178914E-3</v>
      </c>
      <c r="E28" s="226">
        <f ca="1">IFERROR((Inv_SY_B!E29/Inv_SY_B!$J29)-1,"")</f>
        <v>-2.3373422132977106E-2</v>
      </c>
      <c r="F28" s="226">
        <f ca="1">IFERROR((Inv_SY_B!F29/Inv_SY_B!$J29)-1,"")</f>
        <v>-1.8155962944847226E-2</v>
      </c>
      <c r="G28" s="226">
        <f ca="1">IFERROR((Inv_SY_B!G29/Inv_SY_B!$J29)-1,"")</f>
        <v>-1.3905143106982099E-2</v>
      </c>
      <c r="H28" s="226">
        <f ca="1">IFERROR((Inv_SY_B!H29/Inv_SY_B!$J29)-1,"")</f>
        <v>2.8071202726192901E-2</v>
      </c>
      <c r="I28" s="226">
        <f ca="1">IFERROR((Inv_SY_B!I29/Inv_SY_B!$J29)-1,"")</f>
        <v>1.9862704252940899E-2</v>
      </c>
    </row>
    <row r="29" spans="2:9">
      <c r="B29" s="224">
        <f t="shared" ca="1" si="1"/>
        <v>45831</v>
      </c>
      <c r="C29" s="226">
        <f ca="1">IFERROR((Inv_SY_B!C30/Inv_SY_B!$J30)-1,"")</f>
        <v>-3.4998831541228625E-3</v>
      </c>
      <c r="D29" s="226">
        <f ca="1">IFERROR((Inv_SY_B!D30/Inv_SY_B!$J30)-1,"")</f>
        <v>3.8019949181460344E-3</v>
      </c>
      <c r="E29" s="226">
        <f ca="1">IFERROR((Inv_SY_B!E30/Inv_SY_B!$J30)-1,"")</f>
        <v>-1.5401312375438847E-2</v>
      </c>
      <c r="F29" s="226">
        <f ca="1">IFERROR((Inv_SY_B!F30/Inv_SY_B!$J30)-1,"")</f>
        <v>-3.8063502145806449E-3</v>
      </c>
      <c r="G29" s="226">
        <f ca="1">IFERROR((Inv_SY_B!G30/Inv_SY_B!$J30)-1,"")</f>
        <v>-2.8197302204362451E-3</v>
      </c>
      <c r="H29" s="226">
        <f ca="1">IFERROR((Inv_SY_B!H30/Inv_SY_B!$J30)-1,"")</f>
        <v>1.2404566196478894E-2</v>
      </c>
      <c r="I29" s="226">
        <f ca="1">IFERROR((Inv_SY_B!I30/Inv_SY_B!$J30)-1,"")</f>
        <v>9.3207148499538928E-3</v>
      </c>
    </row>
    <row r="30" spans="2:9">
      <c r="B30" s="224">
        <f t="shared" ca="1" si="1"/>
        <v>45832</v>
      </c>
      <c r="C30" s="226">
        <f ca="1">IFERROR((Inv_SY_B!C31/Inv_SY_B!$J31)-1,"")</f>
        <v>2.6668729252765644E-3</v>
      </c>
      <c r="D30" s="226">
        <f ca="1">IFERROR((Inv_SY_B!D31/Inv_SY_B!$J31)-1,"")</f>
        <v>5.5598906501954648E-3</v>
      </c>
      <c r="E30" s="226">
        <f ca="1">IFERROR((Inv_SY_B!E31/Inv_SY_B!$J31)-1,"")</f>
        <v>-2.2406279950769825E-2</v>
      </c>
      <c r="F30" s="226">
        <f ca="1">IFERROR((Inv_SY_B!F31/Inv_SY_B!$J31)-1,"")</f>
        <v>-1.5693394574254449E-2</v>
      </c>
      <c r="G30" s="226">
        <f ca="1">IFERROR((Inv_SY_B!G31/Inv_SY_B!$J31)-1,"")</f>
        <v>-1.1345305487148405E-2</v>
      </c>
      <c r="H30" s="226">
        <f ca="1">IFERROR((Inv_SY_B!H31/Inv_SY_B!$J31)-1,"")</f>
        <v>2.5917187267591846E-2</v>
      </c>
      <c r="I30" s="226">
        <f ca="1">IFERROR((Inv_SY_B!I31/Inv_SY_B!$J31)-1,"")</f>
        <v>1.5301029169107583E-2</v>
      </c>
    </row>
    <row r="31" spans="2:9">
      <c r="B31" s="224">
        <f t="shared" ca="1" si="1"/>
        <v>45833</v>
      </c>
      <c r="C31" s="226">
        <f ca="1">IFERROR((Inv_SY_B!C32/Inv_SY_B!$J32)-1,"")</f>
        <v>-5.8463509886320653E-3</v>
      </c>
      <c r="D31" s="226">
        <f ca="1">IFERROR((Inv_SY_B!D32/Inv_SY_B!$J32)-1,"")</f>
        <v>1.6064372309743113E-3</v>
      </c>
      <c r="E31" s="226">
        <f ca="1">IFERROR((Inv_SY_B!E32/Inv_SY_B!$J32)-1,"")</f>
        <v>-1.2002454754518999E-2</v>
      </c>
      <c r="F31" s="226">
        <f ca="1">IFERROR((Inv_SY_B!F32/Inv_SY_B!$J32)-1,"")</f>
        <v>5.1802551478719039E-4</v>
      </c>
      <c r="G31" s="226">
        <f ca="1">IFERROR((Inv_SY_B!G32/Inv_SY_B!$J32)-1,"")</f>
        <v>1.2042556962836848E-3</v>
      </c>
      <c r="H31" s="226">
        <f ca="1">IFERROR((Inv_SY_B!H32/Inv_SY_B!$J32)-1,"")</f>
        <v>9.7120770693712721E-3</v>
      </c>
      <c r="I31" s="226">
        <f ca="1">IFERROR((Inv_SY_B!I32/Inv_SY_B!$J32)-1,"")</f>
        <v>4.8080102317342721E-3</v>
      </c>
    </row>
    <row r="32" spans="2:9">
      <c r="B32" s="224">
        <f t="shared" ca="1" si="1"/>
        <v>45834</v>
      </c>
      <c r="C32" s="226">
        <f ca="1">IFERROR((Inv_SY_B!C33/Inv_SY_B!$J33)-1,"")</f>
        <v>0.17923014436997597</v>
      </c>
      <c r="D32" s="226">
        <f ca="1">IFERROR((Inv_SY_B!D33/Inv_SY_B!$J33)-1,"")</f>
        <v>0.19792668078141729</v>
      </c>
      <c r="E32" s="226">
        <f ca="1">IFERROR((Inv_SY_B!E33/Inv_SY_B!$J33)-1,"")</f>
        <v>0.16694762739767754</v>
      </c>
      <c r="F32" s="226">
        <f ca="1">IFERROR((Inv_SY_B!F33/Inv_SY_B!$J33)-1,"")</f>
        <v>0.19028558137276752</v>
      </c>
      <c r="G32" s="226">
        <f ca="1">IFERROR((Inv_SY_B!G33/Inv_SY_B!$J33)-1,"")</f>
        <v>-0.63608275998328789</v>
      </c>
      <c r="H32" s="226">
        <f ca="1">IFERROR((Inv_SY_B!H33/Inv_SY_B!$J33)-1,"")</f>
        <v>-0.31286374547124729</v>
      </c>
      <c r="I32" s="226">
        <f ca="1">IFERROR((Inv_SY_B!I33/Inv_SY_B!$J33)-1,"")</f>
        <v>0.21455647153269708</v>
      </c>
    </row>
    <row r="33" spans="2:9">
      <c r="B33" s="224">
        <f t="shared" ca="1" si="1"/>
        <v>45835</v>
      </c>
      <c r="C33" s="226">
        <f ca="1">IFERROR((Inv_SY_B!C34/Inv_SY_B!$J34)-1,"")</f>
        <v>5.8773730862229367E-3</v>
      </c>
      <c r="D33" s="226">
        <f ca="1">IFERROR((Inv_SY_B!D34/Inv_SY_B!$J34)-1,"")</f>
        <v>1.1172720593363605E-2</v>
      </c>
      <c r="E33" s="226">
        <f ca="1">IFERROR((Inv_SY_B!E34/Inv_SY_B!$J34)-1,"")</f>
        <v>-2.1471689861324861E-2</v>
      </c>
      <c r="F33" s="226">
        <f ca="1">IFERROR((Inv_SY_B!F34/Inv_SY_B!$J34)-1,"")</f>
        <v>2.4308546786395713E-3</v>
      </c>
      <c r="G33" s="226">
        <f ca="1">IFERROR((Inv_SY_B!G34/Inv_SY_B!$J34)-1,"")</f>
        <v>-2.1353795883985005E-2</v>
      </c>
      <c r="H33" s="226">
        <f ca="1">IFERROR((Inv_SY_B!H34/Inv_SY_B!$J34)-1,"")</f>
        <v>1.3097392029354227E-2</v>
      </c>
      <c r="I33" s="226">
        <f ca="1">IFERROR((Inv_SY_B!I34/Inv_SY_B!$J34)-1,"")</f>
        <v>1.0247145357729082E-2</v>
      </c>
    </row>
    <row r="34" spans="2:9">
      <c r="B34" s="224">
        <f t="shared" ca="1" si="1"/>
        <v>45836</v>
      </c>
      <c r="C34" s="226">
        <f ca="1">IFERROR((Inv_SY_B!C35/Inv_SY_B!$J35)-1,"")</f>
        <v>-2.156127887315229E-3</v>
      </c>
      <c r="D34" s="226">
        <f ca="1">IFERROR((Inv_SY_B!D35/Inv_SY_B!$J35)-1,"")</f>
        <v>4.8396706845443838E-4</v>
      </c>
      <c r="E34" s="226">
        <f ca="1">IFERROR((Inv_SY_B!E35/Inv_SY_B!$J35)-1,"")</f>
        <v>-2.7906097281749531E-2</v>
      </c>
      <c r="F34" s="226">
        <f ca="1">IFERROR((Inv_SY_B!F35/Inv_SY_B!$J35)-1,"")</f>
        <v>-1.7111898975373574E-2</v>
      </c>
      <c r="G34" s="226">
        <f ca="1">IFERROR((Inv_SY_B!G35/Inv_SY_B!$J35)-1,"")</f>
        <v>-8.2446377273649452E-3</v>
      </c>
      <c r="H34" s="226">
        <f ca="1">IFERROR((Inv_SY_B!H35/Inv_SY_B!$J35)-1,"")</f>
        <v>3.0483451711260212E-2</v>
      </c>
      <c r="I34" s="226">
        <f ca="1">IFERROR((Inv_SY_B!I35/Inv_SY_B!$J35)-1,"")</f>
        <v>2.4451343092090072E-2</v>
      </c>
    </row>
    <row r="35" spans="2:9">
      <c r="B35" s="224">
        <f t="shared" ca="1" si="1"/>
        <v>45837</v>
      </c>
      <c r="C35" s="226">
        <f ca="1">IFERROR((Inv_SY_B!C36/Inv_SY_B!$J36)-1,"")</f>
        <v>1.4046058891645563E-2</v>
      </c>
      <c r="D35" s="226">
        <f ca="1">IFERROR((Inv_SY_B!D36/Inv_SY_B!$J36)-1,"")</f>
        <v>1.7201200075847467E-2</v>
      </c>
      <c r="E35" s="226">
        <f ca="1">IFERROR((Inv_SY_B!E36/Inv_SY_B!$J36)-1,"")</f>
        <v>-5.2059574023899158E-2</v>
      </c>
      <c r="F35" s="226">
        <f ca="1">IFERROR((Inv_SY_B!F36/Inv_SY_B!$J36)-1,"")</f>
        <v>-4.5783649396287096E-2</v>
      </c>
      <c r="G35" s="226">
        <f ca="1">IFERROR((Inv_SY_B!G36/Inv_SY_B!$J36)-1,"")</f>
        <v>-2.9770897708051192E-2</v>
      </c>
      <c r="H35" s="226">
        <f ca="1">IFERROR((Inv_SY_B!H36/Inv_SY_B!$J36)-1,"")</f>
        <v>6.5219590946149486E-2</v>
      </c>
      <c r="I35" s="226">
        <f ca="1">IFERROR((Inv_SY_B!I36/Inv_SY_B!$J36)-1,"")</f>
        <v>3.1147271214594818E-2</v>
      </c>
    </row>
    <row r="36" spans="2:9">
      <c r="B36" s="224">
        <f t="shared" ca="1" si="1"/>
        <v>45838</v>
      </c>
      <c r="C36" s="226">
        <f ca="1">IFERROR((Inv_SY_B!C37/Inv_SY_B!$J37)-1,"")</f>
        <v>-1.909362071969567E-3</v>
      </c>
      <c r="D36" s="226">
        <f ca="1">IFERROR((Inv_SY_B!D37/Inv_SY_B!$J37)-1,"")</f>
        <v>2.8432790723020851E-3</v>
      </c>
      <c r="E36" s="226">
        <f ca="1">IFERROR((Inv_SY_B!E37/Inv_SY_B!$J37)-1,"")</f>
        <v>-9.3885852987093399E-3</v>
      </c>
      <c r="F36" s="226">
        <f ca="1">IFERROR((Inv_SY_B!F37/Inv_SY_B!$J37)-1,"")</f>
        <v>9.7145471573578668E-4</v>
      </c>
      <c r="G36" s="226">
        <f ca="1">IFERROR((Inv_SY_B!G37/Inv_SY_B!$J37)-1,"")</f>
        <v>1.0513193934991172E-4</v>
      </c>
      <c r="H36" s="226">
        <f ca="1">IFERROR((Inv_SY_B!H37/Inv_SY_B!$J37)-1,"")</f>
        <v>1.0527420240232122E-2</v>
      </c>
      <c r="I36" s="226">
        <f ca="1">IFERROR((Inv_SY_B!I37/Inv_SY_B!$J37)-1,"")</f>
        <v>-3.1493385969405541E-3</v>
      </c>
    </row>
    <row r="37" spans="2:9">
      <c r="B37" s="224">
        <f t="shared" ca="1" si="1"/>
        <v>45839</v>
      </c>
      <c r="C37" s="226">
        <f ca="1">IFERROR((Inv_SY_B!C38/Inv_SY_B!$J38)-1,"")</f>
        <v>-2.0930300214720976E-3</v>
      </c>
      <c r="D37" s="226">
        <f ca="1">IFERROR((Inv_SY_B!D38/Inv_SY_B!$J38)-1,"")</f>
        <v>8.6726142111648308E-3</v>
      </c>
      <c r="E37" s="226">
        <f ca="1">IFERROR((Inv_SY_B!E38/Inv_SY_B!$J38)-1,"")</f>
        <v>-1.576897670495736E-2</v>
      </c>
      <c r="F37" s="226">
        <f ca="1">IFERROR((Inv_SY_B!F38/Inv_SY_B!$J38)-1,"")</f>
        <v>-2.2337152231864943E-3</v>
      </c>
      <c r="G37" s="226">
        <f ca="1">IFERROR((Inv_SY_B!G38/Inv_SY_B!$J38)-1,"")</f>
        <v>1.7031191837794335E-2</v>
      </c>
      <c r="H37" s="226">
        <f ca="1">IFERROR((Inv_SY_B!H38/Inv_SY_B!$J38)-1,"")</f>
        <v>4.428623168779966E-2</v>
      </c>
      <c r="I37" s="226">
        <f ca="1">IFERROR((Inv_SY_B!I38/Inv_SY_B!$J38)-1,"")</f>
        <v>-4.9894315787143095E-2</v>
      </c>
    </row>
    <row r="38" spans="2:9">
      <c r="B38" s="224">
        <f t="shared" ca="1" si="1"/>
        <v>45840</v>
      </c>
      <c r="C38" s="226">
        <f ca="1">IFERROR((Inv_SY_B!C39/Inv_SY_B!$J39)-1,"")</f>
        <v>1.1767401927265775E-2</v>
      </c>
      <c r="D38" s="226">
        <f ca="1">IFERROR((Inv_SY_B!D39/Inv_SY_B!$J39)-1,"")</f>
        <v>1.4581649705879274E-2</v>
      </c>
      <c r="E38" s="226">
        <f ca="1">IFERROR((Inv_SY_B!E39/Inv_SY_B!$J39)-1,"")</f>
        <v>-3.7493166215526119E-2</v>
      </c>
      <c r="F38" s="226">
        <f ca="1">IFERROR((Inv_SY_B!F39/Inv_SY_B!$J39)-1,"")</f>
        <v>-2.809870505718115E-2</v>
      </c>
      <c r="G38" s="226">
        <f ca="1">IFERROR((Inv_SY_B!G39/Inv_SY_B!$J39)-1,"")</f>
        <v>5.8862691998089467E-3</v>
      </c>
      <c r="H38" s="226">
        <f ca="1">IFERROR((Inv_SY_B!H39/Inv_SY_B!$J39)-1,"")</f>
        <v>2.3975762587119531E-2</v>
      </c>
      <c r="I38" s="226">
        <f ca="1">IFERROR((Inv_SY_B!I39/Inv_SY_B!$J39)-1,"")</f>
        <v>9.3807878526335209E-3</v>
      </c>
    </row>
    <row r="39" spans="2:9">
      <c r="B39" s="224">
        <f t="shared" ca="1" si="1"/>
        <v>45841</v>
      </c>
      <c r="C39" s="226">
        <f ca="1">IFERROR((Inv_SY_B!C40/Inv_SY_B!$J40)-1,"")</f>
        <v>6.4092610467545441E-3</v>
      </c>
      <c r="D39" s="226">
        <f ca="1">IFERROR((Inv_SY_B!D40/Inv_SY_B!$J40)-1,"")</f>
        <v>6.5585470890074937E-3</v>
      </c>
      <c r="E39" s="226">
        <f ca="1">IFERROR((Inv_SY_B!E40/Inv_SY_B!$J40)-1,"")</f>
        <v>-1.4015149122226789E-2</v>
      </c>
      <c r="F39" s="226">
        <f ca="1">IFERROR((Inv_SY_B!F40/Inv_SY_B!$J40)-1,"")</f>
        <v>-7.6841962730740399E-3</v>
      </c>
      <c r="G39" s="226">
        <f ca="1">IFERROR((Inv_SY_B!G40/Inv_SY_B!$J40)-1,"")</f>
        <v>-5.7321485283985396E-3</v>
      </c>
      <c r="H39" s="226">
        <f ca="1">IFERROR((Inv_SY_B!H40/Inv_SY_B!$J40)-1,"")</f>
        <v>1.6762913833296977E-2</v>
      </c>
      <c r="I39" s="226">
        <f ca="1">IFERROR((Inv_SY_B!I40/Inv_SY_B!$J40)-1,"")</f>
        <v>-2.2992280453594249E-3</v>
      </c>
    </row>
    <row r="40" spans="2:9">
      <c r="B40" s="224">
        <f t="shared" ca="1" si="1"/>
        <v>45842</v>
      </c>
      <c r="C40" s="226">
        <f ca="1">IFERROR((Inv_SY_B!C41/Inv_SY_B!$J41)-1,"")</f>
        <v>-3.4299261436967488E-3</v>
      </c>
      <c r="D40" s="226">
        <f ca="1">IFERROR((Inv_SY_B!D41/Inv_SY_B!$J41)-1,"")</f>
        <v>3.8851271940461007E-3</v>
      </c>
      <c r="E40" s="226">
        <f ca="1">IFERROR((Inv_SY_B!E41/Inv_SY_B!$J41)-1,"")</f>
        <v>-1.1621145682777723E-2</v>
      </c>
      <c r="F40" s="226">
        <f ca="1">IFERROR((Inv_SY_B!F41/Inv_SY_B!$J41)-1,"")</f>
        <v>2.2938026520979982E-4</v>
      </c>
      <c r="G40" s="226">
        <f ca="1">IFERROR((Inv_SY_B!G41/Inv_SY_B!$J41)-1,"")</f>
        <v>8.3608905571743719E-3</v>
      </c>
      <c r="H40" s="226">
        <f ca="1">IFERROR((Inv_SY_B!H41/Inv_SY_B!$J41)-1,"")</f>
        <v>7.6144994984592707E-3</v>
      </c>
      <c r="I40" s="226">
        <f ca="1">IFERROR((Inv_SY_B!I41/Inv_SY_B!$J41)-1,"")</f>
        <v>-5.0388256884159599E-3</v>
      </c>
    </row>
    <row r="41" spans="2:9">
      <c r="B41" s="224">
        <f t="shared" ca="1" si="1"/>
        <v>45843</v>
      </c>
      <c r="C41" s="226">
        <f ca="1">IFERROR((Inv_SY_B!C42/Inv_SY_B!$J42)-1,"")</f>
        <v>2.8625952378376063E-3</v>
      </c>
      <c r="D41" s="226">
        <f ca="1">IFERROR((Inv_SY_B!D42/Inv_SY_B!$J42)-1,"")</f>
        <v>6.888021307415837E-3</v>
      </c>
      <c r="E41" s="226">
        <f ca="1">IFERROR((Inv_SY_B!E42/Inv_SY_B!$J42)-1,"")</f>
        <v>-5.5022390523123965E-3</v>
      </c>
      <c r="F41" s="226">
        <f ca="1">IFERROR((Inv_SY_B!F42/Inv_SY_B!$J42)-1,"")</f>
        <v>1.2870901849879601E-3</v>
      </c>
      <c r="G41" s="226">
        <f ca="1">IFERROR((Inv_SY_B!G42/Inv_SY_B!$J42)-1,"")</f>
        <v>-1.4158195031719334E-3</v>
      </c>
      <c r="H41" s="226">
        <f ca="1">IFERROR((Inv_SY_B!H42/Inv_SY_B!$J42)-1,"")</f>
        <v>7.411976659032371E-3</v>
      </c>
      <c r="I41" s="226">
        <f ca="1">IFERROR((Inv_SY_B!I42/Inv_SY_B!$J42)-1,"")</f>
        <v>-1.1531624833790222E-2</v>
      </c>
    </row>
    <row r="42" spans="2:9">
      <c r="B42" s="224">
        <f t="shared" ca="1" si="1"/>
        <v>45844</v>
      </c>
      <c r="C42" s="226">
        <f ca="1">IFERROR((Inv_SY_B!C43/Inv_SY_B!$J43)-1,"")</f>
        <v>1.4936374733286462E-2</v>
      </c>
      <c r="D42" s="226">
        <f ca="1">IFERROR((Inv_SY_B!D43/Inv_SY_B!$J43)-1,"")</f>
        <v>1.9758404626116555E-2</v>
      </c>
      <c r="E42" s="226">
        <f ca="1">IFERROR((Inv_SY_B!E43/Inv_SY_B!$J43)-1,"")</f>
        <v>9.1818421355769342E-3</v>
      </c>
      <c r="F42" s="226">
        <f ca="1">IFERROR((Inv_SY_B!F43/Inv_SY_B!$J43)-1,"")</f>
        <v>-2.5905794273823668E-2</v>
      </c>
      <c r="G42" s="226">
        <f ca="1">IFERROR((Inv_SY_B!G43/Inv_SY_B!$J43)-1,"")</f>
        <v>-1.8983496127902066E-2</v>
      </c>
      <c r="H42" s="226">
        <f ca="1">IFERROR((Inv_SY_B!H43/Inv_SY_B!$J43)-1,"")</f>
        <v>1.7597439944659898E-2</v>
      </c>
      <c r="I42" s="226">
        <f ca="1">IFERROR((Inv_SY_B!I43/Inv_SY_B!$J43)-1,"")</f>
        <v>-1.6584771037913781E-2</v>
      </c>
    </row>
    <row r="43" spans="2:9">
      <c r="B43" s="224">
        <f t="shared" ca="1" si="1"/>
        <v>45845</v>
      </c>
      <c r="C43" s="226">
        <f ca="1">IFERROR((Inv_SY_B!C44/Inv_SY_B!$J44)-1,"")</f>
        <v>-1.3103455899723393E-3</v>
      </c>
      <c r="D43" s="226">
        <f ca="1">IFERROR((Inv_SY_B!D44/Inv_SY_B!$J44)-1,"")</f>
        <v>8.5043562494153679E-3</v>
      </c>
      <c r="E43" s="226">
        <f ca="1">IFERROR((Inv_SY_B!E44/Inv_SY_B!$J44)-1,"")</f>
        <v>-1.5076749754872165E-2</v>
      </c>
      <c r="F43" s="226">
        <f ca="1">IFERROR((Inv_SY_B!F44/Inv_SY_B!$J44)-1,"")</f>
        <v>-3.8296430300942541E-3</v>
      </c>
      <c r="G43" s="226">
        <f ca="1">IFERROR((Inv_SY_B!G44/Inv_SY_B!$J44)-1,"")</f>
        <v>-5.4862903763308601E-4</v>
      </c>
      <c r="H43" s="226">
        <f ca="1">IFERROR((Inv_SY_B!H44/Inv_SY_B!$J44)-1,"")</f>
        <v>1.2558191884035397E-2</v>
      </c>
      <c r="I43" s="226">
        <f ca="1">IFERROR((Inv_SY_B!I44/Inv_SY_B!$J44)-1,"")</f>
        <v>-2.9718072087858705E-4</v>
      </c>
    </row>
    <row r="44" spans="2:9">
      <c r="B44" s="224">
        <f t="shared" ca="1" si="1"/>
        <v>45846</v>
      </c>
      <c r="C44" s="226">
        <f ca="1">IFERROR((Inv_SY_B!C45/Inv_SY_B!$J45)-1,"")</f>
        <v>-9.5355182834083729E-3</v>
      </c>
      <c r="D44" s="226">
        <f ca="1">IFERROR((Inv_SY_B!D45/Inv_SY_B!$J45)-1,"")</f>
        <v>1.2446780511308209E-3</v>
      </c>
      <c r="E44" s="226">
        <f ca="1">IFERROR((Inv_SY_B!E45/Inv_SY_B!$J45)-1,"")</f>
        <v>-1.0613498573788793E-2</v>
      </c>
      <c r="F44" s="226">
        <f ca="1">IFERROR((Inv_SY_B!F45/Inv_SY_B!$J45)-1,"")</f>
        <v>2.2563565348039383E-3</v>
      </c>
      <c r="G44" s="226">
        <f ca="1">IFERROR((Inv_SY_B!G45/Inv_SY_B!$J45)-1,"")</f>
        <v>7.1039532341241607E-3</v>
      </c>
      <c r="H44" s="226">
        <f ca="1">IFERROR((Inv_SY_B!H45/Inv_SY_B!$J45)-1,"")</f>
        <v>1.1089640794873068E-2</v>
      </c>
      <c r="I44" s="226">
        <f ca="1">IFERROR((Inv_SY_B!I45/Inv_SY_B!$J45)-1,"")</f>
        <v>-1.5456117577358208E-3</v>
      </c>
    </row>
    <row r="45" spans="2:9">
      <c r="B45" s="224">
        <f t="shared" ca="1" si="1"/>
        <v>45847</v>
      </c>
      <c r="C45" s="226">
        <f ca="1">IFERROR((Inv_SY_B!C46/Inv_SY_B!$J46)-1,"")</f>
        <v>-3.4974434151203715E-3</v>
      </c>
      <c r="D45" s="226">
        <f ca="1">IFERROR((Inv_SY_B!D46/Inv_SY_B!$J46)-1,"")</f>
        <v>4.7289973846460498E-3</v>
      </c>
      <c r="E45" s="226">
        <f ca="1">IFERROR((Inv_SY_B!E46/Inv_SY_B!$J46)-1,"")</f>
        <v>-1.1361807237544097E-2</v>
      </c>
      <c r="F45" s="226">
        <f ca="1">IFERROR((Inv_SY_B!F46/Inv_SY_B!$J46)-1,"")</f>
        <v>-1.1201876767835683E-3</v>
      </c>
      <c r="G45" s="226">
        <f ca="1">IFERROR((Inv_SY_B!G46/Inv_SY_B!$J46)-1,"")</f>
        <v>-6.6378738000427706E-4</v>
      </c>
      <c r="H45" s="226">
        <f ca="1">IFERROR((Inv_SY_B!H46/Inv_SY_B!$J46)-1,"")</f>
        <v>8.8274401264230029E-3</v>
      </c>
      <c r="I45" s="226">
        <f ca="1">IFERROR((Inv_SY_B!I46/Inv_SY_B!$J46)-1,"")</f>
        <v>3.0867881983833723E-3</v>
      </c>
    </row>
    <row r="46" spans="2:9">
      <c r="B46" s="224">
        <f t="shared" ca="1" si="1"/>
        <v>45848</v>
      </c>
      <c r="C46" s="226">
        <f ca="1">IFERROR((Inv_SY_B!C47/Inv_SY_B!$J47)-1,"")</f>
        <v>-8.0293700499324272E-3</v>
      </c>
      <c r="D46" s="226">
        <f ca="1">IFERROR((Inv_SY_B!D47/Inv_SY_B!$J47)-1,"")</f>
        <v>-6.8182492430135522E-4</v>
      </c>
      <c r="E46" s="226">
        <f ca="1">IFERROR((Inv_SY_B!E47/Inv_SY_B!$J47)-1,"")</f>
        <v>-1.0181222640636811E-2</v>
      </c>
      <c r="F46" s="226">
        <f ca="1">IFERROR((Inv_SY_B!F47/Inv_SY_B!$J47)-1,"")</f>
        <v>-1.4737840504944755E-3</v>
      </c>
      <c r="G46" s="226">
        <f ca="1">IFERROR((Inv_SY_B!G47/Inv_SY_B!$J47)-1,"")</f>
        <v>-6.8895545048930362E-4</v>
      </c>
      <c r="H46" s="226">
        <f ca="1">IFERROR((Inv_SY_B!H47/Inv_SY_B!$J47)-1,"")</f>
        <v>1.4695816627886771E-2</v>
      </c>
      <c r="I46" s="226">
        <f ca="1">IFERROR((Inv_SY_B!I47/Inv_SY_B!$J47)-1,"")</f>
        <v>6.3593404879667137E-3</v>
      </c>
    </row>
    <row r="47" spans="2:9">
      <c r="B47" s="224">
        <f t="shared" ca="1" si="1"/>
        <v>45849</v>
      </c>
      <c r="C47" s="226">
        <f ca="1">IFERROR((Inv_SY_B!C48/Inv_SY_B!$J48)-1,"")</f>
        <v>-3.1565714354298002E-3</v>
      </c>
      <c r="D47" s="226">
        <f ca="1">IFERROR((Inv_SY_B!D48/Inv_SY_B!$J48)-1,"")</f>
        <v>1.5885905319723559E-3</v>
      </c>
      <c r="E47" s="226">
        <f ca="1">IFERROR((Inv_SY_B!E48/Inv_SY_B!$J48)-1,"")</f>
        <v>-2.1516033330426843E-2</v>
      </c>
      <c r="F47" s="226">
        <f ca="1">IFERROR((Inv_SY_B!F48/Inv_SY_B!$J48)-1,"")</f>
        <v>-1.5038445685489954E-2</v>
      </c>
      <c r="G47" s="226">
        <f ca="1">IFERROR((Inv_SY_B!G48/Inv_SY_B!$J48)-1,"")</f>
        <v>-1.5932907785791706E-3</v>
      </c>
      <c r="H47" s="226">
        <f ca="1">IFERROR((Inv_SY_B!H48/Inv_SY_B!$J48)-1,"")</f>
        <v>2.3059861876350896E-2</v>
      </c>
      <c r="I47" s="226">
        <f ca="1">IFERROR((Inv_SY_B!I48/Inv_SY_B!$J48)-1,"")</f>
        <v>1.6655888821602183E-2</v>
      </c>
    </row>
    <row r="48" spans="2:9">
      <c r="B48" s="224">
        <f t="shared" ca="1" si="1"/>
        <v>45850</v>
      </c>
      <c r="C48" s="226">
        <f ca="1">IFERROR((Inv_SY_B!C49/Inv_SY_B!$J49)-1,"")</f>
        <v>1.6067910049494927E-2</v>
      </c>
      <c r="D48" s="226">
        <f ca="1">IFERROR((Inv_SY_B!D49/Inv_SY_B!$J49)-1,"")</f>
        <v>1.8146216719659769E-2</v>
      </c>
      <c r="E48" s="226">
        <f ca="1">IFERROR((Inv_SY_B!E49/Inv_SY_B!$J49)-1,"")</f>
        <v>-9.4245635950702678E-3</v>
      </c>
      <c r="F48" s="226">
        <f ca="1">IFERROR((Inv_SY_B!F49/Inv_SY_B!$J49)-1,"")</f>
        <v>-4.3672453768477393E-3</v>
      </c>
      <c r="G48" s="226">
        <f ca="1">IFERROR((Inv_SY_B!G49/Inv_SY_B!$J49)-1,"")</f>
        <v>1.4806383082915708E-2</v>
      </c>
      <c r="H48" s="226">
        <f ca="1">IFERROR((Inv_SY_B!H49/Inv_SY_B!$J49)-1,"")</f>
        <v>-1.2024054114597948E-2</v>
      </c>
      <c r="I48" s="226">
        <f ca="1">IFERROR((Inv_SY_B!I49/Inv_SY_B!$J49)-1,"")</f>
        <v>-2.3204646765554671E-2</v>
      </c>
    </row>
    <row r="49" spans="2:9">
      <c r="B49" s="224">
        <f t="shared" ca="1" si="1"/>
        <v>45851</v>
      </c>
      <c r="C49" s="226">
        <f ca="1">IFERROR((Inv_SY_B!C50/Inv_SY_B!$J50)-1,"")</f>
        <v>-1.4046412772217298E-3</v>
      </c>
      <c r="D49" s="226">
        <f ca="1">IFERROR((Inv_SY_B!D50/Inv_SY_B!$J50)-1,"")</f>
        <v>4.8936893168300966E-3</v>
      </c>
      <c r="E49" s="226">
        <f ca="1">IFERROR((Inv_SY_B!E50/Inv_SY_B!$J50)-1,"")</f>
        <v>-9.7965037159450929E-3</v>
      </c>
      <c r="F49" s="226">
        <f ca="1">IFERROR((Inv_SY_B!F50/Inv_SY_B!$J50)-1,"")</f>
        <v>-4.203921018073431E-3</v>
      </c>
      <c r="G49" s="226">
        <f ca="1">IFERROR((Inv_SY_B!G50/Inv_SY_B!$J50)-1,"")</f>
        <v>-1.8996581083609021E-3</v>
      </c>
      <c r="H49" s="226">
        <f ca="1">IFERROR((Inv_SY_B!H50/Inv_SY_B!$J50)-1,"")</f>
        <v>1.0540908943563965E-2</v>
      </c>
      <c r="I49" s="226">
        <f ca="1">IFERROR((Inv_SY_B!I50/Inv_SY_B!$J50)-1,"")</f>
        <v>1.8701258592062064E-3</v>
      </c>
    </row>
    <row r="50" spans="2:9">
      <c r="B50" s="224">
        <f t="shared" ca="1" si="1"/>
        <v>45852</v>
      </c>
      <c r="C50" s="226">
        <f ca="1">IFERROR((Inv_SY_B!C51/Inv_SY_B!$J51)-1,"")</f>
        <v>-2.7529412587437019E-3</v>
      </c>
      <c r="D50" s="226">
        <f ca="1">IFERROR((Inv_SY_B!D51/Inv_SY_B!$J51)-1,"")</f>
        <v>6.8195457563400286E-3</v>
      </c>
      <c r="E50" s="226">
        <f ca="1">IFERROR((Inv_SY_B!E51/Inv_SY_B!$J51)-1,"")</f>
        <v>-2.9753279031343616E-2</v>
      </c>
      <c r="F50" s="226">
        <f ca="1">IFERROR((Inv_SY_B!F51/Inv_SY_B!$J51)-1,"")</f>
        <v>-1.9304516689993112E-2</v>
      </c>
      <c r="G50" s="226">
        <f ca="1">IFERROR((Inv_SY_B!G51/Inv_SY_B!$J51)-1,"")</f>
        <v>-3.7293110501807059E-3</v>
      </c>
      <c r="H50" s="226">
        <f ca="1">IFERROR((Inv_SY_B!H51/Inv_SY_B!$J51)-1,"")</f>
        <v>2.646127521746422E-2</v>
      </c>
      <c r="I50" s="226">
        <f ca="1">IFERROR((Inv_SY_B!I51/Inv_SY_B!$J51)-1,"")</f>
        <v>2.225922705645722E-2</v>
      </c>
    </row>
    <row r="51" spans="2:9">
      <c r="B51" s="224">
        <f t="shared" ca="1" si="1"/>
        <v>45853</v>
      </c>
      <c r="C51" s="226">
        <f ca="1">IFERROR((Inv_SY_B!C52/Inv_SY_B!$J52)-1,"")</f>
        <v>4.8529065061158061E-3</v>
      </c>
      <c r="D51" s="226">
        <f ca="1">IFERROR((Inv_SY_B!D52/Inv_SY_B!$J52)-1,"")</f>
        <v>-3.0140853439690751E-3</v>
      </c>
      <c r="E51" s="226">
        <f ca="1">IFERROR((Inv_SY_B!E52/Inv_SY_B!$J52)-1,"")</f>
        <v>-2.1949627010652506E-2</v>
      </c>
      <c r="F51" s="226">
        <f ca="1">IFERROR((Inv_SY_B!F52/Inv_SY_B!$J52)-1,"")</f>
        <v>-1.5493511012236616E-2</v>
      </c>
      <c r="G51" s="226">
        <f ca="1">IFERROR((Inv_SY_B!G52/Inv_SY_B!$J52)-1,"")</f>
        <v>-7.9426020648450946E-3</v>
      </c>
      <c r="H51" s="226">
        <f ca="1">IFERROR((Inv_SY_B!H52/Inv_SY_B!$J52)-1,"")</f>
        <v>2.7645875517142482E-2</v>
      </c>
      <c r="I51" s="226">
        <f ca="1">IFERROR((Inv_SY_B!I52/Inv_SY_B!$J52)-1,"")</f>
        <v>1.590104340844456E-2</v>
      </c>
    </row>
    <row r="52" spans="2:9">
      <c r="B52" s="224">
        <f t="shared" ca="1" si="1"/>
        <v>45854</v>
      </c>
      <c r="C52" s="226">
        <f ca="1">IFERROR((Inv_SY_B!C53/Inv_SY_B!$J53)-1,"")</f>
        <v>-1.7665526642208884E-2</v>
      </c>
      <c r="D52" s="226">
        <f ca="1">IFERROR((Inv_SY_B!D53/Inv_SY_B!$J53)-1,"")</f>
        <v>1.5452678400924569E-3</v>
      </c>
      <c r="E52" s="226">
        <f ca="1">IFERROR((Inv_SY_B!E53/Inv_SY_B!$J53)-1,"")</f>
        <v>-5.0049913513733335E-2</v>
      </c>
      <c r="F52" s="226">
        <f ca="1">IFERROR((Inv_SY_B!F53/Inv_SY_B!$J53)-1,"")</f>
        <v>-2.6213794040685134E-2</v>
      </c>
      <c r="G52" s="226">
        <f ca="1">IFERROR((Inv_SY_B!G53/Inv_SY_B!$J53)-1,"")</f>
        <v>5.7849169324073468E-3</v>
      </c>
      <c r="H52" s="226">
        <f ca="1">IFERROR((Inv_SY_B!H53/Inv_SY_B!$J53)-1,"")</f>
        <v>4.4344627708139184E-2</v>
      </c>
      <c r="I52" s="226">
        <f ca="1">IFERROR((Inv_SY_B!I53/Inv_SY_B!$J53)-1,"")</f>
        <v>4.2254421715990143E-2</v>
      </c>
    </row>
    <row r="53" spans="2:9">
      <c r="B53" s="224">
        <f t="shared" ca="1" si="1"/>
        <v>45855</v>
      </c>
      <c r="C53" s="226">
        <f ca="1">IFERROR((Inv_SY_B!C54/Inv_SY_B!$J54)-1,"")</f>
        <v>-1.1509962017753783E-2</v>
      </c>
      <c r="D53" s="226">
        <f ca="1">IFERROR((Inv_SY_B!D54/Inv_SY_B!$J54)-1,"")</f>
        <v>-3.9825959081011275E-3</v>
      </c>
      <c r="E53" s="226">
        <f ca="1">IFERROR((Inv_SY_B!E54/Inv_SY_B!$J54)-1,"")</f>
        <v>-1.3139654388499178E-2</v>
      </c>
      <c r="F53" s="226">
        <f ca="1">IFERROR((Inv_SY_B!F54/Inv_SY_B!$J54)-1,"")</f>
        <v>9.5435752639105864E-4</v>
      </c>
      <c r="G53" s="226">
        <f ca="1">IFERROR((Inv_SY_B!G54/Inv_SY_B!$J54)-1,"")</f>
        <v>1.0327639200797156E-2</v>
      </c>
      <c r="H53" s="226">
        <f ca="1">IFERROR((Inv_SY_B!H54/Inv_SY_B!$J54)-1,"")</f>
        <v>9.9297813327725581E-3</v>
      </c>
      <c r="I53" s="226">
        <f ca="1">IFERROR((Inv_SY_B!I54/Inv_SY_B!$J54)-1,"")</f>
        <v>7.4204342543930935E-3</v>
      </c>
    </row>
    <row r="54" spans="2:9">
      <c r="B54" s="224">
        <f t="shared" ca="1" si="1"/>
        <v>45856</v>
      </c>
      <c r="C54" s="226">
        <f ca="1">IFERROR((Inv_SY_B!C55/Inv_SY_B!$J55)-1,"")</f>
        <v>-5.5165142924551436E-3</v>
      </c>
      <c r="D54" s="226">
        <f ca="1">IFERROR((Inv_SY_B!D55/Inv_SY_B!$J55)-1,"")</f>
        <v>6.3365674105122505E-3</v>
      </c>
      <c r="E54" s="226">
        <f ca="1">IFERROR((Inv_SY_B!E55/Inv_SY_B!$J55)-1,"")</f>
        <v>-1.3767684288417126E-2</v>
      </c>
      <c r="F54" s="226">
        <f ca="1">IFERROR((Inv_SY_B!F55/Inv_SY_B!$J55)-1,"")</f>
        <v>-1.6347461486793113E-3</v>
      </c>
      <c r="G54" s="226">
        <f ca="1">IFERROR((Inv_SY_B!G55/Inv_SY_B!$J55)-1,"")</f>
        <v>4.441918148795132E-3</v>
      </c>
      <c r="H54" s="226">
        <f ca="1">IFERROR((Inv_SY_B!H55/Inv_SY_B!$J55)-1,"")</f>
        <v>7.9001042203350469E-3</v>
      </c>
      <c r="I54" s="226">
        <f ca="1">IFERROR((Inv_SY_B!I55/Inv_SY_B!$J55)-1,"")</f>
        <v>2.2403549499094844E-3</v>
      </c>
    </row>
    <row r="55" spans="2:9">
      <c r="B55" s="224">
        <f t="shared" ca="1" si="1"/>
        <v>45857</v>
      </c>
      <c r="C55" s="226">
        <f ca="1">IFERROR((Inv_SY_B!C56/Inv_SY_B!$J56)-1,"")</f>
        <v>-1.7771730329569912E-3</v>
      </c>
      <c r="D55" s="226">
        <f ca="1">IFERROR((Inv_SY_B!D56/Inv_SY_B!$J56)-1,"")</f>
        <v>-3.9650860851447867E-3</v>
      </c>
      <c r="E55" s="226">
        <f ca="1">IFERROR((Inv_SY_B!E56/Inv_SY_B!$J56)-1,"")</f>
        <v>-3.5584180665986787E-2</v>
      </c>
      <c r="F55" s="226">
        <f ca="1">IFERROR((Inv_SY_B!F56/Inv_SY_B!$J56)-1,"")</f>
        <v>-2.5957676941538277E-2</v>
      </c>
      <c r="G55" s="226">
        <f ca="1">IFERROR((Inv_SY_B!G56/Inv_SY_B!$J56)-1,"")</f>
        <v>-2.6187640982768823E-3</v>
      </c>
      <c r="H55" s="226">
        <f ca="1">IFERROR((Inv_SY_B!H56/Inv_SY_B!$J56)-1,"")</f>
        <v>3.9219381586403257E-2</v>
      </c>
      <c r="I55" s="226">
        <f ca="1">IFERROR((Inv_SY_B!I56/Inv_SY_B!$J56)-1,"")</f>
        <v>3.0683499237500245E-2</v>
      </c>
    </row>
    <row r="56" spans="2:9">
      <c r="B56" s="224">
        <f t="shared" ca="1" si="1"/>
        <v>45858</v>
      </c>
      <c r="C56" s="226">
        <f ca="1">IFERROR((Inv_SY_B!C57/Inv_SY_B!$J57)-1,"")</f>
        <v>-4.4432834169307878E-3</v>
      </c>
      <c r="D56" s="226">
        <f ca="1">IFERROR((Inv_SY_B!D57/Inv_SY_B!$J57)-1,"")</f>
        <v>3.5904434924889372E-3</v>
      </c>
      <c r="E56" s="226">
        <f ca="1">IFERROR((Inv_SY_B!E57/Inv_SY_B!$J57)-1,"")</f>
        <v>-1.3676567671346174E-2</v>
      </c>
      <c r="F56" s="226">
        <f ca="1">IFERROR((Inv_SY_B!F57/Inv_SY_B!$J57)-1,"")</f>
        <v>-2.6008399300114782E-4</v>
      </c>
      <c r="G56" s="226">
        <f ca="1">IFERROR((Inv_SY_B!G57/Inv_SY_B!$J57)-1,"")</f>
        <v>4.5789415406471967E-3</v>
      </c>
      <c r="H56" s="226">
        <f ca="1">IFERROR((Inv_SY_B!H57/Inv_SY_B!$J57)-1,"")</f>
        <v>8.1224305066132096E-3</v>
      </c>
      <c r="I56" s="226">
        <f ca="1">IFERROR((Inv_SY_B!I57/Inv_SY_B!$J57)-1,"")</f>
        <v>2.0881195415292098E-3</v>
      </c>
    </row>
    <row r="57" spans="2:9">
      <c r="B57" s="224">
        <f t="shared" ca="1" si="1"/>
        <v>45859</v>
      </c>
      <c r="C57" s="226">
        <f ca="1">IFERROR((Inv_SY_B!C58/Inv_SY_B!$J58)-1,"")</f>
        <v>1.1127682237199732E-3</v>
      </c>
      <c r="D57" s="226">
        <f ca="1">IFERROR((Inv_SY_B!D58/Inv_SY_B!$J58)-1,"")</f>
        <v>1.6332639078859845E-3</v>
      </c>
      <c r="E57" s="226">
        <f ca="1">IFERROR((Inv_SY_B!E58/Inv_SY_B!$J58)-1,"")</f>
        <v>-1.4966274969305915E-2</v>
      </c>
      <c r="F57" s="226">
        <f ca="1">IFERROR((Inv_SY_B!F58/Inv_SY_B!$J58)-1,"")</f>
        <v>-9.035823997373571E-3</v>
      </c>
      <c r="G57" s="226">
        <f ca="1">IFERROR((Inv_SY_B!G58/Inv_SY_B!$J58)-1,"")</f>
        <v>-7.9615192662093603E-3</v>
      </c>
      <c r="H57" s="226">
        <f ca="1">IFERROR((Inv_SY_B!H58/Inv_SY_B!$J58)-1,"")</f>
        <v>2.0490054497175558E-2</v>
      </c>
      <c r="I57" s="226">
        <f ca="1">IFERROR((Inv_SY_B!I58/Inv_SY_B!$J58)-1,"")</f>
        <v>8.7275316041068862E-3</v>
      </c>
    </row>
    <row r="58" spans="2:9">
      <c r="B58" s="224">
        <f t="shared" ca="1" si="1"/>
        <v>45860</v>
      </c>
      <c r="C58" s="226">
        <f ca="1">IFERROR((Inv_SY_B!C59/Inv_SY_B!$J59)-1,"")</f>
        <v>5.5313757115933448E-3</v>
      </c>
      <c r="D58" s="226">
        <f ca="1">IFERROR((Inv_SY_B!D59/Inv_SY_B!$J59)-1,"")</f>
        <v>-2.18306884646291E-3</v>
      </c>
      <c r="E58" s="226">
        <f ca="1">IFERROR((Inv_SY_B!E59/Inv_SY_B!$J59)-1,"")</f>
        <v>-3.7498137096916295E-3</v>
      </c>
      <c r="F58" s="226">
        <f ca="1">IFERROR((Inv_SY_B!F59/Inv_SY_B!$J59)-1,"")</f>
        <v>-4.1700391093872913E-3</v>
      </c>
      <c r="G58" s="226">
        <f ca="1">IFERROR((Inv_SY_B!G59/Inv_SY_B!$J59)-1,"")</f>
        <v>-9.5621063326236655E-3</v>
      </c>
      <c r="H58" s="226">
        <f ca="1">IFERROR((Inv_SY_B!H59/Inv_SY_B!$J59)-1,"")</f>
        <v>7.7717730420885367E-3</v>
      </c>
      <c r="I58" s="226">
        <f ca="1">IFERROR((Inv_SY_B!I59/Inv_SY_B!$J59)-1,"")</f>
        <v>6.361879244484836E-3</v>
      </c>
    </row>
    <row r="59" spans="2:9">
      <c r="B59" s="224">
        <f t="shared" ca="1" si="1"/>
        <v>45861</v>
      </c>
      <c r="C59" s="226">
        <f ca="1">IFERROR((Inv_SY_B!C60/Inv_SY_B!$J60)-1,"")</f>
        <v>-4.1989235133672587E-3</v>
      </c>
      <c r="D59" s="226">
        <f ca="1">IFERROR((Inv_SY_B!D60/Inv_SY_B!$J60)-1,"")</f>
        <v>7.8959188242100353E-4</v>
      </c>
      <c r="E59" s="226">
        <f ca="1">IFERROR((Inv_SY_B!E60/Inv_SY_B!$J60)-1,"")</f>
        <v>-1.796136914929336E-2</v>
      </c>
      <c r="F59" s="226">
        <f ca="1">IFERROR((Inv_SY_B!F60/Inv_SY_B!$J60)-1,"")</f>
        <v>-8.7393040661347676E-3</v>
      </c>
      <c r="G59" s="226">
        <f ca="1">IFERROR((Inv_SY_B!G60/Inv_SY_B!$J60)-1,"")</f>
        <v>-2.5051558292870091E-3</v>
      </c>
      <c r="H59" s="226">
        <f ca="1">IFERROR((Inv_SY_B!H60/Inv_SY_B!$J60)-1,"")</f>
        <v>2.3186891718869784E-2</v>
      </c>
      <c r="I59" s="226">
        <f ca="1">IFERROR((Inv_SY_B!I60/Inv_SY_B!$J60)-1,"")</f>
        <v>9.4282689567908307E-3</v>
      </c>
    </row>
    <row r="60" spans="2:9">
      <c r="B60" s="224">
        <f t="shared" ca="1" si="1"/>
        <v>45862</v>
      </c>
      <c r="C60" s="226">
        <f ca="1">IFERROR((Inv_SY_B!C61/Inv_SY_B!$J61)-1,"")</f>
        <v>-5.2782074562640613E-3</v>
      </c>
      <c r="D60" s="226">
        <f ca="1">IFERROR((Inv_SY_B!D61/Inv_SY_B!$J61)-1,"")</f>
        <v>-5.9636280294983468E-4</v>
      </c>
      <c r="E60" s="226">
        <f ca="1">IFERROR((Inv_SY_B!E61/Inv_SY_B!$J61)-1,"")</f>
        <v>-7.1828241294941142E-3</v>
      </c>
      <c r="F60" s="226">
        <f ca="1">IFERROR((Inv_SY_B!F61/Inv_SY_B!$J61)-1,"")</f>
        <v>5.9988513998172621E-3</v>
      </c>
      <c r="G60" s="226">
        <f ca="1">IFERROR((Inv_SY_B!G61/Inv_SY_B!$J61)-1,"")</f>
        <v>7.8344171359339132E-3</v>
      </c>
      <c r="H60" s="226">
        <f ca="1">IFERROR((Inv_SY_B!H61/Inv_SY_B!$J61)-1,"")</f>
        <v>3.3071918107641096E-3</v>
      </c>
      <c r="I60" s="226">
        <f ca="1">IFERROR((Inv_SY_B!I61/Inv_SY_B!$J61)-1,"")</f>
        <v>-4.0830659578068307E-3</v>
      </c>
    </row>
    <row r="61" spans="2:9">
      <c r="B61" s="224">
        <f t="shared" ca="1" si="1"/>
        <v>45863</v>
      </c>
      <c r="C61" s="226">
        <f ca="1">IFERROR((Inv_SY_B!C62/Inv_SY_B!$J62)-1,"")</f>
        <v>-1.1398151671533796E-2</v>
      </c>
      <c r="D61" s="226">
        <f ca="1">IFERROR((Inv_SY_B!D62/Inv_SY_B!$J62)-1,"")</f>
        <v>3.4236223404731092E-3</v>
      </c>
      <c r="E61" s="226">
        <f ca="1">IFERROR((Inv_SY_B!E62/Inv_SY_B!$J62)-1,"")</f>
        <v>-1.5923811816649258E-2</v>
      </c>
      <c r="F61" s="226">
        <f ca="1">IFERROR((Inv_SY_B!F62/Inv_SY_B!$J62)-1,"")</f>
        <v>9.3363038901639328E-4</v>
      </c>
      <c r="G61" s="226">
        <f ca="1">IFERROR((Inv_SY_B!G62/Inv_SY_B!$J62)-1,"")</f>
        <v>1.0170937337909969E-2</v>
      </c>
      <c r="H61" s="226">
        <f ca="1">IFERROR((Inv_SY_B!H62/Inv_SY_B!$J62)-1,"")</f>
        <v>8.8746835178721284E-3</v>
      </c>
      <c r="I61" s="226">
        <f ca="1">IFERROR((Inv_SY_B!I62/Inv_SY_B!$J62)-1,"")</f>
        <v>3.9190899029111215E-3</v>
      </c>
    </row>
    <row r="62" spans="2:9">
      <c r="B62" s="224">
        <f t="shared" ca="1" si="1"/>
        <v>45864</v>
      </c>
      <c r="C62" s="226">
        <f ca="1">IFERROR((Inv_SY_B!C63/Inv_SY_B!$J63)-1,"")</f>
        <v>-1.3991062978531921E-2</v>
      </c>
      <c r="D62" s="226">
        <f ca="1">IFERROR((Inv_SY_B!D63/Inv_SY_B!$J63)-1,"")</f>
        <v>5.1659853801528932E-3</v>
      </c>
      <c r="E62" s="226">
        <f ca="1">IFERROR((Inv_SY_B!E63/Inv_SY_B!$J63)-1,"")</f>
        <v>-2.0439482917463003E-2</v>
      </c>
      <c r="F62" s="226">
        <f ca="1">IFERROR((Inv_SY_B!F63/Inv_SY_B!$J63)-1,"")</f>
        <v>-1.0077439262831112E-3</v>
      </c>
      <c r="G62" s="226">
        <f ca="1">IFERROR((Inv_SY_B!G63/Inv_SY_B!$J63)-1,"")</f>
        <v>1.1618700477898702E-2</v>
      </c>
      <c r="H62" s="226">
        <f ca="1">IFERROR((Inv_SY_B!H63/Inv_SY_B!$J63)-1,"")</f>
        <v>1.0360618753501027E-2</v>
      </c>
      <c r="I62" s="226">
        <f ca="1">IFERROR((Inv_SY_B!I63/Inv_SY_B!$J63)-1,"")</f>
        <v>8.2929852107256341E-3</v>
      </c>
    </row>
    <row r="63" spans="2:9">
      <c r="B63" s="224">
        <f t="shared" ca="1" si="1"/>
        <v>45865</v>
      </c>
      <c r="C63" s="226">
        <f ca="1">IFERROR((Inv_SY_B!C64/Inv_SY_B!$J64)-1,"")</f>
        <v>-1.3963890773644128E-2</v>
      </c>
      <c r="D63" s="226">
        <f ca="1">IFERROR((Inv_SY_B!D64/Inv_SY_B!$J64)-1,"")</f>
        <v>3.8137134628382086E-3</v>
      </c>
      <c r="E63" s="226">
        <f ca="1">IFERROR((Inv_SY_B!E64/Inv_SY_B!$J64)-1,"")</f>
        <v>-1.665470646163425E-2</v>
      </c>
      <c r="F63" s="226">
        <f ca="1">IFERROR((Inv_SY_B!F64/Inv_SY_B!$J64)-1,"")</f>
        <v>-7.903315220096907E-4</v>
      </c>
      <c r="G63" s="226">
        <f ca="1">IFERROR((Inv_SY_B!G64/Inv_SY_B!$J64)-1,"")</f>
        <v>1.0720245082054269E-2</v>
      </c>
      <c r="H63" s="226">
        <f ca="1">IFERROR((Inv_SY_B!H64/Inv_SY_B!$J64)-1,"")</f>
        <v>9.4797402387585272E-3</v>
      </c>
      <c r="I63" s="226">
        <f ca="1">IFERROR((Inv_SY_B!I64/Inv_SY_B!$J64)-1,"")</f>
        <v>7.3952299736375071E-3</v>
      </c>
    </row>
  </sheetData>
  <phoneticPr fontId="62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I66" sqref="I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397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</row>
    <row r="4" spans="2:9">
      <c r="B4" s="224">
        <f t="shared" ref="B4" ca="1" si="1">TODAY()-60</f>
        <v>45805</v>
      </c>
      <c r="C4" s="333">
        <f ca="1">IFERROR(VLOOKUP($B4,RD[[#All],[Date]:[IS4Inv2]],C$2,0)/C$1/_xlfn.XLOOKUP(Inv_SY_B12[[#This Row],[Date]],Daily_KPI[Date],Daily_KPI[POA-UP(KWh/m2)]),"")</f>
        <v>0.90730496964621887</v>
      </c>
      <c r="D4" s="333">
        <f ca="1">IFERROR(VLOOKUP($B4,RD[[#All],[Date]:[IS4Inv2]],D$2,0)/D$1/_xlfn.XLOOKUP(Inv_SY_B12[[#This Row],[Date]],Daily_KPI[Date],Daily_KPI[POA-UP(KWh/m2)]),"")</f>
        <v>0.92043504283542221</v>
      </c>
      <c r="E4" s="333">
        <f ca="1">IFERROR(VLOOKUP($B4,RD[[#All],[Date]:[IS4Inv2]],E$2,0)/E$1/_xlfn.XLOOKUP(Inv_SY_B12[[#This Row],[Date]],Daily_KPI[Date],Daily_KPI[POA-UP(KWh/m2)]),"")</f>
        <v>0.90497160225081541</v>
      </c>
      <c r="F4" s="333">
        <f ca="1">IFERROR(VLOOKUP($B4,RD[[#All],[Date]:[IS4Inv2]],F$2,0)/F$1/_xlfn.XLOOKUP(Inv_SY_B12[[#This Row],[Date]],Daily_KPI[Date],Daily_KPI[POA-UP(KWh/m2)]),"")</f>
        <v>0.92600545003182611</v>
      </c>
      <c r="G4" s="333">
        <f ca="1">IFERROR(VLOOKUP($B4,RD[[#All],[Date]:[IS4Inv2]],G$2,0)/G$1/_xlfn.XLOOKUP(Inv_SY_B12[[#This Row],[Date]],Daily_KPI[Date],Daily_KPI[POA-UP(KWh/m2)]),"")</f>
        <v>0.92869240485529714</v>
      </c>
      <c r="H4" s="333">
        <f ca="1">IFERROR(VLOOKUP($B4,RD[[#All],[Date]:[IS4Inv2]],H$2,0)/H$1/_xlfn.XLOOKUP(Inv_SY_B12[[#This Row],[Date]],Daily_KPI[Date],Daily_KPI[POA-UP(KWh/m2)]),"")</f>
        <v>0.92332529971573352</v>
      </c>
      <c r="I4" s="333">
        <f ca="1">IFERROR(VLOOKUP($B4,RD[[#All],[Date]:[IS4Inv2]],I$2,0)/I$1/_xlfn.XLOOKUP(Inv_SY_B12[[#This Row],[Date]],Daily_KPI[Date],Daily_KPI[POA-UP(KWh/m2)]),"")</f>
        <v>0.93001764025123312</v>
      </c>
    </row>
    <row r="5" spans="2:9">
      <c r="B5" s="224">
        <f ca="1">B4+1</f>
        <v>45806</v>
      </c>
      <c r="C5" s="333">
        <f ca="1">IFERROR(VLOOKUP($B5,RD[[#All],[Date]:[IS4Inv2]],C$2,0)/C$1/_xlfn.XLOOKUP(Inv_SY_B12[[#This Row],[Date]],Daily_KPI[Date],Daily_KPI[POA-UP(KWh/m2)]),"")</f>
        <v>0.86786396753754369</v>
      </c>
      <c r="D5" s="333">
        <f ca="1">IFERROR(VLOOKUP($B5,RD[[#All],[Date]:[IS4Inv2]],D$2,0)/D$1/_xlfn.XLOOKUP(Inv_SY_B12[[#This Row],[Date]],Daily_KPI[Date],Daily_KPI[POA-UP(KWh/m2)]),"")</f>
        <v>0.87785834027115683</v>
      </c>
      <c r="E5" s="333">
        <f ca="1">IFERROR(VLOOKUP($B5,RD[[#All],[Date]:[IS4Inv2]],E$2,0)/E$1/_xlfn.XLOOKUP(Inv_SY_B12[[#This Row],[Date]],Daily_KPI[Date],Daily_KPI[POA-UP(KWh/m2)]),"")</f>
        <v>0.86447728476822028</v>
      </c>
      <c r="F5" s="333">
        <f ca="1">IFERROR(VLOOKUP($B5,RD[[#All],[Date]:[IS4Inv2]],F$2,0)/F$1/_xlfn.XLOOKUP(Inv_SY_B12[[#This Row],[Date]],Daily_KPI[Date],Daily_KPI[POA-UP(KWh/m2)]),"")</f>
        <v>0.88074465810552527</v>
      </c>
      <c r="G5" s="333">
        <f ca="1">IFERROR(VLOOKUP($B5,RD[[#All],[Date]:[IS4Inv2]],G$2,0)/G$1/_xlfn.XLOOKUP(Inv_SY_B12[[#This Row],[Date]],Daily_KPI[Date],Daily_KPI[POA-UP(KWh/m2)]),"")</f>
        <v>0.89048955531810003</v>
      </c>
      <c r="H5" s="333">
        <f ca="1">IFERROR(VLOOKUP($B5,RD[[#All],[Date]:[IS4Inv2]],H$2,0)/H$1/_xlfn.XLOOKUP(Inv_SY_B12[[#This Row],[Date]],Daily_KPI[Date],Daily_KPI[POA-UP(KWh/m2)]),"")</f>
        <v>0.88330021792077928</v>
      </c>
      <c r="I5" s="333">
        <f ca="1">IFERROR(VLOOKUP($B5,RD[[#All],[Date]:[IS4Inv2]],I$2,0)/I$1/_xlfn.XLOOKUP(Inv_SY_B12[[#This Row],[Date]],Daily_KPI[Date],Daily_KPI[POA-UP(KWh/m2)]),"")</f>
        <v>0.88716044563051355</v>
      </c>
    </row>
    <row r="6" spans="2:9">
      <c r="B6" s="224">
        <f t="shared" ref="B6:B64" ca="1" si="2">B5+1</f>
        <v>45807</v>
      </c>
      <c r="C6" s="333">
        <f ca="1">IFERROR(VLOOKUP($B6,RD[[#All],[Date]:[IS4Inv2]],C$2,0)/C$1/_xlfn.XLOOKUP(Inv_SY_B12[[#This Row],[Date]],Daily_KPI[Date],Daily_KPI[POA-UP(KWh/m2)]),"")</f>
        <v>0.92415465627110593</v>
      </c>
      <c r="D6" s="333">
        <f ca="1">IFERROR(VLOOKUP($B6,RD[[#All],[Date]:[IS4Inv2]],D$2,0)/D$1/_xlfn.XLOOKUP(Inv_SY_B12[[#This Row],[Date]],Daily_KPI[Date],Daily_KPI[POA-UP(KWh/m2)]),"")</f>
        <v>0.93073929481374129</v>
      </c>
      <c r="E6" s="333">
        <f ca="1">IFERROR(VLOOKUP($B6,RD[[#All],[Date]:[IS4Inv2]],E$2,0)/E$1/_xlfn.XLOOKUP(Inv_SY_B12[[#This Row],[Date]],Daily_KPI[Date],Daily_KPI[POA-UP(KWh/m2)]),"")</f>
        <v>0.92837757152357059</v>
      </c>
      <c r="F6" s="333">
        <f ca="1">IFERROR(VLOOKUP($B6,RD[[#All],[Date]:[IS4Inv2]],F$2,0)/F$1/_xlfn.XLOOKUP(Inv_SY_B12[[#This Row],[Date]],Daily_KPI[Date],Daily_KPI[POA-UP(KWh/m2)]),"")</f>
        <v>0.9458434274964137</v>
      </c>
      <c r="G6" s="333">
        <f ca="1">IFERROR(VLOOKUP($B6,RD[[#All],[Date]:[IS4Inv2]],G$2,0)/G$1/_xlfn.XLOOKUP(Inv_SY_B12[[#This Row],[Date]],Daily_KPI[Date],Daily_KPI[POA-UP(KWh/m2)]),"")</f>
        <v>0.94862280192497728</v>
      </c>
      <c r="H6" s="333">
        <f ca="1">IFERROR(VLOOKUP($B6,RD[[#All],[Date]:[IS4Inv2]],H$2,0)/H$1/_xlfn.XLOOKUP(Inv_SY_B12[[#This Row],[Date]],Daily_KPI[Date],Daily_KPI[POA-UP(KWh/m2)]),"")</f>
        <v>0.92816448744964597</v>
      </c>
      <c r="I6" s="333">
        <f ca="1">IFERROR(VLOOKUP($B6,RD[[#All],[Date]:[IS4Inv2]],I$2,0)/I$1/_xlfn.XLOOKUP(Inv_SY_B12[[#This Row],[Date]],Daily_KPI[Date],Daily_KPI[POA-UP(KWh/m2)]),"")</f>
        <v>0.93529061087573251</v>
      </c>
    </row>
    <row r="7" spans="2:9">
      <c r="B7" s="224">
        <f t="shared" ca="1" si="2"/>
        <v>45808</v>
      </c>
      <c r="C7" s="333">
        <f ca="1">IFERROR(VLOOKUP($B7,RD[[#All],[Date]:[IS4Inv2]],C$2,0)/C$1/_xlfn.XLOOKUP(Inv_SY_B12[[#This Row],[Date]],Daily_KPI[Date],Daily_KPI[POA-UP(KWh/m2)]),"")</f>
        <v>0.83080798513808785</v>
      </c>
      <c r="D7" s="333">
        <f ca="1">IFERROR(VLOOKUP($B7,RD[[#All],[Date]:[IS4Inv2]],D$2,0)/D$1/_xlfn.XLOOKUP(Inv_SY_B12[[#This Row],[Date]],Daily_KPI[Date],Daily_KPI[POA-UP(KWh/m2)]),"")</f>
        <v>0.83259477208673438</v>
      </c>
      <c r="E7" s="333">
        <f ca="1">IFERROR(VLOOKUP($B7,RD[[#All],[Date]:[IS4Inv2]],E$2,0)/E$1/_xlfn.XLOOKUP(Inv_SY_B12[[#This Row],[Date]],Daily_KPI[Date],Daily_KPI[POA-UP(KWh/m2)]),"")</f>
        <v>0.81163129894427199</v>
      </c>
      <c r="F7" s="333">
        <f ca="1">IFERROR(VLOOKUP($B7,RD[[#All],[Date]:[IS4Inv2]],F$2,0)/F$1/_xlfn.XLOOKUP(Inv_SY_B12[[#This Row],[Date]],Daily_KPI[Date],Daily_KPI[POA-UP(KWh/m2)]),"")</f>
        <v>0.82047276781078726</v>
      </c>
      <c r="G7" s="333">
        <f ca="1">IFERROR(VLOOKUP($B7,RD[[#All],[Date]:[IS4Inv2]],G$2,0)/G$1/_xlfn.XLOOKUP(Inv_SY_B12[[#This Row],[Date]],Daily_KPI[Date],Daily_KPI[POA-UP(KWh/m2)]),"")</f>
        <v>0.8244791154452078</v>
      </c>
      <c r="H7" s="333">
        <f ca="1">IFERROR(VLOOKUP($B7,RD[[#All],[Date]:[IS4Inv2]],H$2,0)/H$1/_xlfn.XLOOKUP(Inv_SY_B12[[#This Row],[Date]],Daily_KPI[Date],Daily_KPI[POA-UP(KWh/m2)]),"")</f>
        <v>0.87365509766455351</v>
      </c>
      <c r="I7" s="333">
        <f ca="1">IFERROR(VLOOKUP($B7,RD[[#All],[Date]:[IS4Inv2]],I$2,0)/I$1/_xlfn.XLOOKUP(Inv_SY_B12[[#This Row],[Date]],Daily_KPI[Date],Daily_KPI[POA-UP(KWh/m2)]),"")</f>
        <v>0.87017750608505529</v>
      </c>
    </row>
    <row r="8" spans="2:9">
      <c r="B8" s="224">
        <f t="shared" ca="1" si="2"/>
        <v>45809</v>
      </c>
      <c r="C8" s="333">
        <f ca="1">IFERROR(VLOOKUP($B8,RD[[#All],[Date]:[IS4Inv2]],C$2,0)/C$1/_xlfn.XLOOKUP(Inv_SY_B12[[#This Row],[Date]],Daily_KPI[Date],Daily_KPI[POA-UP(KWh/m2)]),"")</f>
        <v>0.36996539548090501</v>
      </c>
      <c r="D8" s="333">
        <f ca="1">IFERROR(VLOOKUP($B8,RD[[#All],[Date]:[IS4Inv2]],D$2,0)/D$1/_xlfn.XLOOKUP(Inv_SY_B12[[#This Row],[Date]],Daily_KPI[Date],Daily_KPI[POA-UP(KWh/m2)]),"")</f>
        <v>0.37109645918226597</v>
      </c>
      <c r="E8" s="333">
        <f ca="1">IFERROR(VLOOKUP($B8,RD[[#All],[Date]:[IS4Inv2]],E$2,0)/E$1/_xlfn.XLOOKUP(Inv_SY_B12[[#This Row],[Date]],Daily_KPI[Date],Daily_KPI[POA-UP(KWh/m2)]),"")</f>
        <v>0.36559155464744197</v>
      </c>
      <c r="F8" s="333">
        <f ca="1">IFERROR(VLOOKUP($B8,RD[[#All],[Date]:[IS4Inv2]],F$2,0)/F$1/_xlfn.XLOOKUP(Inv_SY_B12[[#This Row],[Date]],Daily_KPI[Date],Daily_KPI[POA-UP(KWh/m2)]),"")</f>
        <v>0.37329626653502701</v>
      </c>
      <c r="G8" s="333">
        <f ca="1">IFERROR(VLOOKUP($B8,RD[[#All],[Date]:[IS4Inv2]],G$2,0)/G$1/_xlfn.XLOOKUP(Inv_SY_B12[[#This Row],[Date]],Daily_KPI[Date],Daily_KPI[POA-UP(KWh/m2)]),"")</f>
        <v>0.37607518832798514</v>
      </c>
      <c r="H8" s="333">
        <f ca="1">IFERROR(VLOOKUP($B8,RD[[#All],[Date]:[IS4Inv2]],H$2,0)/H$1/_xlfn.XLOOKUP(Inv_SY_B12[[#This Row],[Date]],Daily_KPI[Date],Daily_KPI[POA-UP(KWh/m2)]),"")</f>
        <v>0.37219154653123837</v>
      </c>
      <c r="I8" s="333">
        <f ca="1">IFERROR(VLOOKUP($B8,RD[[#All],[Date]:[IS4Inv2]],I$2,0)/I$1/_xlfn.XLOOKUP(Inv_SY_B12[[#This Row],[Date]],Daily_KPI[Date],Daily_KPI[POA-UP(KWh/m2)]),"")</f>
        <v>0.36600115768310926</v>
      </c>
    </row>
    <row r="9" spans="2:9">
      <c r="B9" s="224">
        <f t="shared" ca="1" si="2"/>
        <v>45810</v>
      </c>
      <c r="C9" s="333">
        <f ca="1">IFERROR(VLOOKUP($B9,RD[[#All],[Date]:[IS4Inv2]],C$2,0)/C$1/_xlfn.XLOOKUP(Inv_SY_B12[[#This Row],[Date]],Daily_KPI[Date],Daily_KPI[POA-UP(KWh/m2)]),"")</f>
        <v>0.83058327830000234</v>
      </c>
      <c r="D9" s="333">
        <f ca="1">IFERROR(VLOOKUP($B9,RD[[#All],[Date]:[IS4Inv2]],D$2,0)/D$1/_xlfn.XLOOKUP(Inv_SY_B12[[#This Row],[Date]],Daily_KPI[Date],Daily_KPI[POA-UP(KWh/m2)]),"")</f>
        <v>0.83205298248423787</v>
      </c>
      <c r="E9" s="333">
        <f ca="1">IFERROR(VLOOKUP($B9,RD[[#All],[Date]:[IS4Inv2]],E$2,0)/E$1/_xlfn.XLOOKUP(Inv_SY_B12[[#This Row],[Date]],Daily_KPI[Date],Daily_KPI[POA-UP(KWh/m2)]),"")</f>
        <v>0.81762032627171755</v>
      </c>
      <c r="F9" s="333">
        <f ca="1">IFERROR(VLOOKUP($B9,RD[[#All],[Date]:[IS4Inv2]],F$2,0)/F$1/_xlfn.XLOOKUP(Inv_SY_B12[[#This Row],[Date]],Daily_KPI[Date],Daily_KPI[POA-UP(KWh/m2)]),"")</f>
        <v>0.82779900337707168</v>
      </c>
      <c r="G9" s="333">
        <f ca="1">IFERROR(VLOOKUP($B9,RD[[#All],[Date]:[IS4Inv2]],G$2,0)/G$1/_xlfn.XLOOKUP(Inv_SY_B12[[#This Row],[Date]],Daily_KPI[Date],Daily_KPI[POA-UP(KWh/m2)]),"")</f>
        <v>0.84372120811642892</v>
      </c>
      <c r="H9" s="333">
        <f ca="1">IFERROR(VLOOKUP($B9,RD[[#All],[Date]:[IS4Inv2]],H$2,0)/H$1/_xlfn.XLOOKUP(Inv_SY_B12[[#This Row],[Date]],Daily_KPI[Date],Daily_KPI[POA-UP(KWh/m2)]),"")</f>
        <v>0.86004869212189727</v>
      </c>
      <c r="I9" s="333">
        <f ca="1">IFERROR(VLOOKUP($B9,RD[[#All],[Date]:[IS4Inv2]],I$2,0)/I$1/_xlfn.XLOOKUP(Inv_SY_B12[[#This Row],[Date]],Daily_KPI[Date],Daily_KPI[POA-UP(KWh/m2)]),"")</f>
        <v>0.85857443856313276</v>
      </c>
    </row>
    <row r="10" spans="2:9">
      <c r="B10" s="224">
        <f t="shared" ca="1" si="2"/>
        <v>45811</v>
      </c>
      <c r="C10" s="333">
        <f ca="1">IFERROR(VLOOKUP($B10,RD[[#All],[Date]:[IS4Inv2]],C$2,0)/C$1/_xlfn.XLOOKUP(Inv_SY_B12[[#This Row],[Date]],Daily_KPI[Date],Daily_KPI[POA-UP(KWh/m2)]),"")</f>
        <v>0.83421852692310183</v>
      </c>
      <c r="D10" s="333">
        <f ca="1">IFERROR(VLOOKUP($B10,RD[[#All],[Date]:[IS4Inv2]],D$2,0)/D$1/_xlfn.XLOOKUP(Inv_SY_B12[[#This Row],[Date]],Daily_KPI[Date],Daily_KPI[POA-UP(KWh/m2)]),"")</f>
        <v>0.83675840226037601</v>
      </c>
      <c r="E10" s="333">
        <f ca="1">IFERROR(VLOOKUP($B10,RD[[#All],[Date]:[IS4Inv2]],E$2,0)/E$1/_xlfn.XLOOKUP(Inv_SY_B12[[#This Row],[Date]],Daily_KPI[Date],Daily_KPI[POA-UP(KWh/m2)]),"")</f>
        <v>0.81855693842802146</v>
      </c>
      <c r="F10" s="333">
        <f ca="1">IFERROR(VLOOKUP($B10,RD[[#All],[Date]:[IS4Inv2]],F$2,0)/F$1/_xlfn.XLOOKUP(Inv_SY_B12[[#This Row],[Date]],Daily_KPI[Date],Daily_KPI[POA-UP(KWh/m2)]),"")</f>
        <v>0.83007639811120038</v>
      </c>
      <c r="G10" s="333">
        <f ca="1">IFERROR(VLOOKUP($B10,RD[[#All],[Date]:[IS4Inv2]],G$2,0)/G$1/_xlfn.XLOOKUP(Inv_SY_B12[[#This Row],[Date]],Daily_KPI[Date],Daily_KPI[POA-UP(KWh/m2)]),"")</f>
        <v>0.83362588934440462</v>
      </c>
      <c r="H10" s="333">
        <f ca="1">IFERROR(VLOOKUP($B10,RD[[#All],[Date]:[IS4Inv2]],H$2,0)/H$1/_xlfn.XLOOKUP(Inv_SY_B12[[#This Row],[Date]],Daily_KPI[Date],Daily_KPI[POA-UP(KWh/m2)]),"")</f>
        <v>0.87024109057911225</v>
      </c>
      <c r="I10" s="333">
        <f ca="1">IFERROR(VLOOKUP($B10,RD[[#All],[Date]:[IS4Inv2]],I$2,0)/I$1/_xlfn.XLOOKUP(Inv_SY_B12[[#This Row],[Date]],Daily_KPI[Date],Daily_KPI[POA-UP(KWh/m2)]),"")</f>
        <v>0.86688007857614247</v>
      </c>
    </row>
    <row r="11" spans="2:9">
      <c r="B11" s="224">
        <f t="shared" ca="1" si="2"/>
        <v>45812</v>
      </c>
      <c r="C11" s="333">
        <f ca="1">IFERROR(VLOOKUP($B11,RD[[#All],[Date]:[IS4Inv2]],C$2,0)/C$1/_xlfn.XLOOKUP(Inv_SY_B12[[#This Row],[Date]],Daily_KPI[Date],Daily_KPI[POA-UP(KWh/m2)]),"")</f>
        <v>0.82070891750123731</v>
      </c>
      <c r="D11" s="333">
        <f ca="1">IFERROR(VLOOKUP($B11,RD[[#All],[Date]:[IS4Inv2]],D$2,0)/D$1/_xlfn.XLOOKUP(Inv_SY_B12[[#This Row],[Date]],Daily_KPI[Date],Daily_KPI[POA-UP(KWh/m2)]),"")</f>
        <v>0.82139782742921674</v>
      </c>
      <c r="E11" s="333">
        <f ca="1">IFERROR(VLOOKUP($B11,RD[[#All],[Date]:[IS4Inv2]],E$2,0)/E$1/_xlfn.XLOOKUP(Inv_SY_B12[[#This Row],[Date]],Daily_KPI[Date],Daily_KPI[POA-UP(KWh/m2)]),"")</f>
        <v>0.808974821680151</v>
      </c>
      <c r="F11" s="333">
        <f ca="1">IFERROR(VLOOKUP($B11,RD[[#All],[Date]:[IS4Inv2]],F$2,0)/F$1/_xlfn.XLOOKUP(Inv_SY_B12[[#This Row],[Date]],Daily_KPI[Date],Daily_KPI[POA-UP(KWh/m2)]),"")</f>
        <v>0.81901059223657413</v>
      </c>
      <c r="G11" s="333">
        <f ca="1">IFERROR(VLOOKUP($B11,RD[[#All],[Date]:[IS4Inv2]],G$2,0)/G$1/_xlfn.XLOOKUP(Inv_SY_B12[[#This Row],[Date]],Daily_KPI[Date],Daily_KPI[POA-UP(KWh/m2)]),"")</f>
        <v>0.81894713095776317</v>
      </c>
      <c r="H11" s="333">
        <f ca="1">IFERROR(VLOOKUP($B11,RD[[#All],[Date]:[IS4Inv2]],H$2,0)/H$1/_xlfn.XLOOKUP(Inv_SY_B12[[#This Row],[Date]],Daily_KPI[Date],Daily_KPI[POA-UP(KWh/m2)]),"")</f>
        <v>0.84565096623149871</v>
      </c>
      <c r="I11" s="333">
        <f ca="1">IFERROR(VLOOKUP($B11,RD[[#All],[Date]:[IS4Inv2]],I$2,0)/I$1/_xlfn.XLOOKUP(Inv_SY_B12[[#This Row],[Date]],Daily_KPI[Date],Daily_KPI[POA-UP(KWh/m2)]),"")</f>
        <v>0.84601057497718335</v>
      </c>
    </row>
    <row r="12" spans="2:9">
      <c r="B12" s="224">
        <f t="shared" ca="1" si="2"/>
        <v>45813</v>
      </c>
      <c r="C12" s="333">
        <f ca="1">IFERROR(VLOOKUP($B12,RD[[#All],[Date]:[IS4Inv2]],C$2,0)/C$1/_xlfn.XLOOKUP(Inv_SY_B12[[#This Row],[Date]],Daily_KPI[Date],Daily_KPI[POA-UP(KWh/m2)]),"")</f>
        <v>0.82860548977793569</v>
      </c>
      <c r="D12" s="333">
        <f ca="1">IFERROR(VLOOKUP($B12,RD[[#All],[Date]:[IS4Inv2]],D$2,0)/D$1/_xlfn.XLOOKUP(Inv_SY_B12[[#This Row],[Date]],Daily_KPI[Date],Daily_KPI[POA-UP(KWh/m2)]),"")</f>
        <v>0.8231352702261393</v>
      </c>
      <c r="E12" s="333">
        <f ca="1">IFERROR(VLOOKUP($B12,RD[[#All],[Date]:[IS4Inv2]],E$2,0)/E$1/_xlfn.XLOOKUP(Inv_SY_B12[[#This Row],[Date]],Daily_KPI[Date],Daily_KPI[POA-UP(KWh/m2)]),"")</f>
        <v>0.80696561464906247</v>
      </c>
      <c r="F12" s="333">
        <f ca="1">IFERROR(VLOOKUP($B12,RD[[#All],[Date]:[IS4Inv2]],F$2,0)/F$1/_xlfn.XLOOKUP(Inv_SY_B12[[#This Row],[Date]],Daily_KPI[Date],Daily_KPI[POA-UP(KWh/m2)]),"")</f>
        <v>0.8149929748241288</v>
      </c>
      <c r="G12" s="333">
        <f ca="1">IFERROR(VLOOKUP($B12,RD[[#All],[Date]:[IS4Inv2]],G$2,0)/G$1/_xlfn.XLOOKUP(Inv_SY_B12[[#This Row],[Date]],Daily_KPI[Date],Daily_KPI[POA-UP(KWh/m2)]),"")</f>
        <v>0.80830912518252096</v>
      </c>
      <c r="H12" s="333">
        <f ca="1">IFERROR(VLOOKUP($B12,RD[[#All],[Date]:[IS4Inv2]],H$2,0)/H$1/_xlfn.XLOOKUP(Inv_SY_B12[[#This Row],[Date]],Daily_KPI[Date],Daily_KPI[POA-UP(KWh/m2)]),"")</f>
        <v>0.85256381549484994</v>
      </c>
      <c r="I12" s="333">
        <f ca="1">IFERROR(VLOOKUP($B12,RD[[#All],[Date]:[IS4Inv2]],I$2,0)/I$1/_xlfn.XLOOKUP(Inv_SY_B12[[#This Row],[Date]],Daily_KPI[Date],Daily_KPI[POA-UP(KWh/m2)]),"")</f>
        <v>0.8407150320943424</v>
      </c>
    </row>
    <row r="13" spans="2:9">
      <c r="B13" s="224">
        <f t="shared" ca="1" si="2"/>
        <v>45814</v>
      </c>
      <c r="C13" s="333">
        <f ca="1">IFERROR(VLOOKUP($B13,RD[[#All],[Date]:[IS4Inv2]],C$2,0)/C$1/_xlfn.XLOOKUP(Inv_SY_B12[[#This Row],[Date]],Daily_KPI[Date],Daily_KPI[POA-UP(KWh/m2)]),"")</f>
        <v>0.83146322801355421</v>
      </c>
      <c r="D13" s="333">
        <f ca="1">IFERROR(VLOOKUP($B13,RD[[#All],[Date]:[IS4Inv2]],D$2,0)/D$1/_xlfn.XLOOKUP(Inv_SY_B12[[#This Row],[Date]],Daily_KPI[Date],Daily_KPI[POA-UP(KWh/m2)]),"")</f>
        <v>0.82640065161504306</v>
      </c>
      <c r="E13" s="333">
        <f ca="1">IFERROR(VLOOKUP($B13,RD[[#All],[Date]:[IS4Inv2]],E$2,0)/E$1/_xlfn.XLOOKUP(Inv_SY_B12[[#This Row],[Date]],Daily_KPI[Date],Daily_KPI[POA-UP(KWh/m2)]),"")</f>
        <v>0.81199188324785387</v>
      </c>
      <c r="F13" s="333">
        <f ca="1">IFERROR(VLOOKUP($B13,RD[[#All],[Date]:[IS4Inv2]],F$2,0)/F$1/_xlfn.XLOOKUP(Inv_SY_B12[[#This Row],[Date]],Daily_KPI[Date],Daily_KPI[POA-UP(KWh/m2)]),"")</f>
        <v>0.81976830021865321</v>
      </c>
      <c r="G13" s="333">
        <f ca="1">IFERROR(VLOOKUP($B13,RD[[#All],[Date]:[IS4Inv2]],G$2,0)/G$1/_xlfn.XLOOKUP(Inv_SY_B12[[#This Row],[Date]],Daily_KPI[Date],Daily_KPI[POA-UP(KWh/m2)]),"")</f>
        <v>0.80888303297739139</v>
      </c>
      <c r="H13" s="333">
        <f ca="1">IFERROR(VLOOKUP($B13,RD[[#All],[Date]:[IS4Inv2]],H$2,0)/H$1/_xlfn.XLOOKUP(Inv_SY_B12[[#This Row],[Date]],Daily_KPI[Date],Daily_KPI[POA-UP(KWh/m2)]),"")</f>
        <v>0.82925952593731334</v>
      </c>
      <c r="I13" s="333">
        <f ca="1">IFERROR(VLOOKUP($B13,RD[[#All],[Date]:[IS4Inv2]],I$2,0)/I$1/_xlfn.XLOOKUP(Inv_SY_B12[[#This Row],[Date]],Daily_KPI[Date],Daily_KPI[POA-UP(KWh/m2)]),"")</f>
        <v>0.82468698341845592</v>
      </c>
    </row>
    <row r="14" spans="2:9">
      <c r="B14" s="224">
        <f t="shared" ca="1" si="2"/>
        <v>45815</v>
      </c>
      <c r="C14" s="333">
        <f ca="1">IFERROR(VLOOKUP($B14,RD[[#All],[Date]:[IS4Inv2]],C$2,0)/C$1/_xlfn.XLOOKUP(Inv_SY_B12[[#This Row],[Date]],Daily_KPI[Date],Daily_KPI[POA-UP(KWh/m2)]),"")</f>
        <v>0.84266620922218605</v>
      </c>
      <c r="D14" s="333">
        <f ca="1">IFERROR(VLOOKUP($B14,RD[[#All],[Date]:[IS4Inv2]],D$2,0)/D$1/_xlfn.XLOOKUP(Inv_SY_B12[[#This Row],[Date]],Daily_KPI[Date],Daily_KPI[POA-UP(KWh/m2)]),"")</f>
        <v>0.84150564753206303</v>
      </c>
      <c r="E14" s="333">
        <f ca="1">IFERROR(VLOOKUP($B14,RD[[#All],[Date]:[IS4Inv2]],E$2,0)/E$1/_xlfn.XLOOKUP(Inv_SY_B12[[#This Row],[Date]],Daily_KPI[Date],Daily_KPI[POA-UP(KWh/m2)]),"")</f>
        <v>0.82885879390504003</v>
      </c>
      <c r="F14" s="333">
        <f ca="1">IFERROR(VLOOKUP($B14,RD[[#All],[Date]:[IS4Inv2]],F$2,0)/F$1/_xlfn.XLOOKUP(Inv_SY_B12[[#This Row],[Date]],Daily_KPI[Date],Daily_KPI[POA-UP(KWh/m2)]),"")</f>
        <v>0.83907897772486417</v>
      </c>
      <c r="G14" s="333">
        <f ca="1">IFERROR(VLOOKUP($B14,RD[[#All],[Date]:[IS4Inv2]],G$2,0)/G$1/_xlfn.XLOOKUP(Inv_SY_B12[[#This Row],[Date]],Daily_KPI[Date],Daily_KPI[POA-UP(KWh/m2)]),"")</f>
        <v>0.83776033158811702</v>
      </c>
      <c r="H14" s="333">
        <f ca="1">IFERROR(VLOOKUP($B14,RD[[#All],[Date]:[IS4Inv2]],H$2,0)/H$1/_xlfn.XLOOKUP(Inv_SY_B12[[#This Row],[Date]],Daily_KPI[Date],Daily_KPI[POA-UP(KWh/m2)]),"")</f>
        <v>0.86458639270665372</v>
      </c>
      <c r="I14" s="333">
        <f ca="1">IFERROR(VLOOKUP($B14,RD[[#All],[Date]:[IS4Inv2]],I$2,0)/I$1/_xlfn.XLOOKUP(Inv_SY_B12[[#This Row],[Date]],Daily_KPI[Date],Daily_KPI[POA-UP(KWh/m2)]),"")</f>
        <v>0.85913571330100624</v>
      </c>
    </row>
    <row r="15" spans="2:9">
      <c r="B15" s="224">
        <f t="shared" ca="1" si="2"/>
        <v>45816</v>
      </c>
      <c r="C15" s="333">
        <f ca="1">IFERROR(VLOOKUP($B15,RD[[#All],[Date]:[IS4Inv2]],C$2,0)/C$1/_xlfn.XLOOKUP(Inv_SY_B12[[#This Row],[Date]],Daily_KPI[Date],Daily_KPI[POA-UP(KWh/m2)]),"")</f>
        <v>0.85289882927555605</v>
      </c>
      <c r="D15" s="333">
        <f ca="1">IFERROR(VLOOKUP($B15,RD[[#All],[Date]:[IS4Inv2]],D$2,0)/D$1/_xlfn.XLOOKUP(Inv_SY_B12[[#This Row],[Date]],Daily_KPI[Date],Daily_KPI[POA-UP(KWh/m2)]),"")</f>
        <v>0.86147796374812702</v>
      </c>
      <c r="E15" s="333">
        <f ca="1">IFERROR(VLOOKUP($B15,RD[[#All],[Date]:[IS4Inv2]],E$2,0)/E$1/_xlfn.XLOOKUP(Inv_SY_B12[[#This Row],[Date]],Daily_KPI[Date],Daily_KPI[POA-UP(KWh/m2)]),"")</f>
        <v>0.84878646144877368</v>
      </c>
      <c r="F15" s="333">
        <f ca="1">IFERROR(VLOOKUP($B15,RD[[#All],[Date]:[IS4Inv2]],F$2,0)/F$1/_xlfn.XLOOKUP(Inv_SY_B12[[#This Row],[Date]],Daily_KPI[Date],Daily_KPI[POA-UP(KWh/m2)]),"")</f>
        <v>0.86586461265704484</v>
      </c>
      <c r="G15" s="333">
        <f ca="1">IFERROR(VLOOKUP($B15,RD[[#All],[Date]:[IS4Inv2]],G$2,0)/G$1/_xlfn.XLOOKUP(Inv_SY_B12[[#This Row],[Date]],Daily_KPI[Date],Daily_KPI[POA-UP(KWh/m2)]),"")</f>
        <v>0.87004733687932589</v>
      </c>
      <c r="H15" s="333">
        <f ca="1">IFERROR(VLOOKUP($B15,RD[[#All],[Date]:[IS4Inv2]],H$2,0)/H$1/_xlfn.XLOOKUP(Inv_SY_B12[[#This Row],[Date]],Daily_KPI[Date],Daily_KPI[POA-UP(KWh/m2)]),"")</f>
        <v>0.87211141010347593</v>
      </c>
      <c r="I15" s="333">
        <f ca="1">IFERROR(VLOOKUP($B15,RD[[#All],[Date]:[IS4Inv2]],I$2,0)/I$1/_xlfn.XLOOKUP(Inv_SY_B12[[#This Row],[Date]],Daily_KPI[Date],Daily_KPI[POA-UP(KWh/m2)]),"")</f>
        <v>0.87183399450717114</v>
      </c>
    </row>
    <row r="16" spans="2:9">
      <c r="B16" s="224">
        <f t="shared" ca="1" si="2"/>
        <v>45817</v>
      </c>
      <c r="C16" s="333">
        <f ca="1">IFERROR(VLOOKUP($B16,RD[[#All],[Date]:[IS4Inv2]],C$2,0)/C$1/_xlfn.XLOOKUP(Inv_SY_B12[[#This Row],[Date]],Daily_KPI[Date],Daily_KPI[POA-UP(KWh/m2)]),"")</f>
        <v>0.8441087771738105</v>
      </c>
      <c r="D16" s="333">
        <f ca="1">IFERROR(VLOOKUP($B16,RD[[#All],[Date]:[IS4Inv2]],D$2,0)/D$1/_xlfn.XLOOKUP(Inv_SY_B12[[#This Row],[Date]],Daily_KPI[Date],Daily_KPI[POA-UP(KWh/m2)]),"")</f>
        <v>0.84983165391336357</v>
      </c>
      <c r="E16" s="333">
        <f ca="1">IFERROR(VLOOKUP($B16,RD[[#All],[Date]:[IS4Inv2]],E$2,0)/E$1/_xlfn.XLOOKUP(Inv_SY_B12[[#This Row],[Date]],Daily_KPI[Date],Daily_KPI[POA-UP(KWh/m2)]),"")</f>
        <v>0.83372553205597855</v>
      </c>
      <c r="F16" s="333">
        <f ca="1">IFERROR(VLOOKUP($B16,RD[[#All],[Date]:[IS4Inv2]],F$2,0)/F$1/_xlfn.XLOOKUP(Inv_SY_B12[[#This Row],[Date]],Daily_KPI[Date],Daily_KPI[POA-UP(KWh/m2)]),"")</f>
        <v>0.8425737204687983</v>
      </c>
      <c r="G16" s="333">
        <f ca="1">IFERROR(VLOOKUP($B16,RD[[#All],[Date]:[IS4Inv2]],G$2,0)/G$1/_xlfn.XLOOKUP(Inv_SY_B12[[#This Row],[Date]],Daily_KPI[Date],Daily_KPI[POA-UP(KWh/m2)]),"")</f>
        <v>0.84003531649946372</v>
      </c>
      <c r="H16" s="333">
        <f ca="1">IFERROR(VLOOKUP($B16,RD[[#All],[Date]:[IS4Inv2]],H$2,0)/H$1/_xlfn.XLOOKUP(Inv_SY_B12[[#This Row],[Date]],Daily_KPI[Date],Daily_KPI[POA-UP(KWh/m2)]),"")</f>
        <v>0.86672888303323092</v>
      </c>
      <c r="I16" s="333">
        <f ca="1">IFERROR(VLOOKUP($B16,RD[[#All],[Date]:[IS4Inv2]],I$2,0)/I$1/_xlfn.XLOOKUP(Inv_SY_B12[[#This Row],[Date]],Daily_KPI[Date],Daily_KPI[POA-UP(KWh/m2)]),"")</f>
        <v>0.85791069111908691</v>
      </c>
    </row>
    <row r="17" spans="2:9">
      <c r="B17" s="224">
        <f t="shared" ca="1" si="2"/>
        <v>45818</v>
      </c>
      <c r="C17" s="333">
        <f ca="1">IFERROR(VLOOKUP($B17,RD[[#All],[Date]:[IS4Inv2]],C$2,0)/C$1/_xlfn.XLOOKUP(Inv_SY_B12[[#This Row],[Date]],Daily_KPI[Date],Daily_KPI[POA-UP(KWh/m2)]),"")</f>
        <v>0.88629127756604542</v>
      </c>
      <c r="D17" s="333">
        <f ca="1">IFERROR(VLOOKUP($B17,RD[[#All],[Date]:[IS4Inv2]],D$2,0)/D$1/_xlfn.XLOOKUP(Inv_SY_B12[[#This Row],[Date]],Daily_KPI[Date],Daily_KPI[POA-UP(KWh/m2)]),"")</f>
        <v>0.88485841792199216</v>
      </c>
      <c r="E17" s="333">
        <f ca="1">IFERROR(VLOOKUP($B17,RD[[#All],[Date]:[IS4Inv2]],E$2,0)/E$1/_xlfn.XLOOKUP(Inv_SY_B12[[#This Row],[Date]],Daily_KPI[Date],Daily_KPI[POA-UP(KWh/m2)]),"")</f>
        <v>0.87652719257816436</v>
      </c>
      <c r="F17" s="333">
        <f ca="1">IFERROR(VLOOKUP($B17,RD[[#All],[Date]:[IS4Inv2]],F$2,0)/F$1/_xlfn.XLOOKUP(Inv_SY_B12[[#This Row],[Date]],Daily_KPI[Date],Daily_KPI[POA-UP(KWh/m2)]),"")</f>
        <v>0.88540624571134907</v>
      </c>
      <c r="G17" s="333">
        <f ca="1">IFERROR(VLOOKUP($B17,RD[[#All],[Date]:[IS4Inv2]],G$2,0)/G$1/_xlfn.XLOOKUP(Inv_SY_B12[[#This Row],[Date]],Daily_KPI[Date],Daily_KPI[POA-UP(KWh/m2)]),"")</f>
        <v>0.88337470656550388</v>
      </c>
      <c r="H17" s="333">
        <f ca="1">IFERROR(VLOOKUP($B17,RD[[#All],[Date]:[IS4Inv2]],H$2,0)/H$1/_xlfn.XLOOKUP(Inv_SY_B12[[#This Row],[Date]],Daily_KPI[Date],Daily_KPI[POA-UP(KWh/m2)]),"")</f>
        <v>0.89773879771344267</v>
      </c>
      <c r="I17" s="333">
        <f ca="1">IFERROR(VLOOKUP($B17,RD[[#All],[Date]:[IS4Inv2]],I$2,0)/I$1/_xlfn.XLOOKUP(Inv_SY_B12[[#This Row],[Date]],Daily_KPI[Date],Daily_KPI[POA-UP(KWh/m2)]),"")</f>
        <v>0.89117367166302253</v>
      </c>
    </row>
    <row r="18" spans="2:9">
      <c r="B18" s="224">
        <f t="shared" ca="1" si="2"/>
        <v>45819</v>
      </c>
      <c r="C18" s="333">
        <f ca="1">IFERROR(VLOOKUP($B18,RD[[#All],[Date]:[IS4Inv2]],C$2,0)/C$1/_xlfn.XLOOKUP(Inv_SY_B12[[#This Row],[Date]],Daily_KPI[Date],Daily_KPI[POA-UP(KWh/m2)]),"")</f>
        <v>0.86703706322212515</v>
      </c>
      <c r="D18" s="333">
        <f ca="1">IFERROR(VLOOKUP($B18,RD[[#All],[Date]:[IS4Inv2]],D$2,0)/D$1/_xlfn.XLOOKUP(Inv_SY_B12[[#This Row],[Date]],Daily_KPI[Date],Daily_KPI[POA-UP(KWh/m2)]),"")</f>
        <v>0.86806921074697085</v>
      </c>
      <c r="E18" s="333">
        <f ca="1">IFERROR(VLOOKUP($B18,RD[[#All],[Date]:[IS4Inv2]],E$2,0)/E$1/_xlfn.XLOOKUP(Inv_SY_B12[[#This Row],[Date]],Daily_KPI[Date],Daily_KPI[POA-UP(KWh/m2)]),"")</f>
        <v>0.86338584250216355</v>
      </c>
      <c r="F18" s="333">
        <f ca="1">IFERROR(VLOOKUP($B18,RD[[#All],[Date]:[IS4Inv2]],F$2,0)/F$1/_xlfn.XLOOKUP(Inv_SY_B12[[#This Row],[Date]],Daily_KPI[Date],Daily_KPI[POA-UP(KWh/m2)]),"")</f>
        <v>0.87487952051366136</v>
      </c>
      <c r="G18" s="333">
        <f ca="1">IFERROR(VLOOKUP($B18,RD[[#All],[Date]:[IS4Inv2]],G$2,0)/G$1/_xlfn.XLOOKUP(Inv_SY_B12[[#This Row],[Date]],Daily_KPI[Date],Daily_KPI[POA-UP(KWh/m2)]),"")</f>
        <v>0.87786649573870779</v>
      </c>
      <c r="H18" s="333">
        <f ca="1">IFERROR(VLOOKUP($B18,RD[[#All],[Date]:[IS4Inv2]],H$2,0)/H$1/_xlfn.XLOOKUP(Inv_SY_B12[[#This Row],[Date]],Daily_KPI[Date],Daily_KPI[POA-UP(KWh/m2)]),"")</f>
        <v>0.87282968991121535</v>
      </c>
      <c r="I18" s="333">
        <f ca="1">IFERROR(VLOOKUP($B18,RD[[#All],[Date]:[IS4Inv2]],I$2,0)/I$1/_xlfn.XLOOKUP(Inv_SY_B12[[#This Row],[Date]],Daily_KPI[Date],Daily_KPI[POA-UP(KWh/m2)]),"")</f>
        <v>0.8670687233144414</v>
      </c>
    </row>
    <row r="19" spans="2:9">
      <c r="B19" s="224">
        <f t="shared" ca="1" si="2"/>
        <v>45820</v>
      </c>
      <c r="C19" s="333">
        <f ca="1">IFERROR(VLOOKUP($B19,RD[[#All],[Date]:[IS4Inv2]],C$2,0)/C$1/_xlfn.XLOOKUP(Inv_SY_B12[[#This Row],[Date]],Daily_KPI[Date],Daily_KPI[POA-UP(KWh/m2)]),"")</f>
        <v>0.85706166176302745</v>
      </c>
      <c r="D19" s="333">
        <f ca="1">IFERROR(VLOOKUP($B19,RD[[#All],[Date]:[IS4Inv2]],D$2,0)/D$1/_xlfn.XLOOKUP(Inv_SY_B12[[#This Row],[Date]],Daily_KPI[Date],Daily_KPI[POA-UP(KWh/m2)]),"")</f>
        <v>0.86346537285148206</v>
      </c>
      <c r="E19" s="333">
        <f ca="1">IFERROR(VLOOKUP($B19,RD[[#All],[Date]:[IS4Inv2]],E$2,0)/E$1/_xlfn.XLOOKUP(Inv_SY_B12[[#This Row],[Date]],Daily_KPI[Date],Daily_KPI[POA-UP(KWh/m2)]),"")</f>
        <v>0.84242288887494576</v>
      </c>
      <c r="F19" s="333">
        <f ca="1">IFERROR(VLOOKUP($B19,RD[[#All],[Date]:[IS4Inv2]],F$2,0)/F$1/_xlfn.XLOOKUP(Inv_SY_B12[[#This Row],[Date]],Daily_KPI[Date],Daily_KPI[POA-UP(KWh/m2)]),"")</f>
        <v>0.85830997503133044</v>
      </c>
      <c r="G19" s="333">
        <f ca="1">IFERROR(VLOOKUP($B19,RD[[#All],[Date]:[IS4Inv2]],G$2,0)/G$1/_xlfn.XLOOKUP(Inv_SY_B12[[#This Row],[Date]],Daily_KPI[Date],Daily_KPI[POA-UP(KWh/m2)]),"")</f>
        <v>0.87410437501935523</v>
      </c>
      <c r="H19" s="333">
        <f ca="1">IFERROR(VLOOKUP($B19,RD[[#All],[Date]:[IS4Inv2]],H$2,0)/H$1/_xlfn.XLOOKUP(Inv_SY_B12[[#This Row],[Date]],Daily_KPI[Date],Daily_KPI[POA-UP(KWh/m2)]),"")</f>
        <v>0.89352328705776973</v>
      </c>
      <c r="I19" s="333">
        <f ca="1">IFERROR(VLOOKUP($B19,RD[[#All],[Date]:[IS4Inv2]],I$2,0)/I$1/_xlfn.XLOOKUP(Inv_SY_B12[[#This Row],[Date]],Daily_KPI[Date],Daily_KPI[POA-UP(KWh/m2)]),"")</f>
        <v>0.89307545902373486</v>
      </c>
    </row>
    <row r="20" spans="2:9">
      <c r="B20" s="224">
        <f t="shared" ca="1" si="2"/>
        <v>45821</v>
      </c>
      <c r="C20" s="333">
        <f ca="1">IFERROR(VLOOKUP($B20,RD[[#All],[Date]:[IS4Inv2]],C$2,0)/C$1/_xlfn.XLOOKUP(Inv_SY_B12[[#This Row],[Date]],Daily_KPI[Date],Daily_KPI[POA-UP(KWh/m2)]),"")</f>
        <v>0.84494705354078181</v>
      </c>
      <c r="D20" s="333">
        <f ca="1">IFERROR(VLOOKUP($B20,RD[[#All],[Date]:[IS4Inv2]],D$2,0)/D$1/_xlfn.XLOOKUP(Inv_SY_B12[[#This Row],[Date]],Daily_KPI[Date],Daily_KPI[POA-UP(KWh/m2)]),"")</f>
        <v>0.8416610496537722</v>
      </c>
      <c r="E20" s="333">
        <f ca="1">IFERROR(VLOOKUP($B20,RD[[#All],[Date]:[IS4Inv2]],E$2,0)/E$1/_xlfn.XLOOKUP(Inv_SY_B12[[#This Row],[Date]],Daily_KPI[Date],Daily_KPI[POA-UP(KWh/m2)]),"")</f>
        <v>0.84916632650603929</v>
      </c>
      <c r="F20" s="333">
        <f ca="1">IFERROR(VLOOKUP($B20,RD[[#All],[Date]:[IS4Inv2]],F$2,0)/F$1/_xlfn.XLOOKUP(Inv_SY_B12[[#This Row],[Date]],Daily_KPI[Date],Daily_KPI[POA-UP(KWh/m2)]),"")</f>
        <v>0.85845155281240171</v>
      </c>
      <c r="G20" s="333">
        <f ca="1">IFERROR(VLOOKUP($B20,RD[[#All],[Date]:[IS4Inv2]],G$2,0)/G$1/_xlfn.XLOOKUP(Inv_SY_B12[[#This Row],[Date]],Daily_KPI[Date],Daily_KPI[POA-UP(KWh/m2)]),"")</f>
        <v>0.86240791396354999</v>
      </c>
      <c r="H20" s="333">
        <f ca="1">IFERROR(VLOOKUP($B20,RD[[#All],[Date]:[IS4Inv2]],H$2,0)/H$1/_xlfn.XLOOKUP(Inv_SY_B12[[#This Row],[Date]],Daily_KPI[Date],Daily_KPI[POA-UP(KWh/m2)]),"")</f>
        <v>0.84577029666984693</v>
      </c>
      <c r="I20" s="333">
        <f ca="1">IFERROR(VLOOKUP($B20,RD[[#All],[Date]:[IS4Inv2]],I$2,0)/I$1/_xlfn.XLOOKUP(Inv_SY_B12[[#This Row],[Date]],Daily_KPI[Date],Daily_KPI[POA-UP(KWh/m2)]),"")</f>
        <v>0.8561790533304775</v>
      </c>
    </row>
    <row r="21" spans="2:9">
      <c r="B21" s="224">
        <f t="shared" ca="1" si="2"/>
        <v>45822</v>
      </c>
      <c r="C21" s="333">
        <f ca="1">IFERROR(VLOOKUP($B21,RD[[#All],[Date]:[IS4Inv2]],C$2,0)/C$1/_xlfn.XLOOKUP(Inv_SY_B12[[#This Row],[Date]],Daily_KPI[Date],Daily_KPI[POA-UP(KWh/m2)]),"")</f>
        <v>0.84357199413044215</v>
      </c>
      <c r="D21" s="333">
        <f ca="1">IFERROR(VLOOKUP($B21,RD[[#All],[Date]:[IS4Inv2]],D$2,0)/D$1/_xlfn.XLOOKUP(Inv_SY_B12[[#This Row],[Date]],Daily_KPI[Date],Daily_KPI[POA-UP(KWh/m2)]),"")</f>
        <v>0.83374173588062128</v>
      </c>
      <c r="E21" s="333">
        <f ca="1">IFERROR(VLOOKUP($B21,RD[[#All],[Date]:[IS4Inv2]],E$2,0)/E$1/_xlfn.XLOOKUP(Inv_SY_B12[[#This Row],[Date]],Daily_KPI[Date],Daily_KPI[POA-UP(KWh/m2)]),"")</f>
        <v>0.82339475136396356</v>
      </c>
      <c r="F21" s="333">
        <f ca="1">IFERROR(VLOOKUP($B21,RD[[#All],[Date]:[IS4Inv2]],F$2,0)/F$1/_xlfn.XLOOKUP(Inv_SY_B12[[#This Row],[Date]],Daily_KPI[Date],Daily_KPI[POA-UP(KWh/m2)]),"")</f>
        <v>0.82696324553632028</v>
      </c>
      <c r="G21" s="333">
        <f ca="1">IFERROR(VLOOKUP($B21,RD[[#All],[Date]:[IS4Inv2]],G$2,0)/G$1/_xlfn.XLOOKUP(Inv_SY_B12[[#This Row],[Date]],Daily_KPI[Date],Daily_KPI[POA-UP(KWh/m2)]),"")</f>
        <v>0.81842900217261472</v>
      </c>
      <c r="H21" s="333">
        <f ca="1">IFERROR(VLOOKUP($B21,RD[[#All],[Date]:[IS4Inv2]],H$2,0)/H$1/_xlfn.XLOOKUP(Inv_SY_B12[[#This Row],[Date]],Daily_KPI[Date],Daily_KPI[POA-UP(KWh/m2)]),"")</f>
        <v>0.86092933646812952</v>
      </c>
      <c r="I21" s="333">
        <f ca="1">IFERROR(VLOOKUP($B21,RD[[#All],[Date]:[IS4Inv2]],I$2,0)/I$1/_xlfn.XLOOKUP(Inv_SY_B12[[#This Row],[Date]],Daily_KPI[Date],Daily_KPI[POA-UP(KWh/m2)]),"")</f>
        <v>0.84758032915360504</v>
      </c>
    </row>
    <row r="22" spans="2:9">
      <c r="B22" s="224">
        <f t="shared" ca="1" si="2"/>
        <v>45823</v>
      </c>
      <c r="C22" s="333">
        <f ca="1">IFERROR(VLOOKUP($B22,RD[[#All],[Date]:[IS4Inv2]],C$2,0)/C$1/_xlfn.XLOOKUP(Inv_SY_B12[[#This Row],[Date]],Daily_KPI[Date],Daily_KPI[POA-UP(KWh/m2)]),"")</f>
        <v>0.79162275512090496</v>
      </c>
      <c r="D22" s="333">
        <f ca="1">IFERROR(VLOOKUP($B22,RD[[#All],[Date]:[IS4Inv2]],D$2,0)/D$1/_xlfn.XLOOKUP(Inv_SY_B12[[#This Row],[Date]],Daily_KPI[Date],Daily_KPI[POA-UP(KWh/m2)]),"")</f>
        <v>0.80660742377741068</v>
      </c>
      <c r="E22" s="333">
        <f ca="1">IFERROR(VLOOKUP($B22,RD[[#All],[Date]:[IS4Inv2]],E$2,0)/E$1/_xlfn.XLOOKUP(Inv_SY_B12[[#This Row],[Date]],Daily_KPI[Date],Daily_KPI[POA-UP(KWh/m2)]),"")</f>
        <v>0.7849848890290958</v>
      </c>
      <c r="F22" s="333">
        <f ca="1">IFERROR(VLOOKUP($B22,RD[[#All],[Date]:[IS4Inv2]],F$2,0)/F$1/_xlfn.XLOOKUP(Inv_SY_B12[[#This Row],[Date]],Daily_KPI[Date],Daily_KPI[POA-UP(KWh/m2)]),"")</f>
        <v>0.80573749487032631</v>
      </c>
      <c r="G22" s="333">
        <f ca="1">IFERROR(VLOOKUP($B22,RD[[#All],[Date]:[IS4Inv2]],G$2,0)/G$1/_xlfn.XLOOKUP(Inv_SY_B12[[#This Row],[Date]],Daily_KPI[Date],Daily_KPI[POA-UP(KWh/m2)]),"")</f>
        <v>0.84294348098348881</v>
      </c>
      <c r="H22" s="333">
        <f ca="1">IFERROR(VLOOKUP($B22,RD[[#All],[Date]:[IS4Inv2]],H$2,0)/H$1/_xlfn.XLOOKUP(Inv_SY_B12[[#This Row],[Date]],Daily_KPI[Date],Daily_KPI[POA-UP(KWh/m2)]),"")</f>
        <v>0.84602645021931555</v>
      </c>
      <c r="I22" s="333">
        <f ca="1">IFERROR(VLOOKUP($B22,RD[[#All],[Date]:[IS4Inv2]],I$2,0)/I$1/_xlfn.XLOOKUP(Inv_SY_B12[[#This Row],[Date]],Daily_KPI[Date],Daily_KPI[POA-UP(KWh/m2)]),"")</f>
        <v>0.84351440141035749</v>
      </c>
    </row>
    <row r="23" spans="2:9">
      <c r="B23" s="224">
        <f t="shared" ca="1" si="2"/>
        <v>45824</v>
      </c>
      <c r="C23" s="333">
        <f ca="1">IFERROR(VLOOKUP($B23,RD[[#All],[Date]:[IS4Inv2]],C$2,0)/C$1/_xlfn.XLOOKUP(Inv_SY_B12[[#This Row],[Date]],Daily_KPI[Date],Daily_KPI[POA-UP(KWh/m2)]),"")</f>
        <v>0.8647023078004672</v>
      </c>
      <c r="D23" s="333">
        <f ca="1">IFERROR(VLOOKUP($B23,RD[[#All],[Date]:[IS4Inv2]],D$2,0)/D$1/_xlfn.XLOOKUP(Inv_SY_B12[[#This Row],[Date]],Daily_KPI[Date],Daily_KPI[POA-UP(KWh/m2)]),"")</f>
        <v>0.87344688012788108</v>
      </c>
      <c r="E23" s="333">
        <f ca="1">IFERROR(VLOOKUP($B23,RD[[#All],[Date]:[IS4Inv2]],E$2,0)/E$1/_xlfn.XLOOKUP(Inv_SY_B12[[#This Row],[Date]],Daily_KPI[Date],Daily_KPI[POA-UP(KWh/m2)]),"")</f>
        <v>0.86233105100239393</v>
      </c>
      <c r="F23" s="333">
        <f ca="1">IFERROR(VLOOKUP($B23,RD[[#All],[Date]:[IS4Inv2]],F$2,0)/F$1/_xlfn.XLOOKUP(Inv_SY_B12[[#This Row],[Date]],Daily_KPI[Date],Daily_KPI[POA-UP(KWh/m2)]),"")</f>
        <v>0.87633760043459641</v>
      </c>
      <c r="G23" s="333">
        <f ca="1">IFERROR(VLOOKUP($B23,RD[[#All],[Date]:[IS4Inv2]],G$2,0)/G$1/_xlfn.XLOOKUP(Inv_SY_B12[[#This Row],[Date]],Daily_KPI[Date],Daily_KPI[POA-UP(KWh/m2)]),"")</f>
        <v>0.8745120973361048</v>
      </c>
      <c r="H23" s="333">
        <f ca="1">IFERROR(VLOOKUP($B23,RD[[#All],[Date]:[IS4Inv2]],H$2,0)/H$1/_xlfn.XLOOKUP(Inv_SY_B12[[#This Row],[Date]],Daily_KPI[Date],Daily_KPI[POA-UP(KWh/m2)]),"")</f>
        <v>0.88611427757195782</v>
      </c>
      <c r="I23" s="333">
        <f ca="1">IFERROR(VLOOKUP($B23,RD[[#All],[Date]:[IS4Inv2]],I$2,0)/I$1/_xlfn.XLOOKUP(Inv_SY_B12[[#This Row],[Date]],Daily_KPI[Date],Daily_KPI[POA-UP(KWh/m2)]),"")</f>
        <v>0.87596720985863197</v>
      </c>
    </row>
    <row r="24" spans="2:9">
      <c r="B24" s="224">
        <f t="shared" ca="1" si="2"/>
        <v>45825</v>
      </c>
      <c r="C24" s="333">
        <f ca="1">IFERROR(VLOOKUP($B24,RD[[#All],[Date]:[IS4Inv2]],C$2,0)/C$1/_xlfn.XLOOKUP(Inv_SY_B12[[#This Row],[Date]],Daily_KPI[Date],Daily_KPI[POA-UP(KWh/m2)]),"")</f>
        <v>0.84194523066433447</v>
      </c>
      <c r="D24" s="333">
        <f ca="1">IFERROR(VLOOKUP($B24,RD[[#All],[Date]:[IS4Inv2]],D$2,0)/D$1/_xlfn.XLOOKUP(Inv_SY_B12[[#This Row],[Date]],Daily_KPI[Date],Daily_KPI[POA-UP(KWh/m2)]),"")</f>
        <v>0.84978478457892515</v>
      </c>
      <c r="E24" s="333">
        <f ca="1">IFERROR(VLOOKUP($B24,RD[[#All],[Date]:[IS4Inv2]],E$2,0)/E$1/_xlfn.XLOOKUP(Inv_SY_B12[[#This Row],[Date]],Daily_KPI[Date],Daily_KPI[POA-UP(KWh/m2)]),"")</f>
        <v>0.82397405138986901</v>
      </c>
      <c r="F24" s="333">
        <f ca="1">IFERROR(VLOOKUP($B24,RD[[#All],[Date]:[IS4Inv2]],F$2,0)/F$1/_xlfn.XLOOKUP(Inv_SY_B12[[#This Row],[Date]],Daily_KPI[Date],Daily_KPI[POA-UP(KWh/m2)]),"")</f>
        <v>0.83419243555286826</v>
      </c>
      <c r="G24" s="333">
        <f ca="1">IFERROR(VLOOKUP($B24,RD[[#All],[Date]:[IS4Inv2]],G$2,0)/G$1/_xlfn.XLOOKUP(Inv_SY_B12[[#This Row],[Date]],Daily_KPI[Date],Daily_KPI[POA-UP(KWh/m2)]),"")</f>
        <v>0.84480510223756344</v>
      </c>
      <c r="H24" s="333">
        <f ca="1">IFERROR(VLOOKUP($B24,RD[[#All],[Date]:[IS4Inv2]],H$2,0)/H$1/_xlfn.XLOOKUP(Inv_SY_B12[[#This Row],[Date]],Daily_KPI[Date],Daily_KPI[POA-UP(KWh/m2)]),"")</f>
        <v>0.88353470386493849</v>
      </c>
      <c r="I24" s="333">
        <f ca="1">IFERROR(VLOOKUP($B24,RD[[#All],[Date]:[IS4Inv2]],I$2,0)/I$1/_xlfn.XLOOKUP(Inv_SY_B12[[#This Row],[Date]],Daily_KPI[Date],Daily_KPI[POA-UP(KWh/m2)]),"")</f>
        <v>0.87464745826004064</v>
      </c>
    </row>
    <row r="25" spans="2:9">
      <c r="B25" s="224">
        <f t="shared" ca="1" si="2"/>
        <v>45826</v>
      </c>
      <c r="C25" s="333">
        <f ca="1">IFERROR(VLOOKUP($B25,RD[[#All],[Date]:[IS4Inv2]],C$2,0)/C$1/_xlfn.XLOOKUP(Inv_SY_B12[[#This Row],[Date]],Daily_KPI[Date],Daily_KPI[POA-UP(KWh/m2)]),"")</f>
        <v>0.86797508062011086</v>
      </c>
      <c r="D25" s="333">
        <f ca="1">IFERROR(VLOOKUP($B25,RD[[#All],[Date]:[IS4Inv2]],D$2,0)/D$1/_xlfn.XLOOKUP(Inv_SY_B12[[#This Row],[Date]],Daily_KPI[Date],Daily_KPI[POA-UP(KWh/m2)]),"")</f>
        <v>0.86945757951056102</v>
      </c>
      <c r="E25" s="333">
        <f ca="1">IFERROR(VLOOKUP($B25,RD[[#All],[Date]:[IS4Inv2]],E$2,0)/E$1/_xlfn.XLOOKUP(Inv_SY_B12[[#This Row],[Date]],Daily_KPI[Date],Daily_KPI[POA-UP(KWh/m2)]),"")</f>
        <v>0.86944345835374592</v>
      </c>
      <c r="F25" s="333">
        <f ca="1">IFERROR(VLOOKUP($B25,RD[[#All],[Date]:[IS4Inv2]],F$2,0)/F$1/_xlfn.XLOOKUP(Inv_SY_B12[[#This Row],[Date]],Daily_KPI[Date],Daily_KPI[POA-UP(KWh/m2)]),"")</f>
        <v>0.88127457108858231</v>
      </c>
      <c r="G25" s="333">
        <f ca="1">IFERROR(VLOOKUP($B25,RD[[#All],[Date]:[IS4Inv2]],G$2,0)/G$1/_xlfn.XLOOKUP(Inv_SY_B12[[#This Row],[Date]],Daily_KPI[Date],Daily_KPI[POA-UP(KWh/m2)]),"")</f>
        <v>0.88886979988610282</v>
      </c>
      <c r="H25" s="333">
        <f ca="1">IFERROR(VLOOKUP($B25,RD[[#All],[Date]:[IS4Inv2]],H$2,0)/H$1/_xlfn.XLOOKUP(Inv_SY_B12[[#This Row],[Date]],Daily_KPI[Date],Daily_KPI[POA-UP(KWh/m2)]),"")</f>
        <v>0.88093079620846015</v>
      </c>
      <c r="I25" s="333">
        <f ca="1">IFERROR(VLOOKUP($B25,RD[[#All],[Date]:[IS4Inv2]],I$2,0)/I$1/_xlfn.XLOOKUP(Inv_SY_B12[[#This Row],[Date]],Daily_KPI[Date],Daily_KPI[POA-UP(KWh/m2)]),"")</f>
        <v>0.88040491738583315</v>
      </c>
    </row>
    <row r="26" spans="2:9">
      <c r="B26" s="224">
        <f t="shared" ca="1" si="2"/>
        <v>45827</v>
      </c>
      <c r="C26" s="333">
        <f ca="1">IFERROR(VLOOKUP($B26,RD[[#All],[Date]:[IS4Inv2]],C$2,0)/C$1/_xlfn.XLOOKUP(Inv_SY_B12[[#This Row],[Date]],Daily_KPI[Date],Daily_KPI[POA-UP(KWh/m2)]),"")</f>
        <v>0.84852796191017865</v>
      </c>
      <c r="D26" s="333">
        <f ca="1">IFERROR(VLOOKUP($B26,RD[[#All],[Date]:[IS4Inv2]],D$2,0)/D$1/_xlfn.XLOOKUP(Inv_SY_B12[[#This Row],[Date]],Daily_KPI[Date],Daily_KPI[POA-UP(KWh/m2)]),"")</f>
        <v>0.85246646482022093</v>
      </c>
      <c r="E26" s="333">
        <f ca="1">IFERROR(VLOOKUP($B26,RD[[#All],[Date]:[IS4Inv2]],E$2,0)/E$1/_xlfn.XLOOKUP(Inv_SY_B12[[#This Row],[Date]],Daily_KPI[Date],Daily_KPI[POA-UP(KWh/m2)]),"")</f>
        <v>0.83449753125522541</v>
      </c>
      <c r="F26" s="333">
        <f ca="1">IFERROR(VLOOKUP($B26,RD[[#All],[Date]:[IS4Inv2]],F$2,0)/F$1/_xlfn.XLOOKUP(Inv_SY_B12[[#This Row],[Date]],Daily_KPI[Date],Daily_KPI[POA-UP(KWh/m2)]),"")</f>
        <v>0.84333534896060747</v>
      </c>
      <c r="G26" s="333">
        <f ca="1">IFERROR(VLOOKUP($B26,RD[[#All],[Date]:[IS4Inv2]],G$2,0)/G$1/_xlfn.XLOOKUP(Inv_SY_B12[[#This Row],[Date]],Daily_KPI[Date],Daily_KPI[POA-UP(KWh/m2)]),"")</f>
        <v>0.8527571899653914</v>
      </c>
      <c r="H26" s="333">
        <f ca="1">IFERROR(VLOOKUP($B26,RD[[#All],[Date]:[IS4Inv2]],H$2,0)/H$1/_xlfn.XLOOKUP(Inv_SY_B12[[#This Row],[Date]],Daily_KPI[Date],Daily_KPI[POA-UP(KWh/m2)]),"")</f>
        <v>0.87566844919786102</v>
      </c>
      <c r="I26" s="333">
        <f ca="1">IFERROR(VLOOKUP($B26,RD[[#All],[Date]:[IS4Inv2]],I$2,0)/I$1/_xlfn.XLOOKUP(Inv_SY_B12[[#This Row],[Date]],Daily_KPI[Date],Daily_KPI[POA-UP(KWh/m2)]),"")</f>
        <v>0.8713841608607461</v>
      </c>
    </row>
    <row r="27" spans="2:9">
      <c r="B27" s="224">
        <f t="shared" ca="1" si="2"/>
        <v>45828</v>
      </c>
      <c r="C27" s="333">
        <f ca="1">IFERROR(VLOOKUP($B27,RD[[#All],[Date]:[IS4Inv2]],C$2,0)/C$1/_xlfn.XLOOKUP(Inv_SY_B12[[#This Row],[Date]],Daily_KPI[Date],Daily_KPI[POA-UP(KWh/m2)]),"")</f>
        <v>0.83548593829739182</v>
      </c>
      <c r="D27" s="333">
        <f ca="1">IFERROR(VLOOKUP($B27,RD[[#All],[Date]:[IS4Inv2]],D$2,0)/D$1/_xlfn.XLOOKUP(Inv_SY_B12[[#This Row],[Date]],Daily_KPI[Date],Daily_KPI[POA-UP(KWh/m2)]),"")</f>
        <v>0.84008690152391341</v>
      </c>
      <c r="E27" s="333">
        <f ca="1">IFERROR(VLOOKUP($B27,RD[[#All],[Date]:[IS4Inv2]],E$2,0)/E$1/_xlfn.XLOOKUP(Inv_SY_B12[[#This Row],[Date]],Daily_KPI[Date],Daily_KPI[POA-UP(KWh/m2)]),"")</f>
        <v>0.82751794435720194</v>
      </c>
      <c r="F27" s="333">
        <f ca="1">IFERROR(VLOOKUP($B27,RD[[#All],[Date]:[IS4Inv2]],F$2,0)/F$1/_xlfn.XLOOKUP(Inv_SY_B12[[#This Row],[Date]],Daily_KPI[Date],Daily_KPI[POA-UP(KWh/m2)]),"")</f>
        <v>0.83345155089569523</v>
      </c>
      <c r="G27" s="333">
        <f ca="1">IFERROR(VLOOKUP($B27,RD[[#All],[Date]:[IS4Inv2]],G$2,0)/G$1/_xlfn.XLOOKUP(Inv_SY_B12[[#This Row],[Date]],Daily_KPI[Date],Daily_KPI[POA-UP(KWh/m2)]),"")</f>
        <v>0.84628733051087701</v>
      </c>
      <c r="H27" s="333">
        <f ca="1">IFERROR(VLOOKUP($B27,RD[[#All],[Date]:[IS4Inv2]],H$2,0)/H$1/_xlfn.XLOOKUP(Inv_SY_B12[[#This Row],[Date]],Daily_KPI[Date],Daily_KPI[POA-UP(KWh/m2)]),"")</f>
        <v>0.87435181823295682</v>
      </c>
      <c r="I27" s="333">
        <f ca="1">IFERROR(VLOOKUP($B27,RD[[#All],[Date]:[IS4Inv2]],I$2,0)/I$1/_xlfn.XLOOKUP(Inv_SY_B12[[#This Row],[Date]],Daily_KPI[Date],Daily_KPI[POA-UP(KWh/m2)]),"")</f>
        <v>0.87141134867832282</v>
      </c>
    </row>
    <row r="28" spans="2:9">
      <c r="B28" s="224">
        <f t="shared" ca="1" si="2"/>
        <v>45829</v>
      </c>
      <c r="C28" s="333">
        <f ca="1">IFERROR(VLOOKUP($B28,RD[[#All],[Date]:[IS4Inv2]],C$2,0)/C$1/_xlfn.XLOOKUP(Inv_SY_B12[[#This Row],[Date]],Daily_KPI[Date],Daily_KPI[POA-UP(KWh/m2)]),"")</f>
        <v>0.84725586268033937</v>
      </c>
      <c r="D28" s="333">
        <f ca="1">IFERROR(VLOOKUP($B28,RD[[#All],[Date]:[IS4Inv2]],D$2,0)/D$1/_xlfn.XLOOKUP(Inv_SY_B12[[#This Row],[Date]],Daily_KPI[Date],Daily_KPI[POA-UP(KWh/m2)]),"")</f>
        <v>0.85269521082531985</v>
      </c>
      <c r="E28" s="333">
        <f ca="1">IFERROR(VLOOKUP($B28,RD[[#All],[Date]:[IS4Inv2]],E$2,0)/E$1/_xlfn.XLOOKUP(Inv_SY_B12[[#This Row],[Date]],Daily_KPI[Date],Daily_KPI[POA-UP(KWh/m2)]),"")</f>
        <v>0.83232137648971083</v>
      </c>
      <c r="F28" s="333">
        <f ca="1">IFERROR(VLOOKUP($B28,RD[[#All],[Date]:[IS4Inv2]],F$2,0)/F$1/_xlfn.XLOOKUP(Inv_SY_B12[[#This Row],[Date]],Daily_KPI[Date],Daily_KPI[POA-UP(KWh/m2)]),"")</f>
        <v>0.84205957602447945</v>
      </c>
      <c r="G28" s="333">
        <f ca="1">IFERROR(VLOOKUP($B28,RD[[#All],[Date]:[IS4Inv2]],G$2,0)/G$1/_xlfn.XLOOKUP(Inv_SY_B12[[#This Row],[Date]],Daily_KPI[Date],Daily_KPI[POA-UP(KWh/m2)]),"")</f>
        <v>0.8524804165896297</v>
      </c>
      <c r="H28" s="333">
        <f ca="1">IFERROR(VLOOKUP($B28,RD[[#All],[Date]:[IS4Inv2]],H$2,0)/H$1/_xlfn.XLOOKUP(Inv_SY_B12[[#This Row],[Date]],Daily_KPI[Date],Daily_KPI[POA-UP(KWh/m2)]),"")</f>
        <v>0.88537795301037403</v>
      </c>
      <c r="I28" s="333">
        <f ca="1">IFERROR(VLOOKUP($B28,RD[[#All],[Date]:[IS4Inv2]],I$2,0)/I$1/_xlfn.XLOOKUP(Inv_SY_B12[[#This Row],[Date]],Daily_KPI[Date],Daily_KPI[POA-UP(KWh/m2)]),"")</f>
        <v>0.88162104514752937</v>
      </c>
    </row>
    <row r="29" spans="2:9">
      <c r="B29" s="224">
        <f t="shared" ca="1" si="2"/>
        <v>45830</v>
      </c>
      <c r="C29" s="333">
        <f ca="1">IFERROR(VLOOKUP($B29,RD[[#All],[Date]:[IS4Inv2]],C$2,0)/C$1/_xlfn.XLOOKUP(Inv_SY_B12[[#This Row],[Date]],Daily_KPI[Date],Daily_KPI[POA-UP(KWh/m2)]),"")</f>
        <v>0.8733997598817248</v>
      </c>
      <c r="D29" s="333">
        <f ca="1">IFERROR(VLOOKUP($B29,RD[[#All],[Date]:[IS4Inv2]],D$2,0)/D$1/_xlfn.XLOOKUP(Inv_SY_B12[[#This Row],[Date]],Daily_KPI[Date],Daily_KPI[POA-UP(KWh/m2)]),"")</f>
        <v>0.87194228192303236</v>
      </c>
      <c r="E29" s="333">
        <f ca="1">IFERROR(VLOOKUP($B29,RD[[#All],[Date]:[IS4Inv2]],E$2,0)/E$1/_xlfn.XLOOKUP(Inv_SY_B12[[#This Row],[Date]],Daily_KPI[Date],Daily_KPI[POA-UP(KWh/m2)]),"")</f>
        <v>0.85593311913482184</v>
      </c>
      <c r="F29" s="333">
        <f ca="1">IFERROR(VLOOKUP($B29,RD[[#All],[Date]:[IS4Inv2]],F$2,0)/F$1/_xlfn.XLOOKUP(Inv_SY_B12[[#This Row],[Date]],Daily_KPI[Date],Daily_KPI[POA-UP(KWh/m2)]),"")</f>
        <v>0.86469826457864973</v>
      </c>
      <c r="G29" s="333">
        <f ca="1">IFERROR(VLOOKUP($B29,RD[[#All],[Date]:[IS4Inv2]],G$2,0)/G$1/_xlfn.XLOOKUP(Inv_SY_B12[[#This Row],[Date]],Daily_KPI[Date],Daily_KPI[POA-UP(KWh/m2)]),"")</f>
        <v>0.86423638078070542</v>
      </c>
      <c r="H29" s="333">
        <f ca="1">IFERROR(VLOOKUP($B29,RD[[#All],[Date]:[IS4Inv2]],H$2,0)/H$1/_xlfn.XLOOKUP(Inv_SY_B12[[#This Row],[Date]],Daily_KPI[Date],Daily_KPI[POA-UP(KWh/m2)]),"")</f>
        <v>0.89393345682530623</v>
      </c>
      <c r="I29" s="333">
        <f ca="1">IFERROR(VLOOKUP($B29,RD[[#All],[Date]:[IS4Inv2]],I$2,0)/I$1/_xlfn.XLOOKUP(Inv_SY_B12[[#This Row],[Date]],Daily_KPI[Date],Daily_KPI[POA-UP(KWh/m2)]),"")</f>
        <v>0.88785533627814173</v>
      </c>
    </row>
    <row r="30" spans="2:9">
      <c r="B30" s="224">
        <f t="shared" ca="1" si="2"/>
        <v>45831</v>
      </c>
      <c r="C30" s="333">
        <f ca="1">IFERROR(VLOOKUP($B30,RD[[#All],[Date]:[IS4Inv2]],C$2,0)/C$1/_xlfn.XLOOKUP(Inv_SY_B12[[#This Row],[Date]],Daily_KPI[Date],Daily_KPI[POA-UP(KWh/m2)]),"")</f>
        <v>0.91868480747568426</v>
      </c>
      <c r="D30" s="333">
        <f ca="1">IFERROR(VLOOKUP($B30,RD[[#All],[Date]:[IS4Inv2]],D$2,0)/D$1/_xlfn.XLOOKUP(Inv_SY_B12[[#This Row],[Date]],Daily_KPI[Date],Daily_KPI[POA-UP(KWh/m2)]),"")</f>
        <v>0.92786926415407256</v>
      </c>
      <c r="E30" s="333">
        <f ca="1">IFERROR(VLOOKUP($B30,RD[[#All],[Date]:[IS4Inv2]],E$2,0)/E$1/_xlfn.XLOOKUP(Inv_SY_B12[[#This Row],[Date]],Daily_KPI[Date],Daily_KPI[POA-UP(KWh/m2)]),"")</f>
        <v>0.9162390133695415</v>
      </c>
      <c r="F30" s="333">
        <f ca="1">IFERROR(VLOOKUP($B30,RD[[#All],[Date]:[IS4Inv2]],F$2,0)/F$1/_xlfn.XLOOKUP(Inv_SY_B12[[#This Row],[Date]],Daily_KPI[Date],Daily_KPI[POA-UP(KWh/m2)]),"")</f>
        <v>0.931545526953657</v>
      </c>
      <c r="G30" s="333">
        <f ca="1">IFERROR(VLOOKUP($B30,RD[[#All],[Date]:[IS4Inv2]],G$2,0)/G$1/_xlfn.XLOOKUP(Inv_SY_B12[[#This Row],[Date]],Daily_KPI[Date],Daily_KPI[POA-UP(KWh/m2)]),"")</f>
        <v>0.92795253599190997</v>
      </c>
      <c r="H30" s="333">
        <f ca="1">IFERROR(VLOOKUP($B30,RD[[#All],[Date]:[IS4Inv2]],H$2,0)/H$1/_xlfn.XLOOKUP(Inv_SY_B12[[#This Row],[Date]],Daily_KPI[Date],Daily_KPI[POA-UP(KWh/m2)]),"")</f>
        <v>0.93470448811071172</v>
      </c>
      <c r="I30" s="333">
        <f ca="1">IFERROR(VLOOKUP($B30,RD[[#All],[Date]:[IS4Inv2]],I$2,0)/I$1/_xlfn.XLOOKUP(Inv_SY_B12[[#This Row],[Date]],Daily_KPI[Date],Daily_KPI[POA-UP(KWh/m2)]),"")</f>
        <v>0.93297051980819845</v>
      </c>
    </row>
    <row r="31" spans="2:9">
      <c r="B31" s="224">
        <f t="shared" ca="1" si="2"/>
        <v>45832</v>
      </c>
      <c r="C31" s="333">
        <f ca="1">IFERROR(VLOOKUP($B31,RD[[#All],[Date]:[IS4Inv2]],C$2,0)/C$1/_xlfn.XLOOKUP(Inv_SY_B12[[#This Row],[Date]],Daily_KPI[Date],Daily_KPI[POA-UP(KWh/m2)]),"")</f>
        <v>0.87411407448946155</v>
      </c>
      <c r="D31" s="333">
        <f ca="1">IFERROR(VLOOKUP($B31,RD[[#All],[Date]:[IS4Inv2]],D$2,0)/D$1/_xlfn.XLOOKUP(Inv_SY_B12[[#This Row],[Date]],Daily_KPI[Date],Daily_KPI[POA-UP(KWh/m2)]),"")</f>
        <v>0.87895965810146204</v>
      </c>
      <c r="E31" s="333">
        <f ca="1">IFERROR(VLOOKUP($B31,RD[[#All],[Date]:[IS4Inv2]],E$2,0)/E$1/_xlfn.XLOOKUP(Inv_SY_B12[[#This Row],[Date]],Daily_KPI[Date],Daily_KPI[POA-UP(KWh/m2)]),"")</f>
        <v>0.86026092481740413</v>
      </c>
      <c r="F31" s="333">
        <f ca="1">IFERROR(VLOOKUP($B31,RD[[#All],[Date]:[IS4Inv2]],F$2,0)/F$1/_xlfn.XLOOKUP(Inv_SY_B12[[#This Row],[Date]],Daily_KPI[Date],Daily_KPI[POA-UP(KWh/m2)]),"")</f>
        <v>0.8703881736353114</v>
      </c>
      <c r="G31" s="333">
        <f ca="1">IFERROR(VLOOKUP($B31,RD[[#All],[Date]:[IS4Inv2]],G$2,0)/G$1/_xlfn.XLOOKUP(Inv_SY_B12[[#This Row],[Date]],Daily_KPI[Date],Daily_KPI[POA-UP(KWh/m2)]),"")</f>
        <v>0.86999946389351113</v>
      </c>
      <c r="H31" s="333">
        <f ca="1">IFERROR(VLOOKUP($B31,RD[[#All],[Date]:[IS4Inv2]],H$2,0)/H$1/_xlfn.XLOOKUP(Inv_SY_B12[[#This Row],[Date]],Daily_KPI[Date],Daily_KPI[POA-UP(KWh/m2)]),"")</f>
        <v>0.89568397564129143</v>
      </c>
      <c r="I31" s="333">
        <f ca="1">IFERROR(VLOOKUP($B31,RD[[#All],[Date]:[IS4Inv2]],I$2,0)/I$1/_xlfn.XLOOKUP(Inv_SY_B12[[#This Row],[Date]],Daily_KPI[Date],Daily_KPI[POA-UP(KWh/m2)]),"")</f>
        <v>0.88747438493346187</v>
      </c>
    </row>
    <row r="32" spans="2:9">
      <c r="B32" s="224">
        <f t="shared" ca="1" si="2"/>
        <v>45833</v>
      </c>
      <c r="C32" s="333">
        <f ca="1">IFERROR(VLOOKUP($B32,RD[[#All],[Date]:[IS4Inv2]],C$2,0)/C$1/_xlfn.XLOOKUP(Inv_SY_B12[[#This Row],[Date]],Daily_KPI[Date],Daily_KPI[POA-UP(KWh/m2)]),"")</f>
        <v>0.96934225924626105</v>
      </c>
      <c r="D32" s="333">
        <f ca="1">IFERROR(VLOOKUP($B32,RD[[#All],[Date]:[IS4Inv2]],D$2,0)/D$1/_xlfn.XLOOKUP(Inv_SY_B12[[#This Row],[Date]],Daily_KPI[Date],Daily_KPI[POA-UP(KWh/m2)]),"")</f>
        <v>0.97919750153464447</v>
      </c>
      <c r="E32" s="333">
        <f ca="1">IFERROR(VLOOKUP($B32,RD[[#All],[Date]:[IS4Inv2]],E$2,0)/E$1/_xlfn.XLOOKUP(Inv_SY_B12[[#This Row],[Date]],Daily_KPI[Date],Daily_KPI[POA-UP(KWh/m2)]),"")</f>
        <v>0.97238857668907086</v>
      </c>
      <c r="F32" s="333">
        <f ca="1">IFERROR(VLOOKUP($B32,RD[[#All],[Date]:[IS4Inv2]],F$2,0)/F$1/_xlfn.XLOOKUP(Inv_SY_B12[[#This Row],[Date]],Daily_KPI[Date],Daily_KPI[POA-UP(KWh/m2)]),"")</f>
        <v>0.98950886268088867</v>
      </c>
      <c r="G32" s="333">
        <f ca="1">IFERROR(VLOOKUP($B32,RD[[#All],[Date]:[IS4Inv2]],G$2,0)/G$1/_xlfn.XLOOKUP(Inv_SY_B12[[#This Row],[Date]],Daily_KPI[Date],Daily_KPI[POA-UP(KWh/m2)]),"")</f>
        <v>0.98539244489867073</v>
      </c>
      <c r="H32" s="333">
        <f ca="1">IFERROR(VLOOKUP($B32,RD[[#All],[Date]:[IS4Inv2]],H$2,0)/H$1/_xlfn.XLOOKUP(Inv_SY_B12[[#This Row],[Date]],Daily_KPI[Date],Daily_KPI[POA-UP(KWh/m2)]),"")</f>
        <v>0.98594397815754875</v>
      </c>
      <c r="I32" s="333">
        <f ca="1">IFERROR(VLOOKUP($B32,RD[[#All],[Date]:[IS4Inv2]],I$2,0)/I$1/_xlfn.XLOOKUP(Inv_SY_B12[[#This Row],[Date]],Daily_KPI[Date],Daily_KPI[POA-UP(KWh/m2)]),"")</f>
        <v>0.9823274457590363</v>
      </c>
    </row>
    <row r="33" spans="2:9">
      <c r="B33" s="224">
        <f t="shared" ca="1" si="2"/>
        <v>45834</v>
      </c>
      <c r="C33" s="333">
        <f ca="1">IFERROR(VLOOKUP($B33,RD[[#All],[Date]:[IS4Inv2]],C$2,0)/C$1/_xlfn.XLOOKUP(Inv_SY_B12[[#This Row],[Date]],Daily_KPI[Date],Daily_KPI[POA-UP(KWh/m2)]),"")</f>
        <v>0.87152484619250803</v>
      </c>
      <c r="D33" s="333">
        <f ca="1">IFERROR(VLOOKUP($B33,RD[[#All],[Date]:[IS4Inv2]],D$2,0)/D$1/_xlfn.XLOOKUP(Inv_SY_B12[[#This Row],[Date]],Daily_KPI[Date],Daily_KPI[POA-UP(KWh/m2)]),"")</f>
        <v>0.88768931480541702</v>
      </c>
      <c r="E33" s="333">
        <f ca="1">IFERROR(VLOOKUP($B33,RD[[#All],[Date]:[IS4Inv2]],E$2,0)/E$1/_xlfn.XLOOKUP(Inv_SY_B12[[#This Row],[Date]],Daily_KPI[Date],Daily_KPI[POA-UP(KWh/m2)]),"")</f>
        <v>0.87054838234918286</v>
      </c>
      <c r="F33" s="333">
        <f ca="1">IFERROR(VLOOKUP($B33,RD[[#All],[Date]:[IS4Inv2]],F$2,0)/F$1/_xlfn.XLOOKUP(Inv_SY_B12[[#This Row],[Date]],Daily_KPI[Date],Daily_KPI[POA-UP(KWh/m2)]),"")</f>
        <v>0.89228482815428645</v>
      </c>
      <c r="G33" s="333">
        <f ca="1">IFERROR(VLOOKUP($B33,RD[[#All],[Date]:[IS4Inv2]],G$2,0)/G$1/_xlfn.XLOOKUP(Inv_SY_B12[[#This Row],[Date]],Daily_KPI[Date],Daily_KPI[POA-UP(KWh/m2)]),"")</f>
        <v>0.27148556075946728</v>
      </c>
      <c r="H33" s="333">
        <f ca="1">IFERROR(VLOOKUP($B33,RD[[#All],[Date]:[IS4Inv2]],H$2,0)/H$1/_xlfn.XLOOKUP(Inv_SY_B12[[#This Row],[Date]],Daily_KPI[Date],Daily_KPI[POA-UP(KWh/m2)]),"")</f>
        <v>0.50857512681172379</v>
      </c>
      <c r="I33" s="333">
        <f ca="1">IFERROR(VLOOKUP($B33,RD[[#All],[Date]:[IS4Inv2]],I$2,0)/I$1/_xlfn.XLOOKUP(Inv_SY_B12[[#This Row],[Date]],Daily_KPI[Date],Daily_KPI[POA-UP(KWh/m2)]),"")</f>
        <v>0.90001234575062627</v>
      </c>
    </row>
    <row r="34" spans="2:9">
      <c r="B34" s="224">
        <f t="shared" ca="1" si="2"/>
        <v>45835</v>
      </c>
      <c r="C34" s="333">
        <f ca="1">IFERROR(VLOOKUP($B34,RD[[#All],[Date]:[IS4Inv2]],C$2,0)/C$1/_xlfn.XLOOKUP(Inv_SY_B12[[#This Row],[Date]],Daily_KPI[Date],Daily_KPI[POA-UP(KWh/m2)]),"")</f>
        <v>0.89952635429808858</v>
      </c>
      <c r="D34" s="333">
        <f ca="1">IFERROR(VLOOKUP($B34,RD[[#All],[Date]:[IS4Inv2]],D$2,0)/D$1/_xlfn.XLOOKUP(Inv_SY_B12[[#This Row],[Date]],Daily_KPI[Date],Daily_KPI[POA-UP(KWh/m2)]),"")</f>
        <v>0.90665852948760639</v>
      </c>
      <c r="E34" s="333">
        <f ca="1">IFERROR(VLOOKUP($B34,RD[[#All],[Date]:[IS4Inv2]],E$2,0)/E$1/_xlfn.XLOOKUP(Inv_SY_B12[[#This Row],[Date]],Daily_KPI[Date],Daily_KPI[POA-UP(KWh/m2)]),"")</f>
        <v>0.88328853796855578</v>
      </c>
      <c r="F34" s="333">
        <f ca="1">IFERROR(VLOOKUP($B34,RD[[#All],[Date]:[IS4Inv2]],F$2,0)/F$1/_xlfn.XLOOKUP(Inv_SY_B12[[#This Row],[Date]],Daily_KPI[Date],Daily_KPI[POA-UP(KWh/m2)]),"")</f>
        <v>0.90927324840740653</v>
      </c>
      <c r="G34" s="333">
        <f ca="1">IFERROR(VLOOKUP($B34,RD[[#All],[Date]:[IS4Inv2]],G$2,0)/G$1/_xlfn.XLOOKUP(Inv_SY_B12[[#This Row],[Date]],Daily_KPI[Date],Daily_KPI[POA-UP(KWh/m2)]),"")</f>
        <v>0.88340016168047442</v>
      </c>
      <c r="H34" s="333">
        <f ca="1">IFERROR(VLOOKUP($B34,RD[[#All],[Date]:[IS4Inv2]],H$2,0)/H$1/_xlfn.XLOOKUP(Inv_SY_B12[[#This Row],[Date]],Daily_KPI[Date],Daily_KPI[POA-UP(KWh/m2)]),"")</f>
        <v>0.9073004004739692</v>
      </c>
      <c r="I34" s="333">
        <f ca="1">IFERROR(VLOOKUP($B34,RD[[#All],[Date]:[IS4Inv2]],I$2,0)/I$1/_xlfn.XLOOKUP(Inv_SY_B12[[#This Row],[Date]],Daily_KPI[Date],Daily_KPI[POA-UP(KWh/m2)]),"")</f>
        <v>0.90582862113962592</v>
      </c>
    </row>
    <row r="35" spans="2:9">
      <c r="B35" s="224">
        <f t="shared" ca="1" si="2"/>
        <v>45836</v>
      </c>
      <c r="C35" s="333">
        <f ca="1">IFERROR(VLOOKUP($B35,RD[[#All],[Date]:[IS4Inv2]],C$2,0)/C$1/_xlfn.XLOOKUP(Inv_SY_B12[[#This Row],[Date]],Daily_KPI[Date],Daily_KPI[POA-UP(KWh/m2)]),"")</f>
        <v>0.8771528202056853</v>
      </c>
      <c r="D35" s="333">
        <f ca="1">IFERROR(VLOOKUP($B35,RD[[#All],[Date]:[IS4Inv2]],D$2,0)/D$1/_xlfn.XLOOKUP(Inv_SY_B12[[#This Row],[Date]],Daily_KPI[Date],Daily_KPI[POA-UP(KWh/m2)]),"")</f>
        <v>0.88180459347729412</v>
      </c>
      <c r="E35" s="333">
        <f ca="1">IFERROR(VLOOKUP($B35,RD[[#All],[Date]:[IS4Inv2]],E$2,0)/E$1/_xlfn.XLOOKUP(Inv_SY_B12[[#This Row],[Date]],Daily_KPI[Date],Daily_KPI[POA-UP(KWh/m2)]),"")</f>
        <v>0.86254395452778687</v>
      </c>
      <c r="F35" s="333">
        <f ca="1">IFERROR(VLOOKUP($B35,RD[[#All],[Date]:[IS4Inv2]],F$2,0)/F$1/_xlfn.XLOOKUP(Inv_SY_B12[[#This Row],[Date]],Daily_KPI[Date],Daily_KPI[POA-UP(KWh/m2)]),"")</f>
        <v>0.8763707667161138</v>
      </c>
      <c r="G35" s="333">
        <f ca="1">IFERROR(VLOOKUP($B35,RD[[#All],[Date]:[IS4Inv2]],G$2,0)/G$1/_xlfn.XLOOKUP(Inv_SY_B12[[#This Row],[Date]],Daily_KPI[Date],Daily_KPI[POA-UP(KWh/m2)]),"")</f>
        <v>0.87999485366774333</v>
      </c>
      <c r="H35" s="333">
        <f ca="1">IFERROR(VLOOKUP($B35,RD[[#All],[Date]:[IS4Inv2]],H$2,0)/H$1/_xlfn.XLOOKUP(Inv_SY_B12[[#This Row],[Date]],Daily_KPI[Date],Daily_KPI[POA-UP(KWh/m2)]),"")</f>
        <v>0.90716177832521749</v>
      </c>
      <c r="I35" s="333">
        <f ca="1">IFERROR(VLOOKUP($B35,RD[[#All],[Date]:[IS4Inv2]],I$2,0)/I$1/_xlfn.XLOOKUP(Inv_SY_B12[[#This Row],[Date]],Daily_KPI[Date],Daily_KPI[POA-UP(KWh/m2)]),"")</f>
        <v>0.90292891227389249</v>
      </c>
    </row>
    <row r="36" spans="2:9">
      <c r="B36" s="224">
        <f t="shared" ca="1" si="2"/>
        <v>45837</v>
      </c>
      <c r="C36" s="333">
        <f ca="1">IFERROR(VLOOKUP($B36,RD[[#All],[Date]:[IS4Inv2]],C$2,0)/C$1/_xlfn.XLOOKUP(Inv_SY_B12[[#This Row],[Date]],Daily_KPI[Date],Daily_KPI[POA-UP(KWh/m2)]),"")</f>
        <v>0.52038578529337198</v>
      </c>
      <c r="D36" s="333">
        <f ca="1">IFERROR(VLOOKUP($B36,RD[[#All],[Date]:[IS4Inv2]],D$2,0)/D$1/_xlfn.XLOOKUP(Inv_SY_B12[[#This Row],[Date]],Daily_KPI[Date],Daily_KPI[POA-UP(KWh/m2)]),"")</f>
        <v>0.52338848235877167</v>
      </c>
      <c r="E36" s="333">
        <f ca="1">IFERROR(VLOOKUP($B36,RD[[#All],[Date]:[IS4Inv2]],E$2,0)/E$1/_xlfn.XLOOKUP(Inv_SY_B12[[#This Row],[Date]],Daily_KPI[Date],Daily_KPI[POA-UP(KWh/m2)]),"")</f>
        <v>0.49103125338678177</v>
      </c>
      <c r="F36" s="333">
        <f ca="1">IFERROR(VLOOKUP($B36,RD[[#All],[Date]:[IS4Inv2]],F$2,0)/F$1/_xlfn.XLOOKUP(Inv_SY_B12[[#This Row],[Date]],Daily_KPI[Date],Daily_KPI[POA-UP(KWh/m2)]),"")</f>
        <v>0.49669036199677669</v>
      </c>
      <c r="G36" s="333">
        <f ca="1">IFERROR(VLOOKUP($B36,RD[[#All],[Date]:[IS4Inv2]],G$2,0)/G$1/_xlfn.XLOOKUP(Inv_SY_B12[[#This Row],[Date]],Daily_KPI[Date],Daily_KPI[POA-UP(KWh/m2)]),"")</f>
        <v>0.50257970415336262</v>
      </c>
      <c r="H36" s="333">
        <f ca="1">IFERROR(VLOOKUP($B36,RD[[#All],[Date]:[IS4Inv2]],H$2,0)/H$1/_xlfn.XLOOKUP(Inv_SY_B12[[#This Row],[Date]],Daily_KPI[Date],Daily_KPI[POA-UP(KWh/m2)]),"")</f>
        <v>0.5474417823555755</v>
      </c>
      <c r="I36" s="333">
        <f ca="1">IFERROR(VLOOKUP($B36,RD[[#All],[Date]:[IS4Inv2]],I$2,0)/I$1/_xlfn.XLOOKUP(Inv_SY_B12[[#This Row],[Date]],Daily_KPI[Date],Daily_KPI[POA-UP(KWh/m2)]),"")</f>
        <v>0.53056426332288409</v>
      </c>
    </row>
    <row r="37" spans="2:9">
      <c r="B37" s="224">
        <f t="shared" ca="1" si="2"/>
        <v>45838</v>
      </c>
      <c r="C37" s="333">
        <f ca="1">IFERROR(VLOOKUP($B37,RD[[#All],[Date]:[IS4Inv2]],C$2,0)/C$1/_xlfn.XLOOKUP(Inv_SY_B12[[#This Row],[Date]],Daily_KPI[Date],Daily_KPI[POA-UP(KWh/m2)]),"")</f>
        <v>0.95561332893237039</v>
      </c>
      <c r="D37" s="333">
        <f ca="1">IFERROR(VLOOKUP($B37,RD[[#All],[Date]:[IS4Inv2]],D$2,0)/D$1/_xlfn.XLOOKUP(Inv_SY_B12[[#This Row],[Date]],Daily_KPI[Date],Daily_KPI[POA-UP(KWh/m2)]),"")</f>
        <v>0.9627085724133192</v>
      </c>
      <c r="E37" s="333">
        <f ca="1">IFERROR(VLOOKUP($B37,RD[[#All],[Date]:[IS4Inv2]],E$2,0)/E$1/_xlfn.XLOOKUP(Inv_SY_B12[[#This Row],[Date]],Daily_KPI[Date],Daily_KPI[POA-UP(KWh/m2)]),"")</f>
        <v>0.95736135300476022</v>
      </c>
      <c r="F37" s="333">
        <f ca="1">IFERROR(VLOOKUP($B37,RD[[#All],[Date]:[IS4Inv2]],F$2,0)/F$1/_xlfn.XLOOKUP(Inv_SY_B12[[#This Row],[Date]],Daily_KPI[Date],Daily_KPI[POA-UP(KWh/m2)]),"")</f>
        <v>0.9720867974609857</v>
      </c>
      <c r="G37" s="333">
        <f ca="1">IFERROR(VLOOKUP($B37,RD[[#All],[Date]:[IS4Inv2]],G$2,0)/G$1/_xlfn.XLOOKUP(Inv_SY_B12[[#This Row],[Date]],Daily_KPI[Date],Daily_KPI[POA-UP(KWh/m2)]),"")</f>
        <v>0.96654210592348822</v>
      </c>
      <c r="H37" s="333">
        <f ca="1">IFERROR(VLOOKUP($B37,RD[[#All],[Date]:[IS4Inv2]],H$2,0)/H$1/_xlfn.XLOOKUP(Inv_SY_B12[[#This Row],[Date]],Daily_KPI[Date],Daily_KPI[POA-UP(KWh/m2)]),"")</f>
        <v>0.96892769920536559</v>
      </c>
      <c r="I37" s="333">
        <f ca="1">IFERROR(VLOOKUP($B37,RD[[#All],[Date]:[IS4Inv2]],I$2,0)/I$1/_xlfn.XLOOKUP(Inv_SY_B12[[#This Row],[Date]],Daily_KPI[Date],Daily_KPI[POA-UP(KWh/m2)]),"")</f>
        <v>0.95695578479259313</v>
      </c>
    </row>
    <row r="38" spans="2:9">
      <c r="B38" s="224">
        <f t="shared" ca="1" si="2"/>
        <v>45839</v>
      </c>
      <c r="C38" s="333">
        <f ca="1">IFERROR(VLOOKUP($B38,RD[[#All],[Date]:[IS4Inv2]],C$2,0)/C$1/_xlfn.XLOOKUP(Inv_SY_B12[[#This Row],[Date]],Daily_KPI[Date],Daily_KPI[POA-UP(KWh/m2)]),"")</f>
        <v>0.77851839483276808</v>
      </c>
      <c r="D38" s="333">
        <f ca="1">IFERROR(VLOOKUP($B38,RD[[#All],[Date]:[IS4Inv2]],D$2,0)/D$1/_xlfn.XLOOKUP(Inv_SY_B12[[#This Row],[Date]],Daily_KPI[Date],Daily_KPI[POA-UP(KWh/m2)]),"")</f>
        <v>0.78900291234790187</v>
      </c>
      <c r="E38" s="333">
        <f ca="1">IFERROR(VLOOKUP($B38,RD[[#All],[Date]:[IS4Inv2]],E$2,0)/E$1/_xlfn.XLOOKUP(Inv_SY_B12[[#This Row],[Date]],Daily_KPI[Date],Daily_KPI[POA-UP(KWh/m2)]),"")</f>
        <v>0.77506159832160249</v>
      </c>
      <c r="F38" s="333">
        <f ca="1">IFERROR(VLOOKUP($B38,RD[[#All],[Date]:[IS4Inv2]],F$2,0)/F$1/_xlfn.XLOOKUP(Inv_SY_B12[[#This Row],[Date]],Daily_KPI[Date],Daily_KPI[POA-UP(KWh/m2)]),"")</f>
        <v>0.78954844515865918</v>
      </c>
      <c r="G38" s="333">
        <f ca="1">IFERROR(VLOOKUP($B38,RD[[#All],[Date]:[IS4Inv2]],G$2,0)/G$1/_xlfn.XLOOKUP(Inv_SY_B12[[#This Row],[Date]],Daily_KPI[Date],Daily_KPI[POA-UP(KWh/m2)]),"")</f>
        <v>0.80089577171058568</v>
      </c>
      <c r="H38" s="333">
        <f ca="1">IFERROR(VLOOKUP($B38,RD[[#All],[Date]:[IS4Inv2]],H$2,0)/H$1/_xlfn.XLOOKUP(Inv_SY_B12[[#This Row],[Date]],Daily_KPI[Date],Daily_KPI[POA-UP(KWh/m2)]),"")</f>
        <v>0.81588589844121484</v>
      </c>
      <c r="I38" s="333">
        <f ca="1">IFERROR(VLOOKUP($B38,RD[[#All],[Date]:[IS4Inv2]],I$2,0)/I$1/_xlfn.XLOOKUP(Inv_SY_B12[[#This Row],[Date]],Daily_KPI[Date],Daily_KPI[POA-UP(KWh/m2)]),"")</f>
        <v>0.74319074526326367</v>
      </c>
    </row>
    <row r="39" spans="2:9">
      <c r="B39" s="224">
        <f t="shared" ca="1" si="2"/>
        <v>45840</v>
      </c>
      <c r="C39" s="333">
        <f ca="1">IFERROR(VLOOKUP($B39,RD[[#All],[Date]:[IS4Inv2]],C$2,0)/C$1/_xlfn.XLOOKUP(Inv_SY_B12[[#This Row],[Date]],Daily_KPI[Date],Daily_KPI[POA-UP(KWh/m2)]),"")</f>
        <v>0.88177773476657129</v>
      </c>
      <c r="D39" s="333">
        <f ca="1">IFERROR(VLOOKUP($B39,RD[[#All],[Date]:[IS4Inv2]],D$2,0)/D$1/_xlfn.XLOOKUP(Inv_SY_B12[[#This Row],[Date]],Daily_KPI[Date],Daily_KPI[POA-UP(KWh/m2)]),"")</f>
        <v>0.88657402452376999</v>
      </c>
      <c r="E39" s="333">
        <f ca="1">IFERROR(VLOOKUP($B39,RD[[#All],[Date]:[IS4Inv2]],E$2,0)/E$1/_xlfn.XLOOKUP(Inv_SY_B12[[#This Row],[Date]],Daily_KPI[Date],Daily_KPI[POA-UP(KWh/m2)]),"")</f>
        <v>0.84672545178606717</v>
      </c>
      <c r="F39" s="333">
        <f ca="1">IFERROR(VLOOKUP($B39,RD[[#All],[Date]:[IS4Inv2]],F$2,0)/F$1/_xlfn.XLOOKUP(Inv_SY_B12[[#This Row],[Date]],Daily_KPI[Date],Daily_KPI[POA-UP(KWh/m2)]),"")</f>
        <v>0.85915543518069581</v>
      </c>
      <c r="G39" s="333">
        <f ca="1">IFERROR(VLOOKUP($B39,RD[[#All],[Date]:[IS4Inv2]],G$2,0)/G$1/_xlfn.XLOOKUP(Inv_SY_B12[[#This Row],[Date]],Daily_KPI[Date],Daily_KPI[POA-UP(KWh/m2)]),"")</f>
        <v>0.88489192333956623</v>
      </c>
      <c r="H39" s="333">
        <f ca="1">IFERROR(VLOOKUP($B39,RD[[#All],[Date]:[IS4Inv2]],H$2,0)/H$1/_xlfn.XLOOKUP(Inv_SY_B12[[#This Row],[Date]],Daily_KPI[Date],Daily_KPI[POA-UP(KWh/m2)]),"")</f>
        <v>0.89371526332181395</v>
      </c>
      <c r="I39" s="333">
        <f ca="1">IFERROR(VLOOKUP($B39,RD[[#All],[Date]:[IS4Inv2]],I$2,0)/I$1/_xlfn.XLOOKUP(Inv_SY_B12[[#This Row],[Date]],Daily_KPI[Date],Daily_KPI[POA-UP(KWh/m2)]),"")</f>
        <v>0.88202934443265968</v>
      </c>
    </row>
    <row r="40" spans="2:9">
      <c r="B40" s="224">
        <f t="shared" ca="1" si="2"/>
        <v>45841</v>
      </c>
      <c r="C40" s="333">
        <f ca="1">IFERROR(VLOOKUP($B40,RD[[#All],[Date]:[IS4Inv2]],C$2,0)/C$1/_xlfn.XLOOKUP(Inv_SY_B12[[#This Row],[Date]],Daily_KPI[Date],Daily_KPI[POA-UP(KWh/m2)]),"")</f>
        <v>0.94018121889584994</v>
      </c>
      <c r="D40" s="333">
        <f ca="1">IFERROR(VLOOKUP($B40,RD[[#All],[Date]:[IS4Inv2]],D$2,0)/D$1/_xlfn.XLOOKUP(Inv_SY_B12[[#This Row],[Date]],Daily_KPI[Date],Daily_KPI[POA-UP(KWh/m2)]),"")</f>
        <v>0.9428129559374997</v>
      </c>
      <c r="E40" s="333">
        <f ca="1">IFERROR(VLOOKUP($B40,RD[[#All],[Date]:[IS4Inv2]],E$2,0)/E$1/_xlfn.XLOOKUP(Inv_SY_B12[[#This Row],[Date]],Daily_KPI[Date],Daily_KPI[POA-UP(KWh/m2)]),"")</f>
        <v>0.92975288849195914</v>
      </c>
      <c r="F40" s="333">
        <f ca="1">IFERROR(VLOOKUP($B40,RD[[#All],[Date]:[IS4Inv2]],F$2,0)/F$1/_xlfn.XLOOKUP(Inv_SY_B12[[#This Row],[Date]],Daily_KPI[Date],Daily_KPI[POA-UP(KWh/m2)]),"")</f>
        <v>0.94028171402677363</v>
      </c>
      <c r="G40" s="333">
        <f ca="1">IFERROR(VLOOKUP($B40,RD[[#All],[Date]:[IS4Inv2]],G$2,0)/G$1/_xlfn.XLOOKUP(Inv_SY_B12[[#This Row],[Date]],Daily_KPI[Date],Daily_KPI[POA-UP(KWh/m2)]),"")</f>
        <v>0.93756902252127561</v>
      </c>
      <c r="H40" s="333">
        <f ca="1">IFERROR(VLOOKUP($B40,RD[[#All],[Date]:[IS4Inv2]],H$2,0)/H$1/_xlfn.XLOOKUP(Inv_SY_B12[[#This Row],[Date]],Daily_KPI[Date],Daily_KPI[POA-UP(KWh/m2)]),"")</f>
        <v>0.95123472586526781</v>
      </c>
      <c r="I40" s="333">
        <f ca="1">IFERROR(VLOOKUP($B40,RD[[#All],[Date]:[IS4Inv2]],I$2,0)/I$1/_xlfn.XLOOKUP(Inv_SY_B12[[#This Row],[Date]],Daily_KPI[Date],Daily_KPI[POA-UP(KWh/m2)]),"")</f>
        <v>0.93451614580001274</v>
      </c>
    </row>
    <row r="41" spans="2:9">
      <c r="B41" s="224">
        <f t="shared" ca="1" si="2"/>
        <v>45842</v>
      </c>
      <c r="C41" s="333">
        <f ca="1">IFERROR(VLOOKUP($B41,RD[[#All],[Date]:[IS4Inv2]],C$2,0)/C$1/_xlfn.XLOOKUP(Inv_SY_B12[[#This Row],[Date]],Daily_KPI[Date],Daily_KPI[POA-UP(KWh/m2)]),"")</f>
        <v>0.93689846758574069</v>
      </c>
      <c r="D41" s="333">
        <f ca="1">IFERROR(VLOOKUP($B41,RD[[#All],[Date]:[IS4Inv2]],D$2,0)/D$1/_xlfn.XLOOKUP(Inv_SY_B12[[#This Row],[Date]],Daily_KPI[Date],Daily_KPI[POA-UP(KWh/m2)]),"")</f>
        <v>0.94627694945843122</v>
      </c>
      <c r="E41" s="333">
        <f ca="1">IFERROR(VLOOKUP($B41,RD[[#All],[Date]:[IS4Inv2]],E$2,0)/E$1/_xlfn.XLOOKUP(Inv_SY_B12[[#This Row],[Date]],Daily_KPI[Date],Daily_KPI[POA-UP(KWh/m2)]),"")</f>
        <v>0.9379257938127521</v>
      </c>
      <c r="F41" s="333">
        <f ca="1">IFERROR(VLOOKUP($B41,RD[[#All],[Date]:[IS4Inv2]],F$2,0)/F$1/_xlfn.XLOOKUP(Inv_SY_B12[[#This Row],[Date]],Daily_KPI[Date],Daily_KPI[POA-UP(KWh/m2)]),"")</f>
        <v>0.95379585246215826</v>
      </c>
      <c r="G41" s="333">
        <f ca="1">IFERROR(VLOOKUP($B41,RD[[#All],[Date]:[IS4Inv2]],G$2,0)/G$1/_xlfn.XLOOKUP(Inv_SY_B12[[#This Row],[Date]],Daily_KPI[Date],Daily_KPI[POA-UP(KWh/m2)]),"")</f>
        <v>0.95689345877543741</v>
      </c>
      <c r="H41" s="333">
        <f ca="1">IFERROR(VLOOKUP($B41,RD[[#All],[Date]:[IS4Inv2]],H$2,0)/H$1/_xlfn.XLOOKUP(Inv_SY_B12[[#This Row],[Date]],Daily_KPI[Date],Daily_KPI[POA-UP(KWh/m2)]),"")</f>
        <v>0.94865903596340051</v>
      </c>
      <c r="I41" s="333">
        <f ca="1">IFERROR(VLOOKUP($B41,RD[[#All],[Date]:[IS4Inv2]],I$2,0)/I$1/_xlfn.XLOOKUP(Inv_SY_B12[[#This Row],[Date]],Daily_KPI[Date],Daily_KPI[POA-UP(KWh/m2)]),"")</f>
        <v>0.93786509965413134</v>
      </c>
    </row>
    <row r="42" spans="2:9">
      <c r="B42" s="224">
        <f t="shared" ca="1" si="2"/>
        <v>45843</v>
      </c>
      <c r="C42" s="333">
        <f ca="1">IFERROR(VLOOKUP($B42,RD[[#All],[Date]:[IS4Inv2]],C$2,0)/C$1/_xlfn.XLOOKUP(Inv_SY_B12[[#This Row],[Date]],Daily_KPI[Date],Daily_KPI[POA-UP(KWh/m2)]),"")</f>
        <v>0.93344618288042791</v>
      </c>
      <c r="D42" s="333">
        <f ca="1">IFERROR(VLOOKUP($B42,RD[[#All],[Date]:[IS4Inv2]],D$2,0)/D$1/_xlfn.XLOOKUP(Inv_SY_B12[[#This Row],[Date]],Daily_KPI[Date],Daily_KPI[POA-UP(KWh/m2)]),"")</f>
        <v>0.93967696105245624</v>
      </c>
      <c r="E42" s="333">
        <f ca="1">IFERROR(VLOOKUP($B42,RD[[#All],[Date]:[IS4Inv2]],E$2,0)/E$1/_xlfn.XLOOKUP(Inv_SY_B12[[#This Row],[Date]],Daily_KPI[Date],Daily_KPI[POA-UP(KWh/m2)]),"")</f>
        <v>0.93435520125905058</v>
      </c>
      <c r="F42" s="333">
        <f ca="1">IFERROR(VLOOKUP($B42,RD[[#All],[Date]:[IS4Inv2]],F$2,0)/F$1/_xlfn.XLOOKUP(Inv_SY_B12[[#This Row],[Date]],Daily_KPI[Date],Daily_KPI[POA-UP(KWh/m2)]),"")</f>
        <v>0.94531729353512517</v>
      </c>
      <c r="G42" s="333">
        <f ca="1">IFERROR(VLOOKUP($B42,RD[[#All],[Date]:[IS4Inv2]],G$2,0)/G$1/_xlfn.XLOOKUP(Inv_SY_B12[[#This Row],[Date]],Daily_KPI[Date],Daily_KPI[POA-UP(KWh/m2)]),"")</f>
        <v>0.9382000204689217</v>
      </c>
      <c r="H42" s="333">
        <f ca="1">IFERROR(VLOOKUP($B42,RD[[#All],[Date]:[IS4Inv2]],H$2,0)/H$1/_xlfn.XLOOKUP(Inv_SY_B12[[#This Row],[Date]],Daily_KPI[Date],Daily_KPI[POA-UP(KWh/m2)]),"")</f>
        <v>0.93904415280803355</v>
      </c>
      <c r="I42" s="333">
        <f ca="1">IFERROR(VLOOKUP($B42,RD[[#All],[Date]:[IS4Inv2]],I$2,0)/I$1/_xlfn.XLOOKUP(Inv_SY_B12[[#This Row],[Date]],Daily_KPI[Date],Daily_KPI[POA-UP(KWh/m2)]),"")</f>
        <v>0.92248684979544127</v>
      </c>
    </row>
    <row r="43" spans="2:9">
      <c r="B43" s="224">
        <f t="shared" ca="1" si="2"/>
        <v>45844</v>
      </c>
      <c r="C43" s="333">
        <f ca="1">IFERROR(VLOOKUP($B43,RD[[#All],[Date]:[IS4Inv2]],C$2,0)/C$1/_xlfn.XLOOKUP(Inv_SY_B12[[#This Row],[Date]],Daily_KPI[Date],Daily_KPI[POA-UP(KWh/m2)]),"")</f>
        <v>0.95491805390871976</v>
      </c>
      <c r="D43" s="333">
        <f ca="1">IFERROR(VLOOKUP($B43,RD[[#All],[Date]:[IS4Inv2]],D$2,0)/D$1/_xlfn.XLOOKUP(Inv_SY_B12[[#This Row],[Date]],Daily_KPI[Date],Daily_KPI[POA-UP(KWh/m2)]),"")</f>
        <v>0.96199792216278313</v>
      </c>
      <c r="E43" s="333">
        <f ca="1">IFERROR(VLOOKUP($B43,RD[[#All],[Date]:[IS4Inv2]],E$2,0)/E$1/_xlfn.XLOOKUP(Inv_SY_B12[[#This Row],[Date]],Daily_KPI[Date],Daily_KPI[POA-UP(KWh/m2)]),"")</f>
        <v>0.95842263418192697</v>
      </c>
      <c r="F43" s="333">
        <f ca="1">IFERROR(VLOOKUP($B43,RD[[#All],[Date]:[IS4Inv2]],F$2,0)/F$1/_xlfn.XLOOKUP(Inv_SY_B12[[#This Row],[Date]],Daily_KPI[Date],Daily_KPI[POA-UP(KWh/m2)]),"")</f>
        <v>0.92960699292236504</v>
      </c>
      <c r="G43" s="333">
        <f ca="1">IFERROR(VLOOKUP($B43,RD[[#All],[Date]:[IS4Inv2]],G$2,0)/G$1/_xlfn.XLOOKUP(Inv_SY_B12[[#This Row],[Date]],Daily_KPI[Date],Daily_KPI[POA-UP(KWh/m2)]),"")</f>
        <v>0.93167942752185295</v>
      </c>
      <c r="H43" s="333">
        <f ca="1">IFERROR(VLOOKUP($B43,RD[[#All],[Date]:[IS4Inv2]],H$2,0)/H$1/_xlfn.XLOOKUP(Inv_SY_B12[[#This Row],[Date]],Daily_KPI[Date],Daily_KPI[POA-UP(KWh/m2)]),"")</f>
        <v>0.95881395136500591</v>
      </c>
      <c r="I43" s="333">
        <f ca="1">IFERROR(VLOOKUP($B43,RD[[#All],[Date]:[IS4Inv2]],I$2,0)/I$1/_xlfn.XLOOKUP(Inv_SY_B12[[#This Row],[Date]],Daily_KPI[Date],Daily_KPI[POA-UP(KWh/m2)]),"")</f>
        <v>0.92771327266640291</v>
      </c>
    </row>
    <row r="44" spans="2:9">
      <c r="B44" s="224">
        <f t="shared" ca="1" si="2"/>
        <v>45845</v>
      </c>
      <c r="C44" s="333">
        <f ca="1">IFERROR(VLOOKUP($B44,RD[[#All],[Date]:[IS4Inv2]],C$2,0)/C$1/_xlfn.XLOOKUP(Inv_SY_B12[[#This Row],[Date]],Daily_KPI[Date],Daily_KPI[POA-UP(KWh/m2)]),"")</f>
        <v>1.0402663450931382</v>
      </c>
      <c r="D44" s="333">
        <f ca="1">IFERROR(VLOOKUP($B44,RD[[#All],[Date]:[IS4Inv2]],D$2,0)/D$1/_xlfn.XLOOKUP(Inv_SY_B12[[#This Row],[Date]],Daily_KPI[Date],Daily_KPI[POA-UP(KWh/m2)]),"")</f>
        <v>1.0532739176837449</v>
      </c>
      <c r="E44" s="333">
        <f ca="1">IFERROR(VLOOKUP($B44,RD[[#All],[Date]:[IS4Inv2]],E$2,0)/E$1/_xlfn.XLOOKUP(Inv_SY_B12[[#This Row],[Date]],Daily_KPI[Date],Daily_KPI[POA-UP(KWh/m2)]),"")</f>
        <v>1.0355634984123778</v>
      </c>
      <c r="F44" s="333">
        <f ca="1">IFERROR(VLOOKUP($B44,RD[[#All],[Date]:[IS4Inv2]],F$2,0)/F$1/_xlfn.XLOOKUP(Inv_SY_B12[[#This Row],[Date]],Daily_KPI[Date],Daily_KPI[POA-UP(KWh/m2)]),"")</f>
        <v>1.0524918632534288</v>
      </c>
      <c r="G44" s="333">
        <f ca="1">IFERROR(VLOOKUP($B44,RD[[#All],[Date]:[IS4Inv2]],G$2,0)/G$1/_xlfn.XLOOKUP(Inv_SY_B12[[#This Row],[Date]],Daily_KPI[Date],Daily_KPI[POA-UP(KWh/m2)]),"")</f>
        <v>1.0508447794029709</v>
      </c>
      <c r="H44" s="333">
        <f ca="1">IFERROR(VLOOKUP($B44,RD[[#All],[Date]:[IS4Inv2]],H$2,0)/H$1/_xlfn.XLOOKUP(Inv_SY_B12[[#This Row],[Date]],Daily_KPI[Date],Daily_KPI[POA-UP(KWh/m2)]),"")</f>
        <v>1.0562459123610204</v>
      </c>
      <c r="I44" s="333">
        <f ca="1">IFERROR(VLOOKUP($B44,RD[[#All],[Date]:[IS4Inv2]],I$2,0)/I$1/_xlfn.XLOOKUP(Inv_SY_B12[[#This Row],[Date]],Daily_KPI[Date],Daily_KPI[POA-UP(KWh/m2)]),"")</f>
        <v>1.044081662569631</v>
      </c>
    </row>
    <row r="45" spans="2:9">
      <c r="B45" s="224">
        <f t="shared" ca="1" si="2"/>
        <v>45846</v>
      </c>
      <c r="C45" s="333">
        <f ca="1">IFERROR(VLOOKUP($B45,RD[[#All],[Date]:[IS4Inv2]],C$2,0)/C$1/_xlfn.XLOOKUP(Inv_SY_B12[[#This Row],[Date]],Daily_KPI[Date],Daily_KPI[POA-UP(KWh/m2)]),"")</f>
        <v>0.97177402410163172</v>
      </c>
      <c r="D45" s="333">
        <f ca="1">IFERROR(VLOOKUP($B45,RD[[#All],[Date]:[IS4Inv2]],D$2,0)/D$1/_xlfn.XLOOKUP(Inv_SY_B12[[#This Row],[Date]],Daily_KPI[Date],Daily_KPI[POA-UP(KWh/m2)]),"")</f>
        <v>0.98495446761545069</v>
      </c>
      <c r="E45" s="333">
        <f ca="1">IFERROR(VLOOKUP($B45,RD[[#All],[Date]:[IS4Inv2]],E$2,0)/E$1/_xlfn.XLOOKUP(Inv_SY_B12[[#This Row],[Date]],Daily_KPI[Date],Daily_KPI[POA-UP(KWh/m2)]),"")</f>
        <v>0.97983445653017864</v>
      </c>
      <c r="F45" s="333">
        <f ca="1">IFERROR(VLOOKUP($B45,RD[[#All],[Date]:[IS4Inv2]],F$2,0)/F$1/_xlfn.XLOOKUP(Inv_SY_B12[[#This Row],[Date]],Daily_KPI[Date],Daily_KPI[POA-UP(KWh/m2)]),"")</f>
        <v>0.99741600873816616</v>
      </c>
      <c r="G45" s="333">
        <f ca="1">IFERROR(VLOOKUP($B45,RD[[#All],[Date]:[IS4Inv2]],G$2,0)/G$1/_xlfn.XLOOKUP(Inv_SY_B12[[#This Row],[Date]],Daily_KPI[Date],Daily_KPI[POA-UP(KWh/m2)]),"")</f>
        <v>0.99738673079735962</v>
      </c>
      <c r="H45" s="333">
        <f ca="1">IFERROR(VLOOKUP($B45,RD[[#All],[Date]:[IS4Inv2]],H$2,0)/H$1/_xlfn.XLOOKUP(Inv_SY_B12[[#This Row],[Date]],Daily_KPI[Date],Daily_KPI[POA-UP(KWh/m2)]),"")</f>
        <v>0.99345246774075968</v>
      </c>
      <c r="I45" s="333">
        <f ca="1">IFERROR(VLOOKUP($B45,RD[[#All],[Date]:[IS4Inv2]],I$2,0)/I$1/_xlfn.XLOOKUP(Inv_SY_B12[[#This Row],[Date]],Daily_KPI[Date],Daily_KPI[POA-UP(KWh/m2)]),"")</f>
        <v>0.98220957570897438</v>
      </c>
    </row>
    <row r="46" spans="2:9">
      <c r="B46" s="224">
        <f t="shared" ca="1" si="2"/>
        <v>45847</v>
      </c>
      <c r="C46" s="333">
        <f ca="1">IFERROR(VLOOKUP($B46,RD[[#All],[Date]:[IS4Inv2]],C$2,0)/C$1/_xlfn.XLOOKUP(Inv_SY_B12[[#This Row],[Date]],Daily_KPI[Date],Daily_KPI[POA-UP(KWh/m2)]),"")</f>
        <v>0.98271027061067717</v>
      </c>
      <c r="D46" s="333">
        <f ca="1">IFERROR(VLOOKUP($B46,RD[[#All],[Date]:[IS4Inv2]],D$2,0)/D$1/_xlfn.XLOOKUP(Inv_SY_B12[[#This Row],[Date]],Daily_KPI[Date],Daily_KPI[POA-UP(KWh/m2)]),"")</f>
        <v>0.99344898031255047</v>
      </c>
      <c r="E46" s="333">
        <f ca="1">IFERROR(VLOOKUP($B46,RD[[#All],[Date]:[IS4Inv2]],E$2,0)/E$1/_xlfn.XLOOKUP(Inv_SY_B12[[#This Row],[Date]],Daily_KPI[Date],Daily_KPI[POA-UP(KWh/m2)]),"")</f>
        <v>0.98411263741530175</v>
      </c>
      <c r="F46" s="333">
        <f ca="1">IFERROR(VLOOKUP($B46,RD[[#All],[Date]:[IS4Inv2]],F$2,0)/F$1/_xlfn.XLOOKUP(Inv_SY_B12[[#This Row],[Date]],Daily_KPI[Date],Daily_KPI[POA-UP(KWh/m2)]),"")</f>
        <v>0.99915174023838393</v>
      </c>
      <c r="G46" s="333">
        <f ca="1">IFERROR(VLOOKUP($B46,RD[[#All],[Date]:[IS4Inv2]],G$2,0)/G$1/_xlfn.XLOOKUP(Inv_SY_B12[[#This Row],[Date]],Daily_KPI[Date],Daily_KPI[POA-UP(KWh/m2)]),"")</f>
        <v>0.99476754679306389</v>
      </c>
      <c r="H46" s="333">
        <f ca="1">IFERROR(VLOOKUP($B46,RD[[#All],[Date]:[IS4Inv2]],H$2,0)/H$1/_xlfn.XLOOKUP(Inv_SY_B12[[#This Row],[Date]],Daily_KPI[Date],Daily_KPI[POA-UP(KWh/m2)]),"")</f>
        <v>0.99631120959896224</v>
      </c>
      <c r="I46" s="333">
        <f ca="1">IFERROR(VLOOKUP($B46,RD[[#All],[Date]:[IS4Inv2]],I$2,0)/I$1/_xlfn.XLOOKUP(Inv_SY_B12[[#This Row],[Date]],Daily_KPI[Date],Daily_KPI[POA-UP(KWh/m2)]),"")</f>
        <v>0.99182520808561236</v>
      </c>
    </row>
    <row r="47" spans="2:9">
      <c r="B47" s="224">
        <f t="shared" ca="1" si="2"/>
        <v>45848</v>
      </c>
      <c r="C47" s="333">
        <f ca="1">IFERROR(VLOOKUP($B47,RD[[#All],[Date]:[IS4Inv2]],C$2,0)/C$1/_xlfn.XLOOKUP(Inv_SY_B12[[#This Row],[Date]],Daily_KPI[Date],Daily_KPI[POA-UP(KWh/m2)]),"")</f>
        <v>0.88981387348115237</v>
      </c>
      <c r="D47" s="333">
        <f ca="1">IFERROR(VLOOKUP($B47,RD[[#All],[Date]:[IS4Inv2]],D$2,0)/D$1/_xlfn.XLOOKUP(Inv_SY_B12[[#This Row],[Date]],Daily_KPI[Date],Daily_KPI[POA-UP(KWh/m2)]),"")</f>
        <v>0.89878061945097809</v>
      </c>
      <c r="E47" s="333">
        <f ca="1">IFERROR(VLOOKUP($B47,RD[[#All],[Date]:[IS4Inv2]],E$2,0)/E$1/_xlfn.XLOOKUP(Inv_SY_B12[[#This Row],[Date]],Daily_KPI[Date],Daily_KPI[POA-UP(KWh/m2)]),"")</f>
        <v>0.89622363797523708</v>
      </c>
      <c r="F47" s="333">
        <f ca="1">IFERROR(VLOOKUP($B47,RD[[#All],[Date]:[IS4Inv2]],F$2,0)/F$1/_xlfn.XLOOKUP(Inv_SY_B12[[#This Row],[Date]],Daily_KPI[Date],Daily_KPI[POA-UP(KWh/m2)]),"")</f>
        <v>0.90851262305889557</v>
      </c>
      <c r="G47" s="333">
        <f ca="1">IFERROR(VLOOKUP($B47,RD[[#All],[Date]:[IS4Inv2]],G$2,0)/G$1/_xlfn.XLOOKUP(Inv_SY_B12[[#This Row],[Date]],Daily_KPI[Date],Daily_KPI[POA-UP(KWh/m2)]),"")</f>
        <v>0.90482366727008245</v>
      </c>
      <c r="H47" s="333">
        <f ca="1">IFERROR(VLOOKUP($B47,RD[[#All],[Date]:[IS4Inv2]],H$2,0)/H$1/_xlfn.XLOOKUP(Inv_SY_B12[[#This Row],[Date]],Daily_KPI[Date],Daily_KPI[POA-UP(KWh/m2)]),"")</f>
        <v>0.91152226460701746</v>
      </c>
      <c r="I47" s="333">
        <f ca="1">IFERROR(VLOOKUP($B47,RD[[#All],[Date]:[IS4Inv2]],I$2,0)/I$1/_xlfn.XLOOKUP(Inv_SY_B12[[#This Row],[Date]],Daily_KPI[Date],Daily_KPI[POA-UP(KWh/m2)]),"")</f>
        <v>0.90511340030970278</v>
      </c>
    </row>
    <row r="48" spans="2:9">
      <c r="B48" s="224">
        <f t="shared" ca="1" si="2"/>
        <v>45849</v>
      </c>
      <c r="C48" s="333">
        <f ca="1">IFERROR(VLOOKUP($B48,RD[[#All],[Date]:[IS4Inv2]],C$2,0)/C$1/_xlfn.XLOOKUP(Inv_SY_B12[[#This Row],[Date]],Daily_KPI[Date],Daily_KPI[POA-UP(KWh/m2)]),"")</f>
        <v>0.88040311236935898</v>
      </c>
      <c r="D48" s="333">
        <f ca="1">IFERROR(VLOOKUP($B48,RD[[#All],[Date]:[IS4Inv2]],D$2,0)/D$1/_xlfn.XLOOKUP(Inv_SY_B12[[#This Row],[Date]],Daily_KPI[Date],Daily_KPI[POA-UP(KWh/m2)]),"")</f>
        <v>0.88693857060711245</v>
      </c>
      <c r="E48" s="333">
        <f ca="1">IFERROR(VLOOKUP($B48,RD[[#All],[Date]:[IS4Inv2]],E$2,0)/E$1/_xlfn.XLOOKUP(Inv_SY_B12[[#This Row],[Date]],Daily_KPI[Date],Daily_KPI[POA-UP(KWh/m2)]),"")</f>
        <v>0.87230563855622012</v>
      </c>
      <c r="F48" s="333">
        <f ca="1">IFERROR(VLOOKUP($B48,RD[[#All],[Date]:[IS4Inv2]],F$2,0)/F$1/_xlfn.XLOOKUP(Inv_SY_B12[[#This Row],[Date]],Daily_KPI[Date],Daily_KPI[POA-UP(KWh/m2)]),"")</f>
        <v>0.88235841820880379</v>
      </c>
      <c r="G48" s="333">
        <f ca="1">IFERROR(VLOOKUP($B48,RD[[#All],[Date]:[IS4Inv2]],G$2,0)/G$1/_xlfn.XLOOKUP(Inv_SY_B12[[#This Row],[Date]],Daily_KPI[Date],Daily_KPI[POA-UP(KWh/m2)]),"")</f>
        <v>0.89007174617403539</v>
      </c>
      <c r="H48" s="333">
        <f ca="1">IFERROR(VLOOKUP($B48,RD[[#All],[Date]:[IS4Inv2]],H$2,0)/H$1/_xlfn.XLOOKUP(Inv_SY_B12[[#This Row],[Date]],Daily_KPI[Date],Daily_KPI[POA-UP(KWh/m2)]),"")</f>
        <v>0.90487109913406816</v>
      </c>
      <c r="I48" s="333">
        <f ca="1">IFERROR(VLOOKUP($B48,RD[[#All],[Date]:[IS4Inv2]],I$2,0)/I$1/_xlfn.XLOOKUP(Inv_SY_B12[[#This Row],[Date]],Daily_KPI[Date],Daily_KPI[POA-UP(KWh/m2)]),"")</f>
        <v>0.90028114273127913</v>
      </c>
    </row>
    <row r="49" spans="2:9">
      <c r="B49" s="224">
        <f t="shared" ca="1" si="2"/>
        <v>45850</v>
      </c>
      <c r="C49" s="333">
        <f ca="1">IFERROR(VLOOKUP($B49,RD[[#All],[Date]:[IS4Inv2]],C$2,0)/C$1/_xlfn.XLOOKUP(Inv_SY_B12[[#This Row],[Date]],Daily_KPI[Date],Daily_KPI[POA-UP(KWh/m2)]),"")</f>
        <v>0.83087036612243015</v>
      </c>
      <c r="D49" s="333">
        <f ca="1">IFERROR(VLOOKUP($B49,RD[[#All],[Date]:[IS4Inv2]],D$2,0)/D$1/_xlfn.XLOOKUP(Inv_SY_B12[[#This Row],[Date]],Daily_KPI[Date],Daily_KPI[POA-UP(KWh/m2)]),"")</f>
        <v>0.83477654876592777</v>
      </c>
      <c r="E49" s="333">
        <f ca="1">IFERROR(VLOOKUP($B49,RD[[#All],[Date]:[IS4Inv2]],E$2,0)/E$1/_xlfn.XLOOKUP(Inv_SY_B12[[#This Row],[Date]],Daily_KPI[Date],Daily_KPI[POA-UP(KWh/m2)]),"")</f>
        <v>0.81763304564064954</v>
      </c>
      <c r="F49" s="333">
        <f ca="1">IFERROR(VLOOKUP($B49,RD[[#All],[Date]:[IS4Inv2]],F$2,0)/F$1/_xlfn.XLOOKUP(Inv_SY_B12[[#This Row],[Date]],Daily_KPI[Date],Daily_KPI[POA-UP(KWh/m2)]),"")</f>
        <v>0.82581134567401659</v>
      </c>
      <c r="G49" s="333">
        <f ca="1">IFERROR(VLOOKUP($B49,RD[[#All],[Date]:[IS4Inv2]],G$2,0)/G$1/_xlfn.XLOOKUP(Inv_SY_B12[[#This Row],[Date]],Daily_KPI[Date],Daily_KPI[POA-UP(KWh/m2)]),"")</f>
        <v>0.83763849925036382</v>
      </c>
      <c r="H49" s="333">
        <f ca="1">IFERROR(VLOOKUP($B49,RD[[#All],[Date]:[IS4Inv2]],H$2,0)/H$1/_xlfn.XLOOKUP(Inv_SY_B12[[#This Row],[Date]],Daily_KPI[Date],Daily_KPI[POA-UP(KWh/m2)]),"")</f>
        <v>0.8090734641877283</v>
      </c>
      <c r="I49" s="333">
        <f ca="1">IFERROR(VLOOKUP($B49,RD[[#All],[Date]:[IS4Inv2]],I$2,0)/I$1/_xlfn.XLOOKUP(Inv_SY_B12[[#This Row],[Date]],Daily_KPI[Date],Daily_KPI[POA-UP(KWh/m2)]),"")</f>
        <v>0.80087303810918398</v>
      </c>
    </row>
    <row r="50" spans="2:9">
      <c r="B50" s="224">
        <f t="shared" ca="1" si="2"/>
        <v>45851</v>
      </c>
      <c r="C50" s="333">
        <f ca="1">IFERROR(VLOOKUP($B50,RD[[#All],[Date]:[IS4Inv2]],C$2,0)/C$1/_xlfn.XLOOKUP(Inv_SY_B12[[#This Row],[Date]],Daily_KPI[Date],Daily_KPI[POA-UP(KWh/m2)]),"")</f>
        <v>0.89890008432380508</v>
      </c>
      <c r="D50" s="333">
        <f ca="1">IFERROR(VLOOKUP($B50,RD[[#All],[Date]:[IS4Inv2]],D$2,0)/D$1/_xlfn.XLOOKUP(Inv_SY_B12[[#This Row],[Date]],Daily_KPI[Date],Daily_KPI[POA-UP(KWh/m2)]),"")</f>
        <v>0.90696713636260851</v>
      </c>
      <c r="E50" s="333">
        <f ca="1">IFERROR(VLOOKUP($B50,RD[[#All],[Date]:[IS4Inv2]],E$2,0)/E$1/_xlfn.XLOOKUP(Inv_SY_B12[[#This Row],[Date]],Daily_KPI[Date],Daily_KPI[POA-UP(KWh/m2)]),"")</f>
        <v>0.89971856198498146</v>
      </c>
      <c r="F50" s="333">
        <f ca="1">IFERROR(VLOOKUP($B50,RD[[#All],[Date]:[IS4Inv2]],F$2,0)/F$1/_xlfn.XLOOKUP(Inv_SY_B12[[#This Row],[Date]],Daily_KPI[Date],Daily_KPI[POA-UP(KWh/m2)]),"")</f>
        <v>0.90920837020645795</v>
      </c>
      <c r="G50" s="333">
        <f ca="1">IFERROR(VLOOKUP($B50,RD[[#All],[Date]:[IS4Inv2]],G$2,0)/G$1/_xlfn.XLOOKUP(Inv_SY_B12[[#This Row],[Date]],Daily_KPI[Date],Daily_KPI[POA-UP(KWh/m2)]),"")</f>
        <v>0.90689913548029399</v>
      </c>
      <c r="H50" s="333">
        <f ca="1">IFERROR(VLOOKUP($B50,RD[[#All],[Date]:[IS4Inv2]],H$2,0)/H$1/_xlfn.XLOOKUP(Inv_SY_B12[[#This Row],[Date]],Daily_KPI[Date],Daily_KPI[POA-UP(KWh/m2)]),"")</f>
        <v>0.91097577810578634</v>
      </c>
      <c r="I50" s="333">
        <f ca="1">IFERROR(VLOOKUP($B50,RD[[#All],[Date]:[IS4Inv2]],I$2,0)/I$1/_xlfn.XLOOKUP(Inv_SY_B12[[#This Row],[Date]],Daily_KPI[Date],Daily_KPI[POA-UP(KWh/m2)]),"")</f>
        <v>0.90423821814974159</v>
      </c>
    </row>
    <row r="51" spans="2:9">
      <c r="B51" s="224">
        <f t="shared" ca="1" si="2"/>
        <v>45852</v>
      </c>
      <c r="C51" s="333">
        <f ca="1">IFERROR(VLOOKUP($B51,RD[[#All],[Date]:[IS4Inv2]],C$2,0)/C$1/_xlfn.XLOOKUP(Inv_SY_B12[[#This Row],[Date]],Daily_KPI[Date],Daily_KPI[POA-UP(KWh/m2)]),"")</f>
        <v>0.80526504288803524</v>
      </c>
      <c r="D51" s="333">
        <f ca="1">IFERROR(VLOOKUP($B51,RD[[#All],[Date]:[IS4Inv2]],D$2,0)/D$1/_xlfn.XLOOKUP(Inv_SY_B12[[#This Row],[Date]],Daily_KPI[Date],Daily_KPI[POA-UP(KWh/m2)]),"")</f>
        <v>0.81514951494737475</v>
      </c>
      <c r="E51" s="333">
        <f ca="1">IFERROR(VLOOKUP($B51,RD[[#All],[Date]:[IS4Inv2]],E$2,0)/E$1/_xlfn.XLOOKUP(Inv_SY_B12[[#This Row],[Date]],Daily_KPI[Date],Daily_KPI[POA-UP(KWh/m2)]),"")</f>
        <v>0.79082176438549323</v>
      </c>
      <c r="F51" s="333">
        <f ca="1">IFERROR(VLOOKUP($B51,RD[[#All],[Date]:[IS4Inv2]],F$2,0)/F$1/_xlfn.XLOOKUP(Inv_SY_B12[[#This Row],[Date]],Daily_KPI[Date],Daily_KPI[POA-UP(KWh/m2)]),"")</f>
        <v>0.80323272288350023</v>
      </c>
      <c r="G51" s="333">
        <f ca="1">IFERROR(VLOOKUP($B51,RD[[#All],[Date]:[IS4Inv2]],G$2,0)/G$1/_xlfn.XLOOKUP(Inv_SY_B12[[#This Row],[Date]],Daily_KPI[Date],Daily_KPI[POA-UP(KWh/m2)]),"")</f>
        <v>0.81203797815012102</v>
      </c>
      <c r="H51" s="333">
        <f ca="1">IFERROR(VLOOKUP($B51,RD[[#All],[Date]:[IS4Inv2]],H$2,0)/H$1/_xlfn.XLOOKUP(Inv_SY_B12[[#This Row],[Date]],Daily_KPI[Date],Daily_KPI[POA-UP(KWh/m2)]),"")</f>
        <v>0.83006041722235047</v>
      </c>
      <c r="I51" s="333">
        <f ca="1">IFERROR(VLOOKUP($B51,RD[[#All],[Date]:[IS4Inv2]],I$2,0)/I$1/_xlfn.XLOOKUP(Inv_SY_B12[[#This Row],[Date]],Daily_KPI[Date],Daily_KPI[POA-UP(KWh/m2)]),"")</f>
        <v>0.82764991660900322</v>
      </c>
    </row>
    <row r="52" spans="2:9">
      <c r="B52" s="224">
        <f t="shared" ca="1" si="2"/>
        <v>45853</v>
      </c>
      <c r="C52" s="333">
        <f ca="1">IFERROR(VLOOKUP($B52,RD[[#All],[Date]:[IS4Inv2]],C$2,0)/C$1/_xlfn.XLOOKUP(Inv_SY_B12[[#This Row],[Date]],Daily_KPI[Date],Daily_KPI[POA-UP(KWh/m2)]),"")</f>
        <v>0.8338508002033882</v>
      </c>
      <c r="D52" s="333">
        <f ca="1">IFERROR(VLOOKUP($B52,RD[[#All],[Date]:[IS4Inv2]],D$2,0)/D$1/_xlfn.XLOOKUP(Inv_SY_B12[[#This Row],[Date]],Daily_KPI[Date],Daily_KPI[POA-UP(KWh/m2)]),"")</f>
        <v>0.82951536248770019</v>
      </c>
      <c r="E52" s="333">
        <f ca="1">IFERROR(VLOOKUP($B52,RD[[#All],[Date]:[IS4Inv2]],E$2,0)/E$1/_xlfn.XLOOKUP(Inv_SY_B12[[#This Row],[Date]],Daily_KPI[Date],Daily_KPI[POA-UP(KWh/m2)]),"")</f>
        <v>0.81923297900111691</v>
      </c>
      <c r="F52" s="333">
        <f ca="1">IFERROR(VLOOKUP($B52,RD[[#All],[Date]:[IS4Inv2]],F$2,0)/F$1/_xlfn.XLOOKUP(Inv_SY_B12[[#This Row],[Date]],Daily_KPI[Date],Daily_KPI[POA-UP(KWh/m2)]),"")</f>
        <v>0.82865847262267056</v>
      </c>
      <c r="G52" s="333">
        <f ca="1">IFERROR(VLOOKUP($B52,RD[[#All],[Date]:[IS4Inv2]],G$2,0)/G$1/_xlfn.XLOOKUP(Inv_SY_B12[[#This Row],[Date]],Daily_KPI[Date],Daily_KPI[POA-UP(KWh/m2)]),"")</f>
        <v>0.83097041612155298</v>
      </c>
      <c r="H52" s="333">
        <f ca="1">IFERROR(VLOOKUP($B52,RD[[#All],[Date]:[IS4Inv2]],H$2,0)/H$1/_xlfn.XLOOKUP(Inv_SY_B12[[#This Row],[Date]],Daily_KPI[Date],Daily_KPI[POA-UP(KWh/m2)]),"")</f>
        <v>0.85400495926660225</v>
      </c>
      <c r="I52" s="333">
        <f ca="1">IFERROR(VLOOKUP($B52,RD[[#All],[Date]:[IS4Inv2]],I$2,0)/I$1/_xlfn.XLOOKUP(Inv_SY_B12[[#This Row],[Date]],Daily_KPI[Date],Daily_KPI[POA-UP(KWh/m2)]),"")</f>
        <v>0.845253187519033</v>
      </c>
    </row>
    <row r="53" spans="2:9">
      <c r="B53" s="224">
        <f t="shared" ca="1" si="2"/>
        <v>45854</v>
      </c>
      <c r="C53" s="333">
        <f ca="1">IFERROR(VLOOKUP($B53,RD[[#All],[Date]:[IS4Inv2]],C$2,0)/C$1/_xlfn.XLOOKUP(Inv_SY_B12[[#This Row],[Date]],Daily_KPI[Date],Daily_KPI[POA-UP(KWh/m2)]),"")</f>
        <v>0.86762402805397143</v>
      </c>
      <c r="D53" s="333">
        <f ca="1">IFERROR(VLOOKUP($B53,RD[[#All],[Date]:[IS4Inv2]],D$2,0)/D$1/_xlfn.XLOOKUP(Inv_SY_B12[[#This Row],[Date]],Daily_KPI[Date],Daily_KPI[POA-UP(KWh/m2)]),"")</f>
        <v>0.88693608199833174</v>
      </c>
      <c r="E53" s="333">
        <f ca="1">IFERROR(VLOOKUP($B53,RD[[#All],[Date]:[IS4Inv2]],E$2,0)/E$1/_xlfn.XLOOKUP(Inv_SY_B12[[#This Row],[Date]],Daily_KPI[Date],Daily_KPI[POA-UP(KWh/m2)]),"")</f>
        <v>0.84690231387229808</v>
      </c>
      <c r="F53" s="333">
        <f ca="1">IFERROR(VLOOKUP($B53,RD[[#All],[Date]:[IS4Inv2]],F$2,0)/F$1/_xlfn.XLOOKUP(Inv_SY_B12[[#This Row],[Date]],Daily_KPI[Date],Daily_KPI[POA-UP(KWh/m2)]),"")</f>
        <v>0.87238248873192625</v>
      </c>
      <c r="G53" s="333">
        <f ca="1">IFERROR(VLOOKUP($B53,RD[[#All],[Date]:[IS4Inv2]],G$2,0)/G$1/_xlfn.XLOOKUP(Inv_SY_B12[[#This Row],[Date]],Daily_KPI[Date],Daily_KPI[POA-UP(KWh/m2)]),"")</f>
        <v>0.89668562981285771</v>
      </c>
      <c r="H53" s="333">
        <f ca="1">IFERROR(VLOOKUP($B53,RD[[#All],[Date]:[IS4Inv2]],H$2,0)/H$1/_xlfn.XLOOKUP(Inv_SY_B12[[#This Row],[Date]],Daily_KPI[Date],Daily_KPI[POA-UP(KWh/m2)]),"")</f>
        <v>0.92373431057007993</v>
      </c>
      <c r="I53" s="333">
        <f ca="1">IFERROR(VLOOKUP($B53,RD[[#All],[Date]:[IS4Inv2]],I$2,0)/I$1/_xlfn.XLOOKUP(Inv_SY_B12[[#This Row],[Date]],Daily_KPI[Date],Daily_KPI[POA-UP(KWh/m2)]),"")</f>
        <v>0.92298679143658025</v>
      </c>
    </row>
    <row r="54" spans="2:9">
      <c r="B54" s="224">
        <f t="shared" ca="1" si="2"/>
        <v>45855</v>
      </c>
      <c r="C54" s="333">
        <f ca="1">IFERROR(VLOOKUP($B54,RD[[#All],[Date]:[IS4Inv2]],C$2,0)/C$1/_xlfn.XLOOKUP(Inv_SY_B12[[#This Row],[Date]],Daily_KPI[Date],Daily_KPI[POA-UP(KWh/m2)]),"")</f>
        <v>0.91469053578126269</v>
      </c>
      <c r="D54" s="333">
        <f ca="1">IFERROR(VLOOKUP($B54,RD[[#All],[Date]:[IS4Inv2]],D$2,0)/D$1/_xlfn.XLOOKUP(Inv_SY_B12[[#This Row],[Date]],Daily_KPI[Date],Daily_KPI[POA-UP(KWh/m2)]),"")</f>
        <v>0.92409872249673031</v>
      </c>
      <c r="E54" s="333">
        <f ca="1">IFERROR(VLOOKUP($B54,RD[[#All],[Date]:[IS4Inv2]],E$2,0)/E$1/_xlfn.XLOOKUP(Inv_SY_B12[[#This Row],[Date]],Daily_KPI[Date],Daily_KPI[POA-UP(KWh/m2)]),"")</f>
        <v>0.92176016166175745</v>
      </c>
      <c r="F54" s="333">
        <f ca="1">IFERROR(VLOOKUP($B54,RD[[#All],[Date]:[IS4Inv2]],F$2,0)/F$1/_xlfn.XLOOKUP(Inv_SY_B12[[#This Row],[Date]],Daily_KPI[Date],Daily_KPI[POA-UP(KWh/m2)]),"")</f>
        <v>0.93947947967030798</v>
      </c>
      <c r="G54" s="333">
        <f ca="1">IFERROR(VLOOKUP($B54,RD[[#All],[Date]:[IS4Inv2]],G$2,0)/G$1/_xlfn.XLOOKUP(Inv_SY_B12[[#This Row],[Date]],Daily_KPI[Date],Daily_KPI[POA-UP(KWh/m2)]),"")</f>
        <v>0.94368494852678364</v>
      </c>
      <c r="H54" s="333">
        <f ca="1">IFERROR(VLOOKUP($B54,RD[[#All],[Date]:[IS4Inv2]],H$2,0)/H$1/_xlfn.XLOOKUP(Inv_SY_B12[[#This Row],[Date]],Daily_KPI[Date],Daily_KPI[POA-UP(KWh/m2)]),"")</f>
        <v>0.93588851998366807</v>
      </c>
      <c r="I54" s="333">
        <f ca="1">IFERROR(VLOOKUP($B54,RD[[#All],[Date]:[IS4Inv2]],I$2,0)/I$1/_xlfn.XLOOKUP(Inv_SY_B12[[#This Row],[Date]],Daily_KPI[Date],Daily_KPI[POA-UP(KWh/m2)]),"")</f>
        <v>0.93467838261357339</v>
      </c>
    </row>
    <row r="55" spans="2:9">
      <c r="B55" s="224">
        <f t="shared" ca="1" si="2"/>
        <v>45856</v>
      </c>
      <c r="C55" s="333">
        <f ca="1">IFERROR(VLOOKUP($B55,RD[[#All],[Date]:[IS4Inv2]],C$2,0)/C$1/_xlfn.XLOOKUP(Inv_SY_B12[[#This Row],[Date]],Daily_KPI[Date],Daily_KPI[POA-UP(KWh/m2)]),"")</f>
        <v>0.89635797694705499</v>
      </c>
      <c r="D55" s="333">
        <f ca="1">IFERROR(VLOOKUP($B55,RD[[#All],[Date]:[IS4Inv2]],D$2,0)/D$1/_xlfn.XLOOKUP(Inv_SY_B12[[#This Row],[Date]],Daily_KPI[Date],Daily_KPI[POA-UP(KWh/m2)]),"")</f>
        <v>0.90944558731195513</v>
      </c>
      <c r="E55" s="333">
        <f ca="1">IFERROR(VLOOKUP($B55,RD[[#All],[Date]:[IS4Inv2]],E$2,0)/E$1/_xlfn.XLOOKUP(Inv_SY_B12[[#This Row],[Date]],Daily_KPI[Date],Daily_KPI[POA-UP(KWh/m2)]),"")</f>
        <v>0.89727070358345384</v>
      </c>
      <c r="F55" s="333">
        <f ca="1">IFERROR(VLOOKUP($B55,RD[[#All],[Date]:[IS4Inv2]],F$2,0)/F$1/_xlfn.XLOOKUP(Inv_SY_B12[[#This Row],[Date]],Daily_KPI[Date],Daily_KPI[POA-UP(KWh/m2)]),"")</f>
        <v>0.91273458144188857</v>
      </c>
      <c r="G55" s="333">
        <f ca="1">IFERROR(VLOOKUP($B55,RD[[#All],[Date]:[IS4Inv2]],G$2,0)/G$1/_xlfn.XLOOKUP(Inv_SY_B12[[#This Row],[Date]],Daily_KPI[Date],Daily_KPI[POA-UP(KWh/m2)]),"")</f>
        <v>0.9138431197017316</v>
      </c>
      <c r="H55" s="333">
        <f ca="1">IFERROR(VLOOKUP($B55,RD[[#All],[Date]:[IS4Inv2]],H$2,0)/H$1/_xlfn.XLOOKUP(Inv_SY_B12[[#This Row],[Date]],Daily_KPI[Date],Daily_KPI[POA-UP(KWh/m2)]),"")</f>
        <v>0.90977176550352912</v>
      </c>
      <c r="I55" s="333">
        <f ca="1">IFERROR(VLOOKUP($B55,RD[[#All],[Date]:[IS4Inv2]],I$2,0)/I$1/_xlfn.XLOOKUP(Inv_SY_B12[[#This Row],[Date]],Daily_KPI[Date],Daily_KPI[POA-UP(KWh/m2)]),"")</f>
        <v>0.90574376183166561</v>
      </c>
    </row>
    <row r="56" spans="2:9">
      <c r="B56" s="224">
        <f t="shared" ca="1" si="2"/>
        <v>45857</v>
      </c>
      <c r="C56" s="333">
        <f ca="1">IFERROR(VLOOKUP($B56,RD[[#All],[Date]:[IS4Inv2]],C$2,0)/C$1/_xlfn.XLOOKUP(Inv_SY_B12[[#This Row],[Date]],Daily_KPI[Date],Daily_KPI[POA-UP(KWh/m2)]),"")</f>
        <v>0.83822420131297715</v>
      </c>
      <c r="D56" s="333">
        <f ca="1">IFERROR(VLOOKUP($B56,RD[[#All],[Date]:[IS4Inv2]],D$2,0)/D$1/_xlfn.XLOOKUP(Inv_SY_B12[[#This Row],[Date]],Daily_KPI[Date],Daily_KPI[POA-UP(KWh/m2)]),"")</f>
        <v>0.83860377821568466</v>
      </c>
      <c r="E56" s="333">
        <f ca="1">IFERROR(VLOOKUP($B56,RD[[#All],[Date]:[IS4Inv2]],E$2,0)/E$1/_xlfn.XLOOKUP(Inv_SY_B12[[#This Row],[Date]],Daily_KPI[Date],Daily_KPI[POA-UP(KWh/m2)]),"")</f>
        <v>0.817442796958193</v>
      </c>
      <c r="F56" s="333">
        <f ca="1">IFERROR(VLOOKUP($B56,RD[[#All],[Date]:[IS4Inv2]],F$2,0)/F$1/_xlfn.XLOOKUP(Inv_SY_B12[[#This Row],[Date]],Daily_KPI[Date],Daily_KPI[POA-UP(KWh/m2)]),"")</f>
        <v>0.82962467768308867</v>
      </c>
      <c r="G56" s="333">
        <f ca="1">IFERROR(VLOOKUP($B56,RD[[#All],[Date]:[IS4Inv2]],G$2,0)/G$1/_xlfn.XLOOKUP(Inv_SY_B12[[#This Row],[Date]],Daily_KPI[Date],Daily_KPI[POA-UP(KWh/m2)]),"")</f>
        <v>0.84538939938597391</v>
      </c>
      <c r="H56" s="333">
        <f ca="1">IFERROR(VLOOKUP($B56,RD[[#All],[Date]:[IS4Inv2]],H$2,0)/H$1/_xlfn.XLOOKUP(Inv_SY_B12[[#This Row],[Date]],Daily_KPI[Date],Daily_KPI[POA-UP(KWh/m2)]),"")</f>
        <v>0.87391861236277302</v>
      </c>
      <c r="I56" s="333">
        <f ca="1">IFERROR(VLOOKUP($B56,RD[[#All],[Date]:[IS4Inv2]],I$2,0)/I$1/_xlfn.XLOOKUP(Inv_SY_B12[[#This Row],[Date]],Daily_KPI[Date],Daily_KPI[POA-UP(KWh/m2)]),"")</f>
        <v>0.86777588268257944</v>
      </c>
    </row>
    <row r="57" spans="2:9">
      <c r="B57" s="224">
        <f t="shared" ca="1" si="2"/>
        <v>45858</v>
      </c>
      <c r="C57" s="333">
        <f ca="1">IFERROR(VLOOKUP($B57,RD[[#All],[Date]:[IS4Inv2]],C$2,0)/C$1/_xlfn.XLOOKUP(Inv_SY_B12[[#This Row],[Date]],Daily_KPI[Date],Daily_KPI[POA-UP(KWh/m2)]),"")</f>
        <v>0.90382695008739478</v>
      </c>
      <c r="D57" s="333">
        <f ca="1">IFERROR(VLOOKUP($B57,RD[[#All],[Date]:[IS4Inv2]],D$2,0)/D$1/_xlfn.XLOOKUP(Inv_SY_B12[[#This Row],[Date]],Daily_KPI[Date],Daily_KPI[POA-UP(KWh/m2)]),"")</f>
        <v>0.91353533725101177</v>
      </c>
      <c r="E57" s="333">
        <f ca="1">IFERROR(VLOOKUP($B57,RD[[#All],[Date]:[IS4Inv2]],E$2,0)/E$1/_xlfn.XLOOKUP(Inv_SY_B12[[#This Row],[Date]],Daily_KPI[Date],Daily_KPI[POA-UP(KWh/m2)]),"")</f>
        <v>0.90385544389569061</v>
      </c>
      <c r="F57" s="333">
        <f ca="1">IFERROR(VLOOKUP($B57,RD[[#All],[Date]:[IS4Inv2]],F$2,0)/F$1/_xlfn.XLOOKUP(Inv_SY_B12[[#This Row],[Date]],Daily_KPI[Date],Daily_KPI[POA-UP(KWh/m2)]),"")</f>
        <v>0.9206137303055667</v>
      </c>
      <c r="G57" s="333">
        <f ca="1">IFERROR(VLOOKUP($B57,RD[[#All],[Date]:[IS4Inv2]],G$2,0)/G$1/_xlfn.XLOOKUP(Inv_SY_B12[[#This Row],[Date]],Daily_KPI[Date],Daily_KPI[POA-UP(KWh/m2)]),"")</f>
        <v>0.92059000587622142</v>
      </c>
      <c r="H57" s="333">
        <f ca="1">IFERROR(VLOOKUP($B57,RD[[#All],[Date]:[IS4Inv2]],H$2,0)/H$1/_xlfn.XLOOKUP(Inv_SY_B12[[#This Row],[Date]],Daily_KPI[Date],Daily_KPI[POA-UP(KWh/m2)]),"")</f>
        <v>0.91656571980341373</v>
      </c>
      <c r="I57" s="333">
        <f ca="1">IFERROR(VLOOKUP($B57,RD[[#All],[Date]:[IS4Inv2]],I$2,0)/I$1/_xlfn.XLOOKUP(Inv_SY_B12[[#This Row],[Date]],Daily_KPI[Date],Daily_KPI[POA-UP(KWh/m2)]),"")</f>
        <v>0.91216782122283568</v>
      </c>
    </row>
    <row r="58" spans="2:9">
      <c r="B58" s="224">
        <f t="shared" ca="1" si="2"/>
        <v>45859</v>
      </c>
      <c r="C58" s="333">
        <f ca="1">IFERROR(VLOOKUP($B58,RD[[#All],[Date]:[IS4Inv2]],C$2,0)/C$1/_xlfn.XLOOKUP(Inv_SY_B12[[#This Row],[Date]],Daily_KPI[Date],Daily_KPI[POA-UP(KWh/m2)]),"")</f>
        <v>0.85901741247128716</v>
      </c>
      <c r="D58" s="333">
        <f ca="1">IFERROR(VLOOKUP($B58,RD[[#All],[Date]:[IS4Inv2]],D$2,0)/D$1/_xlfn.XLOOKUP(Inv_SY_B12[[#This Row],[Date]],Daily_KPI[Date],Daily_KPI[POA-UP(KWh/m2)]),"")</f>
        <v>0.8617419986199264</v>
      </c>
      <c r="E58" s="333">
        <f ca="1">IFERROR(VLOOKUP($B58,RD[[#All],[Date]:[IS4Inv2]],E$2,0)/E$1/_xlfn.XLOOKUP(Inv_SY_B12[[#This Row],[Date]],Daily_KPI[Date],Daily_KPI[POA-UP(KWh/m2)]),"")</f>
        <v>0.85315985878962675</v>
      </c>
      <c r="F58" s="333">
        <f ca="1">IFERROR(VLOOKUP($B58,RD[[#All],[Date]:[IS4Inv2]],F$2,0)/F$1/_xlfn.XLOOKUP(Inv_SY_B12[[#This Row],[Date]],Daily_KPI[Date],Daily_KPI[POA-UP(KWh/m2)]),"")</f>
        <v>0.86247806138288741</v>
      </c>
      <c r="G58" s="333">
        <f ca="1">IFERROR(VLOOKUP($B58,RD[[#All],[Date]:[IS4Inv2]],G$2,0)/G$1/_xlfn.XLOOKUP(Inv_SY_B12[[#This Row],[Date]],Daily_KPI[Date],Daily_KPI[POA-UP(KWh/m2)]),"")</f>
        <v>0.8592318971414743</v>
      </c>
      <c r="H58" s="333">
        <f ca="1">IFERROR(VLOOKUP($B58,RD[[#All],[Date]:[IS4Inv2]],H$2,0)/H$1/_xlfn.XLOOKUP(Inv_SY_B12[[#This Row],[Date]],Daily_KPI[Date],Daily_KPI[POA-UP(KWh/m2)]),"")</f>
        <v>0.87691761817446046</v>
      </c>
      <c r="I58" s="333">
        <f ca="1">IFERROR(VLOOKUP($B58,RD[[#All],[Date]:[IS4Inv2]],I$2,0)/I$1/_xlfn.XLOOKUP(Inv_SY_B12[[#This Row],[Date]],Daily_KPI[Date],Daily_KPI[POA-UP(KWh/m2)]),"")</f>
        <v>0.86784545848250561</v>
      </c>
    </row>
    <row r="59" spans="2:9">
      <c r="B59" s="224">
        <f t="shared" ca="1" si="2"/>
        <v>45860</v>
      </c>
      <c r="C59" s="333">
        <f ca="1">IFERROR(VLOOKUP($B59,RD[[#All],[Date]:[IS4Inv2]],C$2,0)/C$1/_xlfn.XLOOKUP(Inv_SY_B12[[#This Row],[Date]],Daily_KPI[Date],Daily_KPI[POA-UP(KWh/m2)]),"")</f>
        <v>0.92260513496016094</v>
      </c>
      <c r="D59" s="333">
        <f ca="1">IFERROR(VLOOKUP($B59,RD[[#All],[Date]:[IS4Inv2]],D$2,0)/D$1/_xlfn.XLOOKUP(Inv_SY_B12[[#This Row],[Date]],Daily_KPI[Date],Daily_KPI[POA-UP(KWh/m2)]),"")</f>
        <v>0.91795346139873457</v>
      </c>
      <c r="E59" s="333">
        <f ca="1">IFERROR(VLOOKUP($B59,RD[[#All],[Date]:[IS4Inv2]],E$2,0)/E$1/_xlfn.XLOOKUP(Inv_SY_B12[[#This Row],[Date]],Daily_KPI[Date],Daily_KPI[POA-UP(KWh/m2)]),"")</f>
        <v>0.92267553137745983</v>
      </c>
      <c r="F59" s="333">
        <f ca="1">IFERROR(VLOOKUP($B59,RD[[#All],[Date]:[IS4Inv2]],F$2,0)/F$1/_xlfn.XLOOKUP(Inv_SY_B12[[#This Row],[Date]],Daily_KPI[Date],Daily_KPI[POA-UP(KWh/m2)]),"")</f>
        <v>0.92677981154555833</v>
      </c>
      <c r="G59" s="333">
        <f ca="1">IFERROR(VLOOKUP($B59,RD[[#All],[Date]:[IS4Inv2]],G$2,0)/G$1/_xlfn.XLOOKUP(Inv_SY_B12[[#This Row],[Date]],Daily_KPI[Date],Daily_KPI[POA-UP(KWh/m2)]),"")</f>
        <v>0.91729788978261417</v>
      </c>
      <c r="H59" s="333">
        <f ca="1">IFERROR(VLOOKUP($B59,RD[[#All],[Date]:[IS4Inv2]],H$2,0)/H$1/_xlfn.XLOOKUP(Inv_SY_B12[[#This Row],[Date]],Daily_KPI[Date],Daily_KPI[POA-UP(KWh/m2)]),"")</f>
        <v>0.92600532304685912</v>
      </c>
      <c r="I59" s="333">
        <f ca="1">IFERROR(VLOOKUP($B59,RD[[#All],[Date]:[IS4Inv2]],I$2,0)/I$1/_xlfn.XLOOKUP(Inv_SY_B12[[#This Row],[Date]],Daily_KPI[Date],Daily_KPI[POA-UP(KWh/m2)]),"")</f>
        <v>0.92581448723690096</v>
      </c>
    </row>
    <row r="60" spans="2:9">
      <c r="B60" s="224">
        <f t="shared" ca="1" si="2"/>
        <v>45861</v>
      </c>
      <c r="C60" s="333">
        <f ca="1">IFERROR(VLOOKUP($B60,RD[[#All],[Date]:[IS4Inv2]],C$2,0)/C$1/_xlfn.XLOOKUP(Inv_SY_B12[[#This Row],[Date]],Daily_KPI[Date],Daily_KPI[POA-UP(KWh/m2)]),"")</f>
        <v>0.84465245908129682</v>
      </c>
      <c r="D60" s="333">
        <f ca="1">IFERROR(VLOOKUP($B60,RD[[#All],[Date]:[IS4Inv2]],D$2,0)/D$1/_xlfn.XLOOKUP(Inv_SY_B12[[#This Row],[Date]],Daily_KPI[Date],Daily_KPI[POA-UP(KWh/m2)]),"")</f>
        <v>0.85113371375242386</v>
      </c>
      <c r="E60" s="333">
        <f ca="1">IFERROR(VLOOKUP($B60,RD[[#All],[Date]:[IS4Inv2]],E$2,0)/E$1/_xlfn.XLOOKUP(Inv_SY_B12[[#This Row],[Date]],Daily_KPI[Date],Daily_KPI[POA-UP(KWh/m2)]),"")</f>
        <v>0.84080324385711669</v>
      </c>
      <c r="F60" s="333">
        <f ca="1">IFERROR(VLOOKUP($B60,RD[[#All],[Date]:[IS4Inv2]],F$2,0)/F$1/_xlfn.XLOOKUP(Inv_SY_B12[[#This Row],[Date]],Daily_KPI[Date],Daily_KPI[POA-UP(KWh/m2)]),"")</f>
        <v>0.8528339511711226</v>
      </c>
      <c r="G60" s="333">
        <f ca="1">IFERROR(VLOOKUP($B60,RD[[#All],[Date]:[IS4Inv2]],G$2,0)/G$1/_xlfn.XLOOKUP(Inv_SY_B12[[#This Row],[Date]],Daily_KPI[Date],Daily_KPI[POA-UP(KWh/m2)]),"")</f>
        <v>0.85404159810263969</v>
      </c>
      <c r="H60" s="333">
        <f ca="1">IFERROR(VLOOKUP($B60,RD[[#All],[Date]:[IS4Inv2]],H$2,0)/H$1/_xlfn.XLOOKUP(Inv_SY_B12[[#This Row],[Date]],Daily_KPI[Date],Daily_KPI[POA-UP(KWh/m2)]),"")</f>
        <v>0.86914348548209186</v>
      </c>
      <c r="I60" s="333">
        <f ca="1">IFERROR(VLOOKUP($B60,RD[[#All],[Date]:[IS4Inv2]],I$2,0)/I$1/_xlfn.XLOOKUP(Inv_SY_B12[[#This Row],[Date]],Daily_KPI[Date],Daily_KPI[POA-UP(KWh/m2)]),"")</f>
        <v>0.85848058202509092</v>
      </c>
    </row>
    <row r="61" spans="2:9">
      <c r="B61" s="224">
        <f t="shared" ca="1" si="2"/>
        <v>45862</v>
      </c>
      <c r="C61" s="333">
        <f ca="1">IFERROR(VLOOKUP($B61,RD[[#All],[Date]:[IS4Inv2]],C$2,0)/C$1/_xlfn.XLOOKUP(Inv_SY_B12[[#This Row],[Date]],Daily_KPI[Date],Daily_KPI[POA-UP(KWh/m2)]),"")</f>
        <v>0.94671022125662929</v>
      </c>
      <c r="D61" s="333">
        <f ca="1">IFERROR(VLOOKUP($B61,RD[[#All],[Date]:[IS4Inv2]],D$2,0)/D$1/_xlfn.XLOOKUP(Inv_SY_B12[[#This Row],[Date]],Daily_KPI[Date],Daily_KPI[POA-UP(KWh/m2)]),"")</f>
        <v>0.95368711064230749</v>
      </c>
      <c r="E61" s="333">
        <f ca="1">IFERROR(VLOOKUP($B61,RD[[#All],[Date]:[IS4Inv2]],E$2,0)/E$1/_xlfn.XLOOKUP(Inv_SY_B12[[#This Row],[Date]],Daily_KPI[Date],Daily_KPI[POA-UP(KWh/m2)]),"")</f>
        <v>0.95377308426057772</v>
      </c>
      <c r="F61" s="333">
        <f ca="1">IFERROR(VLOOKUP($B61,RD[[#All],[Date]:[IS4Inv2]],F$2,0)/F$1/_xlfn.XLOOKUP(Inv_SY_B12[[#This Row],[Date]],Daily_KPI[Date],Daily_KPI[POA-UP(KWh/m2)]),"")</f>
        <v>0.97114494435192533</v>
      </c>
      <c r="G61" s="333">
        <f ca="1">IFERROR(VLOOKUP($B61,RD[[#All],[Date]:[IS4Inv2]],G$2,0)/G$1/_xlfn.XLOOKUP(Inv_SY_B12[[#This Row],[Date]],Daily_KPI[Date],Daily_KPI[POA-UP(KWh/m2)]),"")</f>
        <v>0.96820545289042703</v>
      </c>
      <c r="H61" s="333">
        <f ca="1">IFERROR(VLOOKUP($B61,RD[[#All],[Date]:[IS4Inv2]],H$2,0)/H$1/_xlfn.XLOOKUP(Inv_SY_B12[[#This Row],[Date]],Daily_KPI[Date],Daily_KPI[POA-UP(KWh/m2)]),"")</f>
        <v>0.95626973509688207</v>
      </c>
      <c r="I61" s="333">
        <f ca="1">IFERROR(VLOOKUP($B61,RD[[#All],[Date]:[IS4Inv2]],I$2,0)/I$1/_xlfn.XLOOKUP(Inv_SY_B12[[#This Row],[Date]],Daily_KPI[Date],Daily_KPI[POA-UP(KWh/m2)]),"")</f>
        <v>0.95035990256174763</v>
      </c>
    </row>
    <row r="62" spans="2:9">
      <c r="B62" s="224">
        <f t="shared" ca="1" si="2"/>
        <v>45863</v>
      </c>
      <c r="C62" s="333">
        <f ca="1">IFERROR(VLOOKUP($B62,RD[[#All],[Date]:[IS4Inv2]],C$2,0)/C$1/_xlfn.XLOOKUP(Inv_SY_B12[[#This Row],[Date]],Daily_KPI[Date],Daily_KPI[POA-UP(KWh/m2)]),"")</f>
        <v>0.95838168717994343</v>
      </c>
      <c r="D62" s="333">
        <f ca="1">IFERROR(VLOOKUP($B62,RD[[#All],[Date]:[IS4Inv2]],D$2,0)/D$1/_xlfn.XLOOKUP(Inv_SY_B12[[#This Row],[Date]],Daily_KPI[Date],Daily_KPI[POA-UP(KWh/m2)]),"")</f>
        <v>0.97532860883424632</v>
      </c>
      <c r="E62" s="333">
        <f ca="1">IFERROR(VLOOKUP($B62,RD[[#All],[Date]:[IS4Inv2]],E$2,0)/E$1/_xlfn.XLOOKUP(Inv_SY_B12[[#This Row],[Date]],Daily_KPI[Date],Daily_KPI[POA-UP(KWh/m2)]),"")</f>
        <v>0.9629553687084984</v>
      </c>
      <c r="F62" s="333">
        <f ca="1">IFERROR(VLOOKUP($B62,RD[[#All],[Date]:[IS4Inv2]],F$2,0)/F$1/_xlfn.XLOOKUP(Inv_SY_B12[[#This Row],[Date]],Daily_KPI[Date],Daily_KPI[POA-UP(KWh/m2)]),"")</f>
        <v>0.9842229898425533</v>
      </c>
      <c r="G62" s="333">
        <f ca="1">IFERROR(VLOOKUP($B62,RD[[#All],[Date]:[IS4Inv2]],G$2,0)/G$1/_xlfn.XLOOKUP(Inv_SY_B12[[#This Row],[Date]],Daily_KPI[Date],Daily_KPI[POA-UP(KWh/m2)]),"")</f>
        <v>0.98849588052539905</v>
      </c>
      <c r="H62" s="333">
        <f ca="1">IFERROR(VLOOKUP($B62,RD[[#All],[Date]:[IS4Inv2]],H$2,0)/H$1/_xlfn.XLOOKUP(Inv_SY_B12[[#This Row],[Date]],Daily_KPI[Date],Daily_KPI[POA-UP(KWh/m2)]),"")</f>
        <v>0.97945697854456992</v>
      </c>
      <c r="I62" s="333">
        <f ca="1">IFERROR(VLOOKUP($B62,RD[[#All],[Date]:[IS4Inv2]],I$2,0)/I$1/_xlfn.XLOOKUP(Inv_SY_B12[[#This Row],[Date]],Daily_KPI[Date],Daily_KPI[POA-UP(KWh/m2)]),"")</f>
        <v>0.97581020372361926</v>
      </c>
    </row>
    <row r="63" spans="2:9">
      <c r="B63" s="224">
        <f t="shared" ca="1" si="2"/>
        <v>45864</v>
      </c>
      <c r="C63" s="333">
        <f ca="1">IFERROR(VLOOKUP($B63,RD[[#All],[Date]:[IS4Inv2]],C$2,0)/C$1/_xlfn.XLOOKUP(Inv_SY_B12[[#This Row],[Date]],Daily_KPI[Date],Daily_KPI[POA-UP(KWh/m2)]),"")</f>
        <v>0.99738298308167128</v>
      </c>
      <c r="D63" s="333">
        <f ca="1">IFERROR(VLOOKUP($B63,RD[[#All],[Date]:[IS4Inv2]],D$2,0)/D$1/_xlfn.XLOOKUP(Inv_SY_B12[[#This Row],[Date]],Daily_KPI[Date],Daily_KPI[POA-UP(KWh/m2)]),"")</f>
        <v>1.0194558928130124</v>
      </c>
      <c r="E63" s="333">
        <f ca="1">IFERROR(VLOOKUP($B63,RD[[#All],[Date]:[IS4Inv2]],E$2,0)/E$1/_xlfn.XLOOKUP(Inv_SY_B12[[#This Row],[Date]],Daily_KPI[Date],Daily_KPI[POA-UP(KWh/m2)]),"")</f>
        <v>1.000167461964139</v>
      </c>
      <c r="F63" s="333">
        <f ca="1">IFERROR(VLOOKUP($B63,RD[[#All],[Date]:[IS4Inv2]],F$2,0)/F$1/_xlfn.XLOOKUP(Inv_SY_B12[[#This Row],[Date]],Daily_KPI[Date],Daily_KPI[POA-UP(KWh/m2)]),"")</f>
        <v>1.0249775659447813</v>
      </c>
      <c r="G63" s="333">
        <f ca="1">IFERROR(VLOOKUP($B63,RD[[#All],[Date]:[IS4Inv2]],G$2,0)/G$1/_xlfn.XLOOKUP(Inv_SY_B12[[#This Row],[Date]],Daily_KPI[Date],Daily_KPI[POA-UP(KWh/m2)]),"")</f>
        <v>1.0329061361638427</v>
      </c>
      <c r="H63" s="333">
        <f ca="1">IFERROR(VLOOKUP($B63,RD[[#All],[Date]:[IS4Inv2]],H$2,0)/H$1/_xlfn.XLOOKUP(Inv_SY_B12[[#This Row],[Date]],Daily_KPI[Date],Daily_KPI[POA-UP(KWh/m2)]),"")</f>
        <v>1.0235016930183689</v>
      </c>
      <c r="I63" s="333">
        <f ca="1">IFERROR(VLOOKUP($B63,RD[[#All],[Date]:[IS4Inv2]],I$2,0)/I$1/_xlfn.XLOOKUP(Inv_SY_B12[[#This Row],[Date]],Daily_KPI[Date],Daily_KPI[POA-UP(KWh/m2)]),"")</f>
        <v>1.0226273475284215</v>
      </c>
    </row>
    <row r="64" spans="2:9">
      <c r="B64" s="224">
        <f t="shared" ca="1" si="2"/>
        <v>45865</v>
      </c>
      <c r="C64" s="333">
        <f ca="1">IFERROR(VLOOKUP($B64,RD[[#All],[Date]:[IS4Inv2]],C$2,0)/C$1/_xlfn.XLOOKUP(Inv_SY_B12[[#This Row],[Date]],Daily_KPI[Date],Daily_KPI[POA-UP(KWh/m2)]),"")</f>
        <v>0.93720988712822262</v>
      </c>
      <c r="D64" s="333">
        <f ca="1">IFERROR(VLOOKUP($B64,RD[[#All],[Date]:[IS4Inv2]],D$2,0)/D$1/_xlfn.XLOOKUP(Inv_SY_B12[[#This Row],[Date]],Daily_KPI[Date],Daily_KPI[POA-UP(KWh/m2)]),"")</f>
        <v>0.95663600104664626</v>
      </c>
      <c r="E64" s="333">
        <f ca="1">IFERROR(VLOOKUP($B64,RD[[#All],[Date]:[IS4Inv2]],E$2,0)/E$1/_xlfn.XLOOKUP(Inv_SY_B12[[#This Row],[Date]],Daily_KPI[Date],Daily_KPI[POA-UP(KWh/m2)]),"")</f>
        <v>0.94343163047962608</v>
      </c>
      <c r="F64" s="333">
        <f ca="1">IFERROR(VLOOKUP($B64,RD[[#All],[Date]:[IS4Inv2]],F$2,0)/F$1/_xlfn.XLOOKUP(Inv_SY_B12[[#This Row],[Date]],Daily_KPI[Date],Daily_KPI[POA-UP(KWh/m2)]),"")</f>
        <v>0.96332272439631506</v>
      </c>
      <c r="G64" s="333">
        <f ca="1">IFERROR(VLOOKUP($B64,RD[[#All],[Date]:[IS4Inv2]],G$2,0)/G$1/_xlfn.XLOOKUP(Inv_SY_B12[[#This Row],[Date]],Daily_KPI[Date],Daily_KPI[POA-UP(KWh/m2)]),"")</f>
        <v>0.96970115444261884</v>
      </c>
      <c r="H64" s="333">
        <f ca="1">IFERROR(VLOOKUP($B64,RD[[#All],[Date]:[IS4Inv2]],H$2,0)/H$1/_xlfn.XLOOKUP(Inv_SY_B12[[#This Row],[Date]],Daily_KPI[Date],Daily_KPI[POA-UP(KWh/m2)]),"")</f>
        <v>0.96088784966682073</v>
      </c>
      <c r="I64" s="333">
        <f ca="1">IFERROR(VLOOKUP($B64,RD[[#All],[Date]:[IS4Inv2]],I$2,0)/I$1/_xlfn.XLOOKUP(Inv_SY_B12[[#This Row],[Date]],Daily_KPI[Date],Daily_KPI[POA-UP(KWh/m2)]),"")</f>
        <v>0.96004919174789149</v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406</v>
      </c>
      <c r="P2" s="124" t="s">
        <v>407</v>
      </c>
      <c r="Q2" s="124" t="s">
        <v>408</v>
      </c>
      <c r="R2" s="124" t="s">
        <v>409</v>
      </c>
      <c r="S2" s="124" t="s">
        <v>410</v>
      </c>
      <c r="T2" s="124" t="s">
        <v>411</v>
      </c>
      <c r="U2" s="124" t="s">
        <v>412</v>
      </c>
      <c r="V2" s="124" t="s">
        <v>413</v>
      </c>
      <c r="W2" s="124" t="s">
        <v>414</v>
      </c>
      <c r="X2" s="124" t="s">
        <v>415</v>
      </c>
      <c r="Y2" s="124" t="s">
        <v>416</v>
      </c>
    </row>
    <row r="3" spans="1:25">
      <c r="A3" s="126">
        <v>1</v>
      </c>
      <c r="B3" s="127">
        <v>45689</v>
      </c>
      <c r="C3" s="128">
        <f>YEAR(MC[[#This Row],[Date]])+IF(MONTH(MC[[#This Row],[Date]])&gt;=4,1,0)</f>
        <v>2025</v>
      </c>
      <c r="D3" s="129">
        <f>YEAR(MC[[#This Row],[Date]])</f>
        <v>2025</v>
      </c>
      <c r="E3" s="351" t="s">
        <v>218</v>
      </c>
      <c r="F3" s="351" t="s">
        <v>218</v>
      </c>
      <c r="G3" s="130" t="str">
        <f>TEXT(MC[[#This Row],[Date]],"mmm-yy")</f>
        <v>Feb-25</v>
      </c>
      <c r="H3" s="130">
        <f>DAY(EOMONTH(MC[[#This Row],[Month Year]],0))</f>
        <v>28</v>
      </c>
      <c r="I3" s="126"/>
      <c r="J3" s="126"/>
      <c r="K3" s="133"/>
      <c r="L3" s="133"/>
      <c r="M3" s="133"/>
      <c r="N3" s="133"/>
      <c r="O3" s="126"/>
      <c r="P3" s="126"/>
      <c r="Q3" s="126"/>
      <c r="R3" s="4">
        <f>SUM(MC[[#This Row],[ICR1]:[ICR12]])</f>
        <v>0</v>
      </c>
      <c r="S3" s="131"/>
      <c r="T3" s="131"/>
      <c r="U3" s="131"/>
      <c r="V3" s="131"/>
      <c r="W3" s="126"/>
      <c r="X3" s="126"/>
      <c r="Y3" s="132"/>
    </row>
    <row r="4" spans="1:25">
      <c r="A4" s="133">
        <v>2</v>
      </c>
      <c r="B4" s="127">
        <f>B3+1</f>
        <v>45690</v>
      </c>
      <c r="C4" s="128">
        <f>YEAR(MC[[#This Row],[Date]])+IF(MONTH(MC[[#This Row],[Date]])&gt;=4,1,0)</f>
        <v>2025</v>
      </c>
      <c r="D4" s="129">
        <f>YEAR(MC[[#This Row],[Date]])</f>
        <v>2025</v>
      </c>
      <c r="E4" s="351" t="s">
        <v>218</v>
      </c>
      <c r="F4" s="351" t="s">
        <v>218</v>
      </c>
      <c r="G4" s="130" t="str">
        <f>TEXT(MC[[#This Row],[Date]],"mmm-yy")</f>
        <v>Feb-25</v>
      </c>
      <c r="H4" s="130">
        <f>DAY(EOMONTH(MC[[#This Row],[Month Year]],0))</f>
        <v>28</v>
      </c>
      <c r="I4" s="133"/>
      <c r="J4" s="133"/>
      <c r="K4" s="133"/>
      <c r="L4" s="133"/>
      <c r="M4" s="133"/>
      <c r="N4" s="133"/>
      <c r="O4" s="133"/>
      <c r="P4" s="126"/>
      <c r="Q4" s="126"/>
      <c r="R4" s="4">
        <f>SUM(MC[[#This Row],[ICR1]:[ICR12]])</f>
        <v>0</v>
      </c>
      <c r="S4" s="134"/>
      <c r="T4" s="134"/>
      <c r="U4" s="134"/>
      <c r="V4" s="134"/>
      <c r="W4" s="133"/>
      <c r="X4" s="133"/>
      <c r="Y4" s="132"/>
    </row>
    <row r="5" spans="1:25">
      <c r="A5" s="133">
        <v>3</v>
      </c>
      <c r="B5" s="127">
        <f t="shared" ref="B5:B68" si="0">B4+1</f>
        <v>45691</v>
      </c>
      <c r="C5" s="128">
        <f>YEAR(MC[[#This Row],[Date]])+IF(MONTH(MC[[#This Row],[Date]])&gt;=4,1,0)</f>
        <v>2025</v>
      </c>
      <c r="D5" s="129">
        <f>YEAR(MC[[#This Row],[Date]])</f>
        <v>2025</v>
      </c>
      <c r="E5" s="351" t="s">
        <v>218</v>
      </c>
      <c r="F5" s="351" t="s">
        <v>218</v>
      </c>
      <c r="G5" s="130" t="str">
        <f>TEXT(MC[[#This Row],[Date]],"mmm-yy")</f>
        <v>Feb-25</v>
      </c>
      <c r="H5" s="130">
        <f>DAY(EOMONTH(MC[[#This Row],[Month Year]],0))</f>
        <v>28</v>
      </c>
      <c r="I5" s="133"/>
      <c r="J5" s="133"/>
      <c r="K5" s="133"/>
      <c r="L5" s="133"/>
      <c r="M5" s="133"/>
      <c r="N5" s="133"/>
      <c r="O5" s="133"/>
      <c r="P5" s="126"/>
      <c r="Q5" s="126"/>
      <c r="R5" s="4">
        <f>SUM(MC[[#This Row],[ICR1]:[ICR12]])</f>
        <v>0</v>
      </c>
      <c r="S5" s="133"/>
      <c r="T5" s="133"/>
      <c r="U5" s="134"/>
      <c r="V5" s="134"/>
      <c r="W5" s="133"/>
      <c r="X5" s="133"/>
      <c r="Y5" s="133"/>
    </row>
    <row r="6" spans="1:25">
      <c r="A6" s="133">
        <v>4</v>
      </c>
      <c r="B6" s="127">
        <f t="shared" si="0"/>
        <v>45692</v>
      </c>
      <c r="C6" s="128">
        <f>YEAR(MC[[#This Row],[Date]])+IF(MONTH(MC[[#This Row],[Date]])&gt;=4,1,0)</f>
        <v>2025</v>
      </c>
      <c r="D6" s="129">
        <f>YEAR(MC[[#This Row],[Date]])</f>
        <v>2025</v>
      </c>
      <c r="E6" s="351" t="s">
        <v>218</v>
      </c>
      <c r="F6" s="351" t="s">
        <v>218</v>
      </c>
      <c r="G6" s="130" t="str">
        <f>TEXT(MC[[#This Row],[Date]],"mmm-yy")</f>
        <v>Feb-25</v>
      </c>
      <c r="H6" s="130">
        <f>DAY(EOMONTH(MC[[#This Row],[Month Year]],0))</f>
        <v>28</v>
      </c>
      <c r="I6" s="133"/>
      <c r="J6" s="133"/>
      <c r="K6" s="133"/>
      <c r="L6" s="133"/>
      <c r="M6" s="133"/>
      <c r="N6" s="133"/>
      <c r="O6" s="133"/>
      <c r="P6" s="126"/>
      <c r="Q6" s="126"/>
      <c r="R6" s="4">
        <f>SUM(MC[[#This Row],[ICR1]:[ICR12]])</f>
        <v>0</v>
      </c>
      <c r="S6" s="134"/>
      <c r="T6" s="134"/>
      <c r="U6" s="134"/>
      <c r="V6" s="134"/>
      <c r="W6" s="133"/>
      <c r="X6" s="133"/>
      <c r="Y6" s="133"/>
    </row>
    <row r="7" spans="1:25">
      <c r="A7" s="133">
        <v>5</v>
      </c>
      <c r="B7" s="127">
        <f t="shared" si="0"/>
        <v>45693</v>
      </c>
      <c r="C7" s="128">
        <f>YEAR(MC[[#This Row],[Date]])+IF(MONTH(MC[[#This Row],[Date]])&gt;=4,1,0)</f>
        <v>2025</v>
      </c>
      <c r="D7" s="129">
        <f>YEAR(MC[[#This Row],[Date]])</f>
        <v>2025</v>
      </c>
      <c r="E7" s="351" t="s">
        <v>218</v>
      </c>
      <c r="F7" s="351" t="s">
        <v>218</v>
      </c>
      <c r="G7" s="130" t="str">
        <f>TEXT(MC[[#This Row],[Date]],"mmm-yy")</f>
        <v>Feb-25</v>
      </c>
      <c r="H7" s="130">
        <f>DAY(EOMONTH(MC[[#This Row],[Month Year]],0))</f>
        <v>28</v>
      </c>
      <c r="I7" s="133"/>
      <c r="J7" s="133"/>
      <c r="K7" s="133"/>
      <c r="L7" s="133"/>
      <c r="M7" s="133"/>
      <c r="N7" s="133"/>
      <c r="O7" s="133"/>
      <c r="P7" s="126"/>
      <c r="Q7" s="126"/>
      <c r="R7" s="4">
        <f>SUM(MC[[#This Row],[ICR1]:[ICR12]])</f>
        <v>0</v>
      </c>
      <c r="S7" s="134"/>
      <c r="T7" s="134"/>
      <c r="U7" s="134"/>
      <c r="V7" s="134"/>
      <c r="W7" s="133"/>
      <c r="X7" s="133"/>
      <c r="Y7" s="133"/>
    </row>
    <row r="8" spans="1:25">
      <c r="A8" s="133">
        <v>6</v>
      </c>
      <c r="B8" s="127">
        <f t="shared" si="0"/>
        <v>45694</v>
      </c>
      <c r="C8" s="128">
        <f>YEAR(MC[[#This Row],[Date]])+IF(MONTH(MC[[#This Row],[Date]])&gt;=4,1,0)</f>
        <v>2025</v>
      </c>
      <c r="D8" s="129">
        <f>YEAR(MC[[#This Row],[Date]])</f>
        <v>2025</v>
      </c>
      <c r="E8" s="351" t="s">
        <v>218</v>
      </c>
      <c r="F8" s="351" t="s">
        <v>218</v>
      </c>
      <c r="G8" s="130" t="str">
        <f>TEXT(MC[[#This Row],[Date]],"mmm-yy")</f>
        <v>Feb-25</v>
      </c>
      <c r="H8" s="130">
        <f>DAY(EOMONTH(MC[[#This Row],[Month Year]],0))</f>
        <v>28</v>
      </c>
      <c r="I8" s="133"/>
      <c r="J8" s="133"/>
      <c r="K8" s="133"/>
      <c r="L8" s="133"/>
      <c r="M8" s="133"/>
      <c r="N8" s="133"/>
      <c r="O8" s="133"/>
      <c r="P8" s="126"/>
      <c r="Q8" s="126"/>
      <c r="R8" s="4">
        <f>SUM(MC[[#This Row],[ICR1]:[ICR12]])</f>
        <v>0</v>
      </c>
      <c r="S8" s="133"/>
      <c r="T8" s="133"/>
      <c r="U8" s="133"/>
      <c r="V8" s="133"/>
      <c r="W8" s="133"/>
      <c r="X8" s="133"/>
      <c r="Y8" s="133"/>
    </row>
    <row r="9" spans="1:25">
      <c r="A9" s="133">
        <v>7</v>
      </c>
      <c r="B9" s="127">
        <f t="shared" si="0"/>
        <v>45695</v>
      </c>
      <c r="C9" s="128">
        <f>YEAR(MC[[#This Row],[Date]])+IF(MONTH(MC[[#This Row],[Date]])&gt;=4,1,0)</f>
        <v>2025</v>
      </c>
      <c r="D9" s="129">
        <f>YEAR(MC[[#This Row],[Date]])</f>
        <v>2025</v>
      </c>
      <c r="E9" s="351" t="s">
        <v>218</v>
      </c>
      <c r="F9" s="351" t="s">
        <v>218</v>
      </c>
      <c r="G9" s="130" t="str">
        <f>TEXT(MC[[#This Row],[Date]],"mmm-yy")</f>
        <v>Feb-25</v>
      </c>
      <c r="H9" s="130">
        <f>DAY(EOMONTH(MC[[#This Row],[Month Year]],0))</f>
        <v>28</v>
      </c>
      <c r="I9" s="133"/>
      <c r="J9" s="133"/>
      <c r="K9" s="133"/>
      <c r="L9" s="133"/>
      <c r="M9" s="133"/>
      <c r="N9" s="133"/>
      <c r="O9" s="133"/>
      <c r="P9" s="126"/>
      <c r="Q9" s="126"/>
      <c r="R9" s="4">
        <f>SUM(MC[[#This Row],[ICR1]:[ICR12]])</f>
        <v>0</v>
      </c>
      <c r="S9" s="133"/>
      <c r="T9" s="133"/>
      <c r="U9" s="134"/>
      <c r="V9" s="134"/>
      <c r="W9" s="133"/>
      <c r="X9" s="133"/>
      <c r="Y9" s="133"/>
    </row>
    <row r="10" spans="1:25">
      <c r="A10" s="133">
        <v>8</v>
      </c>
      <c r="B10" s="127">
        <f t="shared" si="0"/>
        <v>45696</v>
      </c>
      <c r="C10" s="128">
        <f>YEAR(MC[[#This Row],[Date]])+IF(MONTH(MC[[#This Row],[Date]])&gt;=4,1,0)</f>
        <v>2025</v>
      </c>
      <c r="D10" s="129">
        <f>YEAR(MC[[#This Row],[Date]])</f>
        <v>2025</v>
      </c>
      <c r="E10" s="351" t="s">
        <v>218</v>
      </c>
      <c r="F10" s="351" t="s">
        <v>218</v>
      </c>
      <c r="G10" s="130" t="str">
        <f>TEXT(MC[[#This Row],[Date]],"mmm-yy")</f>
        <v>Feb-25</v>
      </c>
      <c r="H10" s="130">
        <f>DAY(EOMONTH(MC[[#This Row],[Month Year]],0))</f>
        <v>28</v>
      </c>
      <c r="I10" s="133"/>
      <c r="J10" s="133"/>
      <c r="K10" s="133"/>
      <c r="L10" s="133"/>
      <c r="M10" s="133"/>
      <c r="N10" s="133"/>
      <c r="O10" s="133"/>
      <c r="P10" s="126"/>
      <c r="Q10" s="126"/>
      <c r="R10" s="4">
        <f>SUM(MC[[#This Row],[ICR1]:[ICR12]])</f>
        <v>0</v>
      </c>
      <c r="S10" s="134"/>
      <c r="T10" s="134"/>
      <c r="U10" s="134"/>
      <c r="V10" s="134"/>
      <c r="W10" s="133"/>
      <c r="X10" s="133"/>
      <c r="Y10" s="133"/>
    </row>
    <row r="11" spans="1:25">
      <c r="A11" s="133">
        <v>9</v>
      </c>
      <c r="B11" s="127">
        <f t="shared" si="0"/>
        <v>45697</v>
      </c>
      <c r="C11" s="128">
        <f>YEAR(MC[[#This Row],[Date]])+IF(MONTH(MC[[#This Row],[Date]])&gt;=4,1,0)</f>
        <v>2025</v>
      </c>
      <c r="D11" s="129">
        <f>YEAR(MC[[#This Row],[Date]])</f>
        <v>2025</v>
      </c>
      <c r="E11" s="351" t="s">
        <v>218</v>
      </c>
      <c r="F11" s="351" t="s">
        <v>218</v>
      </c>
      <c r="G11" s="130" t="str">
        <f>TEXT(MC[[#This Row],[Date]],"mmm-yy")</f>
        <v>Feb-25</v>
      </c>
      <c r="H11" s="130">
        <f>DAY(EOMONTH(MC[[#This Row],[Month Year]],0))</f>
        <v>28</v>
      </c>
      <c r="I11" s="133"/>
      <c r="J11" s="133"/>
      <c r="K11" s="133"/>
      <c r="L11" s="133"/>
      <c r="M11" s="133"/>
      <c r="N11" s="133"/>
      <c r="O11" s="133"/>
      <c r="P11" s="126"/>
      <c r="Q11" s="126"/>
      <c r="R11" s="4">
        <f>SUM(MC[[#This Row],[ICR1]:[ICR12]])</f>
        <v>0</v>
      </c>
      <c r="S11" s="134"/>
      <c r="T11" s="134"/>
      <c r="U11" s="134"/>
      <c r="V11" s="134"/>
      <c r="W11" s="133"/>
      <c r="X11" s="133"/>
      <c r="Y11" s="133"/>
    </row>
    <row r="12" spans="1:25">
      <c r="A12" s="133">
        <v>10</v>
      </c>
      <c r="B12" s="127">
        <f t="shared" si="0"/>
        <v>45698</v>
      </c>
      <c r="C12" s="128">
        <f>YEAR(MC[[#This Row],[Date]])+IF(MONTH(MC[[#This Row],[Date]])&gt;=4,1,0)</f>
        <v>2025</v>
      </c>
      <c r="D12" s="129">
        <f>YEAR(MC[[#This Row],[Date]])</f>
        <v>2025</v>
      </c>
      <c r="E12" s="351" t="s">
        <v>218</v>
      </c>
      <c r="F12" s="351" t="s">
        <v>218</v>
      </c>
      <c r="G12" s="130" t="str">
        <f>TEXT(MC[[#This Row],[Date]],"mmm-yy")</f>
        <v>Feb-25</v>
      </c>
      <c r="H12" s="130">
        <f>DAY(EOMONTH(MC[[#This Row],[Month Year]],0))</f>
        <v>28</v>
      </c>
      <c r="I12" s="133"/>
      <c r="J12" s="133"/>
      <c r="K12" s="133"/>
      <c r="L12" s="133"/>
      <c r="M12" s="133"/>
      <c r="N12" s="133"/>
      <c r="O12" s="133"/>
      <c r="P12" s="126"/>
      <c r="Q12" s="126"/>
      <c r="R12" s="4">
        <f>SUM(MC[[#This Row],[ICR1]:[ICR12]])</f>
        <v>0</v>
      </c>
      <c r="S12" s="133"/>
      <c r="T12" s="133"/>
      <c r="U12" s="134"/>
      <c r="V12" s="134"/>
      <c r="W12" s="133"/>
      <c r="X12" s="133"/>
      <c r="Y12" s="133"/>
    </row>
    <row r="13" spans="1:25">
      <c r="A13" s="133">
        <v>11</v>
      </c>
      <c r="B13" s="127">
        <f t="shared" si="0"/>
        <v>45699</v>
      </c>
      <c r="C13" s="128">
        <f>YEAR(MC[[#This Row],[Date]])+IF(MONTH(MC[[#This Row],[Date]])&gt;=4,1,0)</f>
        <v>2025</v>
      </c>
      <c r="D13" s="129">
        <f>YEAR(MC[[#This Row],[Date]])</f>
        <v>2025</v>
      </c>
      <c r="E13" s="351" t="s">
        <v>218</v>
      </c>
      <c r="F13" s="351" t="s">
        <v>218</v>
      </c>
      <c r="G13" s="130" t="str">
        <f>TEXT(MC[[#This Row],[Date]],"mmm-yy")</f>
        <v>Feb-25</v>
      </c>
      <c r="H13" s="130">
        <f>DAY(EOMONTH(MC[[#This Row],[Month Year]],0))</f>
        <v>28</v>
      </c>
      <c r="I13" s="133"/>
      <c r="J13" s="133"/>
      <c r="K13" s="133"/>
      <c r="L13" s="133"/>
      <c r="M13" s="133"/>
      <c r="N13" s="133"/>
      <c r="O13" s="133"/>
      <c r="P13" s="126"/>
      <c r="Q13" s="126"/>
      <c r="R13" s="4">
        <f>SUM(MC[[#This Row],[ICR1]:[ICR12]])</f>
        <v>0</v>
      </c>
      <c r="S13" s="134"/>
      <c r="T13" s="134"/>
      <c r="U13" s="134"/>
      <c r="V13" s="134"/>
      <c r="W13" s="133"/>
      <c r="X13" s="133"/>
      <c r="Y13" s="133"/>
    </row>
    <row r="14" spans="1:25">
      <c r="A14" s="133">
        <v>12</v>
      </c>
      <c r="B14" s="127">
        <f t="shared" si="0"/>
        <v>45700</v>
      </c>
      <c r="C14" s="128">
        <f>YEAR(MC[[#This Row],[Date]])+IF(MONTH(MC[[#This Row],[Date]])&gt;=4,1,0)</f>
        <v>2025</v>
      </c>
      <c r="D14" s="129">
        <f>YEAR(MC[[#This Row],[Date]])</f>
        <v>2025</v>
      </c>
      <c r="E14" s="351" t="s">
        <v>218</v>
      </c>
      <c r="F14" s="351" t="s">
        <v>218</v>
      </c>
      <c r="G14" s="130" t="str">
        <f>TEXT(MC[[#This Row],[Date]],"mmm-yy")</f>
        <v>Feb-25</v>
      </c>
      <c r="H14" s="130">
        <f>DAY(EOMONTH(MC[[#This Row],[Month Year]],0))</f>
        <v>28</v>
      </c>
      <c r="I14" s="133"/>
      <c r="J14" s="133"/>
      <c r="K14" s="133"/>
      <c r="L14" s="133"/>
      <c r="M14" s="133"/>
      <c r="N14" s="133"/>
      <c r="O14" s="133"/>
      <c r="P14" s="126"/>
      <c r="Q14" s="126"/>
      <c r="R14" s="4">
        <f>SUM(MC[[#This Row],[ICR1]:[ICR12]])</f>
        <v>0</v>
      </c>
      <c r="S14" s="134"/>
      <c r="T14" s="134"/>
      <c r="U14" s="134"/>
      <c r="V14" s="134"/>
      <c r="W14" s="133"/>
      <c r="X14" s="133"/>
      <c r="Y14" s="133"/>
    </row>
    <row r="15" spans="1:25">
      <c r="A15" s="133">
        <v>13</v>
      </c>
      <c r="B15" s="127">
        <f t="shared" si="0"/>
        <v>45701</v>
      </c>
      <c r="C15" s="128">
        <f>YEAR(MC[[#This Row],[Date]])+IF(MONTH(MC[[#This Row],[Date]])&gt;=4,1,0)</f>
        <v>2025</v>
      </c>
      <c r="D15" s="129">
        <f>YEAR(MC[[#This Row],[Date]])</f>
        <v>2025</v>
      </c>
      <c r="E15" s="351" t="s">
        <v>218</v>
      </c>
      <c r="F15" s="351" t="s">
        <v>218</v>
      </c>
      <c r="G15" s="130" t="str">
        <f>TEXT(MC[[#This Row],[Date]],"mmm-yy")</f>
        <v>Feb-25</v>
      </c>
      <c r="H15" s="130">
        <f>DAY(EOMONTH(MC[[#This Row],[Month Year]],0))</f>
        <v>28</v>
      </c>
      <c r="I15" s="133"/>
      <c r="J15" s="133"/>
      <c r="K15" s="133"/>
      <c r="L15" s="133"/>
      <c r="M15" s="133"/>
      <c r="N15" s="133"/>
      <c r="O15" s="133"/>
      <c r="P15" s="126"/>
      <c r="Q15" s="126"/>
      <c r="R15" s="4">
        <f>SUM(MC[[#This Row],[ICR1]:[ICR12]])</f>
        <v>0</v>
      </c>
      <c r="S15" s="134"/>
      <c r="T15" s="134"/>
      <c r="U15" s="134"/>
      <c r="V15" s="134"/>
      <c r="W15" s="133"/>
      <c r="X15" s="133"/>
      <c r="Y15" s="133"/>
    </row>
    <row r="16" spans="1:25">
      <c r="A16" s="133">
        <v>14</v>
      </c>
      <c r="B16" s="127">
        <f t="shared" si="0"/>
        <v>45702</v>
      </c>
      <c r="C16" s="128">
        <f>YEAR(MC[[#This Row],[Date]])+IF(MONTH(MC[[#This Row],[Date]])&gt;=4,1,0)</f>
        <v>2025</v>
      </c>
      <c r="D16" s="129">
        <f>YEAR(MC[[#This Row],[Date]])</f>
        <v>2025</v>
      </c>
      <c r="E16" s="351" t="s">
        <v>218</v>
      </c>
      <c r="F16" s="351" t="s">
        <v>218</v>
      </c>
      <c r="G16" s="130" t="str">
        <f>TEXT(MC[[#This Row],[Date]],"mmm-yy")</f>
        <v>Feb-25</v>
      </c>
      <c r="H16" s="130">
        <f>DAY(EOMONTH(MC[[#This Row],[Month Year]],0))</f>
        <v>28</v>
      </c>
      <c r="I16" s="133"/>
      <c r="J16" s="133"/>
      <c r="K16" s="133"/>
      <c r="L16" s="133"/>
      <c r="M16" s="133"/>
      <c r="N16" s="133"/>
      <c r="O16" s="133"/>
      <c r="P16" s="126"/>
      <c r="Q16" s="126"/>
      <c r="R16" s="4">
        <f>SUM(MC[[#This Row],[ICR1]:[ICR12]])</f>
        <v>0</v>
      </c>
      <c r="S16" s="134"/>
      <c r="T16" s="134"/>
      <c r="U16" s="134"/>
      <c r="V16" s="134"/>
      <c r="W16" s="133"/>
      <c r="X16" s="133"/>
      <c r="Y16" s="133"/>
    </row>
    <row r="17" spans="1:25">
      <c r="A17" s="133">
        <v>15</v>
      </c>
      <c r="B17" s="127">
        <f t="shared" si="0"/>
        <v>45703</v>
      </c>
      <c r="C17" s="128">
        <f>YEAR(MC[[#This Row],[Date]])+IF(MONTH(MC[[#This Row],[Date]])&gt;=4,1,0)</f>
        <v>2025</v>
      </c>
      <c r="D17" s="129">
        <f>YEAR(MC[[#This Row],[Date]])</f>
        <v>2025</v>
      </c>
      <c r="E17" s="351" t="s">
        <v>218</v>
      </c>
      <c r="F17" s="351" t="s">
        <v>218</v>
      </c>
      <c r="G17" s="130" t="str">
        <f>TEXT(MC[[#This Row],[Date]],"mmm-yy")</f>
        <v>Feb-25</v>
      </c>
      <c r="H17" s="130">
        <f>DAY(EOMONTH(MC[[#This Row],[Month Year]],0))</f>
        <v>28</v>
      </c>
      <c r="I17" s="133"/>
      <c r="J17" s="133"/>
      <c r="K17" s="133"/>
      <c r="L17" s="133"/>
      <c r="M17" s="133"/>
      <c r="N17" s="133"/>
      <c r="O17" s="133"/>
      <c r="P17" s="126"/>
      <c r="Q17" s="126"/>
      <c r="R17" s="4">
        <f>SUM(MC[[#This Row],[ICR1]:[ICR12]])</f>
        <v>0</v>
      </c>
      <c r="S17" s="134"/>
      <c r="T17" s="134"/>
      <c r="U17" s="134"/>
      <c r="V17" s="134"/>
      <c r="W17" s="133"/>
      <c r="X17" s="133"/>
      <c r="Y17" s="133"/>
    </row>
    <row r="18" spans="1:25">
      <c r="A18" s="133">
        <v>16</v>
      </c>
      <c r="B18" s="127">
        <f t="shared" si="0"/>
        <v>45704</v>
      </c>
      <c r="C18" s="128">
        <f>YEAR(MC[[#This Row],[Date]])+IF(MONTH(MC[[#This Row],[Date]])&gt;=4,1,0)</f>
        <v>2025</v>
      </c>
      <c r="D18" s="129">
        <f>YEAR(MC[[#This Row],[Date]])</f>
        <v>2025</v>
      </c>
      <c r="E18" s="351" t="s">
        <v>218</v>
      </c>
      <c r="F18" s="351" t="s">
        <v>218</v>
      </c>
      <c r="G18" s="130" t="str">
        <f>TEXT(MC[[#This Row],[Date]],"mmm-yy")</f>
        <v>Feb-25</v>
      </c>
      <c r="H18" s="130">
        <f>DAY(EOMONTH(MC[[#This Row],[Month Year]],0))</f>
        <v>28</v>
      </c>
      <c r="I18" s="133"/>
      <c r="J18" s="133"/>
      <c r="K18" s="133"/>
      <c r="L18" s="133"/>
      <c r="M18" s="133"/>
      <c r="N18" s="133"/>
      <c r="O18" s="133"/>
      <c r="P18" s="126"/>
      <c r="Q18" s="126"/>
      <c r="R18" s="4">
        <f>SUM(MC[[#This Row],[ICR1]:[ICR12]])</f>
        <v>0</v>
      </c>
      <c r="S18" s="134"/>
      <c r="T18" s="134"/>
      <c r="U18" s="134"/>
      <c r="V18" s="134"/>
      <c r="W18" s="133"/>
      <c r="X18" s="133"/>
      <c r="Y18" s="133"/>
    </row>
    <row r="19" spans="1:25">
      <c r="A19" s="133">
        <v>17</v>
      </c>
      <c r="B19" s="127">
        <f t="shared" si="0"/>
        <v>45705</v>
      </c>
      <c r="C19" s="128">
        <f>YEAR(MC[[#This Row],[Date]])+IF(MONTH(MC[[#This Row],[Date]])&gt;=4,1,0)</f>
        <v>2025</v>
      </c>
      <c r="D19" s="129">
        <f>YEAR(MC[[#This Row],[Date]])</f>
        <v>2025</v>
      </c>
      <c r="E19" s="351" t="s">
        <v>218</v>
      </c>
      <c r="F19" s="351" t="s">
        <v>218</v>
      </c>
      <c r="G19" s="130" t="str">
        <f>TEXT(MC[[#This Row],[Date]],"mmm-yy")</f>
        <v>Feb-25</v>
      </c>
      <c r="H19" s="130">
        <f>DAY(EOMONTH(MC[[#This Row],[Month Year]],0))</f>
        <v>28</v>
      </c>
      <c r="I19" s="133"/>
      <c r="J19" s="133"/>
      <c r="K19" s="133"/>
      <c r="L19" s="133"/>
      <c r="M19" s="133"/>
      <c r="N19" s="133"/>
      <c r="O19" s="133"/>
      <c r="P19" s="126"/>
      <c r="Q19" s="126"/>
      <c r="R19" s="4">
        <f>SUM(MC[[#This Row],[ICR1]:[ICR12]])</f>
        <v>0</v>
      </c>
      <c r="S19" s="134"/>
      <c r="T19" s="134"/>
      <c r="U19" s="134"/>
      <c r="V19" s="134"/>
      <c r="W19" s="133"/>
      <c r="X19" s="133"/>
      <c r="Y19" s="133"/>
    </row>
    <row r="20" spans="1:25">
      <c r="A20" s="133">
        <v>18</v>
      </c>
      <c r="B20" s="127">
        <f t="shared" si="0"/>
        <v>45706</v>
      </c>
      <c r="C20" s="128">
        <f>YEAR(MC[[#This Row],[Date]])+IF(MONTH(MC[[#This Row],[Date]])&gt;=4,1,0)</f>
        <v>2025</v>
      </c>
      <c r="D20" s="129">
        <f>YEAR(MC[[#This Row],[Date]])</f>
        <v>2025</v>
      </c>
      <c r="E20" s="351" t="s">
        <v>218</v>
      </c>
      <c r="F20" s="351" t="s">
        <v>218</v>
      </c>
      <c r="G20" s="130" t="str">
        <f>TEXT(MC[[#This Row],[Date]],"mmm-yy")</f>
        <v>Feb-25</v>
      </c>
      <c r="H20" s="130">
        <f>DAY(EOMONTH(MC[[#This Row],[Month Year]],0))</f>
        <v>28</v>
      </c>
      <c r="I20" s="133"/>
      <c r="J20" s="133"/>
      <c r="K20" s="133"/>
      <c r="L20" s="133"/>
      <c r="M20" s="133"/>
      <c r="N20" s="133"/>
      <c r="O20" s="133"/>
      <c r="P20" s="126"/>
      <c r="Q20" s="126"/>
      <c r="R20" s="4">
        <f>SUM(MC[[#This Row],[ICR1]:[ICR12]])</f>
        <v>0</v>
      </c>
      <c r="S20" s="134"/>
      <c r="T20" s="134"/>
      <c r="U20" s="134"/>
      <c r="V20" s="134"/>
      <c r="W20" s="133"/>
      <c r="X20" s="133"/>
      <c r="Y20" s="133"/>
    </row>
    <row r="21" spans="1:25">
      <c r="A21" s="133">
        <v>19</v>
      </c>
      <c r="B21" s="127">
        <f t="shared" si="0"/>
        <v>45707</v>
      </c>
      <c r="C21" s="128">
        <f>YEAR(MC[[#This Row],[Date]])+IF(MONTH(MC[[#This Row],[Date]])&gt;=4,1,0)</f>
        <v>2025</v>
      </c>
      <c r="D21" s="129">
        <f>YEAR(MC[[#This Row],[Date]])</f>
        <v>2025</v>
      </c>
      <c r="E21" s="351" t="s">
        <v>218</v>
      </c>
      <c r="F21" s="351" t="s">
        <v>218</v>
      </c>
      <c r="G21" s="130" t="str">
        <f>TEXT(MC[[#This Row],[Date]],"mmm-yy")</f>
        <v>Feb-25</v>
      </c>
      <c r="H21" s="130">
        <f>DAY(EOMONTH(MC[[#This Row],[Month Year]],0))</f>
        <v>28</v>
      </c>
      <c r="I21" s="133"/>
      <c r="J21" s="133"/>
      <c r="K21" s="133"/>
      <c r="L21" s="133"/>
      <c r="M21" s="133"/>
      <c r="N21" s="133"/>
      <c r="O21" s="133"/>
      <c r="P21" s="126"/>
      <c r="Q21" s="126"/>
      <c r="R21" s="4">
        <f>SUM(MC[[#This Row],[ICR1]:[ICR12]])</f>
        <v>0</v>
      </c>
      <c r="S21" s="134"/>
      <c r="T21" s="134"/>
      <c r="U21" s="133"/>
      <c r="V21" s="133"/>
      <c r="W21" s="133"/>
      <c r="X21" s="133"/>
      <c r="Y21" s="133"/>
    </row>
    <row r="22" spans="1:25">
      <c r="A22" s="133">
        <v>20</v>
      </c>
      <c r="B22" s="127">
        <f t="shared" si="0"/>
        <v>45708</v>
      </c>
      <c r="C22" s="128">
        <f>YEAR(MC[[#This Row],[Date]])+IF(MONTH(MC[[#This Row],[Date]])&gt;=4,1,0)</f>
        <v>2025</v>
      </c>
      <c r="D22" s="129">
        <f>YEAR(MC[[#This Row],[Date]])</f>
        <v>2025</v>
      </c>
      <c r="E22" s="351" t="s">
        <v>218</v>
      </c>
      <c r="F22" s="351" t="s">
        <v>218</v>
      </c>
      <c r="G22" s="130" t="str">
        <f>TEXT(MC[[#This Row],[Date]],"mmm-yy")</f>
        <v>Feb-25</v>
      </c>
      <c r="H22" s="130">
        <f>DAY(EOMONTH(MC[[#This Row],[Month Year]],0))</f>
        <v>28</v>
      </c>
      <c r="I22" s="133"/>
      <c r="J22" s="133"/>
      <c r="K22" s="133"/>
      <c r="L22" s="133"/>
      <c r="M22" s="133"/>
      <c r="N22" s="133"/>
      <c r="O22" s="133"/>
      <c r="P22" s="126"/>
      <c r="Q22" s="126"/>
      <c r="R22" s="4">
        <f>SUM(MC[[#This Row],[ICR1]:[ICR12]])</f>
        <v>0</v>
      </c>
      <c r="S22" s="133"/>
      <c r="T22" s="133"/>
      <c r="U22" s="133"/>
      <c r="V22" s="133"/>
      <c r="W22" s="133"/>
      <c r="X22" s="133"/>
      <c r="Y22" s="133"/>
    </row>
    <row r="23" spans="1:25">
      <c r="A23" s="133">
        <v>21</v>
      </c>
      <c r="B23" s="127">
        <f t="shared" si="0"/>
        <v>45709</v>
      </c>
      <c r="C23" s="128">
        <f>YEAR(MC[[#This Row],[Date]])+IF(MONTH(MC[[#This Row],[Date]])&gt;=4,1,0)</f>
        <v>2025</v>
      </c>
      <c r="D23" s="129">
        <f>YEAR(MC[[#This Row],[Date]])</f>
        <v>2025</v>
      </c>
      <c r="E23" s="351" t="s">
        <v>218</v>
      </c>
      <c r="F23" s="351" t="s">
        <v>218</v>
      </c>
      <c r="G23" s="130" t="str">
        <f>TEXT(MC[[#This Row],[Date]],"mmm-yy")</f>
        <v>Feb-25</v>
      </c>
      <c r="H23" s="130">
        <f>DAY(EOMONTH(MC[[#This Row],[Month Year]],0))</f>
        <v>28</v>
      </c>
      <c r="I23" s="133"/>
      <c r="J23" s="133"/>
      <c r="K23" s="133"/>
      <c r="L23" s="133"/>
      <c r="M23" s="133"/>
      <c r="N23" s="133"/>
      <c r="O23" s="133"/>
      <c r="P23" s="126"/>
      <c r="Q23" s="126"/>
      <c r="R23" s="4">
        <f>SUM(MC[[#This Row],[ICR1]:[ICR12]])</f>
        <v>0</v>
      </c>
      <c r="S23" s="134"/>
      <c r="T23" s="134"/>
      <c r="U23" s="134"/>
      <c r="V23" s="134"/>
      <c r="W23" s="133"/>
      <c r="X23" s="133"/>
      <c r="Y23" s="133"/>
    </row>
    <row r="24" spans="1:25">
      <c r="A24" s="133">
        <v>22</v>
      </c>
      <c r="B24" s="127">
        <f t="shared" si="0"/>
        <v>45710</v>
      </c>
      <c r="C24" s="128">
        <f>YEAR(MC[[#This Row],[Date]])+IF(MONTH(MC[[#This Row],[Date]])&gt;=4,1,0)</f>
        <v>2025</v>
      </c>
      <c r="D24" s="129">
        <f>YEAR(MC[[#This Row],[Date]])</f>
        <v>2025</v>
      </c>
      <c r="E24" s="351" t="s">
        <v>218</v>
      </c>
      <c r="F24" s="351" t="s">
        <v>218</v>
      </c>
      <c r="G24" s="130" t="str">
        <f>TEXT(MC[[#This Row],[Date]],"mmm-yy")</f>
        <v>Feb-25</v>
      </c>
      <c r="H24" s="130">
        <f>DAY(EOMONTH(MC[[#This Row],[Month Year]],0))</f>
        <v>28</v>
      </c>
      <c r="I24" s="133"/>
      <c r="J24" s="133"/>
      <c r="K24" s="133"/>
      <c r="L24" s="133"/>
      <c r="M24" s="133"/>
      <c r="N24" s="133"/>
      <c r="O24" s="133"/>
      <c r="P24" s="126"/>
      <c r="Q24" s="126"/>
      <c r="R24" s="4">
        <f>SUM(MC[[#This Row],[ICR1]:[ICR12]])</f>
        <v>0</v>
      </c>
      <c r="S24" s="133"/>
      <c r="T24" s="133"/>
      <c r="U24" s="133"/>
      <c r="V24" s="133"/>
      <c r="W24" s="133"/>
      <c r="X24" s="133"/>
      <c r="Y24" s="133"/>
    </row>
    <row r="25" spans="1:25">
      <c r="A25" s="133">
        <v>23</v>
      </c>
      <c r="B25" s="127">
        <f t="shared" si="0"/>
        <v>45711</v>
      </c>
      <c r="C25" s="128">
        <f>YEAR(MC[[#This Row],[Date]])+IF(MONTH(MC[[#This Row],[Date]])&gt;=4,1,0)</f>
        <v>2025</v>
      </c>
      <c r="D25" s="129">
        <f>YEAR(MC[[#This Row],[Date]])</f>
        <v>2025</v>
      </c>
      <c r="E25" s="351" t="s">
        <v>218</v>
      </c>
      <c r="F25" s="351" t="s">
        <v>218</v>
      </c>
      <c r="G25" s="130" t="str">
        <f>TEXT(MC[[#This Row],[Date]],"mmm-yy")</f>
        <v>Feb-25</v>
      </c>
      <c r="H25" s="130">
        <f>DAY(EOMONTH(MC[[#This Row],[Month Year]],0))</f>
        <v>28</v>
      </c>
      <c r="I25" s="133"/>
      <c r="J25" s="133"/>
      <c r="K25" s="133"/>
      <c r="L25" s="133"/>
      <c r="M25" s="133"/>
      <c r="N25" s="133"/>
      <c r="O25" s="133"/>
      <c r="P25" s="126"/>
      <c r="Q25" s="126"/>
      <c r="R25" s="4">
        <f>SUM(MC[[#This Row],[ICR1]:[ICR12]])</f>
        <v>0</v>
      </c>
      <c r="S25" s="134"/>
      <c r="T25" s="134"/>
      <c r="U25" s="134"/>
      <c r="V25" s="134"/>
      <c r="W25" s="133"/>
      <c r="X25" s="133"/>
      <c r="Y25" s="133"/>
    </row>
    <row r="26" spans="1:25">
      <c r="A26" s="133">
        <v>24</v>
      </c>
      <c r="B26" s="127">
        <f t="shared" si="0"/>
        <v>45712</v>
      </c>
      <c r="C26" s="128">
        <f>YEAR(MC[[#This Row],[Date]])+IF(MONTH(MC[[#This Row],[Date]])&gt;=4,1,0)</f>
        <v>2025</v>
      </c>
      <c r="D26" s="129">
        <f>YEAR(MC[[#This Row],[Date]])</f>
        <v>2025</v>
      </c>
      <c r="E26" s="351" t="s">
        <v>218</v>
      </c>
      <c r="F26" s="351" t="s">
        <v>218</v>
      </c>
      <c r="G26" s="130" t="str">
        <f>TEXT(MC[[#This Row],[Date]],"mmm-yy")</f>
        <v>Feb-25</v>
      </c>
      <c r="H26" s="130">
        <f>DAY(EOMONTH(MC[[#This Row],[Month Year]],0))</f>
        <v>28</v>
      </c>
      <c r="I26" s="133"/>
      <c r="J26" s="133"/>
      <c r="K26" s="133"/>
      <c r="L26" s="133"/>
      <c r="M26" s="133"/>
      <c r="N26" s="133"/>
      <c r="O26" s="133"/>
      <c r="P26" s="126"/>
      <c r="Q26" s="126"/>
      <c r="R26" s="4">
        <f>SUM(MC[[#This Row],[ICR1]:[ICR12]])</f>
        <v>0</v>
      </c>
      <c r="S26" s="134"/>
      <c r="T26" s="134"/>
      <c r="U26" s="134"/>
      <c r="V26" s="134"/>
      <c r="W26" s="133"/>
      <c r="X26" s="133"/>
      <c r="Y26" s="133"/>
    </row>
    <row r="27" spans="1:25">
      <c r="A27" s="133">
        <v>25</v>
      </c>
      <c r="B27" s="127">
        <f t="shared" si="0"/>
        <v>45713</v>
      </c>
      <c r="C27" s="128">
        <f>YEAR(MC[[#This Row],[Date]])+IF(MONTH(MC[[#This Row],[Date]])&gt;=4,1,0)</f>
        <v>2025</v>
      </c>
      <c r="D27" s="129">
        <f>YEAR(MC[[#This Row],[Date]])</f>
        <v>2025</v>
      </c>
      <c r="E27" s="351" t="s">
        <v>218</v>
      </c>
      <c r="F27" s="351" t="s">
        <v>218</v>
      </c>
      <c r="G27" s="130" t="str">
        <f>TEXT(MC[[#This Row],[Date]],"mmm-yy")</f>
        <v>Feb-25</v>
      </c>
      <c r="H27" s="130">
        <f>DAY(EOMONTH(MC[[#This Row],[Month Year]],0))</f>
        <v>28</v>
      </c>
      <c r="I27" s="133"/>
      <c r="J27" s="133"/>
      <c r="K27" s="133"/>
      <c r="L27" s="133"/>
      <c r="M27" s="133"/>
      <c r="N27" s="133"/>
      <c r="O27" s="133"/>
      <c r="P27" s="126"/>
      <c r="Q27" s="126"/>
      <c r="R27" s="4">
        <f>SUM(MC[[#This Row],[ICR1]:[ICR12]])</f>
        <v>0</v>
      </c>
      <c r="S27" s="134"/>
      <c r="T27" s="134"/>
      <c r="U27" s="134"/>
      <c r="V27" s="134"/>
      <c r="W27" s="133"/>
      <c r="X27" s="133"/>
      <c r="Y27" s="133"/>
    </row>
    <row r="28" spans="1:25">
      <c r="A28" s="133">
        <v>26</v>
      </c>
      <c r="B28" s="127">
        <f t="shared" si="0"/>
        <v>45714</v>
      </c>
      <c r="C28" s="128">
        <f>YEAR(MC[[#This Row],[Date]])+IF(MONTH(MC[[#This Row],[Date]])&gt;=4,1,0)</f>
        <v>2025</v>
      </c>
      <c r="D28" s="129">
        <f>YEAR(MC[[#This Row],[Date]])</f>
        <v>2025</v>
      </c>
      <c r="E28" s="351" t="s">
        <v>218</v>
      </c>
      <c r="F28" s="351" t="s">
        <v>218</v>
      </c>
      <c r="G28" s="130" t="str">
        <f>TEXT(MC[[#This Row],[Date]],"mmm-yy")</f>
        <v>Feb-25</v>
      </c>
      <c r="H28" s="130">
        <f>DAY(EOMONTH(MC[[#This Row],[Month Year]],0))</f>
        <v>28</v>
      </c>
      <c r="I28" s="133"/>
      <c r="J28" s="133"/>
      <c r="K28" s="133"/>
      <c r="L28" s="133"/>
      <c r="M28" s="133"/>
      <c r="N28" s="133"/>
      <c r="O28" s="133"/>
      <c r="P28" s="126"/>
      <c r="Q28" s="126"/>
      <c r="R28" s="4">
        <f>SUM(MC[[#This Row],[ICR1]:[ICR12]])</f>
        <v>0</v>
      </c>
      <c r="S28" s="134"/>
      <c r="T28" s="134"/>
      <c r="U28" s="134"/>
      <c r="V28" s="134"/>
      <c r="W28" s="133"/>
      <c r="X28" s="133"/>
      <c r="Y28" s="133"/>
    </row>
    <row r="29" spans="1:25">
      <c r="A29" s="133">
        <v>27</v>
      </c>
      <c r="B29" s="127">
        <f t="shared" si="0"/>
        <v>45715</v>
      </c>
      <c r="C29" s="128">
        <f>YEAR(MC[[#This Row],[Date]])+IF(MONTH(MC[[#This Row],[Date]])&gt;=4,1,0)</f>
        <v>2025</v>
      </c>
      <c r="D29" s="129">
        <f>YEAR(MC[[#This Row],[Date]])</f>
        <v>2025</v>
      </c>
      <c r="E29" s="351" t="s">
        <v>218</v>
      </c>
      <c r="F29" s="351" t="s">
        <v>218</v>
      </c>
      <c r="G29" s="130" t="str">
        <f>TEXT(MC[[#This Row],[Date]],"mmm-yy")</f>
        <v>Feb-25</v>
      </c>
      <c r="H29" s="130">
        <f>DAY(EOMONTH(MC[[#This Row],[Month Year]],0))</f>
        <v>28</v>
      </c>
      <c r="I29" s="133"/>
      <c r="J29" s="133"/>
      <c r="K29" s="133"/>
      <c r="L29" s="133"/>
      <c r="M29" s="133"/>
      <c r="N29" s="133"/>
      <c r="O29" s="133"/>
      <c r="P29" s="126"/>
      <c r="Q29" s="126"/>
      <c r="R29" s="4">
        <f>SUM(MC[[#This Row],[ICR1]:[ICR12]])</f>
        <v>0</v>
      </c>
      <c r="S29" s="134"/>
      <c r="T29" s="134"/>
      <c r="U29" s="134"/>
      <c r="V29" s="134"/>
      <c r="W29" s="133"/>
      <c r="X29" s="133"/>
      <c r="Y29" s="133"/>
    </row>
    <row r="30" spans="1:25">
      <c r="A30" s="133">
        <v>28</v>
      </c>
      <c r="B30" s="127">
        <f t="shared" si="0"/>
        <v>45716</v>
      </c>
      <c r="C30" s="128">
        <f>YEAR(MC[[#This Row],[Date]])+IF(MONTH(MC[[#This Row],[Date]])&gt;=4,1,0)</f>
        <v>2025</v>
      </c>
      <c r="D30" s="129">
        <f>YEAR(MC[[#This Row],[Date]])</f>
        <v>2025</v>
      </c>
      <c r="E30" s="351" t="s">
        <v>218</v>
      </c>
      <c r="F30" s="351" t="s">
        <v>218</v>
      </c>
      <c r="G30" s="130" t="str">
        <f>TEXT(MC[[#This Row],[Date]],"mmm-yy")</f>
        <v>Feb-25</v>
      </c>
      <c r="H30" s="130">
        <f>DAY(EOMONTH(MC[[#This Row],[Month Year]],0))</f>
        <v>28</v>
      </c>
      <c r="I30" s="133"/>
      <c r="J30" s="133"/>
      <c r="K30" s="133"/>
      <c r="L30" s="133"/>
      <c r="M30" s="133"/>
      <c r="N30" s="133"/>
      <c r="O30" s="133"/>
      <c r="P30" s="126"/>
      <c r="Q30" s="126"/>
      <c r="R30" s="4">
        <f>SUM(MC[[#This Row],[ICR1]:[ICR12]])</f>
        <v>0</v>
      </c>
      <c r="S30" s="134"/>
      <c r="T30" s="134"/>
      <c r="U30" s="134"/>
      <c r="V30" s="134"/>
      <c r="W30" s="133"/>
      <c r="X30" s="133"/>
      <c r="Y30" s="133"/>
    </row>
    <row r="31" spans="1:25">
      <c r="A31" s="133">
        <v>29</v>
      </c>
      <c r="B31" s="127">
        <f t="shared" si="0"/>
        <v>45717</v>
      </c>
      <c r="C31" s="128">
        <f>YEAR(MC[[#This Row],[Date]])+IF(MONTH(MC[[#This Row],[Date]])&gt;=4,1,0)</f>
        <v>2025</v>
      </c>
      <c r="D31" s="129">
        <f>YEAR(MC[[#This Row],[Date]])</f>
        <v>2025</v>
      </c>
      <c r="E31" s="351" t="s">
        <v>218</v>
      </c>
      <c r="F31" s="351" t="s">
        <v>218</v>
      </c>
      <c r="G31" s="130" t="str">
        <f>TEXT(MC[[#This Row],[Date]],"mmm-yy")</f>
        <v>Mar-25</v>
      </c>
      <c r="H31" s="130">
        <f>DAY(EOMONTH(MC[[#This Row],[Month Year]],0))</f>
        <v>31</v>
      </c>
      <c r="I31" s="133"/>
      <c r="J31" s="133"/>
      <c r="K31" s="133"/>
      <c r="L31" s="133"/>
      <c r="M31" s="133"/>
      <c r="N31" s="133"/>
      <c r="O31" s="133"/>
      <c r="P31" s="126"/>
      <c r="Q31" s="126"/>
      <c r="R31" s="4">
        <f>SUM(MC[[#This Row],[ICR1]:[ICR12]])</f>
        <v>0</v>
      </c>
      <c r="S31" s="134"/>
      <c r="T31" s="134"/>
      <c r="U31" s="133"/>
      <c r="V31" s="133"/>
      <c r="W31" s="133"/>
      <c r="X31" s="133"/>
      <c r="Y31" s="133"/>
    </row>
    <row r="32" spans="1:25">
      <c r="A32" s="133">
        <v>30</v>
      </c>
      <c r="B32" s="127">
        <f t="shared" si="0"/>
        <v>45718</v>
      </c>
      <c r="C32" s="128">
        <f>YEAR(MC[[#This Row],[Date]])+IF(MONTH(MC[[#This Row],[Date]])&gt;=4,1,0)</f>
        <v>2025</v>
      </c>
      <c r="D32" s="129">
        <f>YEAR(MC[[#This Row],[Date]])</f>
        <v>2025</v>
      </c>
      <c r="E32" s="351" t="s">
        <v>218</v>
      </c>
      <c r="F32" s="351" t="s">
        <v>218</v>
      </c>
      <c r="G32" s="130" t="str">
        <f>TEXT(MC[[#This Row],[Date]],"mmm-yy")</f>
        <v>Mar-25</v>
      </c>
      <c r="H32" s="130">
        <f>DAY(EOMONTH(MC[[#This Row],[Month Year]],0))</f>
        <v>31</v>
      </c>
      <c r="I32" s="133"/>
      <c r="J32" s="133"/>
      <c r="K32" s="133"/>
      <c r="L32" s="133"/>
      <c r="M32" s="133"/>
      <c r="N32" s="133"/>
      <c r="O32" s="133"/>
      <c r="P32" s="126"/>
      <c r="Q32" s="126"/>
      <c r="R32" s="4">
        <f>SUM(MC[[#This Row],[ICR1]:[ICR12]])</f>
        <v>0</v>
      </c>
      <c r="S32" s="133"/>
      <c r="T32" s="133"/>
      <c r="U32" s="133"/>
      <c r="V32" s="133"/>
      <c r="W32" s="133"/>
      <c r="X32" s="133"/>
      <c r="Y32" s="133"/>
    </row>
    <row r="33" spans="1:25">
      <c r="A33" s="133">
        <v>31</v>
      </c>
      <c r="B33" s="127">
        <f t="shared" si="0"/>
        <v>45719</v>
      </c>
      <c r="C33" s="128">
        <f>YEAR(MC[[#This Row],[Date]])+IF(MONTH(MC[[#This Row],[Date]])&gt;=4,1,0)</f>
        <v>2025</v>
      </c>
      <c r="D33" s="129">
        <f>YEAR(MC[[#This Row],[Date]])</f>
        <v>2025</v>
      </c>
      <c r="E33" s="351" t="s">
        <v>218</v>
      </c>
      <c r="F33" s="351" t="s">
        <v>218</v>
      </c>
      <c r="G33" s="130" t="str">
        <f>TEXT(MC[[#This Row],[Date]],"mmm-yy")</f>
        <v>Mar-25</v>
      </c>
      <c r="H33" s="130">
        <f>DAY(EOMONTH(MC[[#This Row],[Month Year]],0))</f>
        <v>31</v>
      </c>
      <c r="I33" s="133"/>
      <c r="J33" s="133"/>
      <c r="K33" s="133"/>
      <c r="L33" s="133"/>
      <c r="M33" s="133"/>
      <c r="N33" s="133"/>
      <c r="O33" s="133"/>
      <c r="P33" s="126"/>
      <c r="Q33" s="126"/>
      <c r="R33" s="4">
        <f>SUM(MC[[#This Row],[ICR1]:[ICR12]])</f>
        <v>0</v>
      </c>
      <c r="S33" s="133"/>
      <c r="T33" s="133"/>
      <c r="U33" s="133"/>
      <c r="V33" s="133"/>
      <c r="W33" s="133"/>
      <c r="X33" s="133"/>
      <c r="Y33" s="133"/>
    </row>
    <row r="34" spans="1:25">
      <c r="A34" s="133">
        <v>32</v>
      </c>
      <c r="B34" s="127">
        <f t="shared" si="0"/>
        <v>45720</v>
      </c>
      <c r="C34" s="128">
        <f>YEAR(MC[[#This Row],[Date]])+IF(MONTH(MC[[#This Row],[Date]])&gt;=4,1,0)</f>
        <v>2025</v>
      </c>
      <c r="D34" s="129">
        <f>YEAR(MC[[#This Row],[Date]])</f>
        <v>2025</v>
      </c>
      <c r="E34" s="351" t="s">
        <v>218</v>
      </c>
      <c r="F34" s="351" t="s">
        <v>218</v>
      </c>
      <c r="G34" s="130" t="str">
        <f>TEXT(MC[[#This Row],[Date]],"mmm-yy")</f>
        <v>Mar-25</v>
      </c>
      <c r="H34" s="130">
        <f>DAY(EOMONTH(MC[[#This Row],[Month Year]],0))</f>
        <v>31</v>
      </c>
      <c r="I34" s="133"/>
      <c r="J34" s="133"/>
      <c r="K34" s="133"/>
      <c r="L34" s="133"/>
      <c r="M34" s="133"/>
      <c r="N34" s="133"/>
      <c r="O34" s="133"/>
      <c r="P34" s="126"/>
      <c r="Q34" s="126"/>
      <c r="R34" s="4">
        <f>SUM(MC[[#This Row],[ICR1]:[ICR12]])</f>
        <v>0</v>
      </c>
      <c r="S34" s="133"/>
      <c r="T34" s="133"/>
      <c r="U34" s="133"/>
      <c r="V34" s="133"/>
      <c r="W34" s="133"/>
      <c r="X34" s="133"/>
      <c r="Y34" s="133"/>
    </row>
    <row r="35" spans="1:25">
      <c r="A35" s="133">
        <v>33</v>
      </c>
      <c r="B35" s="127">
        <f t="shared" si="0"/>
        <v>45721</v>
      </c>
      <c r="C35" s="128">
        <f>YEAR(MC[[#This Row],[Date]])+IF(MONTH(MC[[#This Row],[Date]])&gt;=4,1,0)</f>
        <v>2025</v>
      </c>
      <c r="D35" s="129">
        <f>YEAR(MC[[#This Row],[Date]])</f>
        <v>2025</v>
      </c>
      <c r="E35" s="351" t="s">
        <v>218</v>
      </c>
      <c r="F35" s="351" t="s">
        <v>218</v>
      </c>
      <c r="G35" s="130" t="str">
        <f>TEXT(MC[[#This Row],[Date]],"mmm-yy")</f>
        <v>Mar-25</v>
      </c>
      <c r="H35" s="130">
        <f>DAY(EOMONTH(MC[[#This Row],[Month Year]],0))</f>
        <v>31</v>
      </c>
      <c r="I35" s="133"/>
      <c r="J35" s="133"/>
      <c r="K35" s="133"/>
      <c r="L35" s="133"/>
      <c r="M35" s="133"/>
      <c r="N35" s="133"/>
      <c r="O35" s="133"/>
      <c r="P35" s="126"/>
      <c r="Q35" s="126"/>
      <c r="R35" s="4">
        <f>SUM(MC[[#This Row],[ICR1]:[ICR12]])</f>
        <v>0</v>
      </c>
      <c r="S35" s="133"/>
      <c r="T35" s="133"/>
      <c r="U35" s="133"/>
      <c r="V35" s="133"/>
      <c r="W35" s="133"/>
      <c r="X35" s="133"/>
      <c r="Y35" s="133"/>
    </row>
    <row r="36" spans="1:25">
      <c r="A36" s="133">
        <v>34</v>
      </c>
      <c r="B36" s="127">
        <f t="shared" si="0"/>
        <v>45722</v>
      </c>
      <c r="C36" s="128">
        <f>YEAR(MC[[#This Row],[Date]])+IF(MONTH(MC[[#This Row],[Date]])&gt;=4,1,0)</f>
        <v>2025</v>
      </c>
      <c r="D36" s="129">
        <f>YEAR(MC[[#This Row],[Date]])</f>
        <v>2025</v>
      </c>
      <c r="E36" s="351" t="s">
        <v>218</v>
      </c>
      <c r="F36" s="351" t="s">
        <v>218</v>
      </c>
      <c r="G36" s="130" t="str">
        <f>TEXT(MC[[#This Row],[Date]],"mmm-yy")</f>
        <v>Mar-25</v>
      </c>
      <c r="H36" s="130">
        <f>DAY(EOMONTH(MC[[#This Row],[Month Year]],0))</f>
        <v>31</v>
      </c>
      <c r="I36" s="133"/>
      <c r="J36" s="133"/>
      <c r="K36" s="133"/>
      <c r="L36" s="133"/>
      <c r="M36" s="133"/>
      <c r="N36" s="133"/>
      <c r="O36" s="133"/>
      <c r="P36" s="126"/>
      <c r="Q36" s="126"/>
      <c r="R36" s="4">
        <f>SUM(MC[[#This Row],[ICR1]:[ICR12]])</f>
        <v>0</v>
      </c>
      <c r="S36" s="133"/>
      <c r="T36" s="133"/>
      <c r="U36" s="133"/>
      <c r="V36" s="133"/>
      <c r="W36" s="133"/>
      <c r="X36" s="133"/>
      <c r="Y36" s="133"/>
    </row>
    <row r="37" spans="1:25">
      <c r="A37" s="133">
        <v>35</v>
      </c>
      <c r="B37" s="127">
        <f t="shared" si="0"/>
        <v>45723</v>
      </c>
      <c r="C37" s="128">
        <f>YEAR(MC[[#This Row],[Date]])+IF(MONTH(MC[[#This Row],[Date]])&gt;=4,1,0)</f>
        <v>2025</v>
      </c>
      <c r="D37" s="129">
        <f>YEAR(MC[[#This Row],[Date]])</f>
        <v>2025</v>
      </c>
      <c r="E37" s="351" t="s">
        <v>218</v>
      </c>
      <c r="F37" s="351" t="s">
        <v>218</v>
      </c>
      <c r="G37" s="130" t="str">
        <f>TEXT(MC[[#This Row],[Date]],"mmm-yy")</f>
        <v>Mar-25</v>
      </c>
      <c r="H37" s="130">
        <f>DAY(EOMONTH(MC[[#This Row],[Month Year]],0))</f>
        <v>31</v>
      </c>
      <c r="I37" s="133"/>
      <c r="J37" s="133"/>
      <c r="K37" s="133"/>
      <c r="L37" s="133"/>
      <c r="M37" s="133"/>
      <c r="N37" s="133"/>
      <c r="O37" s="133"/>
      <c r="P37" s="126"/>
      <c r="Q37" s="126"/>
      <c r="R37" s="4">
        <f>SUM(MC[[#This Row],[ICR1]:[ICR12]])</f>
        <v>0</v>
      </c>
      <c r="S37" s="133"/>
      <c r="T37" s="133"/>
      <c r="U37" s="133"/>
      <c r="V37" s="133"/>
      <c r="W37" s="133"/>
      <c r="X37" s="133"/>
      <c r="Y37" s="133"/>
    </row>
    <row r="38" spans="1:25">
      <c r="A38" s="133">
        <v>36</v>
      </c>
      <c r="B38" s="127">
        <f t="shared" si="0"/>
        <v>45724</v>
      </c>
      <c r="C38" s="128">
        <f>YEAR(MC[[#This Row],[Date]])+IF(MONTH(MC[[#This Row],[Date]])&gt;=4,1,0)</f>
        <v>2025</v>
      </c>
      <c r="D38" s="129">
        <f>YEAR(MC[[#This Row],[Date]])</f>
        <v>2025</v>
      </c>
      <c r="E38" s="351" t="s">
        <v>218</v>
      </c>
      <c r="F38" s="351" t="s">
        <v>218</v>
      </c>
      <c r="G38" s="130" t="str">
        <f>TEXT(MC[[#This Row],[Date]],"mmm-yy")</f>
        <v>Mar-25</v>
      </c>
      <c r="H38" s="130">
        <f>DAY(EOMONTH(MC[[#This Row],[Month Year]],0))</f>
        <v>31</v>
      </c>
      <c r="I38" s="133"/>
      <c r="J38" s="133"/>
      <c r="K38" s="133"/>
      <c r="L38" s="133"/>
      <c r="M38" s="133"/>
      <c r="N38" s="133"/>
      <c r="O38" s="133"/>
      <c r="P38" s="126"/>
      <c r="Q38" s="126"/>
      <c r="R38" s="4">
        <f>SUM(MC[[#This Row],[ICR1]:[ICR12]])</f>
        <v>0</v>
      </c>
      <c r="S38" s="134"/>
      <c r="T38" s="134"/>
      <c r="U38" s="133"/>
      <c r="V38" s="134"/>
      <c r="W38" s="133"/>
      <c r="X38" s="133"/>
      <c r="Y38" s="133"/>
    </row>
    <row r="39" spans="1:25">
      <c r="A39" s="133">
        <v>37</v>
      </c>
      <c r="B39" s="127">
        <f t="shared" si="0"/>
        <v>45725</v>
      </c>
      <c r="C39" s="128">
        <f>YEAR(MC[[#This Row],[Date]])+IF(MONTH(MC[[#This Row],[Date]])&gt;=4,1,0)</f>
        <v>2025</v>
      </c>
      <c r="D39" s="129">
        <f>YEAR(MC[[#This Row],[Date]])</f>
        <v>2025</v>
      </c>
      <c r="E39" s="351" t="s">
        <v>218</v>
      </c>
      <c r="F39" s="351" t="s">
        <v>218</v>
      </c>
      <c r="G39" s="130" t="str">
        <f>TEXT(MC[[#This Row],[Date]],"mmm-yy")</f>
        <v>Mar-25</v>
      </c>
      <c r="H39" s="130">
        <f>DAY(EOMONTH(MC[[#This Row],[Month Year]],0))</f>
        <v>31</v>
      </c>
      <c r="I39" s="133"/>
      <c r="J39" s="133"/>
      <c r="K39" s="133"/>
      <c r="L39" s="133"/>
      <c r="M39" s="133"/>
      <c r="N39" s="133"/>
      <c r="O39" s="133"/>
      <c r="P39" s="126"/>
      <c r="Q39" s="126"/>
      <c r="R39" s="4">
        <f>SUM(MC[[#This Row],[ICR1]:[ICR12]])</f>
        <v>0</v>
      </c>
      <c r="S39" s="134"/>
      <c r="T39" s="133"/>
      <c r="U39" s="133"/>
      <c r="V39" s="134"/>
      <c r="W39" s="133"/>
      <c r="X39" s="133"/>
      <c r="Y39" s="133"/>
    </row>
    <row r="40" spans="1:25">
      <c r="A40" s="133">
        <v>38</v>
      </c>
      <c r="B40" s="127">
        <f t="shared" si="0"/>
        <v>45726</v>
      </c>
      <c r="C40" s="128">
        <f>YEAR(MC[[#This Row],[Date]])+IF(MONTH(MC[[#This Row],[Date]])&gt;=4,1,0)</f>
        <v>2025</v>
      </c>
      <c r="D40" s="129">
        <f>YEAR(MC[[#This Row],[Date]])</f>
        <v>2025</v>
      </c>
      <c r="E40" s="351" t="s">
        <v>218</v>
      </c>
      <c r="F40" s="351" t="s">
        <v>218</v>
      </c>
      <c r="G40" s="130" t="str">
        <f>TEXT(MC[[#This Row],[Date]],"mmm-yy")</f>
        <v>Mar-25</v>
      </c>
      <c r="H40" s="130">
        <f>DAY(EOMONTH(MC[[#This Row],[Month Year]],0))</f>
        <v>31</v>
      </c>
      <c r="I40" s="133"/>
      <c r="J40" s="133"/>
      <c r="K40" s="133"/>
      <c r="L40" s="133"/>
      <c r="M40" s="133"/>
      <c r="N40" s="133"/>
      <c r="O40" s="133"/>
      <c r="P40" s="126"/>
      <c r="Q40" s="126"/>
      <c r="R40" s="4">
        <f>SUM(MC[[#This Row],[ICR1]:[ICR12]])</f>
        <v>0</v>
      </c>
      <c r="S40" s="134"/>
      <c r="T40" s="134"/>
      <c r="U40" s="133"/>
      <c r="V40" s="133"/>
      <c r="W40" s="133"/>
      <c r="X40" s="133"/>
      <c r="Y40" s="133"/>
    </row>
    <row r="41" spans="1:25">
      <c r="A41" s="133">
        <v>39</v>
      </c>
      <c r="B41" s="127">
        <f t="shared" si="0"/>
        <v>45727</v>
      </c>
      <c r="C41" s="128">
        <f>YEAR(MC[[#This Row],[Date]])+IF(MONTH(MC[[#This Row],[Date]])&gt;=4,1,0)</f>
        <v>2025</v>
      </c>
      <c r="D41" s="129">
        <f>YEAR(MC[[#This Row],[Date]])</f>
        <v>2025</v>
      </c>
      <c r="E41" s="351" t="s">
        <v>218</v>
      </c>
      <c r="F41" s="351" t="s">
        <v>218</v>
      </c>
      <c r="G41" s="130" t="str">
        <f>TEXT(MC[[#This Row],[Date]],"mmm-yy")</f>
        <v>Mar-25</v>
      </c>
      <c r="H41" s="130">
        <f>DAY(EOMONTH(MC[[#This Row],[Month Year]],0))</f>
        <v>31</v>
      </c>
      <c r="I41" s="133"/>
      <c r="J41" s="133"/>
      <c r="K41" s="133"/>
      <c r="L41" s="133"/>
      <c r="M41" s="133"/>
      <c r="N41" s="133"/>
      <c r="O41" s="133"/>
      <c r="P41" s="126"/>
      <c r="Q41" s="126"/>
      <c r="R41" s="4">
        <f>SUM(MC[[#This Row],[ICR1]:[ICR12]])</f>
        <v>0</v>
      </c>
      <c r="S41" s="133"/>
      <c r="T41" s="133"/>
      <c r="U41" s="133"/>
      <c r="V41" s="133"/>
      <c r="W41" s="133"/>
      <c r="X41" s="133"/>
      <c r="Y41" s="133"/>
    </row>
    <row r="42" spans="1:25">
      <c r="A42" s="133">
        <v>40</v>
      </c>
      <c r="B42" s="127">
        <f t="shared" si="0"/>
        <v>45728</v>
      </c>
      <c r="C42" s="128">
        <f>YEAR(MC[[#This Row],[Date]])+IF(MONTH(MC[[#This Row],[Date]])&gt;=4,1,0)</f>
        <v>2025</v>
      </c>
      <c r="D42" s="129">
        <f>YEAR(MC[[#This Row],[Date]])</f>
        <v>2025</v>
      </c>
      <c r="E42" s="351" t="s">
        <v>218</v>
      </c>
      <c r="F42" s="351" t="s">
        <v>218</v>
      </c>
      <c r="G42" s="130" t="str">
        <f>TEXT(MC[[#This Row],[Date]],"mmm-yy")</f>
        <v>Mar-25</v>
      </c>
      <c r="H42" s="130">
        <f>DAY(EOMONTH(MC[[#This Row],[Month Year]],0))</f>
        <v>31</v>
      </c>
      <c r="I42" s="133"/>
      <c r="J42" s="133"/>
      <c r="K42" s="133"/>
      <c r="L42" s="133"/>
      <c r="M42" s="133"/>
      <c r="N42" s="133"/>
      <c r="O42" s="133"/>
      <c r="P42" s="126"/>
      <c r="Q42" s="126"/>
      <c r="R42" s="4">
        <f>SUM(MC[[#This Row],[ICR1]:[ICR12]])</f>
        <v>0</v>
      </c>
      <c r="S42" s="134"/>
      <c r="T42" s="134"/>
      <c r="U42" s="133"/>
      <c r="V42" s="133"/>
      <c r="W42" s="133"/>
      <c r="X42" s="133"/>
      <c r="Y42" s="133"/>
    </row>
    <row r="43" spans="1:25">
      <c r="A43" s="133">
        <v>41</v>
      </c>
      <c r="B43" s="127">
        <f t="shared" si="0"/>
        <v>45729</v>
      </c>
      <c r="C43" s="128">
        <f>YEAR(MC[[#This Row],[Date]])+IF(MONTH(MC[[#This Row],[Date]])&gt;=4,1,0)</f>
        <v>2025</v>
      </c>
      <c r="D43" s="129">
        <f>YEAR(MC[[#This Row],[Date]])</f>
        <v>2025</v>
      </c>
      <c r="E43" s="351" t="s">
        <v>218</v>
      </c>
      <c r="F43" s="351" t="s">
        <v>218</v>
      </c>
      <c r="G43" s="130" t="str">
        <f>TEXT(MC[[#This Row],[Date]],"mmm-yy")</f>
        <v>Mar-25</v>
      </c>
      <c r="H43" s="130">
        <f>DAY(EOMONTH(MC[[#This Row],[Month Year]],0))</f>
        <v>31</v>
      </c>
      <c r="I43" s="133"/>
      <c r="J43" s="133"/>
      <c r="K43" s="133"/>
      <c r="L43" s="133"/>
      <c r="M43" s="133"/>
      <c r="N43" s="133"/>
      <c r="O43" s="133"/>
      <c r="P43" s="126"/>
      <c r="Q43" s="126"/>
      <c r="R43" s="4">
        <f>SUM(MC[[#This Row],[ICR1]:[ICR12]])</f>
        <v>0</v>
      </c>
      <c r="S43" s="133"/>
      <c r="T43" s="133"/>
      <c r="U43" s="133"/>
      <c r="V43" s="133"/>
      <c r="W43" s="133"/>
      <c r="X43" s="133"/>
      <c r="Y43" s="133"/>
    </row>
    <row r="44" spans="1:25">
      <c r="A44" s="133">
        <v>42</v>
      </c>
      <c r="B44" s="127">
        <f t="shared" si="0"/>
        <v>45730</v>
      </c>
      <c r="C44" s="128">
        <f>YEAR(MC[[#This Row],[Date]])+IF(MONTH(MC[[#This Row],[Date]])&gt;=4,1,0)</f>
        <v>2025</v>
      </c>
      <c r="D44" s="129">
        <f>YEAR(MC[[#This Row],[Date]])</f>
        <v>2025</v>
      </c>
      <c r="E44" s="351" t="s">
        <v>218</v>
      </c>
      <c r="F44" s="351" t="s">
        <v>218</v>
      </c>
      <c r="G44" s="130" t="str">
        <f>TEXT(MC[[#This Row],[Date]],"mmm-yy")</f>
        <v>Mar-25</v>
      </c>
      <c r="H44" s="130">
        <f>DAY(EOMONTH(MC[[#This Row],[Month Year]],0))</f>
        <v>31</v>
      </c>
      <c r="I44" s="133"/>
      <c r="J44" s="133"/>
      <c r="K44" s="133"/>
      <c r="L44" s="133"/>
      <c r="M44" s="133"/>
      <c r="N44" s="133"/>
      <c r="O44" s="133"/>
      <c r="P44" s="126"/>
      <c r="Q44" s="126"/>
      <c r="R44" s="4">
        <f>SUM(MC[[#This Row],[ICR1]:[ICR12]])</f>
        <v>0</v>
      </c>
      <c r="S44" s="133"/>
      <c r="T44" s="133"/>
      <c r="U44" s="133"/>
      <c r="V44" s="133"/>
      <c r="W44" s="133"/>
      <c r="X44" s="133"/>
      <c r="Y44" s="133"/>
    </row>
    <row r="45" spans="1:25">
      <c r="A45" s="133">
        <v>43</v>
      </c>
      <c r="B45" s="127">
        <f t="shared" si="0"/>
        <v>45731</v>
      </c>
      <c r="C45" s="128">
        <f>YEAR(MC[[#This Row],[Date]])+IF(MONTH(MC[[#This Row],[Date]])&gt;=4,1,0)</f>
        <v>2025</v>
      </c>
      <c r="D45" s="129">
        <f>YEAR(MC[[#This Row],[Date]])</f>
        <v>2025</v>
      </c>
      <c r="E45" s="351" t="s">
        <v>218</v>
      </c>
      <c r="F45" s="351" t="s">
        <v>218</v>
      </c>
      <c r="G45" s="130" t="str">
        <f>TEXT(MC[[#This Row],[Date]],"mmm-yy")</f>
        <v>Mar-25</v>
      </c>
      <c r="H45" s="130">
        <f>DAY(EOMONTH(MC[[#This Row],[Month Year]],0))</f>
        <v>31</v>
      </c>
      <c r="I45" s="133"/>
      <c r="J45" s="133"/>
      <c r="K45" s="133"/>
      <c r="L45" s="133"/>
      <c r="M45" s="133"/>
      <c r="N45" s="133"/>
      <c r="O45" s="133"/>
      <c r="P45" s="126"/>
      <c r="Q45" s="126"/>
      <c r="R45" s="4">
        <f>SUM(MC[[#This Row],[ICR1]:[ICR12]])</f>
        <v>0</v>
      </c>
      <c r="S45" s="134"/>
      <c r="T45" s="134"/>
      <c r="U45" s="133"/>
      <c r="V45" s="133"/>
      <c r="W45" s="133"/>
      <c r="X45" s="133"/>
      <c r="Y45" s="133"/>
    </row>
    <row r="46" spans="1:25">
      <c r="A46" s="133">
        <v>44</v>
      </c>
      <c r="B46" s="127">
        <f t="shared" si="0"/>
        <v>45732</v>
      </c>
      <c r="C46" s="128">
        <f>YEAR(MC[[#This Row],[Date]])+IF(MONTH(MC[[#This Row],[Date]])&gt;=4,1,0)</f>
        <v>2025</v>
      </c>
      <c r="D46" s="129">
        <f>YEAR(MC[[#This Row],[Date]])</f>
        <v>2025</v>
      </c>
      <c r="E46" s="351" t="s">
        <v>218</v>
      </c>
      <c r="F46" s="351" t="s">
        <v>218</v>
      </c>
      <c r="G46" s="130" t="str">
        <f>TEXT(MC[[#This Row],[Date]],"mmm-yy")</f>
        <v>Mar-25</v>
      </c>
      <c r="H46" s="130">
        <f>DAY(EOMONTH(MC[[#This Row],[Month Year]],0))</f>
        <v>31</v>
      </c>
      <c r="I46" s="133"/>
      <c r="J46" s="133"/>
      <c r="K46" s="133"/>
      <c r="L46" s="133"/>
      <c r="M46" s="133"/>
      <c r="N46" s="133"/>
      <c r="O46" s="133"/>
      <c r="P46" s="126"/>
      <c r="Q46" s="126"/>
      <c r="R46" s="4">
        <f>SUM(MC[[#This Row],[ICR1]:[ICR12]])</f>
        <v>0</v>
      </c>
      <c r="S46" s="133"/>
      <c r="T46" s="133"/>
      <c r="U46" s="133"/>
      <c r="V46" s="133"/>
      <c r="W46" s="133"/>
      <c r="X46" s="133"/>
      <c r="Y46" s="133"/>
    </row>
    <row r="47" spans="1:25">
      <c r="A47" s="133">
        <v>45</v>
      </c>
      <c r="B47" s="127">
        <f t="shared" si="0"/>
        <v>45733</v>
      </c>
      <c r="C47" s="128">
        <f>YEAR(MC[[#This Row],[Date]])+IF(MONTH(MC[[#This Row],[Date]])&gt;=4,1,0)</f>
        <v>2025</v>
      </c>
      <c r="D47" s="129">
        <f>YEAR(MC[[#This Row],[Date]])</f>
        <v>2025</v>
      </c>
      <c r="E47" s="351" t="s">
        <v>218</v>
      </c>
      <c r="F47" s="351" t="s">
        <v>218</v>
      </c>
      <c r="G47" s="130" t="str">
        <f>TEXT(MC[[#This Row],[Date]],"mmm-yy")</f>
        <v>Mar-25</v>
      </c>
      <c r="H47" s="130">
        <f>DAY(EOMONTH(MC[[#This Row],[Month Year]],0))</f>
        <v>31</v>
      </c>
      <c r="I47" s="133"/>
      <c r="J47" s="133"/>
      <c r="K47" s="133"/>
      <c r="L47" s="133"/>
      <c r="M47" s="133"/>
      <c r="N47" s="133"/>
      <c r="O47" s="133"/>
      <c r="P47" s="126"/>
      <c r="Q47" s="126"/>
      <c r="R47" s="4">
        <f>SUM(MC[[#This Row],[ICR1]:[ICR12]])</f>
        <v>0</v>
      </c>
      <c r="S47" s="133"/>
      <c r="T47" s="133"/>
      <c r="U47" s="133"/>
      <c r="V47" s="133"/>
      <c r="W47" s="133"/>
      <c r="X47" s="133"/>
      <c r="Y47" s="133"/>
    </row>
    <row r="48" spans="1:25">
      <c r="A48" s="133">
        <v>46</v>
      </c>
      <c r="B48" s="127">
        <f t="shared" si="0"/>
        <v>45734</v>
      </c>
      <c r="C48" s="128">
        <f>YEAR(MC[[#This Row],[Date]])+IF(MONTH(MC[[#This Row],[Date]])&gt;=4,1,0)</f>
        <v>2025</v>
      </c>
      <c r="D48" s="129">
        <f>YEAR(MC[[#This Row],[Date]])</f>
        <v>2025</v>
      </c>
      <c r="E48" s="351" t="s">
        <v>218</v>
      </c>
      <c r="F48" s="351" t="s">
        <v>218</v>
      </c>
      <c r="G48" s="130" t="str">
        <f>TEXT(MC[[#This Row],[Date]],"mmm-yy")</f>
        <v>Mar-25</v>
      </c>
      <c r="H48" s="130">
        <f>DAY(EOMONTH(MC[[#This Row],[Month Year]],0))</f>
        <v>31</v>
      </c>
      <c r="I48" s="133"/>
      <c r="J48" s="133"/>
      <c r="K48" s="133"/>
      <c r="L48" s="133"/>
      <c r="M48" s="133"/>
      <c r="N48" s="133"/>
      <c r="O48" s="133"/>
      <c r="P48" s="126"/>
      <c r="Q48" s="126"/>
      <c r="R48" s="4">
        <f>SUM(MC[[#This Row],[ICR1]:[ICR12]])</f>
        <v>0</v>
      </c>
      <c r="S48" s="133"/>
      <c r="T48" s="133"/>
      <c r="U48" s="133"/>
      <c r="V48" s="133"/>
      <c r="W48" s="133"/>
      <c r="X48" s="133"/>
      <c r="Y48" s="133"/>
    </row>
    <row r="49" spans="1:25">
      <c r="A49" s="133">
        <v>47</v>
      </c>
      <c r="B49" s="127">
        <f t="shared" si="0"/>
        <v>45735</v>
      </c>
      <c r="C49" s="128">
        <f>YEAR(MC[[#This Row],[Date]])+IF(MONTH(MC[[#This Row],[Date]])&gt;=4,1,0)</f>
        <v>2025</v>
      </c>
      <c r="D49" s="129">
        <f>YEAR(MC[[#This Row],[Date]])</f>
        <v>2025</v>
      </c>
      <c r="E49" s="351" t="s">
        <v>218</v>
      </c>
      <c r="F49" s="351" t="s">
        <v>218</v>
      </c>
      <c r="G49" s="130" t="str">
        <f>TEXT(MC[[#This Row],[Date]],"mmm-yy")</f>
        <v>Mar-25</v>
      </c>
      <c r="H49" s="130">
        <f>DAY(EOMONTH(MC[[#This Row],[Month Year]],0))</f>
        <v>31</v>
      </c>
      <c r="I49" s="133"/>
      <c r="J49" s="133"/>
      <c r="K49" s="133"/>
      <c r="L49" s="133"/>
      <c r="M49" s="133"/>
      <c r="N49" s="133"/>
      <c r="O49" s="133"/>
      <c r="P49" s="126"/>
      <c r="Q49" s="126"/>
      <c r="R49" s="4">
        <f>SUM(MC[[#This Row],[ICR1]:[ICR12]])</f>
        <v>0</v>
      </c>
      <c r="S49" s="133"/>
      <c r="T49" s="133"/>
      <c r="U49" s="133"/>
      <c r="V49" s="133"/>
      <c r="W49" s="133"/>
      <c r="X49" s="133"/>
      <c r="Y49" s="133"/>
    </row>
    <row r="50" spans="1:25">
      <c r="A50" s="133">
        <v>48</v>
      </c>
      <c r="B50" s="127">
        <f t="shared" si="0"/>
        <v>45736</v>
      </c>
      <c r="C50" s="128">
        <f>YEAR(MC[[#This Row],[Date]])+IF(MONTH(MC[[#This Row],[Date]])&gt;=4,1,0)</f>
        <v>2025</v>
      </c>
      <c r="D50" s="129">
        <f>YEAR(MC[[#This Row],[Date]])</f>
        <v>2025</v>
      </c>
      <c r="E50" s="351" t="s">
        <v>218</v>
      </c>
      <c r="F50" s="351" t="s">
        <v>218</v>
      </c>
      <c r="G50" s="130" t="str">
        <f>TEXT(MC[[#This Row],[Date]],"mmm-yy")</f>
        <v>Mar-25</v>
      </c>
      <c r="H50" s="130">
        <f>DAY(EOMONTH(MC[[#This Row],[Month Year]],0))</f>
        <v>31</v>
      </c>
      <c r="I50" s="133"/>
      <c r="J50" s="133"/>
      <c r="K50" s="133"/>
      <c r="L50" s="133"/>
      <c r="M50" s="133"/>
      <c r="N50" s="133"/>
      <c r="O50" s="133"/>
      <c r="P50" s="126"/>
      <c r="Q50" s="126"/>
      <c r="R50" s="4">
        <f>SUM(MC[[#This Row],[ICR1]:[ICR12]])</f>
        <v>0</v>
      </c>
      <c r="S50" s="133"/>
      <c r="T50" s="133"/>
      <c r="U50" s="133"/>
      <c r="V50" s="133"/>
      <c r="W50" s="133"/>
      <c r="X50" s="133"/>
      <c r="Y50" s="133"/>
    </row>
    <row r="51" spans="1:25">
      <c r="A51" s="133">
        <v>49</v>
      </c>
      <c r="B51" s="127">
        <f t="shared" si="0"/>
        <v>45737</v>
      </c>
      <c r="C51" s="128">
        <f>YEAR(MC[[#This Row],[Date]])+IF(MONTH(MC[[#This Row],[Date]])&gt;=4,1,0)</f>
        <v>2025</v>
      </c>
      <c r="D51" s="129">
        <f>YEAR(MC[[#This Row],[Date]])</f>
        <v>2025</v>
      </c>
      <c r="E51" s="351" t="s">
        <v>218</v>
      </c>
      <c r="F51" s="351" t="s">
        <v>218</v>
      </c>
      <c r="G51" s="130" t="str">
        <f>TEXT(MC[[#This Row],[Date]],"mmm-yy")</f>
        <v>Mar-25</v>
      </c>
      <c r="H51" s="130">
        <f>DAY(EOMONTH(MC[[#This Row],[Month Year]],0))</f>
        <v>31</v>
      </c>
      <c r="I51" s="133"/>
      <c r="J51" s="133"/>
      <c r="K51" s="133"/>
      <c r="L51" s="133"/>
      <c r="M51" s="133"/>
      <c r="N51" s="133"/>
      <c r="O51" s="133"/>
      <c r="P51" s="126"/>
      <c r="Q51" s="126"/>
      <c r="R51" s="4">
        <f>SUM(MC[[#This Row],[ICR1]:[ICR12]])</f>
        <v>0</v>
      </c>
      <c r="S51" s="133"/>
      <c r="T51" s="133"/>
      <c r="U51" s="133"/>
      <c r="V51" s="133"/>
      <c r="W51" s="133"/>
      <c r="X51" s="133"/>
      <c r="Y51" s="133"/>
    </row>
    <row r="52" spans="1:25">
      <c r="A52" s="133">
        <v>50</v>
      </c>
      <c r="B52" s="127">
        <f t="shared" si="0"/>
        <v>45738</v>
      </c>
      <c r="C52" s="128">
        <f>YEAR(MC[[#This Row],[Date]])+IF(MONTH(MC[[#This Row],[Date]])&gt;=4,1,0)</f>
        <v>2025</v>
      </c>
      <c r="D52" s="129">
        <f>YEAR(MC[[#This Row],[Date]])</f>
        <v>2025</v>
      </c>
      <c r="E52" s="351" t="s">
        <v>218</v>
      </c>
      <c r="F52" s="351" t="s">
        <v>218</v>
      </c>
      <c r="G52" s="130" t="str">
        <f>TEXT(MC[[#This Row],[Date]],"mmm-yy")</f>
        <v>Mar-25</v>
      </c>
      <c r="H52" s="130">
        <f>DAY(EOMONTH(MC[[#This Row],[Month Year]],0))</f>
        <v>31</v>
      </c>
      <c r="I52" s="133"/>
      <c r="J52" s="133"/>
      <c r="K52" s="133"/>
      <c r="L52" s="133"/>
      <c r="M52" s="133"/>
      <c r="N52" s="133"/>
      <c r="O52" s="133"/>
      <c r="P52" s="126"/>
      <c r="Q52" s="126"/>
      <c r="R52" s="4">
        <f>SUM(MC[[#This Row],[ICR1]:[ICR12]])</f>
        <v>0</v>
      </c>
      <c r="S52" s="133"/>
      <c r="T52" s="133"/>
      <c r="U52" s="133"/>
      <c r="V52" s="133"/>
      <c r="W52" s="133"/>
      <c r="X52" s="133"/>
      <c r="Y52" s="133"/>
    </row>
    <row r="53" spans="1:25">
      <c r="A53" s="133">
        <v>51</v>
      </c>
      <c r="B53" s="127">
        <f t="shared" si="0"/>
        <v>45739</v>
      </c>
      <c r="C53" s="128">
        <f>YEAR(MC[[#This Row],[Date]])+IF(MONTH(MC[[#This Row],[Date]])&gt;=4,1,0)</f>
        <v>2025</v>
      </c>
      <c r="D53" s="129">
        <f>YEAR(MC[[#This Row],[Date]])</f>
        <v>2025</v>
      </c>
      <c r="E53" s="351" t="s">
        <v>218</v>
      </c>
      <c r="F53" s="351" t="s">
        <v>218</v>
      </c>
      <c r="G53" s="130" t="str">
        <f>TEXT(MC[[#This Row],[Date]],"mmm-yy")</f>
        <v>Mar-25</v>
      </c>
      <c r="H53" s="130">
        <f>DAY(EOMONTH(MC[[#This Row],[Month Year]],0))</f>
        <v>31</v>
      </c>
      <c r="I53" s="133"/>
      <c r="J53" s="133"/>
      <c r="K53" s="133"/>
      <c r="L53" s="133"/>
      <c r="M53" s="133"/>
      <c r="N53" s="133"/>
      <c r="O53" s="133"/>
      <c r="P53" s="126"/>
      <c r="Q53" s="126"/>
      <c r="R53" s="4">
        <f>SUM(MC[[#This Row],[ICR1]:[ICR12]])</f>
        <v>0</v>
      </c>
      <c r="S53" s="133"/>
      <c r="T53" s="133"/>
      <c r="U53" s="133"/>
      <c r="V53" s="133"/>
      <c r="W53" s="133"/>
      <c r="X53" s="133"/>
      <c r="Y53" s="133"/>
    </row>
    <row r="54" spans="1:25">
      <c r="A54" s="133">
        <v>52</v>
      </c>
      <c r="B54" s="127">
        <f t="shared" si="0"/>
        <v>45740</v>
      </c>
      <c r="C54" s="128">
        <f>YEAR(MC[[#This Row],[Date]])+IF(MONTH(MC[[#This Row],[Date]])&gt;=4,1,0)</f>
        <v>2025</v>
      </c>
      <c r="D54" s="129">
        <f>YEAR(MC[[#This Row],[Date]])</f>
        <v>2025</v>
      </c>
      <c r="E54" s="351" t="s">
        <v>218</v>
      </c>
      <c r="F54" s="351" t="s">
        <v>218</v>
      </c>
      <c r="G54" s="130" t="str">
        <f>TEXT(MC[[#This Row],[Date]],"mmm-yy")</f>
        <v>Mar-25</v>
      </c>
      <c r="H54" s="130">
        <f>DAY(EOMONTH(MC[[#This Row],[Month Year]],0))</f>
        <v>31</v>
      </c>
      <c r="I54" s="133"/>
      <c r="J54" s="133"/>
      <c r="K54" s="133"/>
      <c r="L54" s="133"/>
      <c r="M54" s="133"/>
      <c r="N54" s="133"/>
      <c r="O54" s="133"/>
      <c r="P54" s="126"/>
      <c r="Q54" s="126"/>
      <c r="R54" s="4">
        <f>SUM(MC[[#This Row],[ICR1]:[ICR12]])</f>
        <v>0</v>
      </c>
      <c r="S54" s="133"/>
      <c r="T54" s="133"/>
      <c r="U54" s="133"/>
      <c r="V54" s="133"/>
      <c r="W54" s="133"/>
      <c r="X54" s="133"/>
      <c r="Y54" s="133"/>
    </row>
    <row r="55" spans="1:25">
      <c r="A55" s="133">
        <v>53</v>
      </c>
      <c r="B55" s="127">
        <f t="shared" si="0"/>
        <v>45741</v>
      </c>
      <c r="C55" s="128">
        <f>YEAR(MC[[#This Row],[Date]])+IF(MONTH(MC[[#This Row],[Date]])&gt;=4,1,0)</f>
        <v>2025</v>
      </c>
      <c r="D55" s="129">
        <f>YEAR(MC[[#This Row],[Date]])</f>
        <v>2025</v>
      </c>
      <c r="E55" s="351" t="s">
        <v>218</v>
      </c>
      <c r="F55" s="351" t="s">
        <v>218</v>
      </c>
      <c r="G55" s="130" t="str">
        <f>TEXT(MC[[#This Row],[Date]],"mmm-yy")</f>
        <v>Mar-25</v>
      </c>
      <c r="H55" s="130">
        <f>DAY(EOMONTH(MC[[#This Row],[Month Year]],0))</f>
        <v>31</v>
      </c>
      <c r="I55" s="133"/>
      <c r="J55" s="133"/>
      <c r="K55" s="133"/>
      <c r="L55" s="133"/>
      <c r="M55" s="133"/>
      <c r="N55" s="133"/>
      <c r="O55" s="133"/>
      <c r="P55" s="126"/>
      <c r="Q55" s="126"/>
      <c r="R55" s="4">
        <f>SUM(MC[[#This Row],[ICR1]:[ICR12]])</f>
        <v>0</v>
      </c>
      <c r="S55" s="134"/>
      <c r="T55" s="133"/>
      <c r="U55" s="133"/>
      <c r="V55" s="134"/>
      <c r="W55" s="133"/>
      <c r="X55" s="133"/>
      <c r="Y55" s="133"/>
    </row>
    <row r="56" spans="1:25">
      <c r="A56" s="133">
        <v>54</v>
      </c>
      <c r="B56" s="127">
        <f t="shared" si="0"/>
        <v>45742</v>
      </c>
      <c r="C56" s="128">
        <f>YEAR(MC[[#This Row],[Date]])+IF(MONTH(MC[[#This Row],[Date]])&gt;=4,1,0)</f>
        <v>2025</v>
      </c>
      <c r="D56" s="129">
        <f>YEAR(MC[[#This Row],[Date]])</f>
        <v>2025</v>
      </c>
      <c r="E56" s="351" t="s">
        <v>218</v>
      </c>
      <c r="F56" s="351" t="s">
        <v>218</v>
      </c>
      <c r="G56" s="130" t="str">
        <f>TEXT(MC[[#This Row],[Date]],"mmm-yy")</f>
        <v>Mar-25</v>
      </c>
      <c r="H56" s="130">
        <f>DAY(EOMONTH(MC[[#This Row],[Month Year]],0))</f>
        <v>31</v>
      </c>
      <c r="I56" s="133"/>
      <c r="J56" s="133"/>
      <c r="K56" s="133"/>
      <c r="L56" s="133"/>
      <c r="M56" s="133"/>
      <c r="N56" s="133"/>
      <c r="O56" s="133"/>
      <c r="P56" s="126"/>
      <c r="Q56" s="126"/>
      <c r="R56" s="4">
        <f>SUM(MC[[#This Row],[ICR1]:[ICR12]])</f>
        <v>0</v>
      </c>
      <c r="S56" s="134"/>
      <c r="T56" s="133"/>
      <c r="U56" s="133"/>
      <c r="V56" s="134"/>
      <c r="W56" s="133"/>
      <c r="X56" s="133"/>
      <c r="Y56" s="133"/>
    </row>
    <row r="57" spans="1:25">
      <c r="A57" s="133">
        <v>55</v>
      </c>
      <c r="B57" s="127">
        <f t="shared" si="0"/>
        <v>45743</v>
      </c>
      <c r="C57" s="128">
        <f>YEAR(MC[[#This Row],[Date]])+IF(MONTH(MC[[#This Row],[Date]])&gt;=4,1,0)</f>
        <v>2025</v>
      </c>
      <c r="D57" s="129">
        <f>YEAR(MC[[#This Row],[Date]])</f>
        <v>2025</v>
      </c>
      <c r="E57" s="351" t="s">
        <v>218</v>
      </c>
      <c r="F57" s="351" t="s">
        <v>218</v>
      </c>
      <c r="G57" s="130" t="str">
        <f>TEXT(MC[[#This Row],[Date]],"mmm-yy")</f>
        <v>Mar-25</v>
      </c>
      <c r="H57" s="130">
        <f>DAY(EOMONTH(MC[[#This Row],[Month Year]],0))</f>
        <v>31</v>
      </c>
      <c r="I57" s="133"/>
      <c r="J57" s="133"/>
      <c r="K57" s="133"/>
      <c r="L57" s="133"/>
      <c r="M57" s="133"/>
      <c r="N57" s="133"/>
      <c r="O57" s="133"/>
      <c r="P57" s="126"/>
      <c r="Q57" s="126"/>
      <c r="R57" s="4">
        <f>SUM(MC[[#This Row],[ICR1]:[ICR12]])</f>
        <v>0</v>
      </c>
      <c r="S57" s="134"/>
      <c r="T57" s="133"/>
      <c r="U57" s="133"/>
      <c r="V57" s="134"/>
      <c r="W57" s="133"/>
      <c r="X57" s="133"/>
      <c r="Y57" s="133"/>
    </row>
    <row r="58" spans="1:25">
      <c r="A58" s="133">
        <v>56</v>
      </c>
      <c r="B58" s="127">
        <f t="shared" si="0"/>
        <v>45744</v>
      </c>
      <c r="C58" s="128">
        <f>YEAR(MC[[#This Row],[Date]])+IF(MONTH(MC[[#This Row],[Date]])&gt;=4,1,0)</f>
        <v>2025</v>
      </c>
      <c r="D58" s="129">
        <f>YEAR(MC[[#This Row],[Date]])</f>
        <v>2025</v>
      </c>
      <c r="E58" s="351" t="s">
        <v>218</v>
      </c>
      <c r="F58" s="351" t="s">
        <v>218</v>
      </c>
      <c r="G58" s="130" t="str">
        <f>TEXT(MC[[#This Row],[Date]],"mmm-yy")</f>
        <v>Mar-25</v>
      </c>
      <c r="H58" s="130">
        <f>DAY(EOMONTH(MC[[#This Row],[Month Year]],0))</f>
        <v>31</v>
      </c>
      <c r="I58" s="133"/>
      <c r="J58" s="133"/>
      <c r="K58" s="133"/>
      <c r="L58" s="133"/>
      <c r="M58" s="133"/>
      <c r="N58" s="133"/>
      <c r="O58" s="133"/>
      <c r="P58" s="126"/>
      <c r="Q58" s="126"/>
      <c r="R58" s="4">
        <f>SUM(MC[[#This Row],[ICR1]:[ICR12]])</f>
        <v>0</v>
      </c>
      <c r="S58" s="134"/>
      <c r="T58" s="133"/>
      <c r="U58" s="133"/>
      <c r="V58" s="134"/>
      <c r="W58" s="133"/>
      <c r="X58" s="133"/>
      <c r="Y58" s="133"/>
    </row>
    <row r="59" spans="1:25">
      <c r="A59" s="133">
        <v>57</v>
      </c>
      <c r="B59" s="127">
        <f t="shared" si="0"/>
        <v>45745</v>
      </c>
      <c r="C59" s="128">
        <f>YEAR(MC[[#This Row],[Date]])+IF(MONTH(MC[[#This Row],[Date]])&gt;=4,1,0)</f>
        <v>2025</v>
      </c>
      <c r="D59" s="129">
        <f>YEAR(MC[[#This Row],[Date]])</f>
        <v>2025</v>
      </c>
      <c r="E59" s="351" t="s">
        <v>218</v>
      </c>
      <c r="F59" s="351" t="s">
        <v>218</v>
      </c>
      <c r="G59" s="130" t="str">
        <f>TEXT(MC[[#This Row],[Date]],"mmm-yy")</f>
        <v>Mar-25</v>
      </c>
      <c r="H59" s="130">
        <f>DAY(EOMONTH(MC[[#This Row],[Month Year]],0))</f>
        <v>31</v>
      </c>
      <c r="I59" s="133"/>
      <c r="J59" s="133"/>
      <c r="K59" s="133"/>
      <c r="L59" s="133"/>
      <c r="M59" s="133"/>
      <c r="N59" s="133"/>
      <c r="O59" s="133"/>
      <c r="P59" s="126"/>
      <c r="Q59" s="126"/>
      <c r="R59" s="4">
        <f>SUM(MC[[#This Row],[ICR1]:[ICR12]])</f>
        <v>0</v>
      </c>
      <c r="S59" s="134"/>
      <c r="T59" s="133"/>
      <c r="U59" s="133"/>
      <c r="V59" s="134"/>
      <c r="W59" s="133"/>
      <c r="X59" s="133"/>
      <c r="Y59" s="133"/>
    </row>
    <row r="60" spans="1:25">
      <c r="A60" s="133">
        <v>58</v>
      </c>
      <c r="B60" s="127">
        <f t="shared" si="0"/>
        <v>45746</v>
      </c>
      <c r="C60" s="128">
        <f>YEAR(MC[[#This Row],[Date]])+IF(MONTH(MC[[#This Row],[Date]])&gt;=4,1,0)</f>
        <v>2025</v>
      </c>
      <c r="D60" s="129">
        <f>YEAR(MC[[#This Row],[Date]])</f>
        <v>2025</v>
      </c>
      <c r="E60" s="351" t="s">
        <v>218</v>
      </c>
      <c r="F60" s="351" t="s">
        <v>218</v>
      </c>
      <c r="G60" s="130" t="str">
        <f>TEXT(MC[[#This Row],[Date]],"mmm-yy")</f>
        <v>Mar-25</v>
      </c>
      <c r="H60" s="130">
        <f>DAY(EOMONTH(MC[[#This Row],[Month Year]],0))</f>
        <v>31</v>
      </c>
      <c r="I60" s="133"/>
      <c r="J60" s="133"/>
      <c r="K60" s="133"/>
      <c r="L60" s="133"/>
      <c r="M60" s="133"/>
      <c r="N60" s="133"/>
      <c r="O60" s="133"/>
      <c r="P60" s="126"/>
      <c r="Q60" s="126"/>
      <c r="R60" s="4">
        <f>SUM(MC[[#This Row],[ICR1]:[ICR12]])</f>
        <v>0</v>
      </c>
      <c r="S60" s="134"/>
      <c r="T60" s="133"/>
      <c r="U60" s="133"/>
      <c r="V60" s="134"/>
      <c r="W60" s="133"/>
      <c r="X60" s="133"/>
      <c r="Y60" s="133"/>
    </row>
    <row r="61" spans="1:25">
      <c r="A61" s="133">
        <v>59</v>
      </c>
      <c r="B61" s="127">
        <f t="shared" si="0"/>
        <v>45747</v>
      </c>
      <c r="C61" s="128">
        <f>YEAR(MC[[#This Row],[Date]])+IF(MONTH(MC[[#This Row],[Date]])&gt;=4,1,0)</f>
        <v>2025</v>
      </c>
      <c r="D61" s="129">
        <f>YEAR(MC[[#This Row],[Date]])</f>
        <v>2025</v>
      </c>
      <c r="E61" s="351" t="s">
        <v>218</v>
      </c>
      <c r="F61" s="351" t="s">
        <v>218</v>
      </c>
      <c r="G61" s="130" t="str">
        <f>TEXT(MC[[#This Row],[Date]],"mmm-yy")</f>
        <v>Mar-25</v>
      </c>
      <c r="H61" s="130">
        <f>DAY(EOMONTH(MC[[#This Row],[Month Year]],0))</f>
        <v>31</v>
      </c>
      <c r="I61" s="133"/>
      <c r="J61" s="133"/>
      <c r="K61" s="133"/>
      <c r="L61" s="133"/>
      <c r="M61" s="133"/>
      <c r="N61" s="133"/>
      <c r="O61" s="133"/>
      <c r="P61" s="126"/>
      <c r="Q61" s="126"/>
      <c r="R61" s="4">
        <f>SUM(MC[[#This Row],[ICR1]:[ICR12]])</f>
        <v>0</v>
      </c>
      <c r="S61" s="134"/>
      <c r="T61" s="133"/>
      <c r="U61" s="133"/>
      <c r="V61" s="134"/>
      <c r="W61" s="133"/>
      <c r="X61" s="133"/>
      <c r="Y61" s="133"/>
    </row>
    <row r="62" spans="1:25">
      <c r="A62" s="133">
        <v>60</v>
      </c>
      <c r="B62" s="127">
        <f t="shared" si="0"/>
        <v>45748</v>
      </c>
      <c r="C62" s="128">
        <f>YEAR(MC[[#This Row],[Date]])+IF(MONTH(MC[[#This Row],[Date]])&gt;=4,1,0)</f>
        <v>2026</v>
      </c>
      <c r="D62" s="129">
        <f>YEAR(MC[[#This Row],[Date]])</f>
        <v>2025</v>
      </c>
      <c r="E62" s="351" t="s">
        <v>218</v>
      </c>
      <c r="F62" s="351" t="s">
        <v>218</v>
      </c>
      <c r="G62" s="130" t="str">
        <f>TEXT(MC[[#This Row],[Date]],"mmm-yy")</f>
        <v>Apr-25</v>
      </c>
      <c r="H62" s="130">
        <f>DAY(EOMONTH(MC[[#This Row],[Month Year]],0))</f>
        <v>30</v>
      </c>
      <c r="I62" s="133"/>
      <c r="J62" s="133"/>
      <c r="K62" s="133"/>
      <c r="L62" s="133"/>
      <c r="M62" s="133"/>
      <c r="N62" s="133"/>
      <c r="O62" s="133"/>
      <c r="P62" s="126"/>
      <c r="Q62" s="126"/>
      <c r="R62" s="4">
        <f>SUM(MC[[#This Row],[ICR1]:[ICR12]])</f>
        <v>0</v>
      </c>
      <c r="S62" s="134"/>
      <c r="T62" s="133"/>
      <c r="U62" s="133"/>
      <c r="V62" s="134"/>
      <c r="W62" s="133"/>
      <c r="X62" s="133"/>
      <c r="Y62" s="133"/>
    </row>
    <row r="63" spans="1:25">
      <c r="A63" s="133">
        <v>61</v>
      </c>
      <c r="B63" s="127">
        <f t="shared" si="0"/>
        <v>45749</v>
      </c>
      <c r="C63" s="128">
        <f>YEAR(MC[[#This Row],[Date]])+IF(MONTH(MC[[#This Row],[Date]])&gt;=4,1,0)</f>
        <v>2026</v>
      </c>
      <c r="D63" s="129">
        <f>YEAR(MC[[#This Row],[Date]])</f>
        <v>2025</v>
      </c>
      <c r="E63" s="351" t="s">
        <v>218</v>
      </c>
      <c r="F63" s="351" t="s">
        <v>218</v>
      </c>
      <c r="G63" s="130" t="str">
        <f>TEXT(MC[[#This Row],[Date]],"mmm-yy")</f>
        <v>Apr-25</v>
      </c>
      <c r="H63" s="130">
        <f>DAY(EOMONTH(MC[[#This Row],[Month Year]],0))</f>
        <v>30</v>
      </c>
      <c r="I63" s="133"/>
      <c r="J63" s="133"/>
      <c r="K63" s="133"/>
      <c r="L63" s="133"/>
      <c r="M63" s="133"/>
      <c r="N63" s="133"/>
      <c r="O63" s="133"/>
      <c r="P63" s="126"/>
      <c r="Q63" s="126"/>
      <c r="R63" s="4">
        <f>SUM(MC[[#This Row],[ICR1]:[ICR12]])</f>
        <v>0</v>
      </c>
      <c r="S63" s="133"/>
      <c r="T63" s="133"/>
      <c r="U63" s="133"/>
      <c r="V63" s="133"/>
      <c r="W63" s="133"/>
      <c r="X63" s="133"/>
      <c r="Y63" s="133"/>
    </row>
    <row r="64" spans="1:25">
      <c r="A64" s="133">
        <v>62</v>
      </c>
      <c r="B64" s="127">
        <f t="shared" si="0"/>
        <v>45750</v>
      </c>
      <c r="C64" s="128">
        <f>YEAR(MC[[#This Row],[Date]])+IF(MONTH(MC[[#This Row],[Date]])&gt;=4,1,0)</f>
        <v>2026</v>
      </c>
      <c r="D64" s="129">
        <f>YEAR(MC[[#This Row],[Date]])</f>
        <v>2025</v>
      </c>
      <c r="E64" s="351" t="s">
        <v>218</v>
      </c>
      <c r="F64" s="351" t="s">
        <v>218</v>
      </c>
      <c r="G64" s="130" t="str">
        <f>TEXT(MC[[#This Row],[Date]],"mmm-yy")</f>
        <v>Apr-25</v>
      </c>
      <c r="H64" s="130">
        <f>DAY(EOMONTH(MC[[#This Row],[Month Year]],0))</f>
        <v>30</v>
      </c>
      <c r="I64" s="133"/>
      <c r="J64" s="133"/>
      <c r="K64" s="133"/>
      <c r="L64" s="133"/>
      <c r="M64" s="133"/>
      <c r="N64" s="133"/>
      <c r="O64" s="133"/>
      <c r="P64" s="126"/>
      <c r="Q64" s="126"/>
      <c r="R64" s="4">
        <f>SUM(MC[[#This Row],[ICR1]:[ICR12]])</f>
        <v>0</v>
      </c>
      <c r="S64" s="134"/>
      <c r="T64" s="133"/>
      <c r="U64" s="133"/>
      <c r="V64" s="134"/>
      <c r="W64" s="133"/>
      <c r="X64" s="133"/>
      <c r="Y64" s="133"/>
    </row>
    <row r="65" spans="1:25">
      <c r="A65" s="133">
        <v>63</v>
      </c>
      <c r="B65" s="127">
        <f t="shared" si="0"/>
        <v>45751</v>
      </c>
      <c r="C65" s="128">
        <f>YEAR(MC[[#This Row],[Date]])+IF(MONTH(MC[[#This Row],[Date]])&gt;=4,1,0)</f>
        <v>2026</v>
      </c>
      <c r="D65" s="129">
        <f>YEAR(MC[[#This Row],[Date]])</f>
        <v>2025</v>
      </c>
      <c r="E65" s="351" t="s">
        <v>218</v>
      </c>
      <c r="F65" s="351" t="s">
        <v>218</v>
      </c>
      <c r="G65" s="130" t="str">
        <f>TEXT(MC[[#This Row],[Date]],"mmm-yy")</f>
        <v>Apr-25</v>
      </c>
      <c r="H65" s="130">
        <f>DAY(EOMONTH(MC[[#This Row],[Month Year]],0))</f>
        <v>30</v>
      </c>
      <c r="I65" s="133"/>
      <c r="J65" s="133"/>
      <c r="K65" s="133"/>
      <c r="L65" s="133"/>
      <c r="M65" s="133"/>
      <c r="N65" s="133"/>
      <c r="O65" s="133"/>
      <c r="P65" s="126"/>
      <c r="Q65" s="126"/>
      <c r="R65" s="4">
        <f>SUM(MC[[#This Row],[ICR1]:[ICR12]])</f>
        <v>0</v>
      </c>
      <c r="S65" s="134"/>
      <c r="T65" s="133"/>
      <c r="U65" s="133"/>
      <c r="V65" s="134"/>
      <c r="W65" s="133"/>
      <c r="X65" s="133"/>
      <c r="Y65" s="133"/>
    </row>
    <row r="66" spans="1:25">
      <c r="A66" s="133">
        <v>64</v>
      </c>
      <c r="B66" s="127">
        <f t="shared" si="0"/>
        <v>45752</v>
      </c>
      <c r="C66" s="128">
        <f>YEAR(MC[[#This Row],[Date]])+IF(MONTH(MC[[#This Row],[Date]])&gt;=4,1,0)</f>
        <v>2026</v>
      </c>
      <c r="D66" s="129">
        <f>YEAR(MC[[#This Row],[Date]])</f>
        <v>2025</v>
      </c>
      <c r="E66" s="351" t="s">
        <v>218</v>
      </c>
      <c r="F66" s="351" t="s">
        <v>218</v>
      </c>
      <c r="G66" s="130" t="str">
        <f>TEXT(MC[[#This Row],[Date]],"mmm-yy")</f>
        <v>Apr-25</v>
      </c>
      <c r="H66" s="130">
        <f>DAY(EOMONTH(MC[[#This Row],[Month Year]],0))</f>
        <v>30</v>
      </c>
      <c r="I66" s="133"/>
      <c r="J66" s="133"/>
      <c r="K66" s="133"/>
      <c r="L66" s="133"/>
      <c r="M66" s="133"/>
      <c r="N66" s="133"/>
      <c r="O66" s="133"/>
      <c r="P66" s="126"/>
      <c r="Q66" s="126"/>
      <c r="R66" s="4">
        <f>SUM(MC[[#This Row],[ICR1]:[ICR12]])</f>
        <v>0</v>
      </c>
      <c r="S66" s="134"/>
      <c r="T66" s="133"/>
      <c r="U66" s="133"/>
      <c r="V66" s="134"/>
      <c r="W66" s="133"/>
      <c r="X66" s="133"/>
      <c r="Y66" s="133"/>
    </row>
    <row r="67" spans="1:25">
      <c r="A67" s="133">
        <v>65</v>
      </c>
      <c r="B67" s="127">
        <f t="shared" si="0"/>
        <v>45753</v>
      </c>
      <c r="C67" s="128">
        <f>YEAR(MC[[#This Row],[Date]])+IF(MONTH(MC[[#This Row],[Date]])&gt;=4,1,0)</f>
        <v>2026</v>
      </c>
      <c r="D67" s="129">
        <f>YEAR(MC[[#This Row],[Date]])</f>
        <v>2025</v>
      </c>
      <c r="E67" s="351" t="s">
        <v>218</v>
      </c>
      <c r="F67" s="351" t="s">
        <v>218</v>
      </c>
      <c r="G67" s="130" t="str">
        <f>TEXT(MC[[#This Row],[Date]],"mmm-yy")</f>
        <v>Apr-25</v>
      </c>
      <c r="H67" s="130">
        <f>DAY(EOMONTH(MC[[#This Row],[Month Year]],0))</f>
        <v>30</v>
      </c>
      <c r="I67" s="133"/>
      <c r="J67" s="133"/>
      <c r="K67" s="133"/>
      <c r="L67" s="133"/>
      <c r="M67" s="133"/>
      <c r="N67" s="133"/>
      <c r="O67" s="133"/>
      <c r="P67" s="126"/>
      <c r="Q67" s="126"/>
      <c r="R67" s="4">
        <f>SUM(MC[[#This Row],[ICR1]:[ICR12]])</f>
        <v>0</v>
      </c>
      <c r="S67" s="134"/>
      <c r="T67" s="133"/>
      <c r="U67" s="133"/>
      <c r="V67" s="134"/>
      <c r="W67" s="133"/>
      <c r="X67" s="133"/>
      <c r="Y67" s="133"/>
    </row>
    <row r="68" spans="1:25">
      <c r="A68" s="133">
        <v>66</v>
      </c>
      <c r="B68" s="127">
        <f t="shared" si="0"/>
        <v>45754</v>
      </c>
      <c r="C68" s="128">
        <f>YEAR(MC[[#This Row],[Date]])+IF(MONTH(MC[[#This Row],[Date]])&gt;=4,1,0)</f>
        <v>2026</v>
      </c>
      <c r="D68" s="129">
        <f>YEAR(MC[[#This Row],[Date]])</f>
        <v>2025</v>
      </c>
      <c r="E68" s="351" t="s">
        <v>218</v>
      </c>
      <c r="F68" s="351" t="s">
        <v>218</v>
      </c>
      <c r="G68" s="130" t="str">
        <f>TEXT(MC[[#This Row],[Date]],"mmm-yy")</f>
        <v>Apr-25</v>
      </c>
      <c r="H68" s="130">
        <f>DAY(EOMONTH(MC[[#This Row],[Month Year]],0))</f>
        <v>30</v>
      </c>
      <c r="I68" s="133"/>
      <c r="J68" s="133"/>
      <c r="K68" s="133"/>
      <c r="L68" s="133"/>
      <c r="M68" s="133"/>
      <c r="N68" s="133"/>
      <c r="O68" s="133"/>
      <c r="P68" s="126"/>
      <c r="Q68" s="126"/>
      <c r="R68" s="4">
        <f>SUM(MC[[#This Row],[ICR1]:[ICR12]])</f>
        <v>0</v>
      </c>
      <c r="S68" s="133"/>
      <c r="T68" s="133"/>
      <c r="U68" s="133"/>
      <c r="V68" s="133"/>
      <c r="W68" s="133"/>
      <c r="X68" s="133"/>
      <c r="Y68" s="133"/>
    </row>
    <row r="69" spans="1:25">
      <c r="A69" s="133">
        <v>67</v>
      </c>
      <c r="B69" s="127">
        <f t="shared" ref="B69:B132" si="1">B68+1</f>
        <v>45755</v>
      </c>
      <c r="C69" s="128">
        <f>YEAR(MC[[#This Row],[Date]])+IF(MONTH(MC[[#This Row],[Date]])&gt;=4,1,0)</f>
        <v>2026</v>
      </c>
      <c r="D69" s="129">
        <f>YEAR(MC[[#This Row],[Date]])</f>
        <v>2025</v>
      </c>
      <c r="E69" s="351" t="s">
        <v>218</v>
      </c>
      <c r="F69" s="351" t="s">
        <v>218</v>
      </c>
      <c r="G69" s="130" t="str">
        <f>TEXT(MC[[#This Row],[Date]],"mmm-yy")</f>
        <v>Apr-25</v>
      </c>
      <c r="H69" s="130">
        <f>DAY(EOMONTH(MC[[#This Row],[Month Year]],0))</f>
        <v>30</v>
      </c>
      <c r="I69" s="133"/>
      <c r="J69" s="133"/>
      <c r="K69" s="133"/>
      <c r="L69" s="133"/>
      <c r="M69" s="133"/>
      <c r="N69" s="133"/>
      <c r="O69" s="133"/>
      <c r="P69" s="126"/>
      <c r="Q69" s="126"/>
      <c r="R69" s="4">
        <f>SUM(MC[[#This Row],[ICR1]:[ICR12]])</f>
        <v>0</v>
      </c>
      <c r="S69" s="134"/>
      <c r="T69" s="133"/>
      <c r="U69" s="133"/>
      <c r="V69" s="134"/>
      <c r="W69" s="133"/>
      <c r="X69" s="133"/>
      <c r="Y69" s="133"/>
    </row>
    <row r="70" spans="1:25">
      <c r="A70" s="133">
        <v>68</v>
      </c>
      <c r="B70" s="127">
        <f t="shared" si="1"/>
        <v>45756</v>
      </c>
      <c r="C70" s="128">
        <f>YEAR(MC[[#This Row],[Date]])+IF(MONTH(MC[[#This Row],[Date]])&gt;=4,1,0)</f>
        <v>2026</v>
      </c>
      <c r="D70" s="129">
        <f>YEAR(MC[[#This Row],[Date]])</f>
        <v>2025</v>
      </c>
      <c r="E70" s="351" t="s">
        <v>218</v>
      </c>
      <c r="F70" s="351" t="s">
        <v>218</v>
      </c>
      <c r="G70" s="130" t="str">
        <f>TEXT(MC[[#This Row],[Date]],"mmm-yy")</f>
        <v>Apr-25</v>
      </c>
      <c r="H70" s="130">
        <f>DAY(EOMONTH(MC[[#This Row],[Month Year]],0))</f>
        <v>30</v>
      </c>
      <c r="I70" s="133"/>
      <c r="J70" s="133"/>
      <c r="K70" s="133"/>
      <c r="L70" s="133"/>
      <c r="M70" s="133"/>
      <c r="N70" s="133"/>
      <c r="O70" s="133"/>
      <c r="P70" s="126"/>
      <c r="Q70" s="126"/>
      <c r="R70" s="4">
        <f>SUM(MC[[#This Row],[ICR1]:[ICR12]])</f>
        <v>0</v>
      </c>
      <c r="S70" s="133"/>
      <c r="T70" s="133"/>
      <c r="U70" s="133"/>
      <c r="V70" s="133"/>
      <c r="W70" s="133"/>
      <c r="X70" s="133"/>
      <c r="Y70" s="133"/>
    </row>
    <row r="71" spans="1:25">
      <c r="A71" s="133">
        <v>69</v>
      </c>
      <c r="B71" s="127">
        <f t="shared" si="1"/>
        <v>45757</v>
      </c>
      <c r="C71" s="128">
        <f>YEAR(MC[[#This Row],[Date]])+IF(MONTH(MC[[#This Row],[Date]])&gt;=4,1,0)</f>
        <v>2026</v>
      </c>
      <c r="D71" s="129">
        <f>YEAR(MC[[#This Row],[Date]])</f>
        <v>2025</v>
      </c>
      <c r="E71" s="351" t="s">
        <v>218</v>
      </c>
      <c r="F71" s="351" t="s">
        <v>218</v>
      </c>
      <c r="G71" s="130" t="str">
        <f>TEXT(MC[[#This Row],[Date]],"mmm-yy")</f>
        <v>Apr-25</v>
      </c>
      <c r="H71" s="130">
        <f>DAY(EOMONTH(MC[[#This Row],[Month Year]],0))</f>
        <v>30</v>
      </c>
      <c r="I71" s="133"/>
      <c r="J71" s="133"/>
      <c r="K71" s="133"/>
      <c r="L71" s="133"/>
      <c r="M71" s="133"/>
      <c r="N71" s="133"/>
      <c r="O71" s="133"/>
      <c r="P71" s="126"/>
      <c r="Q71" s="126"/>
      <c r="R71" s="4">
        <f>SUM(MC[[#This Row],[ICR1]:[ICR12]])</f>
        <v>0</v>
      </c>
      <c r="S71" s="133"/>
      <c r="T71" s="133"/>
      <c r="U71" s="133"/>
      <c r="V71" s="133"/>
      <c r="W71" s="133"/>
      <c r="X71" s="133"/>
      <c r="Y71" s="133"/>
    </row>
    <row r="72" spans="1:25">
      <c r="A72" s="133">
        <v>70</v>
      </c>
      <c r="B72" s="127">
        <f t="shared" si="1"/>
        <v>45758</v>
      </c>
      <c r="C72" s="128">
        <f>YEAR(MC[[#This Row],[Date]])+IF(MONTH(MC[[#This Row],[Date]])&gt;=4,1,0)</f>
        <v>2026</v>
      </c>
      <c r="D72" s="129">
        <f>YEAR(MC[[#This Row],[Date]])</f>
        <v>2025</v>
      </c>
      <c r="E72" s="351" t="s">
        <v>218</v>
      </c>
      <c r="F72" s="351" t="s">
        <v>218</v>
      </c>
      <c r="G72" s="130" t="str">
        <f>TEXT(MC[[#This Row],[Date]],"mmm-yy")</f>
        <v>Apr-25</v>
      </c>
      <c r="H72" s="130">
        <f>DAY(EOMONTH(MC[[#This Row],[Month Year]],0))</f>
        <v>30</v>
      </c>
      <c r="I72" s="133"/>
      <c r="J72" s="133"/>
      <c r="K72" s="133"/>
      <c r="L72" s="133"/>
      <c r="M72" s="133"/>
      <c r="N72" s="133"/>
      <c r="O72" s="133"/>
      <c r="P72" s="126"/>
      <c r="Q72" s="126"/>
      <c r="R72" s="4">
        <f>SUM(MC[[#This Row],[ICR1]:[ICR12]])</f>
        <v>0</v>
      </c>
      <c r="S72" s="133"/>
      <c r="T72" s="133"/>
      <c r="U72" s="133"/>
      <c r="V72" s="133"/>
      <c r="W72" s="133"/>
      <c r="X72" s="133"/>
      <c r="Y72" s="133"/>
    </row>
    <row r="73" spans="1:25">
      <c r="A73" s="133">
        <v>71</v>
      </c>
      <c r="B73" s="127">
        <f t="shared" si="1"/>
        <v>45759</v>
      </c>
      <c r="C73" s="128">
        <f>YEAR(MC[[#This Row],[Date]])+IF(MONTH(MC[[#This Row],[Date]])&gt;=4,1,0)</f>
        <v>2026</v>
      </c>
      <c r="D73" s="129">
        <f>YEAR(MC[[#This Row],[Date]])</f>
        <v>2025</v>
      </c>
      <c r="E73" s="351" t="s">
        <v>218</v>
      </c>
      <c r="F73" s="351" t="s">
        <v>218</v>
      </c>
      <c r="G73" s="130" t="str">
        <f>TEXT(MC[[#This Row],[Date]],"mmm-yy")</f>
        <v>Apr-25</v>
      </c>
      <c r="H73" s="130">
        <f>DAY(EOMONTH(MC[[#This Row],[Month Year]],0))</f>
        <v>30</v>
      </c>
      <c r="I73" s="133"/>
      <c r="J73" s="133"/>
      <c r="K73" s="133"/>
      <c r="L73" s="133"/>
      <c r="M73" s="133"/>
      <c r="N73" s="133"/>
      <c r="O73" s="133"/>
      <c r="P73" s="126"/>
      <c r="Q73" s="126"/>
      <c r="R73" s="4">
        <f>SUM(MC[[#This Row],[ICR1]:[ICR12]])</f>
        <v>0</v>
      </c>
      <c r="S73" s="133"/>
      <c r="T73" s="133"/>
      <c r="U73" s="133"/>
      <c r="V73" s="133"/>
      <c r="W73" s="133"/>
      <c r="X73" s="133"/>
      <c r="Y73" s="133"/>
    </row>
    <row r="74" spans="1:25">
      <c r="A74" s="133">
        <v>72</v>
      </c>
      <c r="B74" s="127">
        <f t="shared" si="1"/>
        <v>45760</v>
      </c>
      <c r="C74" s="128">
        <f>YEAR(MC[[#This Row],[Date]])+IF(MONTH(MC[[#This Row],[Date]])&gt;=4,1,0)</f>
        <v>2026</v>
      </c>
      <c r="D74" s="129">
        <f>YEAR(MC[[#This Row],[Date]])</f>
        <v>2025</v>
      </c>
      <c r="E74" s="351" t="s">
        <v>218</v>
      </c>
      <c r="F74" s="351" t="s">
        <v>218</v>
      </c>
      <c r="G74" s="130" t="str">
        <f>TEXT(MC[[#This Row],[Date]],"mmm-yy")</f>
        <v>Apr-25</v>
      </c>
      <c r="H74" s="130">
        <f>DAY(EOMONTH(MC[[#This Row],[Month Year]],0))</f>
        <v>30</v>
      </c>
      <c r="I74" s="133"/>
      <c r="J74" s="133"/>
      <c r="K74" s="133"/>
      <c r="L74" s="133"/>
      <c r="M74" s="133"/>
      <c r="N74" s="133"/>
      <c r="O74" s="133"/>
      <c r="P74" s="126"/>
      <c r="Q74" s="126"/>
      <c r="R74" s="4">
        <f>SUM(MC[[#This Row],[ICR1]:[ICR12]])</f>
        <v>0</v>
      </c>
      <c r="S74" s="133"/>
      <c r="T74" s="133"/>
      <c r="U74" s="133"/>
      <c r="V74" s="133"/>
      <c r="W74" s="133"/>
      <c r="X74" s="133"/>
      <c r="Y74" s="133"/>
    </row>
    <row r="75" spans="1:25">
      <c r="A75" s="133">
        <v>73</v>
      </c>
      <c r="B75" s="127">
        <f t="shared" si="1"/>
        <v>45761</v>
      </c>
      <c r="C75" s="128">
        <f>YEAR(MC[[#This Row],[Date]])+IF(MONTH(MC[[#This Row],[Date]])&gt;=4,1,0)</f>
        <v>2026</v>
      </c>
      <c r="D75" s="129">
        <f>YEAR(MC[[#This Row],[Date]])</f>
        <v>2025</v>
      </c>
      <c r="E75" s="351" t="s">
        <v>218</v>
      </c>
      <c r="F75" s="351" t="s">
        <v>218</v>
      </c>
      <c r="G75" s="130" t="str">
        <f>TEXT(MC[[#This Row],[Date]],"mmm-yy")</f>
        <v>Apr-25</v>
      </c>
      <c r="H75" s="130">
        <f>DAY(EOMONTH(MC[[#This Row],[Month Year]],0))</f>
        <v>30</v>
      </c>
      <c r="I75" s="133"/>
      <c r="J75" s="133"/>
      <c r="K75" s="133"/>
      <c r="L75" s="133"/>
      <c r="M75" s="133"/>
      <c r="N75" s="133"/>
      <c r="O75" s="133"/>
      <c r="P75" s="126"/>
      <c r="Q75" s="126"/>
      <c r="R75" s="4">
        <f>SUM(MC[[#This Row],[ICR1]:[ICR12]])</f>
        <v>0</v>
      </c>
      <c r="S75" s="133"/>
      <c r="T75" s="133"/>
      <c r="U75" s="133"/>
      <c r="V75" s="133"/>
      <c r="W75" s="133"/>
      <c r="X75" s="133"/>
      <c r="Y75" s="133"/>
    </row>
    <row r="76" spans="1:25">
      <c r="A76" s="133">
        <v>74</v>
      </c>
      <c r="B76" s="127">
        <f t="shared" si="1"/>
        <v>45762</v>
      </c>
      <c r="C76" s="128">
        <f>YEAR(MC[[#This Row],[Date]])+IF(MONTH(MC[[#This Row],[Date]])&gt;=4,1,0)</f>
        <v>2026</v>
      </c>
      <c r="D76" s="129">
        <f>YEAR(MC[[#This Row],[Date]])</f>
        <v>2025</v>
      </c>
      <c r="E76" s="351" t="s">
        <v>218</v>
      </c>
      <c r="F76" s="351" t="s">
        <v>218</v>
      </c>
      <c r="G76" s="130" t="str">
        <f>TEXT(MC[[#This Row],[Date]],"mmm-yy")</f>
        <v>Apr-25</v>
      </c>
      <c r="H76" s="130">
        <f>DAY(EOMONTH(MC[[#This Row],[Month Year]],0))</f>
        <v>30</v>
      </c>
      <c r="I76" s="133"/>
      <c r="J76" s="133"/>
      <c r="K76" s="133"/>
      <c r="L76" s="133"/>
      <c r="M76" s="133"/>
      <c r="N76" s="133"/>
      <c r="O76" s="133"/>
      <c r="P76" s="126"/>
      <c r="Q76" s="126"/>
      <c r="R76" s="4">
        <f>SUM(MC[[#This Row],[ICR1]:[ICR12]])</f>
        <v>0</v>
      </c>
      <c r="S76" s="134"/>
      <c r="T76" s="133"/>
      <c r="U76" s="133"/>
      <c r="V76" s="134"/>
      <c r="W76" s="133"/>
      <c r="X76" s="133"/>
      <c r="Y76" s="133"/>
    </row>
    <row r="77" spans="1:25">
      <c r="A77" s="133">
        <v>75</v>
      </c>
      <c r="B77" s="127">
        <f t="shared" si="1"/>
        <v>45763</v>
      </c>
      <c r="C77" s="128">
        <f>YEAR(MC[[#This Row],[Date]])+IF(MONTH(MC[[#This Row],[Date]])&gt;=4,1,0)</f>
        <v>2026</v>
      </c>
      <c r="D77" s="129">
        <f>YEAR(MC[[#This Row],[Date]])</f>
        <v>2025</v>
      </c>
      <c r="E77" s="351" t="s">
        <v>218</v>
      </c>
      <c r="F77" s="351" t="s">
        <v>218</v>
      </c>
      <c r="G77" s="130" t="str">
        <f>TEXT(MC[[#This Row],[Date]],"mmm-yy")</f>
        <v>Apr-25</v>
      </c>
      <c r="H77" s="130">
        <f>DAY(EOMONTH(MC[[#This Row],[Month Year]],0))</f>
        <v>30</v>
      </c>
      <c r="I77" s="133"/>
      <c r="J77" s="133"/>
      <c r="K77" s="133"/>
      <c r="L77" s="133"/>
      <c r="M77" s="133"/>
      <c r="N77" s="133"/>
      <c r="O77" s="133"/>
      <c r="P77" s="126"/>
      <c r="Q77" s="126"/>
      <c r="R77" s="4">
        <f>SUM(MC[[#This Row],[ICR1]:[ICR12]])</f>
        <v>0</v>
      </c>
      <c r="S77" s="134"/>
      <c r="T77" s="133"/>
      <c r="U77" s="133"/>
      <c r="V77" s="134"/>
      <c r="W77" s="133"/>
      <c r="X77" s="133"/>
      <c r="Y77" s="133"/>
    </row>
    <row r="78" spans="1:25">
      <c r="A78" s="133">
        <v>76</v>
      </c>
      <c r="B78" s="127">
        <f t="shared" si="1"/>
        <v>45764</v>
      </c>
      <c r="C78" s="128">
        <f>YEAR(MC[[#This Row],[Date]])+IF(MONTH(MC[[#This Row],[Date]])&gt;=4,1,0)</f>
        <v>2026</v>
      </c>
      <c r="D78" s="129">
        <f>YEAR(MC[[#This Row],[Date]])</f>
        <v>2025</v>
      </c>
      <c r="E78" s="351" t="s">
        <v>218</v>
      </c>
      <c r="F78" s="351" t="s">
        <v>218</v>
      </c>
      <c r="G78" s="130" t="str">
        <f>TEXT(MC[[#This Row],[Date]],"mmm-yy")</f>
        <v>Apr-25</v>
      </c>
      <c r="H78" s="130">
        <f>DAY(EOMONTH(MC[[#This Row],[Month Year]],0))</f>
        <v>30</v>
      </c>
      <c r="I78" s="133"/>
      <c r="J78" s="133"/>
      <c r="K78" s="133"/>
      <c r="L78" s="133"/>
      <c r="M78" s="133"/>
      <c r="N78" s="133"/>
      <c r="O78" s="133"/>
      <c r="P78" s="126"/>
      <c r="Q78" s="126"/>
      <c r="R78" s="4">
        <f>SUM(MC[[#This Row],[ICR1]:[ICR12]])</f>
        <v>0</v>
      </c>
      <c r="S78" s="133"/>
      <c r="T78" s="133"/>
      <c r="U78" s="133"/>
      <c r="V78" s="133"/>
      <c r="W78" s="133"/>
      <c r="X78" s="133"/>
      <c r="Y78" s="133"/>
    </row>
    <row r="79" spans="1:25">
      <c r="A79" s="133">
        <v>77</v>
      </c>
      <c r="B79" s="127">
        <f t="shared" si="1"/>
        <v>45765</v>
      </c>
      <c r="C79" s="128">
        <f>YEAR(MC[[#This Row],[Date]])+IF(MONTH(MC[[#This Row],[Date]])&gt;=4,1,0)</f>
        <v>2026</v>
      </c>
      <c r="D79" s="129">
        <f>YEAR(MC[[#This Row],[Date]])</f>
        <v>2025</v>
      </c>
      <c r="E79" s="351" t="s">
        <v>218</v>
      </c>
      <c r="F79" s="351" t="s">
        <v>218</v>
      </c>
      <c r="G79" s="130" t="str">
        <f>TEXT(MC[[#This Row],[Date]],"mmm-yy")</f>
        <v>Apr-25</v>
      </c>
      <c r="H79" s="130">
        <f>DAY(EOMONTH(MC[[#This Row],[Month Year]],0))</f>
        <v>30</v>
      </c>
      <c r="I79" s="133"/>
      <c r="J79" s="133"/>
      <c r="K79" s="133"/>
      <c r="L79" s="133"/>
      <c r="M79" s="133"/>
      <c r="N79" s="133"/>
      <c r="O79" s="133"/>
      <c r="P79" s="126"/>
      <c r="Q79" s="126"/>
      <c r="R79" s="4">
        <f>SUM(MC[[#This Row],[ICR1]:[ICR12]])</f>
        <v>0</v>
      </c>
      <c r="S79" s="133"/>
      <c r="T79" s="133"/>
      <c r="U79" s="133"/>
      <c r="V79" s="133"/>
      <c r="W79" s="133"/>
      <c r="X79" s="133"/>
      <c r="Y79" s="133"/>
    </row>
    <row r="80" spans="1:25">
      <c r="A80" s="133">
        <v>78</v>
      </c>
      <c r="B80" s="127">
        <f t="shared" si="1"/>
        <v>45766</v>
      </c>
      <c r="C80" s="128">
        <f>YEAR(MC[[#This Row],[Date]])+IF(MONTH(MC[[#This Row],[Date]])&gt;=4,1,0)</f>
        <v>2026</v>
      </c>
      <c r="D80" s="129">
        <f>YEAR(MC[[#This Row],[Date]])</f>
        <v>2025</v>
      </c>
      <c r="E80" s="351" t="s">
        <v>218</v>
      </c>
      <c r="F80" s="351" t="s">
        <v>218</v>
      </c>
      <c r="G80" s="130" t="str">
        <f>TEXT(MC[[#This Row],[Date]],"mmm-yy")</f>
        <v>Apr-25</v>
      </c>
      <c r="H80" s="130">
        <f>DAY(EOMONTH(MC[[#This Row],[Month Year]],0))</f>
        <v>30</v>
      </c>
      <c r="I80" s="133"/>
      <c r="J80" s="133"/>
      <c r="K80" s="133"/>
      <c r="L80" s="133"/>
      <c r="M80" s="133"/>
      <c r="N80" s="133"/>
      <c r="O80" s="133"/>
      <c r="P80" s="126"/>
      <c r="Q80" s="126"/>
      <c r="R80" s="4">
        <f>SUM(MC[[#This Row],[ICR1]:[ICR12]])</f>
        <v>0</v>
      </c>
      <c r="S80" s="134"/>
      <c r="T80" s="133"/>
      <c r="U80" s="133"/>
      <c r="V80" s="134"/>
      <c r="W80" s="133"/>
      <c r="X80" s="133"/>
      <c r="Y80" s="133"/>
    </row>
    <row r="81" spans="1:25">
      <c r="A81" s="133">
        <v>79</v>
      </c>
      <c r="B81" s="127">
        <f t="shared" si="1"/>
        <v>45767</v>
      </c>
      <c r="C81" s="128">
        <f>YEAR(MC[[#This Row],[Date]])+IF(MONTH(MC[[#This Row],[Date]])&gt;=4,1,0)</f>
        <v>2026</v>
      </c>
      <c r="D81" s="129">
        <f>YEAR(MC[[#This Row],[Date]])</f>
        <v>2025</v>
      </c>
      <c r="E81" s="351" t="s">
        <v>218</v>
      </c>
      <c r="F81" s="351" t="s">
        <v>218</v>
      </c>
      <c r="G81" s="130" t="str">
        <f>TEXT(MC[[#This Row],[Date]],"mmm-yy")</f>
        <v>Apr-25</v>
      </c>
      <c r="H81" s="130">
        <f>DAY(EOMONTH(MC[[#This Row],[Month Year]],0))</f>
        <v>30</v>
      </c>
      <c r="I81" s="133"/>
      <c r="J81" s="133"/>
      <c r="K81" s="133"/>
      <c r="L81" s="133"/>
      <c r="M81" s="133"/>
      <c r="N81" s="133"/>
      <c r="O81" s="133"/>
      <c r="P81" s="126"/>
      <c r="Q81" s="126"/>
      <c r="R81" s="4">
        <f>SUM(MC[[#This Row],[ICR1]:[ICR12]])</f>
        <v>0</v>
      </c>
      <c r="S81" s="133"/>
      <c r="T81" s="133"/>
      <c r="U81" s="133"/>
      <c r="V81" s="133"/>
      <c r="W81" s="133"/>
      <c r="X81" s="133"/>
      <c r="Y81" s="133"/>
    </row>
    <row r="82" spans="1:25">
      <c r="A82" s="133">
        <v>80</v>
      </c>
      <c r="B82" s="127">
        <f t="shared" si="1"/>
        <v>45768</v>
      </c>
      <c r="C82" s="128">
        <f>YEAR(MC[[#This Row],[Date]])+IF(MONTH(MC[[#This Row],[Date]])&gt;=4,1,0)</f>
        <v>2026</v>
      </c>
      <c r="D82" s="129">
        <f>YEAR(MC[[#This Row],[Date]])</f>
        <v>2025</v>
      </c>
      <c r="E82" s="351" t="s">
        <v>218</v>
      </c>
      <c r="F82" s="351" t="s">
        <v>218</v>
      </c>
      <c r="G82" s="130" t="str">
        <f>TEXT(MC[[#This Row],[Date]],"mmm-yy")</f>
        <v>Apr-25</v>
      </c>
      <c r="H82" s="130">
        <f>DAY(EOMONTH(MC[[#This Row],[Month Year]],0))</f>
        <v>30</v>
      </c>
      <c r="I82" s="133"/>
      <c r="J82" s="133"/>
      <c r="K82" s="133"/>
      <c r="L82" s="133"/>
      <c r="M82" s="133"/>
      <c r="N82" s="133"/>
      <c r="O82" s="133"/>
      <c r="P82" s="126"/>
      <c r="Q82" s="126"/>
      <c r="R82" s="4">
        <f>SUM(MC[[#This Row],[ICR1]:[ICR12]])</f>
        <v>0</v>
      </c>
      <c r="S82" s="133"/>
      <c r="T82" s="133"/>
      <c r="U82" s="133"/>
      <c r="V82" s="133"/>
      <c r="W82" s="133"/>
      <c r="X82" s="133"/>
      <c r="Y82" s="133"/>
    </row>
    <row r="83" spans="1:25">
      <c r="A83" s="133">
        <v>81</v>
      </c>
      <c r="B83" s="127">
        <f t="shared" si="1"/>
        <v>45769</v>
      </c>
      <c r="C83" s="128">
        <f>YEAR(MC[[#This Row],[Date]])+IF(MONTH(MC[[#This Row],[Date]])&gt;=4,1,0)</f>
        <v>2026</v>
      </c>
      <c r="D83" s="129">
        <f>YEAR(MC[[#This Row],[Date]])</f>
        <v>2025</v>
      </c>
      <c r="E83" s="351" t="s">
        <v>218</v>
      </c>
      <c r="F83" s="351" t="s">
        <v>218</v>
      </c>
      <c r="G83" s="130" t="str">
        <f>TEXT(MC[[#This Row],[Date]],"mmm-yy")</f>
        <v>Apr-25</v>
      </c>
      <c r="H83" s="130">
        <f>DAY(EOMONTH(MC[[#This Row],[Month Year]],0))</f>
        <v>30</v>
      </c>
      <c r="I83" s="133"/>
      <c r="J83" s="133"/>
      <c r="K83" s="133"/>
      <c r="L83" s="133"/>
      <c r="M83" s="133"/>
      <c r="N83" s="133"/>
      <c r="O83" s="133"/>
      <c r="P83" s="126"/>
      <c r="Q83" s="126"/>
      <c r="R83" s="4">
        <f>SUM(MC[[#This Row],[ICR1]:[ICR12]])</f>
        <v>0</v>
      </c>
      <c r="S83" s="133"/>
      <c r="T83" s="133"/>
      <c r="U83" s="133"/>
      <c r="V83" s="133"/>
      <c r="W83" s="133"/>
      <c r="X83" s="133"/>
      <c r="Y83" s="133"/>
    </row>
    <row r="84" spans="1:25">
      <c r="A84" s="133">
        <v>82</v>
      </c>
      <c r="B84" s="127">
        <f t="shared" si="1"/>
        <v>45770</v>
      </c>
      <c r="C84" s="128">
        <f>YEAR(MC[[#This Row],[Date]])+IF(MONTH(MC[[#This Row],[Date]])&gt;=4,1,0)</f>
        <v>2026</v>
      </c>
      <c r="D84" s="129">
        <f>YEAR(MC[[#This Row],[Date]])</f>
        <v>2025</v>
      </c>
      <c r="E84" s="351" t="s">
        <v>218</v>
      </c>
      <c r="F84" s="351" t="s">
        <v>218</v>
      </c>
      <c r="G84" s="130" t="str">
        <f>TEXT(MC[[#This Row],[Date]],"mmm-yy")</f>
        <v>Apr-25</v>
      </c>
      <c r="H84" s="130">
        <f>DAY(EOMONTH(MC[[#This Row],[Month Year]],0))</f>
        <v>30</v>
      </c>
      <c r="I84" s="133"/>
      <c r="J84" s="133"/>
      <c r="K84" s="133"/>
      <c r="L84" s="133"/>
      <c r="M84" s="133"/>
      <c r="N84" s="133"/>
      <c r="O84" s="133"/>
      <c r="P84" s="126"/>
      <c r="Q84" s="126"/>
      <c r="R84" s="4">
        <f>SUM(MC[[#This Row],[ICR1]:[ICR12]])</f>
        <v>0</v>
      </c>
      <c r="S84" s="133"/>
      <c r="T84" s="133"/>
      <c r="U84" s="133"/>
      <c r="V84" s="133"/>
      <c r="W84" s="133"/>
      <c r="X84" s="133"/>
      <c r="Y84" s="133"/>
    </row>
    <row r="85" spans="1:25">
      <c r="A85" s="133">
        <v>83</v>
      </c>
      <c r="B85" s="127">
        <f t="shared" si="1"/>
        <v>45771</v>
      </c>
      <c r="C85" s="128">
        <f>YEAR(MC[[#This Row],[Date]])+IF(MONTH(MC[[#This Row],[Date]])&gt;=4,1,0)</f>
        <v>2026</v>
      </c>
      <c r="D85" s="129">
        <f>YEAR(MC[[#This Row],[Date]])</f>
        <v>2025</v>
      </c>
      <c r="E85" s="351" t="s">
        <v>218</v>
      </c>
      <c r="F85" s="351" t="s">
        <v>218</v>
      </c>
      <c r="G85" s="130" t="str">
        <f>TEXT(MC[[#This Row],[Date]],"mmm-yy")</f>
        <v>Apr-25</v>
      </c>
      <c r="H85" s="130">
        <f>DAY(EOMONTH(MC[[#This Row],[Month Year]],0))</f>
        <v>30</v>
      </c>
      <c r="I85" s="133"/>
      <c r="J85" s="133"/>
      <c r="K85" s="133"/>
      <c r="L85" s="133"/>
      <c r="M85" s="133"/>
      <c r="N85" s="133"/>
      <c r="O85" s="133"/>
      <c r="P85" s="126"/>
      <c r="Q85" s="126"/>
      <c r="R85" s="4">
        <f>SUM(MC[[#This Row],[ICR1]:[ICR12]])</f>
        <v>0</v>
      </c>
      <c r="S85" s="133"/>
      <c r="T85" s="133"/>
      <c r="U85" s="133"/>
      <c r="V85" s="133"/>
      <c r="W85" s="133"/>
      <c r="X85" s="133"/>
      <c r="Y85" s="133"/>
    </row>
    <row r="86" spans="1:25">
      <c r="A86" s="133">
        <v>84</v>
      </c>
      <c r="B86" s="127">
        <f t="shared" si="1"/>
        <v>45772</v>
      </c>
      <c r="C86" s="128">
        <f>YEAR(MC[[#This Row],[Date]])+IF(MONTH(MC[[#This Row],[Date]])&gt;=4,1,0)</f>
        <v>2026</v>
      </c>
      <c r="D86" s="129">
        <f>YEAR(MC[[#This Row],[Date]])</f>
        <v>2025</v>
      </c>
      <c r="E86" s="351" t="s">
        <v>218</v>
      </c>
      <c r="F86" s="351" t="s">
        <v>218</v>
      </c>
      <c r="G86" s="130" t="str">
        <f>TEXT(MC[[#This Row],[Date]],"mmm-yy")</f>
        <v>Apr-25</v>
      </c>
      <c r="H86" s="130">
        <f>DAY(EOMONTH(MC[[#This Row],[Month Year]],0))</f>
        <v>30</v>
      </c>
      <c r="I86" s="133"/>
      <c r="J86" s="133"/>
      <c r="K86" s="133"/>
      <c r="L86" s="133"/>
      <c r="M86" s="133"/>
      <c r="N86" s="133"/>
      <c r="O86" s="133"/>
      <c r="P86" s="126"/>
      <c r="Q86" s="126"/>
      <c r="R86" s="4">
        <f>SUM(MC[[#This Row],[ICR1]:[ICR12]])</f>
        <v>0</v>
      </c>
      <c r="S86" s="134"/>
      <c r="T86" s="133"/>
      <c r="U86" s="133"/>
      <c r="V86" s="134"/>
      <c r="W86" s="133"/>
      <c r="X86" s="133"/>
      <c r="Y86" s="133"/>
    </row>
    <row r="87" spans="1:25">
      <c r="A87" s="133">
        <v>85</v>
      </c>
      <c r="B87" s="127">
        <f t="shared" si="1"/>
        <v>45773</v>
      </c>
      <c r="C87" s="128">
        <f>YEAR(MC[[#This Row],[Date]])+IF(MONTH(MC[[#This Row],[Date]])&gt;=4,1,0)</f>
        <v>2026</v>
      </c>
      <c r="D87" s="129">
        <f>YEAR(MC[[#This Row],[Date]])</f>
        <v>2025</v>
      </c>
      <c r="E87" s="351" t="s">
        <v>218</v>
      </c>
      <c r="F87" s="351" t="s">
        <v>218</v>
      </c>
      <c r="G87" s="130" t="str">
        <f>TEXT(MC[[#This Row],[Date]],"mmm-yy")</f>
        <v>Apr-25</v>
      </c>
      <c r="H87" s="130">
        <f>DAY(EOMONTH(MC[[#This Row],[Month Year]],0))</f>
        <v>30</v>
      </c>
      <c r="I87" s="133"/>
      <c r="J87" s="133"/>
      <c r="K87" s="133"/>
      <c r="L87" s="133"/>
      <c r="M87" s="133"/>
      <c r="N87" s="133"/>
      <c r="O87" s="133"/>
      <c r="P87" s="126"/>
      <c r="Q87" s="126"/>
      <c r="R87" s="4">
        <f>SUM(MC[[#This Row],[ICR1]:[ICR12]])</f>
        <v>0</v>
      </c>
      <c r="S87" s="134"/>
      <c r="T87" s="133"/>
      <c r="U87" s="133"/>
      <c r="V87" s="134"/>
      <c r="W87" s="133"/>
      <c r="X87" s="133"/>
      <c r="Y87" s="133"/>
    </row>
    <row r="88" spans="1:25">
      <c r="A88" s="133">
        <v>86</v>
      </c>
      <c r="B88" s="127">
        <f t="shared" si="1"/>
        <v>45774</v>
      </c>
      <c r="C88" s="128">
        <f>YEAR(MC[[#This Row],[Date]])+IF(MONTH(MC[[#This Row],[Date]])&gt;=4,1,0)</f>
        <v>2026</v>
      </c>
      <c r="D88" s="129">
        <f>YEAR(MC[[#This Row],[Date]])</f>
        <v>2025</v>
      </c>
      <c r="E88" s="351" t="s">
        <v>218</v>
      </c>
      <c r="F88" s="351" t="s">
        <v>218</v>
      </c>
      <c r="G88" s="130" t="str">
        <f>TEXT(MC[[#This Row],[Date]],"mmm-yy")</f>
        <v>Apr-25</v>
      </c>
      <c r="H88" s="130">
        <f>DAY(EOMONTH(MC[[#This Row],[Month Year]],0))</f>
        <v>30</v>
      </c>
      <c r="I88" s="133"/>
      <c r="J88" s="133"/>
      <c r="K88" s="133"/>
      <c r="L88" s="133"/>
      <c r="M88" s="133"/>
      <c r="N88" s="133"/>
      <c r="O88" s="133"/>
      <c r="P88" s="126"/>
      <c r="Q88" s="126"/>
      <c r="R88" s="4">
        <f>SUM(MC[[#This Row],[ICR1]:[ICR12]])</f>
        <v>0</v>
      </c>
      <c r="S88" s="133"/>
      <c r="T88" s="133"/>
      <c r="U88" s="133"/>
      <c r="V88" s="133"/>
      <c r="W88" s="133"/>
      <c r="X88" s="133"/>
      <c r="Y88" s="133"/>
    </row>
    <row r="89" spans="1:25">
      <c r="A89" s="133">
        <v>87</v>
      </c>
      <c r="B89" s="127">
        <f t="shared" si="1"/>
        <v>45775</v>
      </c>
      <c r="C89" s="128">
        <f>YEAR(MC[[#This Row],[Date]])+IF(MONTH(MC[[#This Row],[Date]])&gt;=4,1,0)</f>
        <v>2026</v>
      </c>
      <c r="D89" s="129">
        <f>YEAR(MC[[#This Row],[Date]])</f>
        <v>2025</v>
      </c>
      <c r="E89" s="351" t="s">
        <v>218</v>
      </c>
      <c r="F89" s="351" t="s">
        <v>218</v>
      </c>
      <c r="G89" s="130" t="str">
        <f>TEXT(MC[[#This Row],[Date]],"mmm-yy")</f>
        <v>Apr-25</v>
      </c>
      <c r="H89" s="130">
        <f>DAY(EOMONTH(MC[[#This Row],[Month Year]],0))</f>
        <v>30</v>
      </c>
      <c r="I89" s="133"/>
      <c r="J89" s="133"/>
      <c r="K89" s="133"/>
      <c r="L89" s="133"/>
      <c r="M89" s="133"/>
      <c r="N89" s="133"/>
      <c r="O89" s="133"/>
      <c r="P89" s="126"/>
      <c r="Q89" s="126"/>
      <c r="R89" s="4">
        <f>SUM(MC[[#This Row],[ICR1]:[ICR12]])</f>
        <v>0</v>
      </c>
      <c r="S89" s="133"/>
      <c r="T89" s="133"/>
      <c r="U89" s="133"/>
      <c r="V89" s="133"/>
      <c r="W89" s="133"/>
      <c r="X89" s="133"/>
      <c r="Y89" s="133"/>
    </row>
    <row r="90" spans="1:25">
      <c r="A90" s="133">
        <v>88</v>
      </c>
      <c r="B90" s="127">
        <f t="shared" si="1"/>
        <v>45776</v>
      </c>
      <c r="C90" s="128">
        <f>YEAR(MC[[#This Row],[Date]])+IF(MONTH(MC[[#This Row],[Date]])&gt;=4,1,0)</f>
        <v>2026</v>
      </c>
      <c r="D90" s="129">
        <f>YEAR(MC[[#This Row],[Date]])</f>
        <v>2025</v>
      </c>
      <c r="E90" s="351" t="s">
        <v>218</v>
      </c>
      <c r="F90" s="351" t="s">
        <v>218</v>
      </c>
      <c r="G90" s="130" t="str">
        <f>TEXT(MC[[#This Row],[Date]],"mmm-yy")</f>
        <v>Apr-25</v>
      </c>
      <c r="H90" s="130">
        <f>DAY(EOMONTH(MC[[#This Row],[Month Year]],0))</f>
        <v>30</v>
      </c>
      <c r="I90" s="133"/>
      <c r="J90" s="133"/>
      <c r="K90" s="133"/>
      <c r="L90" s="133"/>
      <c r="M90" s="133"/>
      <c r="N90" s="133"/>
      <c r="O90" s="133"/>
      <c r="P90" s="126"/>
      <c r="Q90" s="126"/>
      <c r="R90" s="4">
        <f>SUM(MC[[#This Row],[ICR1]:[ICR12]])</f>
        <v>0</v>
      </c>
      <c r="S90" s="133"/>
      <c r="T90" s="133"/>
      <c r="U90" s="133"/>
      <c r="V90" s="133"/>
      <c r="W90" s="133"/>
      <c r="X90" s="133"/>
      <c r="Y90" s="133"/>
    </row>
    <row r="91" spans="1:25">
      <c r="A91" s="133">
        <v>89</v>
      </c>
      <c r="B91" s="127">
        <f t="shared" si="1"/>
        <v>45777</v>
      </c>
      <c r="C91" s="128">
        <f>YEAR(MC[[#This Row],[Date]])+IF(MONTH(MC[[#This Row],[Date]])&gt;=4,1,0)</f>
        <v>2026</v>
      </c>
      <c r="D91" s="129">
        <f>YEAR(MC[[#This Row],[Date]])</f>
        <v>2025</v>
      </c>
      <c r="E91" s="351" t="s">
        <v>218</v>
      </c>
      <c r="F91" s="351" t="s">
        <v>218</v>
      </c>
      <c r="G91" s="130" t="str">
        <f>TEXT(MC[[#This Row],[Date]],"mmm-yy")</f>
        <v>Apr-25</v>
      </c>
      <c r="H91" s="130">
        <f>DAY(EOMONTH(MC[[#This Row],[Month Year]],0))</f>
        <v>30</v>
      </c>
      <c r="I91" s="133"/>
      <c r="J91" s="133"/>
      <c r="K91" s="133"/>
      <c r="L91" s="133"/>
      <c r="M91" s="133"/>
      <c r="N91" s="133"/>
      <c r="O91" s="133"/>
      <c r="P91" s="126"/>
      <c r="Q91" s="126"/>
      <c r="R91" s="4">
        <f>SUM(MC[[#This Row],[ICR1]:[ICR12]])</f>
        <v>0</v>
      </c>
      <c r="S91" s="133"/>
      <c r="T91" s="133"/>
      <c r="U91" s="133"/>
      <c r="V91" s="133"/>
      <c r="W91" s="133"/>
      <c r="X91" s="133"/>
      <c r="Y91" s="133"/>
    </row>
    <row r="92" spans="1:25">
      <c r="A92" s="133">
        <v>90</v>
      </c>
      <c r="B92" s="127">
        <f t="shared" si="1"/>
        <v>45778</v>
      </c>
      <c r="C92" s="128">
        <f>YEAR(MC[[#This Row],[Date]])+IF(MONTH(MC[[#This Row],[Date]])&gt;=4,1,0)</f>
        <v>2026</v>
      </c>
      <c r="D92" s="129">
        <f>YEAR(MC[[#This Row],[Date]])</f>
        <v>2025</v>
      </c>
      <c r="E92" s="351" t="s">
        <v>218</v>
      </c>
      <c r="F92" s="351" t="s">
        <v>218</v>
      </c>
      <c r="G92" s="130" t="str">
        <f>TEXT(MC[[#This Row],[Date]],"mmm-yy")</f>
        <v>May-25</v>
      </c>
      <c r="H92" s="130">
        <f>DAY(EOMONTH(MC[[#This Row],[Month Year]],0))</f>
        <v>31</v>
      </c>
      <c r="I92" s="133"/>
      <c r="J92" s="133"/>
      <c r="K92" s="133"/>
      <c r="L92" s="133"/>
      <c r="M92" s="133"/>
      <c r="N92" s="133"/>
      <c r="O92" s="133"/>
      <c r="P92" s="126"/>
      <c r="Q92" s="126"/>
      <c r="R92" s="4">
        <f>SUM(MC[[#This Row],[ICR1]:[ICR12]])</f>
        <v>0</v>
      </c>
      <c r="S92" s="133"/>
      <c r="T92" s="133"/>
      <c r="U92" s="133"/>
      <c r="V92" s="133"/>
      <c r="W92" s="133"/>
      <c r="X92" s="133"/>
      <c r="Y92" s="133"/>
    </row>
    <row r="93" spans="1:25">
      <c r="A93" s="133">
        <v>91</v>
      </c>
      <c r="B93" s="127">
        <f t="shared" si="1"/>
        <v>45779</v>
      </c>
      <c r="C93" s="128">
        <f>YEAR(MC[[#This Row],[Date]])+IF(MONTH(MC[[#This Row],[Date]])&gt;=4,1,0)</f>
        <v>2026</v>
      </c>
      <c r="D93" s="129">
        <f>YEAR(MC[[#This Row],[Date]])</f>
        <v>2025</v>
      </c>
      <c r="E93" s="351" t="s">
        <v>218</v>
      </c>
      <c r="F93" s="351" t="s">
        <v>218</v>
      </c>
      <c r="G93" s="130" t="str">
        <f>TEXT(MC[[#This Row],[Date]],"mmm-yy")</f>
        <v>May-25</v>
      </c>
      <c r="H93" s="130">
        <f>DAY(EOMONTH(MC[[#This Row],[Month Year]],0))</f>
        <v>31</v>
      </c>
      <c r="I93" s="133"/>
      <c r="J93" s="133"/>
      <c r="K93" s="133"/>
      <c r="L93" s="133"/>
      <c r="M93" s="133"/>
      <c r="N93" s="133"/>
      <c r="O93" s="133"/>
      <c r="P93" s="126"/>
      <c r="Q93" s="126"/>
      <c r="R93" s="4">
        <f>SUM(MC[[#This Row],[ICR1]:[ICR12]])</f>
        <v>0</v>
      </c>
      <c r="S93" s="133"/>
      <c r="T93" s="133"/>
      <c r="U93" s="133"/>
      <c r="V93" s="133"/>
      <c r="W93" s="133"/>
      <c r="X93" s="133"/>
      <c r="Y93" s="133"/>
    </row>
    <row r="94" spans="1:25">
      <c r="A94" s="133">
        <v>92</v>
      </c>
      <c r="B94" s="127">
        <f t="shared" si="1"/>
        <v>45780</v>
      </c>
      <c r="C94" s="128">
        <f>YEAR(MC[[#This Row],[Date]])+IF(MONTH(MC[[#This Row],[Date]])&gt;=4,1,0)</f>
        <v>2026</v>
      </c>
      <c r="D94" s="129">
        <f>YEAR(MC[[#This Row],[Date]])</f>
        <v>2025</v>
      </c>
      <c r="E94" s="351" t="s">
        <v>218</v>
      </c>
      <c r="F94" s="351" t="s">
        <v>218</v>
      </c>
      <c r="G94" s="130" t="str">
        <f>TEXT(MC[[#This Row],[Date]],"mmm-yy")</f>
        <v>May-25</v>
      </c>
      <c r="H94" s="130">
        <f>DAY(EOMONTH(MC[[#This Row],[Month Year]],0))</f>
        <v>31</v>
      </c>
      <c r="I94" s="133"/>
      <c r="J94" s="133"/>
      <c r="K94" s="133"/>
      <c r="L94" s="133"/>
      <c r="M94" s="133"/>
      <c r="N94" s="133"/>
      <c r="O94" s="133"/>
      <c r="P94" s="126"/>
      <c r="Q94" s="126"/>
      <c r="R94" s="4">
        <f>SUM(MC[[#This Row],[ICR1]:[ICR12]])</f>
        <v>0</v>
      </c>
      <c r="S94" s="133"/>
      <c r="T94" s="133"/>
      <c r="U94" s="133"/>
      <c r="V94" s="133"/>
      <c r="W94" s="133"/>
      <c r="X94" s="133"/>
      <c r="Y94" s="133"/>
    </row>
    <row r="95" spans="1:25">
      <c r="A95" s="133">
        <v>93</v>
      </c>
      <c r="B95" s="127">
        <f t="shared" si="1"/>
        <v>45781</v>
      </c>
      <c r="C95" s="128">
        <f>YEAR(MC[[#This Row],[Date]])+IF(MONTH(MC[[#This Row],[Date]])&gt;=4,1,0)</f>
        <v>2026</v>
      </c>
      <c r="D95" s="129">
        <f>YEAR(MC[[#This Row],[Date]])</f>
        <v>2025</v>
      </c>
      <c r="E95" s="351" t="s">
        <v>218</v>
      </c>
      <c r="F95" s="351" t="s">
        <v>218</v>
      </c>
      <c r="G95" s="130" t="str">
        <f>TEXT(MC[[#This Row],[Date]],"mmm-yy")</f>
        <v>May-25</v>
      </c>
      <c r="H95" s="130">
        <f>DAY(EOMONTH(MC[[#This Row],[Month Year]],0))</f>
        <v>31</v>
      </c>
      <c r="I95" s="133"/>
      <c r="J95" s="133"/>
      <c r="K95" s="133"/>
      <c r="L95" s="133"/>
      <c r="M95" s="133"/>
      <c r="N95" s="133"/>
      <c r="O95" s="133"/>
      <c r="P95" s="126"/>
      <c r="Q95" s="126"/>
      <c r="R95" s="4">
        <f>SUM(MC[[#This Row],[ICR1]:[ICR12]])</f>
        <v>0</v>
      </c>
      <c r="S95" s="133"/>
      <c r="T95" s="133"/>
      <c r="U95" s="133"/>
      <c r="V95" s="133"/>
      <c r="W95" s="133"/>
      <c r="X95" s="133"/>
      <c r="Y95" s="133"/>
    </row>
    <row r="96" spans="1:25">
      <c r="A96" s="133">
        <v>94</v>
      </c>
      <c r="B96" s="127">
        <f t="shared" si="1"/>
        <v>45782</v>
      </c>
      <c r="C96" s="128">
        <f>YEAR(MC[[#This Row],[Date]])+IF(MONTH(MC[[#This Row],[Date]])&gt;=4,1,0)</f>
        <v>2026</v>
      </c>
      <c r="D96" s="129">
        <f>YEAR(MC[[#This Row],[Date]])</f>
        <v>2025</v>
      </c>
      <c r="E96" s="351" t="s">
        <v>218</v>
      </c>
      <c r="F96" s="351" t="s">
        <v>218</v>
      </c>
      <c r="G96" s="130" t="str">
        <f>TEXT(MC[[#This Row],[Date]],"mmm-yy")</f>
        <v>May-25</v>
      </c>
      <c r="H96" s="130">
        <f>DAY(EOMONTH(MC[[#This Row],[Month Year]],0))</f>
        <v>31</v>
      </c>
      <c r="I96" s="133"/>
      <c r="J96" s="133"/>
      <c r="K96" s="133"/>
      <c r="L96" s="133"/>
      <c r="M96" s="133"/>
      <c r="N96" s="133"/>
      <c r="O96" s="133"/>
      <c r="P96" s="126"/>
      <c r="Q96" s="126"/>
      <c r="R96" s="4">
        <f>SUM(MC[[#This Row],[ICR1]:[ICR12]])</f>
        <v>0</v>
      </c>
      <c r="S96" s="134"/>
      <c r="T96" s="133"/>
      <c r="U96" s="133"/>
      <c r="V96" s="134"/>
      <c r="W96" s="133"/>
      <c r="X96" s="133"/>
      <c r="Y96" s="133"/>
    </row>
    <row r="97" spans="1:25">
      <c r="A97" s="133">
        <v>95</v>
      </c>
      <c r="B97" s="127">
        <f t="shared" si="1"/>
        <v>45783</v>
      </c>
      <c r="C97" s="128">
        <f>YEAR(MC[[#This Row],[Date]])+IF(MONTH(MC[[#This Row],[Date]])&gt;=4,1,0)</f>
        <v>2026</v>
      </c>
      <c r="D97" s="129">
        <f>YEAR(MC[[#This Row],[Date]])</f>
        <v>2025</v>
      </c>
      <c r="E97" s="351" t="s">
        <v>218</v>
      </c>
      <c r="F97" s="351" t="s">
        <v>218</v>
      </c>
      <c r="G97" s="130" t="str">
        <f>TEXT(MC[[#This Row],[Date]],"mmm-yy")</f>
        <v>May-25</v>
      </c>
      <c r="H97" s="130">
        <f>DAY(EOMONTH(MC[[#This Row],[Month Year]],0))</f>
        <v>31</v>
      </c>
      <c r="I97" s="133"/>
      <c r="J97" s="133"/>
      <c r="K97" s="133"/>
      <c r="L97" s="133"/>
      <c r="M97" s="133"/>
      <c r="N97" s="133"/>
      <c r="O97" s="133"/>
      <c r="P97" s="126"/>
      <c r="Q97" s="126"/>
      <c r="R97" s="4">
        <f>SUM(MC[[#This Row],[ICR1]:[ICR12]])</f>
        <v>0</v>
      </c>
      <c r="S97" s="133"/>
      <c r="T97" s="133"/>
      <c r="U97" s="133"/>
      <c r="V97" s="133"/>
      <c r="W97" s="133"/>
      <c r="X97" s="133"/>
      <c r="Y97" s="133"/>
    </row>
    <row r="98" spans="1:25">
      <c r="A98" s="133">
        <v>96</v>
      </c>
      <c r="B98" s="127">
        <f t="shared" si="1"/>
        <v>45784</v>
      </c>
      <c r="C98" s="128">
        <f>YEAR(MC[[#This Row],[Date]])+IF(MONTH(MC[[#This Row],[Date]])&gt;=4,1,0)</f>
        <v>2026</v>
      </c>
      <c r="D98" s="129">
        <f>YEAR(MC[[#This Row],[Date]])</f>
        <v>2025</v>
      </c>
      <c r="E98" s="351" t="s">
        <v>218</v>
      </c>
      <c r="F98" s="351" t="s">
        <v>218</v>
      </c>
      <c r="G98" s="130" t="str">
        <f>TEXT(MC[[#This Row],[Date]],"mmm-yy")</f>
        <v>May-25</v>
      </c>
      <c r="H98" s="130">
        <f>DAY(EOMONTH(MC[[#This Row],[Month Year]],0))</f>
        <v>31</v>
      </c>
      <c r="I98" s="133"/>
      <c r="J98" s="133"/>
      <c r="K98" s="133"/>
      <c r="L98" s="133"/>
      <c r="M98" s="133"/>
      <c r="N98" s="133"/>
      <c r="O98" s="133"/>
      <c r="P98" s="126"/>
      <c r="Q98" s="126"/>
      <c r="R98" s="4">
        <f>SUM(MC[[#This Row],[ICR1]:[ICR12]])</f>
        <v>0</v>
      </c>
      <c r="S98" s="133"/>
      <c r="T98" s="133"/>
      <c r="U98" s="133"/>
      <c r="V98" s="133"/>
      <c r="W98" s="133"/>
      <c r="X98" s="133"/>
      <c r="Y98" s="133"/>
    </row>
    <row r="99" spans="1:25">
      <c r="A99" s="133">
        <v>97</v>
      </c>
      <c r="B99" s="127">
        <f t="shared" si="1"/>
        <v>45785</v>
      </c>
      <c r="C99" s="128">
        <f>YEAR(MC[[#This Row],[Date]])+IF(MONTH(MC[[#This Row],[Date]])&gt;=4,1,0)</f>
        <v>2026</v>
      </c>
      <c r="D99" s="129">
        <f>YEAR(MC[[#This Row],[Date]])</f>
        <v>2025</v>
      </c>
      <c r="E99" s="351" t="s">
        <v>218</v>
      </c>
      <c r="F99" s="351" t="s">
        <v>218</v>
      </c>
      <c r="G99" s="130" t="str">
        <f>TEXT(MC[[#This Row],[Date]],"mmm-yy")</f>
        <v>May-25</v>
      </c>
      <c r="H99" s="130">
        <f>DAY(EOMONTH(MC[[#This Row],[Month Year]],0))</f>
        <v>31</v>
      </c>
      <c r="I99" s="133"/>
      <c r="J99" s="133"/>
      <c r="K99" s="133"/>
      <c r="L99" s="133"/>
      <c r="M99" s="133"/>
      <c r="N99" s="133"/>
      <c r="O99" s="133"/>
      <c r="P99" s="126"/>
      <c r="Q99" s="126"/>
      <c r="R99" s="4">
        <f>SUM(MC[[#This Row],[ICR1]:[ICR12]])</f>
        <v>0</v>
      </c>
      <c r="S99" s="133"/>
      <c r="T99" s="133"/>
      <c r="U99" s="133"/>
      <c r="V99" s="133"/>
      <c r="W99" s="133"/>
      <c r="X99" s="133"/>
      <c r="Y99" s="133"/>
    </row>
    <row r="100" spans="1:25">
      <c r="A100" s="133">
        <v>98</v>
      </c>
      <c r="B100" s="127">
        <f t="shared" si="1"/>
        <v>45786</v>
      </c>
      <c r="C100" s="128">
        <f>YEAR(MC[[#This Row],[Date]])+IF(MONTH(MC[[#This Row],[Date]])&gt;=4,1,0)</f>
        <v>2026</v>
      </c>
      <c r="D100" s="129">
        <f>YEAR(MC[[#This Row],[Date]])</f>
        <v>2025</v>
      </c>
      <c r="E100" s="351" t="s">
        <v>218</v>
      </c>
      <c r="F100" s="351" t="s">
        <v>218</v>
      </c>
      <c r="G100" s="130" t="str">
        <f>TEXT(MC[[#This Row],[Date]],"mmm-yy")</f>
        <v>May-25</v>
      </c>
      <c r="H100" s="130">
        <f>DAY(EOMONTH(MC[[#This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26"/>
      <c r="Q100" s="126"/>
      <c r="R100" s="4">
        <f>SUM(MC[[#This Row],[ICR1]:[ICR12]])</f>
        <v>0</v>
      </c>
      <c r="S100" s="133"/>
      <c r="T100" s="133"/>
      <c r="U100" s="133"/>
      <c r="V100" s="133"/>
      <c r="W100" s="133"/>
      <c r="X100" s="133"/>
      <c r="Y100" s="133"/>
    </row>
    <row r="101" spans="1:25">
      <c r="A101" s="133">
        <v>99</v>
      </c>
      <c r="B101" s="127">
        <f t="shared" si="1"/>
        <v>45787</v>
      </c>
      <c r="C101" s="128">
        <f>YEAR(MC[[#This Row],[Date]])+IF(MONTH(MC[[#This Row],[Date]])&gt;=4,1,0)</f>
        <v>2026</v>
      </c>
      <c r="D101" s="129">
        <f>YEAR(MC[[#This Row],[Date]])</f>
        <v>2025</v>
      </c>
      <c r="E101" s="351" t="s">
        <v>218</v>
      </c>
      <c r="F101" s="351" t="s">
        <v>218</v>
      </c>
      <c r="G101" s="130" t="str">
        <f>TEXT(MC[[#This Row],[Date]],"mmm-yy")</f>
        <v>May-25</v>
      </c>
      <c r="H101" s="130">
        <f>DAY(EOMONTH(MC[[#This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26"/>
      <c r="Q101" s="126"/>
      <c r="R101" s="4">
        <f>SUM(MC[[#This Row],[ICR1]:[ICR12]])</f>
        <v>0</v>
      </c>
      <c r="S101" s="133"/>
      <c r="T101" s="133"/>
      <c r="U101" s="133"/>
      <c r="V101" s="133"/>
      <c r="W101" s="133"/>
      <c r="X101" s="133"/>
      <c r="Y101" s="133"/>
    </row>
    <row r="102" spans="1:25">
      <c r="A102" s="133">
        <v>100</v>
      </c>
      <c r="B102" s="127">
        <f t="shared" si="1"/>
        <v>45788</v>
      </c>
      <c r="C102" s="128">
        <f>YEAR(MC[[#This Row],[Date]])+IF(MONTH(MC[[#This Row],[Date]])&gt;=4,1,0)</f>
        <v>2026</v>
      </c>
      <c r="D102" s="129">
        <f>YEAR(MC[[#This Row],[Date]])</f>
        <v>2025</v>
      </c>
      <c r="E102" s="351" t="s">
        <v>218</v>
      </c>
      <c r="F102" s="351" t="s">
        <v>218</v>
      </c>
      <c r="G102" s="130" t="str">
        <f>TEXT(MC[[#This Row],[Date]],"mmm-yy")</f>
        <v>May-25</v>
      </c>
      <c r="H102" s="130">
        <f>DAY(EOMONTH(MC[[#This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26"/>
      <c r="Q102" s="126"/>
      <c r="R102" s="4">
        <f>SUM(MC[[#This Row],[ICR1]:[ICR12]])</f>
        <v>0</v>
      </c>
      <c r="S102" s="133"/>
      <c r="T102" s="133"/>
      <c r="U102" s="133"/>
      <c r="V102" s="133"/>
      <c r="W102" s="133"/>
      <c r="X102" s="133"/>
      <c r="Y102" s="133"/>
    </row>
    <row r="103" spans="1:25">
      <c r="A103" s="133">
        <v>101</v>
      </c>
      <c r="B103" s="127">
        <f t="shared" si="1"/>
        <v>45789</v>
      </c>
      <c r="C103" s="128">
        <f>YEAR(MC[[#This Row],[Date]])+IF(MONTH(MC[[#This Row],[Date]])&gt;=4,1,0)</f>
        <v>2026</v>
      </c>
      <c r="D103" s="129">
        <f>YEAR(MC[[#This Row],[Date]])</f>
        <v>2025</v>
      </c>
      <c r="E103" s="351" t="s">
        <v>218</v>
      </c>
      <c r="F103" s="351" t="s">
        <v>218</v>
      </c>
      <c r="G103" s="130" t="str">
        <f>TEXT(MC[[#This Row],[Date]],"mmm-yy")</f>
        <v>May-25</v>
      </c>
      <c r="H103" s="130">
        <f>DAY(EOMONTH(MC[[#This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26"/>
      <c r="Q103" s="126"/>
      <c r="R103" s="4">
        <f>SUM(MC[[#This Row],[ICR1]:[ICR12]])</f>
        <v>0</v>
      </c>
      <c r="S103" s="133"/>
      <c r="T103" s="133"/>
      <c r="U103" s="133"/>
      <c r="V103" s="133"/>
      <c r="W103" s="133"/>
      <c r="X103" s="133"/>
      <c r="Y103" s="133"/>
    </row>
    <row r="104" spans="1:25">
      <c r="A104" s="133">
        <v>102</v>
      </c>
      <c r="B104" s="127">
        <f t="shared" si="1"/>
        <v>45790</v>
      </c>
      <c r="C104" s="128">
        <f>YEAR(MC[[#This Row],[Date]])+IF(MONTH(MC[[#This Row],[Date]])&gt;=4,1,0)</f>
        <v>2026</v>
      </c>
      <c r="D104" s="129">
        <f>YEAR(MC[[#This Row],[Date]])</f>
        <v>2025</v>
      </c>
      <c r="E104" s="351" t="s">
        <v>218</v>
      </c>
      <c r="F104" s="351" t="s">
        <v>218</v>
      </c>
      <c r="G104" s="130" t="str">
        <f>TEXT(MC[[#This Row],[Date]],"mmm-yy")</f>
        <v>May-25</v>
      </c>
      <c r="H104" s="130">
        <f>DAY(EOMONTH(MC[[#This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26"/>
      <c r="Q104" s="126"/>
      <c r="R104" s="4">
        <f>SUM(MC[[#This Row],[ICR1]:[ICR12]])</f>
        <v>0</v>
      </c>
      <c r="S104" s="133"/>
      <c r="T104" s="133"/>
      <c r="U104" s="133"/>
      <c r="V104" s="133"/>
      <c r="W104" s="133"/>
      <c r="X104" s="133"/>
      <c r="Y104" s="133"/>
    </row>
    <row r="105" spans="1:25">
      <c r="A105" s="133">
        <v>103</v>
      </c>
      <c r="B105" s="127">
        <f t="shared" si="1"/>
        <v>45791</v>
      </c>
      <c r="C105" s="128">
        <f>YEAR(MC[[#This Row],[Date]])+IF(MONTH(MC[[#This Row],[Date]])&gt;=4,1,0)</f>
        <v>2026</v>
      </c>
      <c r="D105" s="129">
        <f>YEAR(MC[[#This Row],[Date]])</f>
        <v>2025</v>
      </c>
      <c r="E105" s="351" t="s">
        <v>218</v>
      </c>
      <c r="F105" s="351" t="s">
        <v>218</v>
      </c>
      <c r="G105" s="130" t="str">
        <f>TEXT(MC[[#This Row],[Date]],"mmm-yy")</f>
        <v>May-25</v>
      </c>
      <c r="H105" s="130">
        <f>DAY(EOMONTH(MC[[#This Row],[Month Year]],0))</f>
        <v>31</v>
      </c>
      <c r="I105" s="133"/>
      <c r="J105" s="133"/>
      <c r="K105" s="133"/>
      <c r="L105" s="133"/>
      <c r="M105" s="133"/>
      <c r="N105" s="133"/>
      <c r="O105" s="133"/>
      <c r="P105" s="126"/>
      <c r="Q105" s="126"/>
      <c r="R105" s="4">
        <f>SUM(MC[[#This Row],[ICR1]:[ICR12]])</f>
        <v>0</v>
      </c>
      <c r="S105" s="133"/>
      <c r="T105" s="133"/>
      <c r="U105" s="134"/>
      <c r="V105" s="134"/>
      <c r="W105" s="133"/>
      <c r="X105" s="133"/>
      <c r="Y105" s="133"/>
    </row>
    <row r="106" spans="1:25">
      <c r="A106" s="133">
        <v>104</v>
      </c>
      <c r="B106" s="127">
        <f t="shared" si="1"/>
        <v>45792</v>
      </c>
      <c r="C106" s="128">
        <f>YEAR(MC[[#This Row],[Date]])+IF(MONTH(MC[[#This Row],[Date]])&gt;=4,1,0)</f>
        <v>2026</v>
      </c>
      <c r="D106" s="129">
        <f>YEAR(MC[[#This Row],[Date]])</f>
        <v>2025</v>
      </c>
      <c r="E106" s="351" t="s">
        <v>218</v>
      </c>
      <c r="F106" s="351" t="s">
        <v>218</v>
      </c>
      <c r="G106" s="130" t="str">
        <f>TEXT(MC[[#This Row],[Date]],"mmm-yy")</f>
        <v>May-25</v>
      </c>
      <c r="H106" s="130">
        <f>DAY(EOMONTH(MC[[#This Row],[Month Year]],0))</f>
        <v>31</v>
      </c>
      <c r="I106" s="133"/>
      <c r="J106" s="133"/>
      <c r="K106" s="133"/>
      <c r="L106" s="133"/>
      <c r="M106" s="133"/>
      <c r="N106" s="133"/>
      <c r="O106" s="133"/>
      <c r="P106" s="126"/>
      <c r="Q106" s="126"/>
      <c r="R106" s="4">
        <f>SUM(MC[[#This Row],[ICR1]:[ICR12]])</f>
        <v>0</v>
      </c>
      <c r="S106" s="134"/>
      <c r="T106" s="134"/>
      <c r="U106" s="134"/>
      <c r="V106" s="134"/>
      <c r="W106" s="133"/>
      <c r="X106" s="133"/>
      <c r="Y106" s="133"/>
    </row>
    <row r="107" spans="1:25">
      <c r="A107" s="133">
        <v>105</v>
      </c>
      <c r="B107" s="127">
        <f t="shared" si="1"/>
        <v>45793</v>
      </c>
      <c r="C107" s="128">
        <f>YEAR(MC[[#This Row],[Date]])+IF(MONTH(MC[[#This Row],[Date]])&gt;=4,1,0)</f>
        <v>2026</v>
      </c>
      <c r="D107" s="129">
        <f>YEAR(MC[[#This Row],[Date]])</f>
        <v>2025</v>
      </c>
      <c r="E107" s="351" t="s">
        <v>218</v>
      </c>
      <c r="F107" s="351" t="s">
        <v>218</v>
      </c>
      <c r="G107" s="130" t="str">
        <f>TEXT(MC[[#This Row],[Date]],"mmm-yy")</f>
        <v>May-25</v>
      </c>
      <c r="H107" s="130">
        <f>DAY(EOMONTH(MC[[#This Row],[Month Year]],0))</f>
        <v>31</v>
      </c>
      <c r="I107" s="133"/>
      <c r="J107" s="133"/>
      <c r="K107" s="133"/>
      <c r="L107" s="133"/>
      <c r="M107" s="133"/>
      <c r="N107" s="133"/>
      <c r="O107" s="133"/>
      <c r="P107" s="126"/>
      <c r="Q107" s="126"/>
      <c r="R107" s="4">
        <f>SUM(MC[[#This Row],[ICR1]:[ICR12]])</f>
        <v>0</v>
      </c>
      <c r="S107" s="134"/>
      <c r="T107" s="134"/>
      <c r="U107" s="133"/>
      <c r="V107" s="133"/>
      <c r="W107" s="133"/>
      <c r="X107" s="133"/>
      <c r="Y107" s="133"/>
    </row>
    <row r="108" spans="1:25">
      <c r="A108" s="133">
        <v>106</v>
      </c>
      <c r="B108" s="127">
        <f t="shared" si="1"/>
        <v>45794</v>
      </c>
      <c r="C108" s="128">
        <f>YEAR(MC[[#This Row],[Date]])+IF(MONTH(MC[[#This Row],[Date]])&gt;=4,1,0)</f>
        <v>2026</v>
      </c>
      <c r="D108" s="129">
        <f>YEAR(MC[[#This Row],[Date]])</f>
        <v>2025</v>
      </c>
      <c r="E108" s="351" t="s">
        <v>218</v>
      </c>
      <c r="F108" s="351" t="s">
        <v>218</v>
      </c>
      <c r="G108" s="130" t="str">
        <f>TEXT(MC[[#This Row],[Date]],"mmm-yy")</f>
        <v>May-25</v>
      </c>
      <c r="H108" s="130">
        <f>DAY(EOMONTH(MC[[#This Row],[Month Year]],0))</f>
        <v>31</v>
      </c>
      <c r="I108" s="133"/>
      <c r="J108" s="133"/>
      <c r="K108" s="133"/>
      <c r="L108" s="133"/>
      <c r="M108" s="133"/>
      <c r="N108" s="133"/>
      <c r="O108" s="133"/>
      <c r="P108" s="126"/>
      <c r="Q108" s="126"/>
      <c r="R108" s="4">
        <f>SUM(MC[[#This Row],[ICR1]:[ICR12]])</f>
        <v>0</v>
      </c>
      <c r="S108" s="133"/>
      <c r="T108" s="133"/>
      <c r="U108" s="133"/>
      <c r="V108" s="133"/>
      <c r="W108" s="133"/>
      <c r="X108" s="133"/>
      <c r="Y108" s="133"/>
    </row>
    <row r="109" spans="1:25">
      <c r="A109" s="133">
        <v>107</v>
      </c>
      <c r="B109" s="127">
        <f t="shared" si="1"/>
        <v>45795</v>
      </c>
      <c r="C109" s="128">
        <f>YEAR(MC[[#This Row],[Date]])+IF(MONTH(MC[[#This Row],[Date]])&gt;=4,1,0)</f>
        <v>2026</v>
      </c>
      <c r="D109" s="129">
        <f>YEAR(MC[[#This Row],[Date]])</f>
        <v>2025</v>
      </c>
      <c r="E109" s="351" t="s">
        <v>218</v>
      </c>
      <c r="F109" s="351" t="s">
        <v>218</v>
      </c>
      <c r="G109" s="130" t="str">
        <f>TEXT(MC[[#This Row],[Date]],"mmm-yy")</f>
        <v>May-25</v>
      </c>
      <c r="H109" s="130">
        <f>DAY(EOMONTH(MC[[#This Row],[Month Year]],0))</f>
        <v>31</v>
      </c>
      <c r="I109" s="133"/>
      <c r="J109" s="133"/>
      <c r="K109" s="133"/>
      <c r="L109" s="133"/>
      <c r="M109" s="133"/>
      <c r="N109" s="133"/>
      <c r="O109" s="133"/>
      <c r="P109" s="126"/>
      <c r="Q109" s="126"/>
      <c r="R109" s="4">
        <f>SUM(MC[[#This Row],[ICR1]:[ICR12]])</f>
        <v>0</v>
      </c>
      <c r="S109" s="133"/>
      <c r="T109" s="133"/>
      <c r="U109" s="133"/>
      <c r="V109" s="133"/>
      <c r="W109" s="133"/>
      <c r="X109" s="133"/>
      <c r="Y109" s="133"/>
    </row>
    <row r="110" spans="1:25">
      <c r="A110" s="133">
        <v>108</v>
      </c>
      <c r="B110" s="127">
        <f t="shared" si="1"/>
        <v>45796</v>
      </c>
      <c r="C110" s="128">
        <f>YEAR(MC[[#This Row],[Date]])+IF(MONTH(MC[[#This Row],[Date]])&gt;=4,1,0)</f>
        <v>2026</v>
      </c>
      <c r="D110" s="129">
        <f>YEAR(MC[[#This Row],[Date]])</f>
        <v>2025</v>
      </c>
      <c r="E110" s="351" t="s">
        <v>218</v>
      </c>
      <c r="F110" s="351" t="s">
        <v>218</v>
      </c>
      <c r="G110" s="130" t="str">
        <f>TEXT(MC[[#This Row],[Date]],"mmm-yy")</f>
        <v>May-25</v>
      </c>
      <c r="H110" s="130">
        <f>DAY(EOMONTH(MC[[#This Row],[Month Year]],0))</f>
        <v>31</v>
      </c>
      <c r="I110" s="133"/>
      <c r="J110" s="133"/>
      <c r="K110" s="133"/>
      <c r="L110" s="133"/>
      <c r="M110" s="133"/>
      <c r="N110" s="133"/>
      <c r="O110" s="133"/>
      <c r="P110" s="126"/>
      <c r="Q110" s="126"/>
      <c r="R110" s="4">
        <f>SUM(MC[[#This Row],[ICR1]:[ICR12]])</f>
        <v>0</v>
      </c>
      <c r="S110" s="133"/>
      <c r="T110" s="133"/>
      <c r="U110" s="134"/>
      <c r="V110" s="134"/>
      <c r="W110" s="133"/>
      <c r="X110" s="133"/>
      <c r="Y110" s="133"/>
    </row>
    <row r="111" spans="1:25">
      <c r="A111" s="133">
        <v>109</v>
      </c>
      <c r="B111" s="127">
        <f t="shared" si="1"/>
        <v>45797</v>
      </c>
      <c r="C111" s="128">
        <f>YEAR(MC[[#This Row],[Date]])+IF(MONTH(MC[[#This Row],[Date]])&gt;=4,1,0)</f>
        <v>2026</v>
      </c>
      <c r="D111" s="129">
        <f>YEAR(MC[[#This Row],[Date]])</f>
        <v>2025</v>
      </c>
      <c r="E111" s="351" t="s">
        <v>218</v>
      </c>
      <c r="F111" s="351" t="s">
        <v>218</v>
      </c>
      <c r="G111" s="130" t="str">
        <f>TEXT(MC[[#This Row],[Date]],"mmm-yy")</f>
        <v>May-25</v>
      </c>
      <c r="H111" s="130">
        <f>DAY(EOMONTH(MC[[#This Row],[Month Year]],0))</f>
        <v>31</v>
      </c>
      <c r="I111" s="133"/>
      <c r="J111" s="133"/>
      <c r="K111" s="133"/>
      <c r="L111" s="133"/>
      <c r="M111" s="133"/>
      <c r="N111" s="133"/>
      <c r="O111" s="133"/>
      <c r="P111" s="126"/>
      <c r="Q111" s="126"/>
      <c r="R111" s="4">
        <f>SUM(MC[[#This Row],[ICR1]:[ICR12]])</f>
        <v>0</v>
      </c>
      <c r="S111" s="134"/>
      <c r="T111" s="134"/>
      <c r="U111" s="134"/>
      <c r="V111" s="134"/>
      <c r="W111" s="133"/>
      <c r="X111" s="133"/>
      <c r="Y111" s="133"/>
    </row>
    <row r="112" spans="1:25">
      <c r="A112" s="133">
        <v>110</v>
      </c>
      <c r="B112" s="127">
        <f t="shared" si="1"/>
        <v>45798</v>
      </c>
      <c r="C112" s="128">
        <f>YEAR(MC[[#This Row],[Date]])+IF(MONTH(MC[[#This Row],[Date]])&gt;=4,1,0)</f>
        <v>2026</v>
      </c>
      <c r="D112" s="129">
        <f>YEAR(MC[[#This Row],[Date]])</f>
        <v>2025</v>
      </c>
      <c r="E112" s="351" t="s">
        <v>218</v>
      </c>
      <c r="F112" s="351" t="s">
        <v>218</v>
      </c>
      <c r="G112" s="130" t="str">
        <f>TEXT(MC[[#This Row],[Date]],"mmm-yy")</f>
        <v>May-25</v>
      </c>
      <c r="H112" s="130">
        <f>DAY(EOMONTH(MC[[#This Row],[Month Year]],0))</f>
        <v>31</v>
      </c>
      <c r="I112" s="133"/>
      <c r="J112" s="133"/>
      <c r="K112" s="133"/>
      <c r="L112" s="133"/>
      <c r="M112" s="133"/>
      <c r="N112" s="133"/>
      <c r="O112" s="133"/>
      <c r="P112" s="126"/>
      <c r="Q112" s="126"/>
      <c r="R112" s="4">
        <f>SUM(MC[[#This Row],[ICR1]:[ICR12]])</f>
        <v>0</v>
      </c>
      <c r="S112" s="134"/>
      <c r="T112" s="134"/>
      <c r="U112" s="134"/>
      <c r="V112" s="134"/>
      <c r="W112" s="133"/>
      <c r="X112" s="133"/>
      <c r="Y112" s="133"/>
    </row>
    <row r="113" spans="1:25">
      <c r="A113" s="133">
        <v>111</v>
      </c>
      <c r="B113" s="127">
        <f t="shared" si="1"/>
        <v>45799</v>
      </c>
      <c r="C113" s="128">
        <f>YEAR(MC[[#This Row],[Date]])+IF(MONTH(MC[[#This Row],[Date]])&gt;=4,1,0)</f>
        <v>2026</v>
      </c>
      <c r="D113" s="129">
        <f>YEAR(MC[[#This Row],[Date]])</f>
        <v>2025</v>
      </c>
      <c r="E113" s="351" t="s">
        <v>218</v>
      </c>
      <c r="F113" s="351" t="s">
        <v>218</v>
      </c>
      <c r="G113" s="130" t="str">
        <f>TEXT(MC[[#This Row],[Date]],"mmm-yy")</f>
        <v>May-25</v>
      </c>
      <c r="H113" s="130">
        <f>DAY(EOMONTH(MC[[#This Row],[Month Year]],0))</f>
        <v>31</v>
      </c>
      <c r="I113" s="133"/>
      <c r="J113" s="133"/>
      <c r="K113" s="133"/>
      <c r="L113" s="133"/>
      <c r="M113" s="133"/>
      <c r="N113" s="133"/>
      <c r="O113" s="133"/>
      <c r="P113" s="126"/>
      <c r="Q113" s="126"/>
      <c r="R113" s="4">
        <f>SUM(MC[[#This Row],[ICR1]:[ICR12]])</f>
        <v>0</v>
      </c>
      <c r="S113" s="133"/>
      <c r="T113" s="133"/>
      <c r="U113" s="134"/>
      <c r="V113" s="134"/>
      <c r="W113" s="133"/>
      <c r="X113" s="133"/>
      <c r="Y113" s="133"/>
    </row>
    <row r="114" spans="1:25">
      <c r="A114" s="133">
        <v>112</v>
      </c>
      <c r="B114" s="127">
        <f t="shared" si="1"/>
        <v>45800</v>
      </c>
      <c r="C114" s="128">
        <f>YEAR(MC[[#This Row],[Date]])+IF(MONTH(MC[[#This Row],[Date]])&gt;=4,1,0)</f>
        <v>2026</v>
      </c>
      <c r="D114" s="129">
        <f>YEAR(MC[[#This Row],[Date]])</f>
        <v>2025</v>
      </c>
      <c r="E114" s="351" t="s">
        <v>218</v>
      </c>
      <c r="F114" s="351" t="s">
        <v>218</v>
      </c>
      <c r="G114" s="130" t="str">
        <f>TEXT(MC[[#This Row],[Date]],"mmm-yy")</f>
        <v>May-25</v>
      </c>
      <c r="H114" s="130">
        <f>DAY(EOMONTH(MC[[#This Row],[Month Year]],0))</f>
        <v>31</v>
      </c>
      <c r="I114" s="133"/>
      <c r="J114" s="133"/>
      <c r="K114" s="133"/>
      <c r="L114" s="133"/>
      <c r="M114" s="133"/>
      <c r="N114" s="133"/>
      <c r="O114" s="133"/>
      <c r="P114" s="126"/>
      <c r="Q114" s="126"/>
      <c r="R114" s="4">
        <f>SUM(MC[[#This Row],[ICR1]:[ICR12]])</f>
        <v>0</v>
      </c>
      <c r="S114" s="134"/>
      <c r="T114" s="134"/>
      <c r="U114" s="134"/>
      <c r="V114" s="134"/>
      <c r="W114" s="133"/>
      <c r="X114" s="133"/>
      <c r="Y114" s="133"/>
    </row>
    <row r="115" spans="1:25">
      <c r="A115" s="133">
        <v>113</v>
      </c>
      <c r="B115" s="127">
        <f t="shared" si="1"/>
        <v>45801</v>
      </c>
      <c r="C115" s="128">
        <f>YEAR(MC[[#This Row],[Date]])+IF(MONTH(MC[[#This Row],[Date]])&gt;=4,1,0)</f>
        <v>2026</v>
      </c>
      <c r="D115" s="129">
        <f>YEAR(MC[[#This Row],[Date]])</f>
        <v>2025</v>
      </c>
      <c r="E115" s="351" t="s">
        <v>218</v>
      </c>
      <c r="F115" s="351" t="s">
        <v>218</v>
      </c>
      <c r="G115" s="130" t="str">
        <f>TEXT(MC[[#This Row],[Date]],"mmm-yy")</f>
        <v>May-25</v>
      </c>
      <c r="H115" s="130">
        <f>DAY(EOMONTH(MC[[#This Row],[Month Year]],0))</f>
        <v>31</v>
      </c>
      <c r="I115" s="133"/>
      <c r="J115" s="133"/>
      <c r="K115" s="133"/>
      <c r="L115" s="133"/>
      <c r="M115" s="133"/>
      <c r="N115" s="133"/>
      <c r="O115" s="133"/>
      <c r="P115" s="126"/>
      <c r="Q115" s="126"/>
      <c r="R115" s="4">
        <f>SUM(MC[[#This Row],[ICR1]:[ICR12]])</f>
        <v>0</v>
      </c>
      <c r="S115" s="134"/>
      <c r="T115" s="134"/>
      <c r="U115" s="134"/>
      <c r="V115" s="134"/>
      <c r="W115" s="133"/>
      <c r="X115" s="133"/>
      <c r="Y115" s="133"/>
    </row>
    <row r="116" spans="1:25">
      <c r="A116" s="133">
        <v>114</v>
      </c>
      <c r="B116" s="127">
        <f t="shared" si="1"/>
        <v>45802</v>
      </c>
      <c r="C116" s="128">
        <f>YEAR(MC[[#This Row],[Date]])+IF(MONTH(MC[[#This Row],[Date]])&gt;=4,1,0)</f>
        <v>2026</v>
      </c>
      <c r="D116" s="129">
        <f>YEAR(MC[[#This Row],[Date]])</f>
        <v>2025</v>
      </c>
      <c r="E116" s="351" t="s">
        <v>218</v>
      </c>
      <c r="F116" s="351" t="s">
        <v>218</v>
      </c>
      <c r="G116" s="130" t="str">
        <f>TEXT(MC[[#This Row],[Date]],"mmm-yy")</f>
        <v>May-25</v>
      </c>
      <c r="H116" s="130">
        <f>DAY(EOMONTH(MC[[#This Row],[Month Year]],0))</f>
        <v>31</v>
      </c>
      <c r="I116" s="133"/>
      <c r="J116" s="133"/>
      <c r="K116" s="133"/>
      <c r="L116" s="133"/>
      <c r="M116" s="133"/>
      <c r="N116" s="133"/>
      <c r="O116" s="133"/>
      <c r="P116" s="126"/>
      <c r="Q116" s="126"/>
      <c r="R116" s="4">
        <f>SUM(MC[[#This Row],[ICR1]:[ICR12]])</f>
        <v>0</v>
      </c>
      <c r="S116" s="134"/>
      <c r="T116" s="134"/>
      <c r="U116" s="134"/>
      <c r="V116" s="134"/>
      <c r="W116" s="133"/>
      <c r="X116" s="133"/>
      <c r="Y116" s="133"/>
    </row>
    <row r="117" spans="1:25">
      <c r="A117" s="133">
        <v>115</v>
      </c>
      <c r="B117" s="127">
        <f t="shared" si="1"/>
        <v>45803</v>
      </c>
      <c r="C117" s="128">
        <f>YEAR(MC[[#This Row],[Date]])+IF(MONTH(MC[[#This Row],[Date]])&gt;=4,1,0)</f>
        <v>2026</v>
      </c>
      <c r="D117" s="129">
        <f>YEAR(MC[[#This Row],[Date]])</f>
        <v>2025</v>
      </c>
      <c r="E117" s="351" t="s">
        <v>218</v>
      </c>
      <c r="F117" s="351" t="s">
        <v>218</v>
      </c>
      <c r="G117" s="130" t="str">
        <f>TEXT(MC[[#This Row],[Date]],"mmm-yy")</f>
        <v>May-25</v>
      </c>
      <c r="H117" s="130">
        <f>DAY(EOMONTH(MC[[#This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26"/>
      <c r="Q117" s="126"/>
      <c r="R117" s="4">
        <f>SUM(MC[[#This Row],[ICR1]:[ICR12]])</f>
        <v>0</v>
      </c>
      <c r="S117" s="134"/>
      <c r="T117" s="134"/>
      <c r="U117" s="133"/>
      <c r="V117" s="133"/>
      <c r="W117" s="133"/>
      <c r="X117" s="133"/>
      <c r="Y117" s="133"/>
    </row>
    <row r="118" spans="1:25">
      <c r="A118" s="133">
        <v>116</v>
      </c>
      <c r="B118" s="127">
        <f t="shared" si="1"/>
        <v>45804</v>
      </c>
      <c r="C118" s="128">
        <f>YEAR(MC[[#This Row],[Date]])+IF(MONTH(MC[[#This Row],[Date]])&gt;=4,1,0)</f>
        <v>2026</v>
      </c>
      <c r="D118" s="129">
        <f>YEAR(MC[[#This Row],[Date]])</f>
        <v>2025</v>
      </c>
      <c r="E118" s="351" t="s">
        <v>218</v>
      </c>
      <c r="F118" s="351" t="s">
        <v>218</v>
      </c>
      <c r="G118" s="130" t="str">
        <f>TEXT(MC[[#This Row],[Date]],"mmm-yy")</f>
        <v>May-25</v>
      </c>
      <c r="H118" s="130">
        <f>DAY(EOMONTH(MC[[#This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26"/>
      <c r="Q118" s="126"/>
      <c r="R118" s="4">
        <f>SUM(MC[[#This Row],[ICR1]:[ICR12]])</f>
        <v>0</v>
      </c>
      <c r="S118" s="133"/>
      <c r="T118" s="133"/>
      <c r="U118" s="133"/>
      <c r="V118" s="133"/>
      <c r="W118" s="133"/>
      <c r="X118" s="133"/>
      <c r="Y118" s="133"/>
    </row>
    <row r="119" spans="1:25">
      <c r="A119" s="133">
        <v>117</v>
      </c>
      <c r="B119" s="127">
        <f t="shared" si="1"/>
        <v>45805</v>
      </c>
      <c r="C119" s="128">
        <f>YEAR(MC[[#This Row],[Date]])+IF(MONTH(MC[[#This Row],[Date]])&gt;=4,1,0)</f>
        <v>2026</v>
      </c>
      <c r="D119" s="129">
        <f>YEAR(MC[[#This Row],[Date]])</f>
        <v>2025</v>
      </c>
      <c r="E119" s="351" t="s">
        <v>218</v>
      </c>
      <c r="F119" s="351" t="s">
        <v>218</v>
      </c>
      <c r="G119" s="130" t="str">
        <f>TEXT(MC[[#This Row],[Date]],"mmm-yy")</f>
        <v>May-25</v>
      </c>
      <c r="H119" s="130">
        <f>DAY(EOMONTH(MC[[#This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26"/>
      <c r="Q119" s="126"/>
      <c r="R119" s="4">
        <f>SUM(MC[[#This Row],[ICR1]:[ICR12]])</f>
        <v>0</v>
      </c>
      <c r="S119" s="133"/>
      <c r="T119" s="133"/>
      <c r="U119" s="133"/>
      <c r="V119" s="133"/>
      <c r="W119" s="133"/>
      <c r="X119" s="133"/>
      <c r="Y119" s="133"/>
    </row>
    <row r="120" spans="1:25">
      <c r="A120" s="133">
        <v>118</v>
      </c>
      <c r="B120" s="127">
        <f t="shared" si="1"/>
        <v>45806</v>
      </c>
      <c r="C120" s="128">
        <f>YEAR(MC[[#This Row],[Date]])+IF(MONTH(MC[[#This Row],[Date]])&gt;=4,1,0)</f>
        <v>2026</v>
      </c>
      <c r="D120" s="129">
        <f>YEAR(MC[[#This Row],[Date]])</f>
        <v>2025</v>
      </c>
      <c r="E120" s="351" t="s">
        <v>218</v>
      </c>
      <c r="F120" s="351" t="s">
        <v>218</v>
      </c>
      <c r="G120" s="130" t="str">
        <f>TEXT(MC[[#This Row],[Date]],"mmm-yy")</f>
        <v>May-25</v>
      </c>
      <c r="H120" s="130">
        <f>DAY(EOMONTH(MC[[#This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26"/>
      <c r="Q120" s="126"/>
      <c r="R120" s="4">
        <f>SUM(MC[[#This Row],[ICR1]:[ICR12]])</f>
        <v>0</v>
      </c>
      <c r="S120" s="133"/>
      <c r="T120" s="133"/>
      <c r="U120" s="133"/>
      <c r="V120" s="133"/>
      <c r="W120" s="133"/>
      <c r="X120" s="133"/>
      <c r="Y120" s="133"/>
    </row>
    <row r="121" spans="1:25">
      <c r="A121" s="133">
        <v>119</v>
      </c>
      <c r="B121" s="127">
        <f t="shared" si="1"/>
        <v>45807</v>
      </c>
      <c r="C121" s="128">
        <f>YEAR(MC[[#This Row],[Date]])+IF(MONTH(MC[[#This Row],[Date]])&gt;=4,1,0)</f>
        <v>2026</v>
      </c>
      <c r="D121" s="129">
        <f>YEAR(MC[[#This Row],[Date]])</f>
        <v>2025</v>
      </c>
      <c r="E121" s="351" t="s">
        <v>218</v>
      </c>
      <c r="F121" s="351" t="s">
        <v>218</v>
      </c>
      <c r="G121" s="130" t="str">
        <f>TEXT(MC[[#This Row],[Date]],"mmm-yy")</f>
        <v>May-25</v>
      </c>
      <c r="H121" s="130">
        <f>DAY(EOMONTH(MC[[#This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26"/>
      <c r="Q121" s="126"/>
      <c r="R121" s="4">
        <f>SUM(MC[[#This Row],[ICR1]:[ICR12]])</f>
        <v>0</v>
      </c>
      <c r="S121" s="133"/>
      <c r="T121" s="133"/>
      <c r="U121" s="133"/>
      <c r="V121" s="133"/>
      <c r="W121" s="133"/>
      <c r="X121" s="133"/>
      <c r="Y121" s="133"/>
    </row>
    <row r="122" spans="1:25">
      <c r="A122" s="133">
        <v>120</v>
      </c>
      <c r="B122" s="127">
        <f t="shared" si="1"/>
        <v>45808</v>
      </c>
      <c r="C122" s="128">
        <f>YEAR(MC[[#This Row],[Date]])+IF(MONTH(MC[[#This Row],[Date]])&gt;=4,1,0)</f>
        <v>2026</v>
      </c>
      <c r="D122" s="129">
        <f>YEAR(MC[[#This Row],[Date]])</f>
        <v>2025</v>
      </c>
      <c r="E122" s="351" t="s">
        <v>218</v>
      </c>
      <c r="F122" s="351" t="s">
        <v>218</v>
      </c>
      <c r="G122" s="130" t="str">
        <f>TEXT(MC[[#This Row],[Date]],"mmm-yy")</f>
        <v>May-25</v>
      </c>
      <c r="H122" s="130">
        <f>DAY(EOMONTH(MC[[#This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26"/>
      <c r="Q122" s="126"/>
      <c r="R122" s="4">
        <f>SUM(MC[[#This Row],[ICR1]:[ICR12]])</f>
        <v>0</v>
      </c>
      <c r="S122" s="133"/>
      <c r="T122" s="133"/>
      <c r="U122" s="133"/>
      <c r="V122" s="133"/>
      <c r="W122" s="133"/>
      <c r="X122" s="133"/>
      <c r="Y122" s="133"/>
    </row>
    <row r="123" spans="1:25">
      <c r="A123" s="133">
        <v>120</v>
      </c>
      <c r="B123" s="127">
        <f t="shared" si="1"/>
        <v>45809</v>
      </c>
      <c r="C123" s="128">
        <f>YEAR(MC[[#This Row],[Date]])+IF(MONTH(MC[[#This Row],[Date]])&gt;=4,1,0)</f>
        <v>2026</v>
      </c>
      <c r="D123" s="129">
        <f>YEAR(MC[[#This Row],[Date]])</f>
        <v>2025</v>
      </c>
      <c r="E123" s="351" t="s">
        <v>218</v>
      </c>
      <c r="F123" s="351" t="s">
        <v>218</v>
      </c>
      <c r="G123" s="130" t="str">
        <f>TEXT(MC[[#This Row],[Date]],"mmm-yy")</f>
        <v>Jun-25</v>
      </c>
      <c r="H123" s="130">
        <f>DAY(EOMONTH(MC[[#This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26"/>
      <c r="Q123" s="126"/>
      <c r="R123" s="4">
        <f>SUM(MC[[#This Row],[ICR1]:[ICR12]])</f>
        <v>0</v>
      </c>
      <c r="S123" s="133"/>
      <c r="T123" s="133"/>
      <c r="U123" s="133"/>
      <c r="V123" s="133"/>
      <c r="W123" s="133"/>
      <c r="X123" s="133"/>
      <c r="Y123" s="133"/>
    </row>
    <row r="124" spans="1:25">
      <c r="A124" s="133">
        <v>122</v>
      </c>
      <c r="B124" s="127">
        <f t="shared" si="1"/>
        <v>45810</v>
      </c>
      <c r="C124" s="128">
        <f>YEAR(MC[[#This Row],[Date]])+IF(MONTH(MC[[#This Row],[Date]])&gt;=4,1,0)</f>
        <v>2026</v>
      </c>
      <c r="D124" s="129">
        <f>YEAR(MC[[#This Row],[Date]])</f>
        <v>2025</v>
      </c>
      <c r="E124" s="351" t="s">
        <v>218</v>
      </c>
      <c r="F124" s="351" t="s">
        <v>218</v>
      </c>
      <c r="G124" s="130" t="str">
        <f>TEXT(MC[[#This Row],[Date]],"mmm-yy")</f>
        <v>Jun-25</v>
      </c>
      <c r="H124" s="130">
        <f>DAY(EOMONTH(MC[[#This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26"/>
      <c r="Q124" s="126"/>
      <c r="R124" s="4">
        <f>SUM(MC[[#This Row],[ICR1]:[ICR12]])</f>
        <v>0</v>
      </c>
      <c r="S124" s="133"/>
      <c r="T124" s="133"/>
      <c r="U124" s="133"/>
      <c r="V124" s="133"/>
      <c r="W124" s="133"/>
      <c r="X124" s="133"/>
      <c r="Y124" s="133"/>
    </row>
    <row r="125" spans="1:25">
      <c r="A125" s="133">
        <v>123</v>
      </c>
      <c r="B125" s="127">
        <f t="shared" si="1"/>
        <v>45811</v>
      </c>
      <c r="C125" s="128">
        <f>YEAR(MC[[#This Row],[Date]])+IF(MONTH(MC[[#This Row],[Date]])&gt;=4,1,0)</f>
        <v>2026</v>
      </c>
      <c r="D125" s="129">
        <f>YEAR(MC[[#This Row],[Date]])</f>
        <v>2025</v>
      </c>
      <c r="E125" s="351" t="s">
        <v>218</v>
      </c>
      <c r="F125" s="351" t="s">
        <v>218</v>
      </c>
      <c r="G125" s="130" t="str">
        <f>TEXT(MC[[#This Row],[Date]],"mmm-yy")</f>
        <v>Jun-25</v>
      </c>
      <c r="H125" s="130">
        <f>DAY(EOMONTH(MC[[#This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26"/>
      <c r="Q125" s="126"/>
      <c r="R125" s="4">
        <f>SUM(MC[[#This Row],[ICR1]:[ICR12]])</f>
        <v>0</v>
      </c>
      <c r="S125" s="133"/>
      <c r="T125" s="133"/>
      <c r="U125" s="133"/>
      <c r="V125" s="133"/>
      <c r="W125" s="133"/>
      <c r="X125" s="133"/>
      <c r="Y125" s="133"/>
    </row>
    <row r="126" spans="1:25">
      <c r="A126" s="133">
        <v>124</v>
      </c>
      <c r="B126" s="127">
        <f t="shared" si="1"/>
        <v>45812</v>
      </c>
      <c r="C126" s="128">
        <f>YEAR(MC[[#This Row],[Date]])+IF(MONTH(MC[[#This Row],[Date]])&gt;=4,1,0)</f>
        <v>2026</v>
      </c>
      <c r="D126" s="129">
        <f>YEAR(MC[[#This Row],[Date]])</f>
        <v>2025</v>
      </c>
      <c r="E126" s="351" t="s">
        <v>218</v>
      </c>
      <c r="F126" s="351" t="s">
        <v>218</v>
      </c>
      <c r="G126" s="130" t="str">
        <f>TEXT(MC[[#This Row],[Date]],"mmm-yy")</f>
        <v>Jun-25</v>
      </c>
      <c r="H126" s="130">
        <f>DAY(EOMONTH(MC[[#This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26"/>
      <c r="Q126" s="126"/>
      <c r="R126" s="4">
        <f>SUM(MC[[#This Row],[ICR1]:[ICR12]])</f>
        <v>0</v>
      </c>
      <c r="S126" s="133"/>
      <c r="T126" s="133"/>
      <c r="U126" s="133"/>
      <c r="V126" s="133"/>
      <c r="W126" s="133"/>
      <c r="X126" s="133"/>
      <c r="Y126" s="133"/>
    </row>
    <row r="127" spans="1:25">
      <c r="A127" s="133">
        <v>125</v>
      </c>
      <c r="B127" s="127">
        <f t="shared" si="1"/>
        <v>45813</v>
      </c>
      <c r="C127" s="128">
        <f>YEAR(MC[[#This Row],[Date]])+IF(MONTH(MC[[#This Row],[Date]])&gt;=4,1,0)</f>
        <v>2026</v>
      </c>
      <c r="D127" s="129">
        <f>YEAR(MC[[#This Row],[Date]])</f>
        <v>2025</v>
      </c>
      <c r="E127" s="351" t="s">
        <v>218</v>
      </c>
      <c r="F127" s="351" t="s">
        <v>218</v>
      </c>
      <c r="G127" s="130" t="str">
        <f>TEXT(MC[[#This Row],[Date]],"mmm-yy")</f>
        <v>Jun-25</v>
      </c>
      <c r="H127" s="130">
        <f>DAY(EOMONTH(MC[[#This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26"/>
      <c r="Q127" s="126"/>
      <c r="R127" s="4">
        <f>SUM(MC[[#This Row],[ICR1]:[ICR12]])</f>
        <v>0</v>
      </c>
      <c r="S127" s="133"/>
      <c r="T127" s="133"/>
      <c r="U127" s="133"/>
      <c r="V127" s="133"/>
      <c r="W127" s="133"/>
      <c r="X127" s="133"/>
      <c r="Y127" s="133"/>
    </row>
    <row r="128" spans="1:25">
      <c r="A128" s="133">
        <v>126</v>
      </c>
      <c r="B128" s="127">
        <f t="shared" si="1"/>
        <v>45814</v>
      </c>
      <c r="C128" s="128">
        <f>YEAR(MC[[#This Row],[Date]])+IF(MONTH(MC[[#This Row],[Date]])&gt;=4,1,0)</f>
        <v>2026</v>
      </c>
      <c r="D128" s="129">
        <f>YEAR(MC[[#This Row],[Date]])</f>
        <v>2025</v>
      </c>
      <c r="E128" s="351" t="s">
        <v>218</v>
      </c>
      <c r="F128" s="351" t="s">
        <v>218</v>
      </c>
      <c r="G128" s="130" t="str">
        <f>TEXT(MC[[#This Row],[Date]],"mmm-yy")</f>
        <v>Jun-25</v>
      </c>
      <c r="H128" s="130">
        <f>DAY(EOMONTH(MC[[#This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26"/>
      <c r="Q128" s="126"/>
      <c r="R128" s="4">
        <f>SUM(MC[[#This Row],[ICR1]:[ICR12]])</f>
        <v>0</v>
      </c>
      <c r="S128" s="133"/>
      <c r="T128" s="133"/>
      <c r="U128" s="133"/>
      <c r="V128" s="133"/>
      <c r="W128" s="133"/>
      <c r="X128" s="133"/>
      <c r="Y128" s="133"/>
    </row>
    <row r="129" spans="1:25">
      <c r="A129" s="133">
        <v>127</v>
      </c>
      <c r="B129" s="127">
        <f t="shared" si="1"/>
        <v>45815</v>
      </c>
      <c r="C129" s="128">
        <f>YEAR(MC[[#This Row],[Date]])+IF(MONTH(MC[[#This Row],[Date]])&gt;=4,1,0)</f>
        <v>2026</v>
      </c>
      <c r="D129" s="129">
        <f>YEAR(MC[[#This Row],[Date]])</f>
        <v>2025</v>
      </c>
      <c r="E129" s="351" t="s">
        <v>218</v>
      </c>
      <c r="F129" s="351" t="s">
        <v>218</v>
      </c>
      <c r="G129" s="130" t="str">
        <f>TEXT(MC[[#This Row],[Date]],"mmm-yy")</f>
        <v>Jun-25</v>
      </c>
      <c r="H129" s="130">
        <f>DAY(EOMONTH(MC[[#This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26"/>
      <c r="Q129" s="126"/>
      <c r="R129" s="4">
        <f>SUM(MC[[#This Row],[ICR1]:[ICR12]])</f>
        <v>0</v>
      </c>
      <c r="S129" s="133"/>
      <c r="T129" s="133"/>
      <c r="U129" s="133"/>
      <c r="V129" s="133"/>
      <c r="W129" s="133"/>
      <c r="X129" s="133"/>
      <c r="Y129" s="133"/>
    </row>
    <row r="130" spans="1:25">
      <c r="A130" s="133">
        <v>127</v>
      </c>
      <c r="B130" s="127">
        <f t="shared" si="1"/>
        <v>45816</v>
      </c>
      <c r="C130" s="128">
        <f>YEAR(MC[[#This Row],[Date]])+IF(MONTH(MC[[#This Row],[Date]])&gt;=4,1,0)</f>
        <v>2026</v>
      </c>
      <c r="D130" s="129">
        <f>YEAR(MC[[#This Row],[Date]])</f>
        <v>2025</v>
      </c>
      <c r="E130" s="351" t="s">
        <v>218</v>
      </c>
      <c r="F130" s="351" t="s">
        <v>218</v>
      </c>
      <c r="G130" s="130" t="str">
        <f>TEXT(MC[[#This Row],[Date]],"mmm-yy")</f>
        <v>Jun-25</v>
      </c>
      <c r="H130" s="130">
        <f>DAY(EOMONTH(MC[[#This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26"/>
      <c r="Q130" s="126"/>
      <c r="R130" s="4">
        <f>SUM(MC[[#This Row],[ICR1]:[ICR12]])</f>
        <v>0</v>
      </c>
      <c r="S130" s="134"/>
      <c r="T130" s="134"/>
      <c r="U130" s="133"/>
      <c r="V130" s="133"/>
      <c r="W130" s="133"/>
      <c r="X130" s="133"/>
      <c r="Y130" s="133"/>
    </row>
    <row r="131" spans="1:25">
      <c r="A131" s="133">
        <v>127</v>
      </c>
      <c r="B131" s="127">
        <f t="shared" si="1"/>
        <v>45817</v>
      </c>
      <c r="C131" s="128">
        <f>YEAR(MC[[#This Row],[Date]])+IF(MONTH(MC[[#This Row],[Date]])&gt;=4,1,0)</f>
        <v>2026</v>
      </c>
      <c r="D131" s="129">
        <f>YEAR(MC[[#This Row],[Date]])</f>
        <v>2025</v>
      </c>
      <c r="E131" s="351" t="s">
        <v>218</v>
      </c>
      <c r="F131" s="351" t="s">
        <v>218</v>
      </c>
      <c r="G131" s="130" t="str">
        <f>TEXT(MC[[#This Row],[Date]],"mmm-yy")</f>
        <v>Jun-25</v>
      </c>
      <c r="H131" s="130">
        <f>DAY(EOMONTH(MC[[#This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26"/>
      <c r="Q131" s="126"/>
      <c r="R131" s="4">
        <f>SUM(MC[[#This Row],[ICR1]:[ICR12]])</f>
        <v>0</v>
      </c>
      <c r="S131" s="134"/>
      <c r="T131" s="134"/>
      <c r="U131" s="133"/>
      <c r="V131" s="133"/>
      <c r="W131" s="133"/>
      <c r="X131" s="133"/>
      <c r="Y131" s="133"/>
    </row>
    <row r="132" spans="1:25">
      <c r="A132" s="133">
        <v>127</v>
      </c>
      <c r="B132" s="127">
        <f t="shared" si="1"/>
        <v>45818</v>
      </c>
      <c r="C132" s="128">
        <f>YEAR(MC[[#This Row],[Date]])+IF(MONTH(MC[[#This Row],[Date]])&gt;=4,1,0)</f>
        <v>2026</v>
      </c>
      <c r="D132" s="129">
        <f>YEAR(MC[[#This Row],[Date]])</f>
        <v>2025</v>
      </c>
      <c r="E132" s="351" t="s">
        <v>218</v>
      </c>
      <c r="F132" s="351" t="s">
        <v>218</v>
      </c>
      <c r="G132" s="130" t="str">
        <f>TEXT(MC[[#This Row],[Date]],"mmm-yy")</f>
        <v>Jun-25</v>
      </c>
      <c r="H132" s="130">
        <f>DAY(EOMONTH(MC[[#This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26"/>
      <c r="Q132" s="126"/>
      <c r="R132" s="4">
        <f>SUM(MC[[#This Row],[ICR1]:[ICR12]])</f>
        <v>0</v>
      </c>
      <c r="S132" s="134"/>
      <c r="T132" s="134"/>
      <c r="U132" s="133"/>
      <c r="V132" s="133"/>
      <c r="W132" s="133"/>
      <c r="X132" s="133"/>
      <c r="Y132" s="133"/>
    </row>
    <row r="133" spans="1:25">
      <c r="A133" s="133">
        <v>127</v>
      </c>
      <c r="B133" s="127">
        <f t="shared" ref="B133:B196" si="2">B132+1</f>
        <v>45819</v>
      </c>
      <c r="C133" s="128">
        <f>YEAR(MC[[#This Row],[Date]])+IF(MONTH(MC[[#This Row],[Date]])&gt;=4,1,0)</f>
        <v>2026</v>
      </c>
      <c r="D133" s="129">
        <f>YEAR(MC[[#This Row],[Date]])</f>
        <v>2025</v>
      </c>
      <c r="E133" s="351" t="s">
        <v>218</v>
      </c>
      <c r="F133" s="351" t="s">
        <v>218</v>
      </c>
      <c r="G133" s="130" t="str">
        <f>TEXT(MC[[#This Row],[Date]],"mmm-yy")</f>
        <v>Jun-25</v>
      </c>
      <c r="H133" s="130">
        <f>DAY(EOMONTH(MC[[#This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26"/>
      <c r="Q133" s="126"/>
      <c r="R133" s="4">
        <f>SUM(MC[[#This Row],[ICR1]:[ICR12]])</f>
        <v>0</v>
      </c>
      <c r="S133" s="134"/>
      <c r="T133" s="134"/>
      <c r="U133" s="133"/>
      <c r="V133" s="133"/>
      <c r="W133" s="133"/>
      <c r="X133" s="133"/>
      <c r="Y133" s="133"/>
    </row>
    <row r="134" spans="1:25">
      <c r="A134" s="133">
        <v>127</v>
      </c>
      <c r="B134" s="127">
        <f t="shared" si="2"/>
        <v>45820</v>
      </c>
      <c r="C134" s="128">
        <f>YEAR(MC[[#This Row],[Date]])+IF(MONTH(MC[[#This Row],[Date]])&gt;=4,1,0)</f>
        <v>2026</v>
      </c>
      <c r="D134" s="129">
        <f>YEAR(MC[[#This Row],[Date]])</f>
        <v>2025</v>
      </c>
      <c r="E134" s="351" t="s">
        <v>218</v>
      </c>
      <c r="F134" s="351" t="s">
        <v>218</v>
      </c>
      <c r="G134" s="130" t="str">
        <f>TEXT(MC[[#This Row],[Date]],"mmm-yy")</f>
        <v>Jun-25</v>
      </c>
      <c r="H134" s="130">
        <f>DAY(EOMONTH(MC[[#This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26"/>
      <c r="Q134" s="126"/>
      <c r="R134" s="4">
        <f>SUM(MC[[#This Row],[ICR1]:[ICR12]])</f>
        <v>0</v>
      </c>
      <c r="S134" s="134"/>
      <c r="T134" s="134"/>
      <c r="U134" s="133"/>
      <c r="V134" s="133"/>
      <c r="W134" s="133"/>
      <c r="X134" s="133"/>
      <c r="Y134" s="133"/>
    </row>
    <row r="135" spans="1:25">
      <c r="A135" s="133">
        <v>127</v>
      </c>
      <c r="B135" s="127">
        <f t="shared" si="2"/>
        <v>45821</v>
      </c>
      <c r="C135" s="128">
        <f>YEAR(MC[[#This Row],[Date]])+IF(MONTH(MC[[#This Row],[Date]])&gt;=4,1,0)</f>
        <v>2026</v>
      </c>
      <c r="D135" s="129">
        <f>YEAR(MC[[#This Row],[Date]])</f>
        <v>2025</v>
      </c>
      <c r="E135" s="351" t="s">
        <v>218</v>
      </c>
      <c r="F135" s="351" t="s">
        <v>218</v>
      </c>
      <c r="G135" s="130" t="str">
        <f>TEXT(MC[[#This Row],[Date]],"mmm-yy")</f>
        <v>Jun-25</v>
      </c>
      <c r="H135" s="130">
        <f>DAY(EOMONTH(MC[[#This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26"/>
      <c r="Q135" s="126"/>
      <c r="R135" s="4">
        <f>SUM(MC[[#This Row],[ICR1]:[ICR12]])</f>
        <v>0</v>
      </c>
      <c r="S135" s="134"/>
      <c r="T135" s="134"/>
      <c r="U135" s="133"/>
      <c r="V135" s="133"/>
      <c r="W135" s="133"/>
      <c r="X135" s="133"/>
      <c r="Y135" s="133"/>
    </row>
    <row r="136" spans="1:25">
      <c r="A136" s="133">
        <v>127</v>
      </c>
      <c r="B136" s="127">
        <f t="shared" si="2"/>
        <v>45822</v>
      </c>
      <c r="C136" s="128">
        <f>YEAR(MC[[#This Row],[Date]])+IF(MONTH(MC[[#This Row],[Date]])&gt;=4,1,0)</f>
        <v>2026</v>
      </c>
      <c r="D136" s="129">
        <f>YEAR(MC[[#This Row],[Date]])</f>
        <v>2025</v>
      </c>
      <c r="E136" s="351" t="s">
        <v>218</v>
      </c>
      <c r="F136" s="351" t="s">
        <v>218</v>
      </c>
      <c r="G136" s="130" t="str">
        <f>TEXT(MC[[#This Row],[Date]],"mmm-yy")</f>
        <v>Jun-25</v>
      </c>
      <c r="H136" s="130">
        <f>DAY(EOMONTH(MC[[#This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26"/>
      <c r="Q136" s="126"/>
      <c r="R136" s="4">
        <f>SUM(MC[[#This Row],[ICR1]:[ICR12]])</f>
        <v>0</v>
      </c>
      <c r="S136" s="134"/>
      <c r="T136" s="134"/>
      <c r="U136" s="133"/>
      <c r="V136" s="133"/>
      <c r="W136" s="133"/>
      <c r="X136" s="133"/>
      <c r="Y136" s="133"/>
    </row>
    <row r="137" spans="1:25">
      <c r="A137" s="133">
        <v>127</v>
      </c>
      <c r="B137" s="127">
        <f t="shared" si="2"/>
        <v>45823</v>
      </c>
      <c r="C137" s="128">
        <f>YEAR(MC[[#This Row],[Date]])+IF(MONTH(MC[[#This Row],[Date]])&gt;=4,1,0)</f>
        <v>2026</v>
      </c>
      <c r="D137" s="129">
        <f>YEAR(MC[[#This Row],[Date]])</f>
        <v>2025</v>
      </c>
      <c r="E137" s="351" t="s">
        <v>218</v>
      </c>
      <c r="F137" s="351" t="s">
        <v>218</v>
      </c>
      <c r="G137" s="130" t="str">
        <f>TEXT(MC[[#This Row],[Date]],"mmm-yy")</f>
        <v>Jun-25</v>
      </c>
      <c r="H137" s="130">
        <f>DAY(EOMONTH(MC[[#This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26"/>
      <c r="Q137" s="126"/>
      <c r="R137" s="4">
        <f>SUM(MC[[#This Row],[ICR1]:[ICR12]])</f>
        <v>0</v>
      </c>
      <c r="S137" s="134"/>
      <c r="T137" s="134"/>
      <c r="U137" s="133"/>
      <c r="V137" s="133"/>
      <c r="W137" s="133"/>
      <c r="X137" s="133"/>
      <c r="Y137" s="133"/>
    </row>
    <row r="138" spans="1:25">
      <c r="A138" s="133">
        <v>127</v>
      </c>
      <c r="B138" s="127">
        <f t="shared" si="2"/>
        <v>45824</v>
      </c>
      <c r="C138" s="128">
        <f>YEAR(MC[[#This Row],[Date]])+IF(MONTH(MC[[#This Row],[Date]])&gt;=4,1,0)</f>
        <v>2026</v>
      </c>
      <c r="D138" s="129">
        <f>YEAR(MC[[#This Row],[Date]])</f>
        <v>2025</v>
      </c>
      <c r="E138" s="351" t="s">
        <v>218</v>
      </c>
      <c r="F138" s="351" t="s">
        <v>218</v>
      </c>
      <c r="G138" s="130" t="str">
        <f>TEXT(MC[[#This Row],[Date]],"mmm-yy")</f>
        <v>Jun-25</v>
      </c>
      <c r="H138" s="130">
        <f>DAY(EOMONTH(MC[[#This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26"/>
      <c r="Q138" s="126"/>
      <c r="R138" s="4">
        <f>SUM(MC[[#This Row],[ICR1]:[ICR12]])</f>
        <v>0</v>
      </c>
      <c r="S138" s="134"/>
      <c r="T138" s="134"/>
      <c r="U138" s="133"/>
      <c r="V138" s="133"/>
      <c r="W138" s="133"/>
      <c r="X138" s="133"/>
      <c r="Y138" s="133"/>
    </row>
    <row r="139" spans="1:25">
      <c r="A139" s="133">
        <v>127</v>
      </c>
      <c r="B139" s="127">
        <f t="shared" si="2"/>
        <v>45825</v>
      </c>
      <c r="C139" s="128">
        <f>YEAR(MC[[#This Row],[Date]])+IF(MONTH(MC[[#This Row],[Date]])&gt;=4,1,0)</f>
        <v>2026</v>
      </c>
      <c r="D139" s="129">
        <f>YEAR(MC[[#This Row],[Date]])</f>
        <v>2025</v>
      </c>
      <c r="E139" s="351" t="s">
        <v>218</v>
      </c>
      <c r="F139" s="351" t="s">
        <v>218</v>
      </c>
      <c r="G139" s="130" t="str">
        <f>TEXT(MC[[#This Row],[Date]],"mmm-yy")</f>
        <v>Jun-25</v>
      </c>
      <c r="H139" s="130">
        <f>DAY(EOMONTH(MC[[#This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26"/>
      <c r="Q139" s="126"/>
      <c r="R139" s="4">
        <f>SUM(MC[[#This Row],[ICR1]:[ICR12]])</f>
        <v>0</v>
      </c>
      <c r="S139" s="134"/>
      <c r="T139" s="134"/>
      <c r="U139" s="133"/>
      <c r="V139" s="133"/>
      <c r="W139" s="133"/>
      <c r="X139" s="133"/>
      <c r="Y139" s="133"/>
    </row>
    <row r="140" spans="1:25">
      <c r="A140" s="133">
        <v>127</v>
      </c>
      <c r="B140" s="127">
        <f t="shared" si="2"/>
        <v>45826</v>
      </c>
      <c r="C140" s="128">
        <f>YEAR(MC[[#This Row],[Date]])+IF(MONTH(MC[[#This Row],[Date]])&gt;=4,1,0)</f>
        <v>2026</v>
      </c>
      <c r="D140" s="129">
        <f>YEAR(MC[[#This Row],[Date]])</f>
        <v>2025</v>
      </c>
      <c r="E140" s="351" t="s">
        <v>218</v>
      </c>
      <c r="F140" s="351" t="s">
        <v>218</v>
      </c>
      <c r="G140" s="130" t="str">
        <f>TEXT(MC[[#This Row],[Date]],"mmm-yy")</f>
        <v>Jun-25</v>
      </c>
      <c r="H140" s="130">
        <f>DAY(EOMONTH(MC[[#This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26"/>
      <c r="Q140" s="126"/>
      <c r="R140" s="4">
        <f>SUM(MC[[#This Row],[ICR1]:[ICR12]])</f>
        <v>0</v>
      </c>
      <c r="S140" s="134"/>
      <c r="T140" s="134"/>
      <c r="U140" s="133"/>
      <c r="V140" s="133"/>
      <c r="W140" s="133"/>
      <c r="X140" s="133"/>
      <c r="Y140" s="133"/>
    </row>
    <row r="141" spans="1:25">
      <c r="A141" s="133">
        <v>139</v>
      </c>
      <c r="B141" s="127">
        <f t="shared" si="2"/>
        <v>45827</v>
      </c>
      <c r="C141" s="128">
        <f>YEAR(MC[[#This Row],[Date]])+IF(MONTH(MC[[#This Row],[Date]])&gt;=4,1,0)</f>
        <v>2026</v>
      </c>
      <c r="D141" s="129">
        <f>YEAR(MC[[#This Row],[Date]])</f>
        <v>2025</v>
      </c>
      <c r="E141" s="351" t="s">
        <v>218</v>
      </c>
      <c r="F141" s="351" t="s">
        <v>218</v>
      </c>
      <c r="G141" s="130" t="str">
        <f>TEXT(MC[[#This Row],[Date]],"mmm-yy")</f>
        <v>Jun-25</v>
      </c>
      <c r="H141" s="130">
        <f>DAY(EOMONTH(MC[[#This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26"/>
      <c r="Q141" s="126"/>
      <c r="R141" s="4">
        <f>SUM(MC[[#This Row],[ICR1]:[ICR12]])</f>
        <v>0</v>
      </c>
      <c r="S141" s="134"/>
      <c r="T141" s="134"/>
      <c r="U141" s="133"/>
      <c r="V141" s="133"/>
      <c r="W141" s="133"/>
      <c r="X141" s="133"/>
      <c r="Y141" s="133"/>
    </row>
    <row r="142" spans="1:25">
      <c r="A142" s="133">
        <v>140</v>
      </c>
      <c r="B142" s="127">
        <f t="shared" si="2"/>
        <v>45828</v>
      </c>
      <c r="C142" s="128">
        <f>YEAR(MC[[#This Row],[Date]])+IF(MONTH(MC[[#This Row],[Date]])&gt;=4,1,0)</f>
        <v>2026</v>
      </c>
      <c r="D142" s="129">
        <f>YEAR(MC[[#This Row],[Date]])</f>
        <v>2025</v>
      </c>
      <c r="E142" s="351" t="s">
        <v>218</v>
      </c>
      <c r="F142" s="351" t="s">
        <v>218</v>
      </c>
      <c r="G142" s="130" t="str">
        <f>TEXT(MC[[#This Row],[Date]],"mmm-yy")</f>
        <v>Jun-25</v>
      </c>
      <c r="H142" s="130">
        <f>DAY(EOMONTH(MC[[#This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26"/>
      <c r="Q142" s="126"/>
      <c r="R142" s="4">
        <f>SUM(MC[[#This Row],[ICR1]:[ICR12]])</f>
        <v>0</v>
      </c>
      <c r="S142" s="133"/>
      <c r="T142" s="134"/>
      <c r="U142" s="133"/>
      <c r="V142" s="133"/>
      <c r="W142" s="133"/>
      <c r="X142" s="133"/>
      <c r="Y142" s="133"/>
    </row>
    <row r="143" spans="1:25">
      <c r="A143" s="133">
        <v>141</v>
      </c>
      <c r="B143" s="127">
        <f t="shared" si="2"/>
        <v>45829</v>
      </c>
      <c r="C143" s="128">
        <f>YEAR(MC[[#This Row],[Date]])+IF(MONTH(MC[[#This Row],[Date]])&gt;=4,1,0)</f>
        <v>2026</v>
      </c>
      <c r="D143" s="129">
        <f>YEAR(MC[[#This Row],[Date]])</f>
        <v>2025</v>
      </c>
      <c r="E143" s="351" t="s">
        <v>218</v>
      </c>
      <c r="F143" s="351" t="s">
        <v>218</v>
      </c>
      <c r="G143" s="130" t="str">
        <f>TEXT(MC[[#This Row],[Date]],"mmm-yy")</f>
        <v>Jun-25</v>
      </c>
      <c r="H143" s="130">
        <f>DAY(EOMONTH(MC[[#This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26"/>
      <c r="Q143" s="126"/>
      <c r="R143" s="4">
        <f>SUM(MC[[#This Row],[ICR1]:[ICR12]])</f>
        <v>0</v>
      </c>
      <c r="S143" s="133"/>
      <c r="T143" s="134"/>
      <c r="U143" s="133"/>
      <c r="V143" s="133"/>
      <c r="W143" s="133"/>
      <c r="X143" s="133"/>
      <c r="Y143" s="133"/>
    </row>
    <row r="144" spans="1:25">
      <c r="A144" s="133">
        <v>142</v>
      </c>
      <c r="B144" s="127">
        <f t="shared" si="2"/>
        <v>45830</v>
      </c>
      <c r="C144" s="128">
        <f>YEAR(MC[[#This Row],[Date]])+IF(MONTH(MC[[#This Row],[Date]])&gt;=4,1,0)</f>
        <v>2026</v>
      </c>
      <c r="D144" s="129">
        <f>YEAR(MC[[#This Row],[Date]])</f>
        <v>2025</v>
      </c>
      <c r="E144" s="351" t="s">
        <v>218</v>
      </c>
      <c r="F144" s="351" t="s">
        <v>218</v>
      </c>
      <c r="G144" s="130" t="str">
        <f>TEXT(MC[[#This Row],[Date]],"mmm-yy")</f>
        <v>Jun-25</v>
      </c>
      <c r="H144" s="130">
        <f>DAY(EOMONTH(MC[[#This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26"/>
      <c r="Q144" s="126"/>
      <c r="R144" s="4">
        <f>SUM(MC[[#This Row],[ICR1]:[ICR12]])</f>
        <v>0</v>
      </c>
      <c r="S144" s="134"/>
      <c r="T144" s="134"/>
      <c r="U144" s="133"/>
      <c r="V144" s="133"/>
      <c r="W144" s="133"/>
      <c r="X144" s="133"/>
      <c r="Y144" s="133"/>
    </row>
    <row r="145" spans="1:25">
      <c r="A145" s="133">
        <v>143</v>
      </c>
      <c r="B145" s="127">
        <f t="shared" si="2"/>
        <v>45831</v>
      </c>
      <c r="C145" s="128">
        <f>YEAR(MC[[#This Row],[Date]])+IF(MONTH(MC[[#This Row],[Date]])&gt;=4,1,0)</f>
        <v>2026</v>
      </c>
      <c r="D145" s="129">
        <f>YEAR(MC[[#This Row],[Date]])</f>
        <v>2025</v>
      </c>
      <c r="E145" s="351" t="s">
        <v>218</v>
      </c>
      <c r="F145" s="351" t="s">
        <v>218</v>
      </c>
      <c r="G145" s="130" t="str">
        <f>TEXT(MC[[#This Row],[Date]],"mmm-yy")</f>
        <v>Jun-25</v>
      </c>
      <c r="H145" s="130">
        <f>DAY(EOMONTH(MC[[#This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26"/>
      <c r="Q145" s="126"/>
      <c r="R145" s="4">
        <f>SUM(MC[[#This Row],[ICR1]:[ICR12]])</f>
        <v>0</v>
      </c>
      <c r="S145" s="134"/>
      <c r="T145" s="134"/>
      <c r="U145" s="133"/>
      <c r="V145" s="133"/>
      <c r="W145" s="133"/>
      <c r="X145" s="133"/>
      <c r="Y145" s="133"/>
    </row>
    <row r="146" spans="1:25">
      <c r="A146" s="133">
        <v>144</v>
      </c>
      <c r="B146" s="127">
        <f t="shared" si="2"/>
        <v>45832</v>
      </c>
      <c r="C146" s="128">
        <f>YEAR(MC[[#This Row],[Date]])+IF(MONTH(MC[[#This Row],[Date]])&gt;=4,1,0)</f>
        <v>2026</v>
      </c>
      <c r="D146" s="129">
        <f>YEAR(MC[[#This Row],[Date]])</f>
        <v>2025</v>
      </c>
      <c r="E146" s="351" t="s">
        <v>218</v>
      </c>
      <c r="F146" s="351" t="s">
        <v>218</v>
      </c>
      <c r="G146" s="130" t="str">
        <f>TEXT(MC[[#This Row],[Date]],"mmm-yy")</f>
        <v>Jun-25</v>
      </c>
      <c r="H146" s="130">
        <f>DAY(EOMONTH(MC[[#This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26"/>
      <c r="Q146" s="126"/>
      <c r="R146" s="4">
        <f>SUM(MC[[#This Row],[ICR1]:[ICR12]])</f>
        <v>0</v>
      </c>
      <c r="S146" s="134"/>
      <c r="T146" s="134"/>
      <c r="U146" s="134"/>
      <c r="V146" s="134"/>
      <c r="W146" s="133"/>
      <c r="X146" s="133"/>
      <c r="Y146" s="133"/>
    </row>
    <row r="147" spans="1:25">
      <c r="A147" s="133">
        <v>145</v>
      </c>
      <c r="B147" s="127">
        <f t="shared" si="2"/>
        <v>45833</v>
      </c>
      <c r="C147" s="128">
        <f>YEAR(MC[[#This Row],[Date]])+IF(MONTH(MC[[#This Row],[Date]])&gt;=4,1,0)</f>
        <v>2026</v>
      </c>
      <c r="D147" s="129">
        <f>YEAR(MC[[#This Row],[Date]])</f>
        <v>2025</v>
      </c>
      <c r="E147" s="351" t="s">
        <v>218</v>
      </c>
      <c r="F147" s="351" t="s">
        <v>218</v>
      </c>
      <c r="G147" s="130" t="str">
        <f>TEXT(MC[[#This Row],[Date]],"mmm-yy")</f>
        <v>Jun-25</v>
      </c>
      <c r="H147" s="130">
        <f>DAY(EOMONTH(MC[[#This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26"/>
      <c r="Q147" s="126"/>
      <c r="R147" s="4">
        <f>SUM(MC[[#This Row],[ICR1]:[ICR12]])</f>
        <v>0</v>
      </c>
      <c r="S147" s="134"/>
      <c r="T147" s="134"/>
      <c r="U147" s="134"/>
      <c r="V147" s="134"/>
      <c r="W147" s="133"/>
      <c r="X147" s="133"/>
      <c r="Y147" s="133"/>
    </row>
    <row r="148" spans="1:25">
      <c r="A148" s="133">
        <v>146</v>
      </c>
      <c r="B148" s="127">
        <f t="shared" si="2"/>
        <v>45834</v>
      </c>
      <c r="C148" s="128">
        <f>YEAR(MC[[#This Row],[Date]])+IF(MONTH(MC[[#This Row],[Date]])&gt;=4,1,0)</f>
        <v>2026</v>
      </c>
      <c r="D148" s="129">
        <f>YEAR(MC[[#This Row],[Date]])</f>
        <v>2025</v>
      </c>
      <c r="E148" s="351" t="s">
        <v>218</v>
      </c>
      <c r="F148" s="351" t="s">
        <v>218</v>
      </c>
      <c r="G148" s="130" t="str">
        <f>TEXT(MC[[#This Row],[Date]],"mmm-yy")</f>
        <v>Jun-25</v>
      </c>
      <c r="H148" s="130">
        <f>DAY(EOMONTH(MC[[#This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26"/>
      <c r="Q148" s="126"/>
      <c r="R148" s="4">
        <f>SUM(MC[[#This Row],[ICR1]:[ICR12]])</f>
        <v>0</v>
      </c>
      <c r="S148" s="134"/>
      <c r="T148" s="134"/>
      <c r="U148" s="134"/>
      <c r="V148" s="134"/>
      <c r="W148" s="133"/>
      <c r="X148" s="133"/>
      <c r="Y148" s="133"/>
    </row>
    <row r="149" spans="1:25">
      <c r="A149" s="133">
        <v>147</v>
      </c>
      <c r="B149" s="127">
        <f t="shared" si="2"/>
        <v>45835</v>
      </c>
      <c r="C149" s="128">
        <f>YEAR(MC[[#This Row],[Date]])+IF(MONTH(MC[[#This Row],[Date]])&gt;=4,1,0)</f>
        <v>2026</v>
      </c>
      <c r="D149" s="129">
        <f>YEAR(MC[[#This Row],[Date]])</f>
        <v>2025</v>
      </c>
      <c r="E149" s="351" t="s">
        <v>218</v>
      </c>
      <c r="F149" s="351" t="s">
        <v>218</v>
      </c>
      <c r="G149" s="130" t="str">
        <f>TEXT(MC[[#This Row],[Date]],"mmm-yy")</f>
        <v>Jun-25</v>
      </c>
      <c r="H149" s="130">
        <f>DAY(EOMONTH(MC[[#This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26"/>
      <c r="Q149" s="126"/>
      <c r="R149" s="4">
        <f>SUM(MC[[#This Row],[ICR1]:[ICR12]])</f>
        <v>0</v>
      </c>
      <c r="S149" s="134"/>
      <c r="T149" s="133"/>
      <c r="U149" s="133"/>
      <c r="V149" s="134"/>
      <c r="W149" s="133"/>
      <c r="X149" s="133"/>
      <c r="Y149" s="133"/>
    </row>
    <row r="150" spans="1:25">
      <c r="A150" s="133">
        <v>148</v>
      </c>
      <c r="B150" s="127">
        <f t="shared" si="2"/>
        <v>45836</v>
      </c>
      <c r="C150" s="128">
        <f>YEAR(MC[[#This Row],[Date]])+IF(MONTH(MC[[#This Row],[Date]])&gt;=4,1,0)</f>
        <v>2026</v>
      </c>
      <c r="D150" s="129">
        <f>YEAR(MC[[#This Row],[Date]])</f>
        <v>2025</v>
      </c>
      <c r="E150" s="351" t="s">
        <v>218</v>
      </c>
      <c r="F150" s="351" t="s">
        <v>218</v>
      </c>
      <c r="G150" s="130" t="str">
        <f>TEXT(MC[[#This Row],[Date]],"mmm-yy")</f>
        <v>Jun-25</v>
      </c>
      <c r="H150" s="130">
        <f>DAY(EOMONTH(MC[[#This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26"/>
      <c r="Q150" s="126"/>
      <c r="R150" s="4">
        <f>SUM(MC[[#This Row],[ICR1]:[ICR12]])</f>
        <v>0</v>
      </c>
      <c r="S150" s="133"/>
      <c r="T150" s="133"/>
      <c r="U150" s="133"/>
      <c r="V150" s="133"/>
      <c r="W150" s="133"/>
      <c r="X150" s="133"/>
      <c r="Y150" s="135"/>
    </row>
    <row r="151" spans="1:25">
      <c r="A151" s="133">
        <v>149</v>
      </c>
      <c r="B151" s="127">
        <f t="shared" si="2"/>
        <v>45837</v>
      </c>
      <c r="C151" s="128">
        <f>YEAR(MC[[#This Row],[Date]])+IF(MONTH(MC[[#This Row],[Date]])&gt;=4,1,0)</f>
        <v>2026</v>
      </c>
      <c r="D151" s="129">
        <f>YEAR(MC[[#This Row],[Date]])</f>
        <v>2025</v>
      </c>
      <c r="E151" s="351" t="s">
        <v>218</v>
      </c>
      <c r="F151" s="351" t="s">
        <v>218</v>
      </c>
      <c r="G151" s="130" t="str">
        <f>TEXT(MC[[#This Row],[Date]],"mmm-yy")</f>
        <v>Jun-25</v>
      </c>
      <c r="H151" s="130">
        <f>DAY(EOMONTH(MC[[#This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26"/>
      <c r="Q151" s="126"/>
      <c r="R151" s="4">
        <f>SUM(MC[[#This Row],[ICR1]:[ICR12]])</f>
        <v>0</v>
      </c>
      <c r="S151" s="133"/>
      <c r="T151" s="133"/>
      <c r="U151" s="133"/>
      <c r="V151" s="133"/>
      <c r="W151" s="133"/>
      <c r="X151" s="133"/>
      <c r="Y151" s="135"/>
    </row>
    <row r="152" spans="1:25">
      <c r="A152" s="133">
        <v>150</v>
      </c>
      <c r="B152" s="127">
        <f t="shared" si="2"/>
        <v>45838</v>
      </c>
      <c r="C152" s="128">
        <f>YEAR(MC[[#This Row],[Date]])+IF(MONTH(MC[[#This Row],[Date]])&gt;=4,1,0)</f>
        <v>2026</v>
      </c>
      <c r="D152" s="129">
        <f>YEAR(MC[[#This Row],[Date]])</f>
        <v>2025</v>
      </c>
      <c r="E152" s="351" t="s">
        <v>218</v>
      </c>
      <c r="F152" s="351" t="s">
        <v>218</v>
      </c>
      <c r="G152" s="130" t="str">
        <f>TEXT(MC[[#This Row],[Date]],"mmm-yy")</f>
        <v>Jun-25</v>
      </c>
      <c r="H152" s="130">
        <f>DAY(EOMONTH(MC[[#This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26"/>
      <c r="Q152" s="126"/>
      <c r="R152" s="4">
        <f>SUM(MC[[#This Row],[ICR1]:[ICR12]])</f>
        <v>0</v>
      </c>
      <c r="S152" s="133"/>
      <c r="T152" s="133"/>
      <c r="U152" s="133"/>
      <c r="V152" s="133"/>
      <c r="W152" s="133"/>
      <c r="X152" s="133"/>
      <c r="Y152" s="135"/>
    </row>
    <row r="153" spans="1:25">
      <c r="A153" s="133">
        <v>151</v>
      </c>
      <c r="B153" s="127">
        <f t="shared" si="2"/>
        <v>45839</v>
      </c>
      <c r="C153" s="128">
        <f>YEAR(MC[[#This Row],[Date]])+IF(MONTH(MC[[#This Row],[Date]])&gt;=4,1,0)</f>
        <v>2026</v>
      </c>
      <c r="D153" s="129">
        <f>YEAR(MC[[#This Row],[Date]])</f>
        <v>2025</v>
      </c>
      <c r="E153" s="351" t="s">
        <v>218</v>
      </c>
      <c r="F153" s="351" t="s">
        <v>218</v>
      </c>
      <c r="G153" s="130" t="str">
        <f>TEXT(MC[[#This Row],[Date]],"mmm-yy")</f>
        <v>Jul-25</v>
      </c>
      <c r="H153" s="130">
        <f>DAY(EOMONTH(MC[[#This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26"/>
      <c r="Q153" s="126"/>
      <c r="R153" s="4">
        <f>SUM(MC[[#This Row],[ICR1]:[ICR12]])</f>
        <v>0</v>
      </c>
      <c r="S153" s="133"/>
      <c r="T153" s="133"/>
      <c r="U153" s="133"/>
      <c r="V153" s="133"/>
      <c r="W153" s="133"/>
      <c r="X153" s="133"/>
      <c r="Y153" s="135"/>
    </row>
    <row r="154" spans="1:25">
      <c r="A154" s="133">
        <v>152</v>
      </c>
      <c r="B154" s="127">
        <f t="shared" si="2"/>
        <v>45840</v>
      </c>
      <c r="C154" s="128">
        <f>YEAR(MC[[#This Row],[Date]])+IF(MONTH(MC[[#This Row],[Date]])&gt;=4,1,0)</f>
        <v>2026</v>
      </c>
      <c r="D154" s="129">
        <f>YEAR(MC[[#This Row],[Date]])</f>
        <v>2025</v>
      </c>
      <c r="E154" s="351" t="s">
        <v>218</v>
      </c>
      <c r="F154" s="351" t="s">
        <v>218</v>
      </c>
      <c r="G154" s="130" t="str">
        <f>TEXT(MC[[#This Row],[Date]],"mmm-yy")</f>
        <v>Jul-25</v>
      </c>
      <c r="H154" s="130">
        <f>DAY(EOMONTH(MC[[#This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26"/>
      <c r="Q154" s="126"/>
      <c r="R154" s="4">
        <f>SUM(MC[[#This Row],[ICR1]:[ICR12]])</f>
        <v>0</v>
      </c>
      <c r="S154" s="133"/>
      <c r="T154" s="133"/>
      <c r="U154" s="133"/>
      <c r="V154" s="133"/>
      <c r="W154" s="133"/>
      <c r="X154" s="133"/>
      <c r="Y154" s="135"/>
    </row>
    <row r="155" spans="1:25">
      <c r="A155" s="133">
        <v>153</v>
      </c>
      <c r="B155" s="127">
        <f t="shared" si="2"/>
        <v>45841</v>
      </c>
      <c r="C155" s="128">
        <f>YEAR(MC[[#This Row],[Date]])+IF(MONTH(MC[[#This Row],[Date]])&gt;=4,1,0)</f>
        <v>2026</v>
      </c>
      <c r="D155" s="129">
        <f>YEAR(MC[[#This Row],[Date]])</f>
        <v>2025</v>
      </c>
      <c r="E155" s="351" t="s">
        <v>218</v>
      </c>
      <c r="F155" s="351" t="s">
        <v>218</v>
      </c>
      <c r="G155" s="130" t="str">
        <f>TEXT(MC[[#This Row],[Date]],"mmm-yy")</f>
        <v>Jul-25</v>
      </c>
      <c r="H155" s="130">
        <f>DAY(EOMONTH(MC[[#This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26"/>
      <c r="Q155" s="126"/>
      <c r="R155" s="4">
        <f>SUM(MC[[#This Row],[ICR1]:[ICR12]])</f>
        <v>0</v>
      </c>
      <c r="S155" s="133"/>
      <c r="T155" s="133"/>
      <c r="U155" s="133"/>
      <c r="V155" s="133"/>
      <c r="W155" s="133"/>
      <c r="X155" s="133"/>
      <c r="Y155" s="135"/>
    </row>
    <row r="156" spans="1:25">
      <c r="A156" s="133">
        <v>154</v>
      </c>
      <c r="B156" s="127">
        <f t="shared" si="2"/>
        <v>45842</v>
      </c>
      <c r="C156" s="128">
        <f>YEAR(MC[[#This Row],[Date]])+IF(MONTH(MC[[#This Row],[Date]])&gt;=4,1,0)</f>
        <v>2026</v>
      </c>
      <c r="D156" s="129">
        <f>YEAR(MC[[#This Row],[Date]])</f>
        <v>2025</v>
      </c>
      <c r="E156" s="351" t="s">
        <v>218</v>
      </c>
      <c r="F156" s="351" t="s">
        <v>218</v>
      </c>
      <c r="G156" s="130" t="str">
        <f>TEXT(MC[[#This Row],[Date]],"mmm-yy")</f>
        <v>Jul-25</v>
      </c>
      <c r="H156" s="130">
        <f>DAY(EOMONTH(MC[[#This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26"/>
      <c r="Q156" s="126"/>
      <c r="R156" s="4">
        <f>SUM(MC[[#This Row],[ICR1]:[ICR12]])</f>
        <v>0</v>
      </c>
      <c r="S156" s="134"/>
      <c r="T156" s="133"/>
      <c r="U156" s="133"/>
      <c r="V156" s="134"/>
      <c r="W156" s="133"/>
      <c r="X156" s="133"/>
      <c r="Y156" s="133"/>
    </row>
    <row r="157" spans="1:25">
      <c r="A157" s="133">
        <v>155</v>
      </c>
      <c r="B157" s="127">
        <f t="shared" si="2"/>
        <v>45843</v>
      </c>
      <c r="C157" s="128">
        <f>YEAR(MC[[#This Row],[Date]])+IF(MONTH(MC[[#This Row],[Date]])&gt;=4,1,0)</f>
        <v>2026</v>
      </c>
      <c r="D157" s="129">
        <f>YEAR(MC[[#This Row],[Date]])</f>
        <v>2025</v>
      </c>
      <c r="E157" s="351" t="s">
        <v>218</v>
      </c>
      <c r="F157" s="351" t="s">
        <v>218</v>
      </c>
      <c r="G157" s="130" t="str">
        <f>TEXT(MC[[#This Row],[Date]],"mmm-yy")</f>
        <v>Jul-25</v>
      </c>
      <c r="H157" s="130">
        <f>DAY(EOMONTH(MC[[#This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26"/>
      <c r="Q157" s="126"/>
      <c r="R157" s="4">
        <f>SUM(MC[[#This Row],[ICR1]:[ICR12]])</f>
        <v>0</v>
      </c>
      <c r="S157" s="134"/>
      <c r="T157" s="133"/>
      <c r="U157" s="133"/>
      <c r="V157" s="134"/>
      <c r="W157" s="133"/>
      <c r="X157" s="133"/>
      <c r="Y157" s="133"/>
    </row>
    <row r="158" spans="1:25">
      <c r="A158" s="133">
        <v>156</v>
      </c>
      <c r="B158" s="127">
        <f t="shared" si="2"/>
        <v>45844</v>
      </c>
      <c r="C158" s="128">
        <f>YEAR(MC[[#This Row],[Date]])+IF(MONTH(MC[[#This Row],[Date]])&gt;=4,1,0)</f>
        <v>2026</v>
      </c>
      <c r="D158" s="129">
        <f>YEAR(MC[[#This Row],[Date]])</f>
        <v>2025</v>
      </c>
      <c r="E158" s="351" t="s">
        <v>218</v>
      </c>
      <c r="F158" s="351" t="s">
        <v>218</v>
      </c>
      <c r="G158" s="130" t="str">
        <f>TEXT(MC[[#This Row],[Date]],"mmm-yy")</f>
        <v>Jul-25</v>
      </c>
      <c r="H158" s="130">
        <f>DAY(EOMONTH(MC[[#This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26"/>
      <c r="Q158" s="126"/>
      <c r="R158" s="4">
        <f>SUM(MC[[#This Row],[ICR1]:[ICR12]])</f>
        <v>0</v>
      </c>
      <c r="S158" s="134"/>
      <c r="T158" s="133"/>
      <c r="U158" s="133"/>
      <c r="V158" s="134"/>
      <c r="W158" s="133"/>
      <c r="X158" s="133"/>
      <c r="Y158" s="133"/>
    </row>
    <row r="159" spans="1:25">
      <c r="A159" s="133">
        <v>157</v>
      </c>
      <c r="B159" s="127">
        <f t="shared" si="2"/>
        <v>45845</v>
      </c>
      <c r="C159" s="128">
        <f>YEAR(MC[[#This Row],[Date]])+IF(MONTH(MC[[#This Row],[Date]])&gt;=4,1,0)</f>
        <v>2026</v>
      </c>
      <c r="D159" s="129">
        <f>YEAR(MC[[#This Row],[Date]])</f>
        <v>2025</v>
      </c>
      <c r="E159" s="351" t="s">
        <v>218</v>
      </c>
      <c r="F159" s="351" t="s">
        <v>218</v>
      </c>
      <c r="G159" s="130" t="str">
        <f>TEXT(MC[[#This Row],[Date]],"mmm-yy")</f>
        <v>Jul-25</v>
      </c>
      <c r="H159" s="130">
        <f>DAY(EOMONTH(MC[[#This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26"/>
      <c r="Q159" s="126"/>
      <c r="R159" s="4">
        <f>SUM(MC[[#This Row],[ICR1]:[ICR12]])</f>
        <v>0</v>
      </c>
      <c r="S159" s="134"/>
      <c r="T159" s="133"/>
      <c r="U159" s="133"/>
      <c r="V159" s="134"/>
      <c r="W159" s="133"/>
      <c r="X159" s="133"/>
      <c r="Y159" s="133"/>
    </row>
    <row r="160" spans="1:25">
      <c r="A160" s="133">
        <v>158</v>
      </c>
      <c r="B160" s="127">
        <f t="shared" si="2"/>
        <v>45846</v>
      </c>
      <c r="C160" s="128">
        <f>YEAR(MC[[#This Row],[Date]])+IF(MONTH(MC[[#This Row],[Date]])&gt;=4,1,0)</f>
        <v>2026</v>
      </c>
      <c r="D160" s="129">
        <f>YEAR(MC[[#This Row],[Date]])</f>
        <v>2025</v>
      </c>
      <c r="E160" s="351" t="s">
        <v>218</v>
      </c>
      <c r="F160" s="351" t="s">
        <v>218</v>
      </c>
      <c r="G160" s="130" t="str">
        <f>TEXT(MC[[#This Row],[Date]],"mmm-yy")</f>
        <v>Jul-25</v>
      </c>
      <c r="H160" s="130">
        <f>DAY(EOMONTH(MC[[#This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26"/>
      <c r="Q160" s="126"/>
      <c r="R160" s="4">
        <f>SUM(MC[[#This Row],[ICR1]:[ICR12]])</f>
        <v>0</v>
      </c>
      <c r="S160" s="133"/>
      <c r="T160" s="133"/>
      <c r="U160" s="133"/>
      <c r="V160" s="133"/>
      <c r="W160" s="133"/>
      <c r="X160" s="133"/>
      <c r="Y160" s="133"/>
    </row>
    <row r="161" spans="1:25">
      <c r="A161" s="133">
        <v>159</v>
      </c>
      <c r="B161" s="127">
        <f t="shared" si="2"/>
        <v>45847</v>
      </c>
      <c r="C161" s="128">
        <f>YEAR(MC[[#This Row],[Date]])+IF(MONTH(MC[[#This Row],[Date]])&gt;=4,1,0)</f>
        <v>2026</v>
      </c>
      <c r="D161" s="129">
        <f>YEAR(MC[[#This Row],[Date]])</f>
        <v>2025</v>
      </c>
      <c r="E161" s="351" t="s">
        <v>218</v>
      </c>
      <c r="F161" s="351" t="s">
        <v>218</v>
      </c>
      <c r="G161" s="130" t="str">
        <f>TEXT(MC[[#This Row],[Date]],"mmm-yy")</f>
        <v>Jul-25</v>
      </c>
      <c r="H161" s="130">
        <f>DAY(EOMONTH(MC[[#This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26"/>
      <c r="Q161" s="126"/>
      <c r="R161" s="4">
        <f>SUM(MC[[#This Row],[ICR1]:[ICR12]])</f>
        <v>0</v>
      </c>
      <c r="S161" s="134"/>
      <c r="T161" s="133"/>
      <c r="U161" s="133"/>
      <c r="V161" s="134"/>
      <c r="W161" s="133"/>
      <c r="X161" s="133"/>
      <c r="Y161" s="133"/>
    </row>
    <row r="162" spans="1:25">
      <c r="A162" s="133">
        <v>160</v>
      </c>
      <c r="B162" s="127">
        <f t="shared" si="2"/>
        <v>45848</v>
      </c>
      <c r="C162" s="128">
        <f>YEAR(MC[[#This Row],[Date]])+IF(MONTH(MC[[#This Row],[Date]])&gt;=4,1,0)</f>
        <v>2026</v>
      </c>
      <c r="D162" s="129">
        <f>YEAR(MC[[#This Row],[Date]])</f>
        <v>2025</v>
      </c>
      <c r="E162" s="351" t="s">
        <v>218</v>
      </c>
      <c r="F162" s="351" t="s">
        <v>218</v>
      </c>
      <c r="G162" s="130" t="str">
        <f>TEXT(MC[[#This Row],[Date]],"mmm-yy")</f>
        <v>Jul-25</v>
      </c>
      <c r="H162" s="130">
        <f>DAY(EOMONTH(MC[[#This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26"/>
      <c r="Q162" s="126"/>
      <c r="R162" s="4">
        <f>SUM(MC[[#This Row],[ICR1]:[ICR12]])</f>
        <v>0</v>
      </c>
      <c r="S162" s="134"/>
      <c r="T162" s="133"/>
      <c r="U162" s="133"/>
      <c r="V162" s="134"/>
      <c r="W162" s="133"/>
      <c r="X162" s="133"/>
      <c r="Y162" s="133"/>
    </row>
    <row r="163" spans="1:25">
      <c r="A163" s="133">
        <v>161</v>
      </c>
      <c r="B163" s="127">
        <f t="shared" si="2"/>
        <v>45849</v>
      </c>
      <c r="C163" s="128">
        <f>YEAR(MC[[#This Row],[Date]])+IF(MONTH(MC[[#This Row],[Date]])&gt;=4,1,0)</f>
        <v>2026</v>
      </c>
      <c r="D163" s="129">
        <f>YEAR(MC[[#This Row],[Date]])</f>
        <v>2025</v>
      </c>
      <c r="E163" s="351" t="s">
        <v>218</v>
      </c>
      <c r="F163" s="351" t="s">
        <v>218</v>
      </c>
      <c r="G163" s="130" t="str">
        <f>TEXT(MC[[#This Row],[Date]],"mmm-yy")</f>
        <v>Jul-25</v>
      </c>
      <c r="H163" s="130">
        <f>DAY(EOMONTH(MC[[#This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26"/>
      <c r="Q163" s="126"/>
      <c r="R163" s="4">
        <f>SUM(MC[[#This Row],[ICR1]:[ICR12]])</f>
        <v>0</v>
      </c>
      <c r="S163" s="134"/>
      <c r="T163" s="133"/>
      <c r="U163" s="133"/>
      <c r="V163" s="134"/>
      <c r="W163" s="133"/>
      <c r="X163" s="133"/>
      <c r="Y163" s="133"/>
    </row>
    <row r="164" spans="1:25">
      <c r="A164" s="133">
        <v>162</v>
      </c>
      <c r="B164" s="127">
        <f t="shared" si="2"/>
        <v>45850</v>
      </c>
      <c r="C164" s="128">
        <f>YEAR(MC[[#This Row],[Date]])+IF(MONTH(MC[[#This Row],[Date]])&gt;=4,1,0)</f>
        <v>2026</v>
      </c>
      <c r="D164" s="129">
        <f>YEAR(MC[[#This Row],[Date]])</f>
        <v>2025</v>
      </c>
      <c r="E164" s="351" t="s">
        <v>218</v>
      </c>
      <c r="F164" s="351" t="s">
        <v>218</v>
      </c>
      <c r="G164" s="130" t="str">
        <f>TEXT(MC[[#This Row],[Date]],"mmm-yy")</f>
        <v>Jul-25</v>
      </c>
      <c r="H164" s="130">
        <f>DAY(EOMONTH(MC[[#This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26"/>
      <c r="Q164" s="126"/>
      <c r="R164" s="4">
        <f>SUM(MC[[#This Row],[ICR1]:[ICR12]])</f>
        <v>0</v>
      </c>
      <c r="S164" s="134"/>
      <c r="T164" s="133"/>
      <c r="U164" s="133"/>
      <c r="V164" s="134"/>
      <c r="W164" s="133"/>
      <c r="X164" s="133"/>
      <c r="Y164" s="133"/>
    </row>
    <row r="165" spans="1:25">
      <c r="A165" s="133">
        <v>163</v>
      </c>
      <c r="B165" s="127">
        <f t="shared" si="2"/>
        <v>45851</v>
      </c>
      <c r="C165" s="128">
        <f>YEAR(MC[[#This Row],[Date]])+IF(MONTH(MC[[#This Row],[Date]])&gt;=4,1,0)</f>
        <v>2026</v>
      </c>
      <c r="D165" s="129">
        <f>YEAR(MC[[#This Row],[Date]])</f>
        <v>2025</v>
      </c>
      <c r="E165" s="351" t="s">
        <v>218</v>
      </c>
      <c r="F165" s="351" t="s">
        <v>218</v>
      </c>
      <c r="G165" s="130" t="str">
        <f>TEXT(MC[[#This Row],[Date]],"mmm-yy")</f>
        <v>Jul-25</v>
      </c>
      <c r="H165" s="130">
        <f>DAY(EOMONTH(MC[[#This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26"/>
      <c r="Q165" s="126"/>
      <c r="R165" s="4">
        <f>SUM(MC[[#This Row],[ICR1]:[ICR12]])</f>
        <v>0</v>
      </c>
      <c r="S165" s="133"/>
      <c r="T165" s="133"/>
      <c r="U165" s="133"/>
      <c r="V165" s="133"/>
      <c r="W165" s="133"/>
      <c r="X165" s="133"/>
      <c r="Y165" s="133"/>
    </row>
    <row r="166" spans="1:25">
      <c r="A166" s="133">
        <v>164</v>
      </c>
      <c r="B166" s="127">
        <f t="shared" si="2"/>
        <v>45852</v>
      </c>
      <c r="C166" s="128">
        <f>YEAR(MC[[#This Row],[Date]])+IF(MONTH(MC[[#This Row],[Date]])&gt;=4,1,0)</f>
        <v>2026</v>
      </c>
      <c r="D166" s="129">
        <f>YEAR(MC[[#This Row],[Date]])</f>
        <v>2025</v>
      </c>
      <c r="E166" s="351" t="s">
        <v>218</v>
      </c>
      <c r="F166" s="351" t="s">
        <v>218</v>
      </c>
      <c r="G166" s="130" t="str">
        <f>TEXT(MC[[#This Row],[Date]],"mmm-yy")</f>
        <v>Jul-25</v>
      </c>
      <c r="H166" s="130">
        <f>DAY(EOMONTH(MC[[#This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26"/>
      <c r="Q166" s="126"/>
      <c r="R166" s="4">
        <f>SUM(MC[[#This Row],[ICR1]:[ICR12]])</f>
        <v>0</v>
      </c>
      <c r="S166" s="133"/>
      <c r="T166" s="133"/>
      <c r="U166" s="133"/>
      <c r="V166" s="133"/>
      <c r="W166" s="133"/>
      <c r="X166" s="133"/>
      <c r="Y166" s="135"/>
    </row>
    <row r="167" spans="1:25">
      <c r="A167" s="133">
        <v>165</v>
      </c>
      <c r="B167" s="127">
        <f t="shared" si="2"/>
        <v>45853</v>
      </c>
      <c r="C167" s="128">
        <f>YEAR(MC[[#This Row],[Date]])+IF(MONTH(MC[[#This Row],[Date]])&gt;=4,1,0)</f>
        <v>2026</v>
      </c>
      <c r="D167" s="129">
        <f>YEAR(MC[[#This Row],[Date]])</f>
        <v>2025</v>
      </c>
      <c r="E167" s="351" t="s">
        <v>218</v>
      </c>
      <c r="F167" s="351" t="s">
        <v>218</v>
      </c>
      <c r="G167" s="130" t="str">
        <f>TEXT(MC[[#This Row],[Date]],"mmm-yy")</f>
        <v>Jul-25</v>
      </c>
      <c r="H167" s="130">
        <f>DAY(EOMONTH(MC[[#This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26"/>
      <c r="Q167" s="126"/>
      <c r="R167" s="4">
        <f>SUM(MC[[#This Row],[ICR1]:[ICR12]])</f>
        <v>0</v>
      </c>
      <c r="S167" s="133"/>
      <c r="T167" s="133"/>
      <c r="U167" s="133"/>
      <c r="V167" s="133"/>
      <c r="W167" s="133"/>
      <c r="X167" s="133"/>
      <c r="Y167" s="135"/>
    </row>
    <row r="168" spans="1:25">
      <c r="A168" s="133">
        <v>166</v>
      </c>
      <c r="B168" s="127">
        <f t="shared" si="2"/>
        <v>45854</v>
      </c>
      <c r="C168" s="128">
        <f>YEAR(MC[[#This Row],[Date]])+IF(MONTH(MC[[#This Row],[Date]])&gt;=4,1,0)</f>
        <v>2026</v>
      </c>
      <c r="D168" s="129">
        <f>YEAR(MC[[#This Row],[Date]])</f>
        <v>2025</v>
      </c>
      <c r="E168" s="351" t="s">
        <v>218</v>
      </c>
      <c r="F168" s="351" t="s">
        <v>218</v>
      </c>
      <c r="G168" s="130" t="str">
        <f>TEXT(MC[[#This Row],[Date]],"mmm-yy")</f>
        <v>Jul-25</v>
      </c>
      <c r="H168" s="130">
        <f>DAY(EOMONTH(MC[[#This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26"/>
      <c r="Q168" s="126"/>
      <c r="R168" s="4">
        <f>SUM(MC[[#This Row],[ICR1]:[ICR12]])</f>
        <v>0</v>
      </c>
      <c r="S168" s="133"/>
      <c r="T168" s="133"/>
      <c r="U168" s="133"/>
      <c r="V168" s="133"/>
      <c r="W168" s="133"/>
      <c r="X168" s="133"/>
      <c r="Y168" s="135"/>
    </row>
    <row r="169" spans="1:25">
      <c r="A169" s="133">
        <v>167</v>
      </c>
      <c r="B169" s="127">
        <f t="shared" si="2"/>
        <v>45855</v>
      </c>
      <c r="C169" s="128">
        <f>YEAR(MC[[#This Row],[Date]])+IF(MONTH(MC[[#This Row],[Date]])&gt;=4,1,0)</f>
        <v>2026</v>
      </c>
      <c r="D169" s="129">
        <f>YEAR(MC[[#This Row],[Date]])</f>
        <v>2025</v>
      </c>
      <c r="E169" s="351" t="s">
        <v>218</v>
      </c>
      <c r="F169" s="351" t="s">
        <v>218</v>
      </c>
      <c r="G169" s="130" t="str">
        <f>TEXT(MC[[#This Row],[Date]],"mmm-yy")</f>
        <v>Jul-25</v>
      </c>
      <c r="H169" s="130">
        <f>DAY(EOMONTH(MC[[#This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26"/>
      <c r="Q169" s="126"/>
      <c r="R169" s="4">
        <f>SUM(MC[[#This Row],[ICR1]:[ICR12]])</f>
        <v>0</v>
      </c>
      <c r="S169" s="133"/>
      <c r="T169" s="133"/>
      <c r="U169" s="133"/>
      <c r="V169" s="133"/>
      <c r="W169" s="133"/>
      <c r="X169" s="133"/>
      <c r="Y169" s="135"/>
    </row>
    <row r="170" spans="1:25">
      <c r="A170" s="133">
        <v>168</v>
      </c>
      <c r="B170" s="127">
        <f t="shared" si="2"/>
        <v>45856</v>
      </c>
      <c r="C170" s="128">
        <f>YEAR(MC[[#This Row],[Date]])+IF(MONTH(MC[[#This Row],[Date]])&gt;=4,1,0)</f>
        <v>2026</v>
      </c>
      <c r="D170" s="129">
        <f>YEAR(MC[[#This Row],[Date]])</f>
        <v>2025</v>
      </c>
      <c r="E170" s="351" t="s">
        <v>218</v>
      </c>
      <c r="F170" s="351" t="s">
        <v>218</v>
      </c>
      <c r="G170" s="130" t="str">
        <f>TEXT(MC[[#This Row],[Date]],"mmm-yy")</f>
        <v>Jul-25</v>
      </c>
      <c r="H170" s="130">
        <f>DAY(EOMONTH(MC[[#This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26"/>
      <c r="Q170" s="126"/>
      <c r="R170" s="4">
        <f>SUM(MC[[#This Row],[ICR1]:[ICR12]])</f>
        <v>0</v>
      </c>
      <c r="S170" s="133"/>
      <c r="T170" s="133"/>
      <c r="U170" s="133"/>
      <c r="V170" s="133"/>
      <c r="W170" s="133"/>
      <c r="X170" s="133"/>
      <c r="Y170" s="135"/>
    </row>
    <row r="171" spans="1:25">
      <c r="A171" s="133">
        <v>169</v>
      </c>
      <c r="B171" s="127">
        <f t="shared" si="2"/>
        <v>45857</v>
      </c>
      <c r="C171" s="128">
        <f>YEAR(MC[[#This Row],[Date]])+IF(MONTH(MC[[#This Row],[Date]])&gt;=4,1,0)</f>
        <v>2026</v>
      </c>
      <c r="D171" s="129">
        <f>YEAR(MC[[#This Row],[Date]])</f>
        <v>2025</v>
      </c>
      <c r="E171" s="351" t="s">
        <v>218</v>
      </c>
      <c r="F171" s="351" t="s">
        <v>218</v>
      </c>
      <c r="G171" s="130" t="str">
        <f>TEXT(MC[[#This Row],[Date]],"mmm-yy")</f>
        <v>Jul-25</v>
      </c>
      <c r="H171" s="130">
        <f>DAY(EOMONTH(MC[[#This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26"/>
      <c r="Q171" s="126"/>
      <c r="R171" s="4">
        <f>SUM(MC[[#This Row],[ICR1]:[ICR12]])</f>
        <v>0</v>
      </c>
      <c r="S171" s="133"/>
      <c r="T171" s="133"/>
      <c r="U171" s="133"/>
      <c r="V171" s="133"/>
      <c r="W171" s="133"/>
      <c r="X171" s="133"/>
      <c r="Y171" s="135"/>
    </row>
    <row r="172" spans="1:25">
      <c r="A172" s="133">
        <v>170</v>
      </c>
      <c r="B172" s="127">
        <f t="shared" si="2"/>
        <v>45858</v>
      </c>
      <c r="C172" s="128">
        <f>YEAR(MC[[#This Row],[Date]])+IF(MONTH(MC[[#This Row],[Date]])&gt;=4,1,0)</f>
        <v>2026</v>
      </c>
      <c r="D172" s="129">
        <f>YEAR(MC[[#This Row],[Date]])</f>
        <v>2025</v>
      </c>
      <c r="E172" s="351" t="s">
        <v>218</v>
      </c>
      <c r="F172" s="351" t="s">
        <v>218</v>
      </c>
      <c r="G172" s="130" t="str">
        <f>TEXT(MC[[#This Row],[Date]],"mmm-yy")</f>
        <v>Jul-25</v>
      </c>
      <c r="H172" s="130">
        <f>DAY(EOMONTH(MC[[#This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26"/>
      <c r="Q172" s="126"/>
      <c r="R172" s="4">
        <f>SUM(MC[[#This Row],[ICR1]:[ICR12]])</f>
        <v>0</v>
      </c>
      <c r="S172" s="133"/>
      <c r="T172" s="133"/>
      <c r="U172" s="133"/>
      <c r="V172" s="133"/>
      <c r="W172" s="133"/>
      <c r="X172" s="133"/>
      <c r="Y172" s="135"/>
    </row>
    <row r="173" spans="1:25">
      <c r="A173" s="133">
        <v>171</v>
      </c>
      <c r="B173" s="127">
        <f t="shared" si="2"/>
        <v>45859</v>
      </c>
      <c r="C173" s="128">
        <f>YEAR(MC[[#This Row],[Date]])+IF(MONTH(MC[[#This Row],[Date]])&gt;=4,1,0)</f>
        <v>2026</v>
      </c>
      <c r="D173" s="129">
        <f>YEAR(MC[[#This Row],[Date]])</f>
        <v>2025</v>
      </c>
      <c r="E173" s="351" t="s">
        <v>218</v>
      </c>
      <c r="F173" s="351" t="s">
        <v>218</v>
      </c>
      <c r="G173" s="130" t="str">
        <f>TEXT(MC[[#This Row],[Date]],"mmm-yy")</f>
        <v>Jul-25</v>
      </c>
      <c r="H173" s="130">
        <f>DAY(EOMONTH(MC[[#This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26"/>
      <c r="Q173" s="126"/>
      <c r="R173" s="4">
        <f>SUM(MC[[#This Row],[ICR1]:[ICR12]])</f>
        <v>0</v>
      </c>
      <c r="S173" s="133"/>
      <c r="T173" s="133"/>
      <c r="U173" s="133"/>
      <c r="V173" s="133"/>
      <c r="W173" s="133"/>
      <c r="X173" s="133"/>
      <c r="Y173" s="135"/>
    </row>
    <row r="174" spans="1:25">
      <c r="A174" s="133">
        <v>172</v>
      </c>
      <c r="B174" s="127">
        <f t="shared" si="2"/>
        <v>45860</v>
      </c>
      <c r="C174" s="128">
        <f>YEAR(MC[[#This Row],[Date]])+IF(MONTH(MC[[#This Row],[Date]])&gt;=4,1,0)</f>
        <v>2026</v>
      </c>
      <c r="D174" s="129">
        <f>YEAR(MC[[#This Row],[Date]])</f>
        <v>2025</v>
      </c>
      <c r="E174" s="351" t="s">
        <v>218</v>
      </c>
      <c r="F174" s="351" t="s">
        <v>218</v>
      </c>
      <c r="G174" s="130" t="str">
        <f>TEXT(MC[[#This Row],[Date]],"mmm-yy")</f>
        <v>Jul-25</v>
      </c>
      <c r="H174" s="130">
        <f>DAY(EOMONTH(MC[[#This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26"/>
      <c r="Q174" s="126"/>
      <c r="R174" s="4">
        <f>SUM(MC[[#This Row],[ICR1]:[ICR12]])</f>
        <v>0</v>
      </c>
      <c r="S174" s="133"/>
      <c r="T174" s="133"/>
      <c r="U174" s="133"/>
      <c r="V174" s="133"/>
      <c r="W174" s="133"/>
      <c r="X174" s="133"/>
      <c r="Y174" s="135"/>
    </row>
    <row r="175" spans="1:25">
      <c r="A175" s="133">
        <v>173</v>
      </c>
      <c r="B175" s="127">
        <f t="shared" si="2"/>
        <v>45861</v>
      </c>
      <c r="C175" s="128">
        <f>YEAR(MC[[#This Row],[Date]])+IF(MONTH(MC[[#This Row],[Date]])&gt;=4,1,0)</f>
        <v>2026</v>
      </c>
      <c r="D175" s="129">
        <f>YEAR(MC[[#This Row],[Date]])</f>
        <v>2025</v>
      </c>
      <c r="E175" s="351" t="s">
        <v>218</v>
      </c>
      <c r="F175" s="351" t="s">
        <v>218</v>
      </c>
      <c r="G175" s="130" t="str">
        <f>TEXT(MC[[#This Row],[Date]],"mmm-yy")</f>
        <v>Jul-25</v>
      </c>
      <c r="H175" s="130">
        <f>DAY(EOMONTH(MC[[#This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26"/>
      <c r="Q175" s="126"/>
      <c r="R175" s="4">
        <f>SUM(MC[[#This Row],[ICR1]:[ICR12]])</f>
        <v>0</v>
      </c>
      <c r="S175" s="133"/>
      <c r="T175" s="133"/>
      <c r="U175" s="133"/>
      <c r="V175" s="133"/>
      <c r="W175" s="133"/>
      <c r="X175" s="133"/>
      <c r="Y175" s="135"/>
    </row>
    <row r="176" spans="1:25">
      <c r="A176" s="133">
        <v>174</v>
      </c>
      <c r="B176" s="127">
        <f t="shared" si="2"/>
        <v>45862</v>
      </c>
      <c r="C176" s="128">
        <f>YEAR(MC[[#This Row],[Date]])+IF(MONTH(MC[[#This Row],[Date]])&gt;=4,1,0)</f>
        <v>2026</v>
      </c>
      <c r="D176" s="129">
        <f>YEAR(MC[[#This Row],[Date]])</f>
        <v>2025</v>
      </c>
      <c r="E176" s="351" t="s">
        <v>218</v>
      </c>
      <c r="F176" s="351" t="s">
        <v>218</v>
      </c>
      <c r="G176" s="130" t="str">
        <f>TEXT(MC[[#This Row],[Date]],"mmm-yy")</f>
        <v>Jul-25</v>
      </c>
      <c r="H176" s="130">
        <f>DAY(EOMONTH(MC[[#This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26"/>
      <c r="Q176" s="126"/>
      <c r="R176" s="4">
        <f>SUM(MC[[#This Row],[ICR1]:[ICR12]])</f>
        <v>0</v>
      </c>
      <c r="S176" s="133"/>
      <c r="T176" s="133"/>
      <c r="U176" s="133"/>
      <c r="V176" s="133"/>
      <c r="W176" s="133"/>
      <c r="X176" s="133"/>
      <c r="Y176" s="135"/>
    </row>
    <row r="177" spans="1:25">
      <c r="A177" s="133">
        <v>175</v>
      </c>
      <c r="B177" s="127">
        <f t="shared" si="2"/>
        <v>45863</v>
      </c>
      <c r="C177" s="128">
        <f>YEAR(MC[[#This Row],[Date]])+IF(MONTH(MC[[#This Row],[Date]])&gt;=4,1,0)</f>
        <v>2026</v>
      </c>
      <c r="D177" s="129">
        <f>YEAR(MC[[#This Row],[Date]])</f>
        <v>2025</v>
      </c>
      <c r="E177" s="351" t="s">
        <v>218</v>
      </c>
      <c r="F177" s="351" t="s">
        <v>218</v>
      </c>
      <c r="G177" s="130" t="str">
        <f>TEXT(MC[[#This Row],[Date]],"mmm-yy")</f>
        <v>Jul-25</v>
      </c>
      <c r="H177" s="130">
        <f>DAY(EOMONTH(MC[[#This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26"/>
      <c r="Q177" s="126"/>
      <c r="R177" s="4">
        <f>SUM(MC[[#This Row],[ICR1]:[ICR12]])</f>
        <v>0</v>
      </c>
      <c r="S177" s="133"/>
      <c r="T177" s="133"/>
      <c r="U177" s="133"/>
      <c r="V177" s="133"/>
      <c r="W177" s="133"/>
      <c r="X177" s="133"/>
      <c r="Y177" s="135"/>
    </row>
    <row r="178" spans="1:25">
      <c r="A178" s="133">
        <v>176</v>
      </c>
      <c r="B178" s="127">
        <f t="shared" si="2"/>
        <v>45864</v>
      </c>
      <c r="C178" s="128">
        <f>YEAR(MC[[#This Row],[Date]])+IF(MONTH(MC[[#This Row],[Date]])&gt;=4,1,0)</f>
        <v>2026</v>
      </c>
      <c r="D178" s="129">
        <f>YEAR(MC[[#This Row],[Date]])</f>
        <v>2025</v>
      </c>
      <c r="E178" s="351" t="s">
        <v>218</v>
      </c>
      <c r="F178" s="351" t="s">
        <v>218</v>
      </c>
      <c r="G178" s="130" t="str">
        <f>TEXT(MC[[#This Row],[Date]],"mmm-yy")</f>
        <v>Jul-25</v>
      </c>
      <c r="H178" s="130">
        <f>DAY(EOMONTH(MC[[#This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26"/>
      <c r="Q178" s="126"/>
      <c r="R178" s="4">
        <f>SUM(MC[[#This Row],[ICR1]:[ICR12]])</f>
        <v>0</v>
      </c>
      <c r="S178" s="133"/>
      <c r="T178" s="133"/>
      <c r="U178" s="133"/>
      <c r="V178" s="133"/>
      <c r="W178" s="133"/>
      <c r="X178" s="133"/>
      <c r="Y178" s="135"/>
    </row>
    <row r="179" spans="1:25">
      <c r="A179" s="133">
        <v>177</v>
      </c>
      <c r="B179" s="127">
        <f t="shared" si="2"/>
        <v>45865</v>
      </c>
      <c r="C179" s="128">
        <f>YEAR(MC[[#This Row],[Date]])+IF(MONTH(MC[[#This Row],[Date]])&gt;=4,1,0)</f>
        <v>2026</v>
      </c>
      <c r="D179" s="129">
        <f>YEAR(MC[[#This Row],[Date]])</f>
        <v>2025</v>
      </c>
      <c r="E179" s="351" t="s">
        <v>218</v>
      </c>
      <c r="F179" s="351" t="s">
        <v>218</v>
      </c>
      <c r="G179" s="130" t="str">
        <f>TEXT(MC[[#This Row],[Date]],"mmm-yy")</f>
        <v>Jul-25</v>
      </c>
      <c r="H179" s="130">
        <f>DAY(EOMONTH(MC[[#This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26"/>
      <c r="Q179" s="126"/>
      <c r="R179" s="4">
        <f>SUM(MC[[#This Row],[ICR1]:[ICR12]])</f>
        <v>0</v>
      </c>
      <c r="S179" s="133"/>
      <c r="T179" s="133"/>
      <c r="U179" s="133"/>
      <c r="V179" s="133"/>
      <c r="W179" s="133"/>
      <c r="X179" s="133"/>
      <c r="Y179" s="135"/>
    </row>
    <row r="180" spans="1:25">
      <c r="A180" s="133">
        <v>177</v>
      </c>
      <c r="B180" s="127">
        <f t="shared" si="2"/>
        <v>45866</v>
      </c>
      <c r="C180" s="128">
        <f>YEAR(MC[[#This Row],[Date]])+IF(MONTH(MC[[#This Row],[Date]])&gt;=4,1,0)</f>
        <v>2026</v>
      </c>
      <c r="D180" s="129">
        <f>YEAR(MC[[#This Row],[Date]])</f>
        <v>2025</v>
      </c>
      <c r="E180" s="351" t="s">
        <v>218</v>
      </c>
      <c r="F180" s="351" t="s">
        <v>218</v>
      </c>
      <c r="G180" s="130" t="str">
        <f>TEXT(MC[[#This Row],[Date]],"mmm-yy")</f>
        <v>Jul-25</v>
      </c>
      <c r="H180" s="130">
        <f>DAY(EOMONTH(MC[[#This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26"/>
      <c r="Q180" s="126"/>
      <c r="R180" s="4">
        <f>SUM(MC[[#This Row],[ICR1]:[ICR12]])</f>
        <v>0</v>
      </c>
      <c r="S180" s="133"/>
      <c r="T180" s="133"/>
      <c r="U180" s="133"/>
      <c r="V180" s="133"/>
      <c r="W180" s="133"/>
      <c r="X180" s="133"/>
      <c r="Y180" s="135"/>
    </row>
    <row r="181" spans="1:25">
      <c r="A181" s="133">
        <v>179</v>
      </c>
      <c r="B181" s="127">
        <f t="shared" si="2"/>
        <v>45867</v>
      </c>
      <c r="C181" s="128">
        <f>YEAR(MC[[#This Row],[Date]])+IF(MONTH(MC[[#This Row],[Date]])&gt;=4,1,0)</f>
        <v>2026</v>
      </c>
      <c r="D181" s="129">
        <f>YEAR(MC[[#This Row],[Date]])</f>
        <v>2025</v>
      </c>
      <c r="E181" s="351" t="s">
        <v>218</v>
      </c>
      <c r="F181" s="351" t="s">
        <v>218</v>
      </c>
      <c r="G181" s="130" t="str">
        <f>TEXT(MC[[#This Row],[Date]],"mmm-yy")</f>
        <v>Jul-25</v>
      </c>
      <c r="H181" s="130">
        <f>DAY(EOMONTH(MC[[#This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26"/>
      <c r="Q181" s="126"/>
      <c r="R181" s="4">
        <f>SUM(MC[[#This Row],[ICR1]:[ICR12]])</f>
        <v>0</v>
      </c>
      <c r="S181" s="133"/>
      <c r="T181" s="133"/>
      <c r="U181" s="133"/>
      <c r="V181" s="133"/>
      <c r="W181" s="133"/>
      <c r="X181" s="133"/>
      <c r="Y181" s="135"/>
    </row>
    <row r="182" spans="1:25">
      <c r="A182" s="133">
        <v>180</v>
      </c>
      <c r="B182" s="127">
        <f t="shared" si="2"/>
        <v>45868</v>
      </c>
      <c r="C182" s="128">
        <f>YEAR(MC[[#This Row],[Date]])+IF(MONTH(MC[[#This Row],[Date]])&gt;=4,1,0)</f>
        <v>2026</v>
      </c>
      <c r="D182" s="129">
        <f>YEAR(MC[[#This Row],[Date]])</f>
        <v>2025</v>
      </c>
      <c r="E182" s="351" t="s">
        <v>218</v>
      </c>
      <c r="F182" s="351" t="s">
        <v>218</v>
      </c>
      <c r="G182" s="130" t="str">
        <f>TEXT(MC[[#This Row],[Date]],"mmm-yy")</f>
        <v>Jul-25</v>
      </c>
      <c r="H182" s="130">
        <f>DAY(EOMONTH(MC[[#This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26"/>
      <c r="Q182" s="126"/>
      <c r="R182" s="4">
        <f>SUM(MC[[#This Row],[ICR1]:[ICR12]])</f>
        <v>0</v>
      </c>
      <c r="S182" s="133"/>
      <c r="T182" s="133"/>
      <c r="U182" s="133"/>
      <c r="V182" s="133"/>
      <c r="W182" s="133"/>
      <c r="X182" s="133"/>
      <c r="Y182" s="135"/>
    </row>
    <row r="183" spans="1:25">
      <c r="A183" s="133">
        <v>181</v>
      </c>
      <c r="B183" s="127">
        <f t="shared" si="2"/>
        <v>45869</v>
      </c>
      <c r="C183" s="128">
        <f>YEAR(MC[[#This Row],[Date]])+IF(MONTH(MC[[#This Row],[Date]])&gt;=4,1,0)</f>
        <v>2026</v>
      </c>
      <c r="D183" s="129">
        <f>YEAR(MC[[#This Row],[Date]])</f>
        <v>2025</v>
      </c>
      <c r="E183" s="351" t="s">
        <v>218</v>
      </c>
      <c r="F183" s="351" t="s">
        <v>218</v>
      </c>
      <c r="G183" s="130" t="str">
        <f>TEXT(MC[[#This Row],[Date]],"mmm-yy")</f>
        <v>Jul-25</v>
      </c>
      <c r="H183" s="130">
        <f>DAY(EOMONTH(MC[[#This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26"/>
      <c r="Q183" s="126"/>
      <c r="R183" s="4">
        <f>SUM(MC[[#This Row],[ICR1]:[ICR12]])</f>
        <v>0</v>
      </c>
      <c r="S183" s="133"/>
      <c r="T183" s="133"/>
      <c r="U183" s="133"/>
      <c r="V183" s="133"/>
      <c r="W183" s="133"/>
      <c r="X183" s="133"/>
      <c r="Y183" s="135"/>
    </row>
    <row r="184" spans="1:25">
      <c r="A184" s="133">
        <v>182</v>
      </c>
      <c r="B184" s="127">
        <f t="shared" si="2"/>
        <v>45870</v>
      </c>
      <c r="C184" s="128">
        <f>YEAR(MC[[#This Row],[Date]])+IF(MONTH(MC[[#This Row],[Date]])&gt;=4,1,0)</f>
        <v>2026</v>
      </c>
      <c r="D184" s="129">
        <f>YEAR(MC[[#This Row],[Date]])</f>
        <v>2025</v>
      </c>
      <c r="E184" s="351" t="s">
        <v>218</v>
      </c>
      <c r="F184" s="351" t="s">
        <v>218</v>
      </c>
      <c r="G184" s="130" t="str">
        <f>TEXT(MC[[#This Row],[Date]],"mmm-yy")</f>
        <v>Aug-25</v>
      </c>
      <c r="H184" s="130">
        <f>DAY(EOMONTH(MC[[#This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26"/>
      <c r="Q184" s="126"/>
      <c r="R184" s="4">
        <f>SUM(MC[[#This Row],[ICR1]:[ICR12]])</f>
        <v>0</v>
      </c>
      <c r="S184" s="133"/>
      <c r="T184" s="133"/>
      <c r="U184" s="133"/>
      <c r="V184" s="133"/>
      <c r="W184" s="133"/>
      <c r="X184" s="133"/>
      <c r="Y184" s="135"/>
    </row>
    <row r="185" spans="1:25">
      <c r="A185" s="133">
        <v>183</v>
      </c>
      <c r="B185" s="127">
        <f t="shared" si="2"/>
        <v>45871</v>
      </c>
      <c r="C185" s="128">
        <f>YEAR(MC[[#This Row],[Date]])+IF(MONTH(MC[[#This Row],[Date]])&gt;=4,1,0)</f>
        <v>2026</v>
      </c>
      <c r="D185" s="129">
        <f>YEAR(MC[[#This Row],[Date]])</f>
        <v>2025</v>
      </c>
      <c r="E185" s="351" t="s">
        <v>218</v>
      </c>
      <c r="F185" s="351" t="s">
        <v>218</v>
      </c>
      <c r="G185" s="130" t="str">
        <f>TEXT(MC[[#This Row],[Date]],"mmm-yy")</f>
        <v>Aug-25</v>
      </c>
      <c r="H185" s="130">
        <f>DAY(EOMONTH(MC[[#This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26"/>
      <c r="Q185" s="126"/>
      <c r="R185" s="4">
        <f>SUM(MC[[#This Row],[ICR1]:[ICR12]])</f>
        <v>0</v>
      </c>
      <c r="S185" s="133"/>
      <c r="T185" s="133"/>
      <c r="U185" s="133"/>
      <c r="V185" s="133"/>
      <c r="W185" s="133"/>
      <c r="X185" s="133"/>
      <c r="Y185" s="135"/>
    </row>
    <row r="186" spans="1:25">
      <c r="A186" s="133">
        <v>184</v>
      </c>
      <c r="B186" s="127">
        <f t="shared" si="2"/>
        <v>45872</v>
      </c>
      <c r="C186" s="238">
        <f>YEAR(MC[[#This Row],[Date]])+IF(MONTH(MC[[#This Row],[Date]])&gt;=4,1,0)</f>
        <v>2026</v>
      </c>
      <c r="D186" s="130">
        <f>YEAR(MC[[#This Row],[Date]])</f>
        <v>2025</v>
      </c>
      <c r="E186" s="351" t="s">
        <v>218</v>
      </c>
      <c r="F186" s="351" t="s">
        <v>218</v>
      </c>
      <c r="G186" s="4" t="str">
        <f>TEXT(MC[[#This Row],[Date]],"mmm-yy")</f>
        <v>Aug-25</v>
      </c>
      <c r="H186" s="4">
        <f>DAY(EOMONTH(MC[[#This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26"/>
      <c r="Q186" s="126"/>
      <c r="R186" s="4">
        <f>SUM(MC[[#This Row],[ICR1]:[ICR12]])</f>
        <v>0</v>
      </c>
      <c r="S186" s="133"/>
      <c r="T186" s="133"/>
      <c r="U186" s="133"/>
      <c r="V186" s="133"/>
      <c r="W186" s="133"/>
      <c r="X186" s="133"/>
      <c r="Y186" s="133"/>
    </row>
    <row r="187" spans="1:25">
      <c r="A187" s="133">
        <v>185</v>
      </c>
      <c r="B187" s="127">
        <f t="shared" si="2"/>
        <v>45873</v>
      </c>
      <c r="C187" s="238">
        <f>YEAR(MC[[#This Row],[Date]])+IF(MONTH(MC[[#This Row],[Date]])&gt;=4,1,0)</f>
        <v>2026</v>
      </c>
      <c r="D187" s="130">
        <f>YEAR(MC[[#This Row],[Date]])</f>
        <v>2025</v>
      </c>
      <c r="E187" s="351" t="s">
        <v>218</v>
      </c>
      <c r="F187" s="351" t="s">
        <v>218</v>
      </c>
      <c r="G187" s="4" t="str">
        <f>TEXT(MC[[#This Row],[Date]],"mmm-yy")</f>
        <v>Aug-25</v>
      </c>
      <c r="H187" s="4">
        <f>DAY(EOMONTH(MC[[#This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26"/>
      <c r="Q187" s="126"/>
      <c r="R187" s="4">
        <f>SUM(MC[[#This Row],[ICR1]:[ICR12]])</f>
        <v>0</v>
      </c>
      <c r="S187" s="133"/>
      <c r="T187" s="133"/>
      <c r="U187" s="133"/>
      <c r="V187" s="133"/>
      <c r="W187" s="133"/>
      <c r="X187" s="133"/>
      <c r="Y187" s="133"/>
    </row>
    <row r="188" spans="1:25">
      <c r="A188" s="133">
        <v>186</v>
      </c>
      <c r="B188" s="127">
        <f t="shared" si="2"/>
        <v>45874</v>
      </c>
      <c r="C188" s="238">
        <f>YEAR(MC[[#This Row],[Date]])+IF(MONTH(MC[[#This Row],[Date]])&gt;=4,1,0)</f>
        <v>2026</v>
      </c>
      <c r="D188" s="130">
        <f>YEAR(MC[[#This Row],[Date]])</f>
        <v>2025</v>
      </c>
      <c r="E188" s="351" t="s">
        <v>218</v>
      </c>
      <c r="F188" s="351" t="s">
        <v>218</v>
      </c>
      <c r="G188" s="4" t="str">
        <f>TEXT(MC[[#This Row],[Date]],"mmm-yy")</f>
        <v>Aug-25</v>
      </c>
      <c r="H188" s="4">
        <f>DAY(EOMONTH(MC[[#This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26"/>
      <c r="Q188" s="126"/>
      <c r="R188" s="4">
        <f>SUM(MC[[#This Row],[ICR1]:[ICR12]])</f>
        <v>0</v>
      </c>
      <c r="S188" s="133"/>
      <c r="T188" s="133"/>
      <c r="U188" s="133"/>
      <c r="V188" s="133"/>
      <c r="W188" s="133"/>
      <c r="X188" s="133"/>
      <c r="Y188" s="133"/>
    </row>
    <row r="189" spans="1:25">
      <c r="A189" s="133">
        <v>187</v>
      </c>
      <c r="B189" s="127">
        <f t="shared" si="2"/>
        <v>45875</v>
      </c>
      <c r="C189" s="238">
        <f>YEAR(MC[[#This Row],[Date]])+IF(MONTH(MC[[#This Row],[Date]])&gt;=4,1,0)</f>
        <v>2026</v>
      </c>
      <c r="D189" s="130">
        <f>YEAR(MC[[#This Row],[Date]])</f>
        <v>2025</v>
      </c>
      <c r="E189" s="351" t="s">
        <v>218</v>
      </c>
      <c r="F189" s="351" t="s">
        <v>218</v>
      </c>
      <c r="G189" s="4" t="str">
        <f>TEXT(MC[[#This Row],[Date]],"mmm-yy")</f>
        <v>Aug-25</v>
      </c>
      <c r="H189" s="4">
        <f>DAY(EOMONTH(MC[[#This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26"/>
      <c r="Q189" s="126"/>
      <c r="R189" s="4">
        <f>SUM(MC[[#This Row],[ICR1]:[ICR12]])</f>
        <v>0</v>
      </c>
      <c r="S189" s="133"/>
      <c r="T189" s="133"/>
      <c r="U189" s="133"/>
      <c r="V189" s="133"/>
      <c r="W189" s="133"/>
      <c r="X189" s="133"/>
      <c r="Y189" s="133"/>
    </row>
    <row r="190" spans="1:25">
      <c r="A190" s="133">
        <v>188</v>
      </c>
      <c r="B190" s="127">
        <f t="shared" si="2"/>
        <v>45876</v>
      </c>
      <c r="C190" s="238">
        <f>YEAR(MC[[#This Row],[Date]])+IF(MONTH(MC[[#This Row],[Date]])&gt;=4,1,0)</f>
        <v>2026</v>
      </c>
      <c r="D190" s="130">
        <f>YEAR(MC[[#This Row],[Date]])</f>
        <v>2025</v>
      </c>
      <c r="E190" s="351" t="s">
        <v>218</v>
      </c>
      <c r="F190" s="351" t="s">
        <v>218</v>
      </c>
      <c r="G190" s="4" t="str">
        <f>TEXT(MC[[#This Row],[Date]],"mmm-yy")</f>
        <v>Aug-25</v>
      </c>
      <c r="H190" s="4">
        <f>DAY(EOMONTH(MC[[#This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26"/>
      <c r="Q190" s="126"/>
      <c r="R190" s="4">
        <f>SUM(MC[[#This Row],[ICR1]:[ICR12]])</f>
        <v>0</v>
      </c>
      <c r="S190" s="133"/>
      <c r="T190" s="133"/>
      <c r="U190" s="133"/>
      <c r="V190" s="133"/>
      <c r="W190" s="133"/>
      <c r="X190" s="133"/>
      <c r="Y190" s="133"/>
    </row>
    <row r="191" spans="1:25">
      <c r="A191" s="133">
        <v>189</v>
      </c>
      <c r="B191" s="127">
        <f t="shared" si="2"/>
        <v>45877</v>
      </c>
      <c r="C191" s="238">
        <f>YEAR(MC[[#This Row],[Date]])+IF(MONTH(MC[[#This Row],[Date]])&gt;=4,1,0)</f>
        <v>2026</v>
      </c>
      <c r="D191" s="130">
        <f>YEAR(MC[[#This Row],[Date]])</f>
        <v>2025</v>
      </c>
      <c r="E191" s="351" t="s">
        <v>218</v>
      </c>
      <c r="F191" s="351" t="s">
        <v>218</v>
      </c>
      <c r="G191" s="4" t="str">
        <f>TEXT(MC[[#This Row],[Date]],"mmm-yy")</f>
        <v>Aug-25</v>
      </c>
      <c r="H191" s="4">
        <f>DAY(EOMONTH(MC[[#This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26"/>
      <c r="Q191" s="126"/>
      <c r="R191" s="4">
        <f>SUM(MC[[#This Row],[ICR1]:[ICR12]])</f>
        <v>0</v>
      </c>
      <c r="S191" s="133"/>
      <c r="T191" s="133"/>
      <c r="U191" s="133"/>
      <c r="V191" s="133"/>
      <c r="W191" s="133"/>
      <c r="X191" s="133"/>
      <c r="Y191" s="133"/>
    </row>
    <row r="192" spans="1:25">
      <c r="A192" s="133">
        <v>190</v>
      </c>
      <c r="B192" s="127">
        <f t="shared" si="2"/>
        <v>45878</v>
      </c>
      <c r="C192" s="238">
        <f>YEAR(MC[[#This Row],[Date]])+IF(MONTH(MC[[#This Row],[Date]])&gt;=4,1,0)</f>
        <v>2026</v>
      </c>
      <c r="D192" s="130">
        <f>YEAR(MC[[#This Row],[Date]])</f>
        <v>2025</v>
      </c>
      <c r="E192" s="351" t="s">
        <v>218</v>
      </c>
      <c r="F192" s="351" t="s">
        <v>218</v>
      </c>
      <c r="G192" s="4" t="str">
        <f>TEXT(MC[[#This Row],[Date]],"mmm-yy")</f>
        <v>Aug-25</v>
      </c>
      <c r="H192" s="4">
        <f>DAY(EOMONTH(MC[[#This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26"/>
      <c r="Q192" s="126"/>
      <c r="R192" s="4">
        <f>SUM(MC[[#This Row],[ICR1]:[ICR12]])</f>
        <v>0</v>
      </c>
      <c r="S192" s="133"/>
      <c r="T192" s="133"/>
      <c r="U192" s="133"/>
      <c r="V192" s="133"/>
      <c r="W192" s="133"/>
      <c r="X192" s="133"/>
      <c r="Y192" s="133"/>
    </row>
    <row r="193" spans="1:25">
      <c r="A193" s="133">
        <v>191</v>
      </c>
      <c r="B193" s="127">
        <f t="shared" si="2"/>
        <v>45879</v>
      </c>
      <c r="C193" s="238">
        <f>YEAR(MC[[#This Row],[Date]])+IF(MONTH(MC[[#This Row],[Date]])&gt;=4,1,0)</f>
        <v>2026</v>
      </c>
      <c r="D193" s="130">
        <f>YEAR(MC[[#This Row],[Date]])</f>
        <v>2025</v>
      </c>
      <c r="E193" s="351" t="s">
        <v>218</v>
      </c>
      <c r="F193" s="351" t="s">
        <v>218</v>
      </c>
      <c r="G193" s="4" t="str">
        <f>TEXT(MC[[#This Row],[Date]],"mmm-yy")</f>
        <v>Aug-25</v>
      </c>
      <c r="H193" s="4">
        <f>DAY(EOMONTH(MC[[#This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26"/>
      <c r="Q193" s="126"/>
      <c r="R193" s="4">
        <f>SUM(MC[[#This Row],[ICR1]:[ICR12]])</f>
        <v>0</v>
      </c>
      <c r="S193" s="133"/>
      <c r="T193" s="133"/>
      <c r="U193" s="133"/>
      <c r="V193" s="133"/>
      <c r="W193" s="133"/>
      <c r="X193" s="133"/>
      <c r="Y193" s="133"/>
    </row>
    <row r="194" spans="1:25">
      <c r="A194" s="133">
        <v>192</v>
      </c>
      <c r="B194" s="127">
        <f t="shared" si="2"/>
        <v>45880</v>
      </c>
      <c r="C194" s="238">
        <f>YEAR(MC[[#This Row],[Date]])+IF(MONTH(MC[[#This Row],[Date]])&gt;=4,1,0)</f>
        <v>2026</v>
      </c>
      <c r="D194" s="130">
        <f>YEAR(MC[[#This Row],[Date]])</f>
        <v>2025</v>
      </c>
      <c r="E194" s="351" t="s">
        <v>218</v>
      </c>
      <c r="F194" s="351" t="s">
        <v>218</v>
      </c>
      <c r="G194" s="4" t="str">
        <f>TEXT(MC[[#This Row],[Date]],"mmm-yy")</f>
        <v>Aug-25</v>
      </c>
      <c r="H194" s="4">
        <f>DAY(EOMONTH(MC[[#This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26"/>
      <c r="Q194" s="126"/>
      <c r="R194" s="4">
        <f>SUM(MC[[#This Row],[ICR1]:[ICR12]])</f>
        <v>0</v>
      </c>
      <c r="S194" s="133"/>
      <c r="T194" s="133"/>
      <c r="U194" s="133"/>
      <c r="V194" s="133"/>
      <c r="W194" s="133"/>
      <c r="X194" s="133"/>
      <c r="Y194" s="133"/>
    </row>
    <row r="195" spans="1:25">
      <c r="A195" s="133">
        <v>193</v>
      </c>
      <c r="B195" s="127">
        <f t="shared" si="2"/>
        <v>45881</v>
      </c>
      <c r="C195" s="238">
        <f>YEAR(MC[[#This Row],[Date]])+IF(MONTH(MC[[#This Row],[Date]])&gt;=4,1,0)</f>
        <v>2026</v>
      </c>
      <c r="D195" s="130">
        <f>YEAR(MC[[#This Row],[Date]])</f>
        <v>2025</v>
      </c>
      <c r="E195" s="351" t="s">
        <v>218</v>
      </c>
      <c r="F195" s="351" t="s">
        <v>218</v>
      </c>
      <c r="G195" s="4" t="str">
        <f>TEXT(MC[[#This Row],[Date]],"mmm-yy")</f>
        <v>Aug-25</v>
      </c>
      <c r="H195" s="4">
        <f>DAY(EOMONTH(MC[[#This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26"/>
      <c r="Q195" s="126"/>
      <c r="R195" s="4">
        <f>SUM(MC[[#This Row],[ICR1]:[ICR12]])</f>
        <v>0</v>
      </c>
      <c r="S195" s="133"/>
      <c r="T195" s="133"/>
      <c r="U195" s="133"/>
      <c r="V195" s="133"/>
      <c r="W195" s="133"/>
      <c r="X195" s="133"/>
      <c r="Y195" s="133"/>
    </row>
    <row r="196" spans="1:25">
      <c r="A196" s="133">
        <v>194</v>
      </c>
      <c r="B196" s="127">
        <f t="shared" si="2"/>
        <v>45882</v>
      </c>
      <c r="C196" s="238">
        <f>YEAR(MC[[#This Row],[Date]])+IF(MONTH(MC[[#This Row],[Date]])&gt;=4,1,0)</f>
        <v>2026</v>
      </c>
      <c r="D196" s="130">
        <f>YEAR(MC[[#This Row],[Date]])</f>
        <v>2025</v>
      </c>
      <c r="E196" s="351" t="s">
        <v>218</v>
      </c>
      <c r="F196" s="351" t="s">
        <v>218</v>
      </c>
      <c r="G196" s="4" t="str">
        <f>TEXT(MC[[#This Row],[Date]],"mmm-yy")</f>
        <v>Aug-25</v>
      </c>
      <c r="H196" s="4">
        <f>DAY(EOMONTH(MC[[#This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26"/>
      <c r="Q196" s="126"/>
      <c r="R196" s="4">
        <f>SUM(MC[[#This Row],[ICR1]:[ICR12]])</f>
        <v>0</v>
      </c>
      <c r="S196" s="133"/>
      <c r="T196" s="133"/>
      <c r="U196" s="133"/>
      <c r="V196" s="133"/>
      <c r="W196" s="133"/>
      <c r="X196" s="133"/>
      <c r="Y196" s="133"/>
    </row>
    <row r="197" spans="1:25">
      <c r="A197" s="133">
        <v>195</v>
      </c>
      <c r="B197" s="127">
        <f t="shared" ref="B197:B260" si="3">B196+1</f>
        <v>45883</v>
      </c>
      <c r="C197" s="238">
        <f>YEAR(MC[[#This Row],[Date]])+IF(MONTH(MC[[#This Row],[Date]])&gt;=4,1,0)</f>
        <v>2026</v>
      </c>
      <c r="D197" s="130">
        <f>YEAR(MC[[#This Row],[Date]])</f>
        <v>2025</v>
      </c>
      <c r="E197" s="351" t="s">
        <v>218</v>
      </c>
      <c r="F197" s="351" t="s">
        <v>218</v>
      </c>
      <c r="G197" s="4" t="str">
        <f>TEXT(MC[[#This Row],[Date]],"mmm-yy")</f>
        <v>Aug-25</v>
      </c>
      <c r="H197" s="4">
        <f>DAY(EOMONTH(MC[[#This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26"/>
      <c r="Q197" s="126"/>
      <c r="R197" s="4">
        <f>SUM(MC[[#This Row],[ICR1]:[ICR12]])</f>
        <v>0</v>
      </c>
      <c r="S197" s="133"/>
      <c r="T197" s="133"/>
      <c r="U197" s="133"/>
      <c r="V197" s="133"/>
      <c r="W197" s="133"/>
      <c r="X197" s="133"/>
      <c r="Y197" s="133"/>
    </row>
    <row r="198" spans="1:25">
      <c r="A198" s="133">
        <v>196</v>
      </c>
      <c r="B198" s="127">
        <f t="shared" si="3"/>
        <v>45884</v>
      </c>
      <c r="C198" s="238">
        <f>YEAR(MC[[#This Row],[Date]])+IF(MONTH(MC[[#This Row],[Date]])&gt;=4,1,0)</f>
        <v>2026</v>
      </c>
      <c r="D198" s="130">
        <f>YEAR(MC[[#This Row],[Date]])</f>
        <v>2025</v>
      </c>
      <c r="E198" s="351" t="s">
        <v>218</v>
      </c>
      <c r="F198" s="351" t="s">
        <v>218</v>
      </c>
      <c r="G198" s="4" t="str">
        <f>TEXT(MC[[#This Row],[Date]],"mmm-yy")</f>
        <v>Aug-25</v>
      </c>
      <c r="H198" s="4">
        <f>DAY(EOMONTH(MC[[#This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26"/>
      <c r="Q198" s="126"/>
      <c r="R198" s="4">
        <f>SUM(MC[[#This Row],[ICR1]:[ICR12]])</f>
        <v>0</v>
      </c>
      <c r="S198" s="133"/>
      <c r="T198" s="133"/>
      <c r="U198" s="133"/>
      <c r="V198" s="133"/>
      <c r="W198" s="133"/>
      <c r="X198" s="133"/>
      <c r="Y198" s="133"/>
    </row>
    <row r="199" spans="1:25">
      <c r="A199" s="133">
        <v>197</v>
      </c>
      <c r="B199" s="127">
        <f t="shared" si="3"/>
        <v>45885</v>
      </c>
      <c r="C199" s="238">
        <f>YEAR(MC[[#This Row],[Date]])+IF(MONTH(MC[[#This Row],[Date]])&gt;=4,1,0)</f>
        <v>2026</v>
      </c>
      <c r="D199" s="130">
        <f>YEAR(MC[[#This Row],[Date]])</f>
        <v>2025</v>
      </c>
      <c r="E199" s="351" t="s">
        <v>218</v>
      </c>
      <c r="F199" s="351" t="s">
        <v>218</v>
      </c>
      <c r="G199" s="4" t="str">
        <f>TEXT(MC[[#This Row],[Date]],"mmm-yy")</f>
        <v>Aug-25</v>
      </c>
      <c r="H199" s="4">
        <f>DAY(EOMONTH(MC[[#This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26"/>
      <c r="Q199" s="126"/>
      <c r="R199" s="4">
        <f>SUM(MC[[#This Row],[ICR1]:[ICR12]])</f>
        <v>0</v>
      </c>
      <c r="S199" s="133"/>
      <c r="T199" s="133"/>
      <c r="U199" s="133"/>
      <c r="V199" s="133"/>
      <c r="W199" s="133"/>
      <c r="X199" s="133"/>
      <c r="Y199" s="133"/>
    </row>
    <row r="200" spans="1:25">
      <c r="A200" s="133">
        <v>198</v>
      </c>
      <c r="B200" s="127">
        <f t="shared" si="3"/>
        <v>45886</v>
      </c>
      <c r="C200" s="238">
        <f>YEAR(MC[[#This Row],[Date]])+IF(MONTH(MC[[#This Row],[Date]])&gt;=4,1,0)</f>
        <v>2026</v>
      </c>
      <c r="D200" s="130">
        <f>YEAR(MC[[#This Row],[Date]])</f>
        <v>2025</v>
      </c>
      <c r="E200" s="351" t="s">
        <v>218</v>
      </c>
      <c r="F200" s="351" t="s">
        <v>218</v>
      </c>
      <c r="G200" s="4" t="str">
        <f>TEXT(MC[[#This Row],[Date]],"mmm-yy")</f>
        <v>Aug-25</v>
      </c>
      <c r="H200" s="4">
        <f>DAY(EOMONTH(MC[[#This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26"/>
      <c r="Q200" s="126"/>
      <c r="R200" s="4">
        <f>SUM(MC[[#This Row],[ICR1]:[ICR12]])</f>
        <v>0</v>
      </c>
      <c r="S200" s="133"/>
      <c r="T200" s="133"/>
      <c r="U200" s="133"/>
      <c r="V200" s="133"/>
      <c r="W200" s="133"/>
      <c r="X200" s="133"/>
      <c r="Y200" s="133"/>
    </row>
    <row r="201" spans="1:25">
      <c r="A201" s="133">
        <v>199</v>
      </c>
      <c r="B201" s="127">
        <f t="shared" si="3"/>
        <v>45887</v>
      </c>
      <c r="C201" s="238">
        <f>YEAR(MC[[#This Row],[Date]])+IF(MONTH(MC[[#This Row],[Date]])&gt;=4,1,0)</f>
        <v>2026</v>
      </c>
      <c r="D201" s="130">
        <f>YEAR(MC[[#This Row],[Date]])</f>
        <v>2025</v>
      </c>
      <c r="E201" s="351" t="s">
        <v>218</v>
      </c>
      <c r="F201" s="351" t="s">
        <v>218</v>
      </c>
      <c r="G201" s="4" t="str">
        <f>TEXT(MC[[#This Row],[Date]],"mmm-yy")</f>
        <v>Aug-25</v>
      </c>
      <c r="H201" s="4">
        <f>DAY(EOMONTH(MC[[#This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26"/>
      <c r="Q201" s="126"/>
      <c r="R201" s="4">
        <f>SUM(MC[[#This Row],[ICR1]:[ICR12]])</f>
        <v>0</v>
      </c>
      <c r="S201" s="133"/>
      <c r="T201" s="133"/>
      <c r="U201" s="133"/>
      <c r="V201" s="133"/>
      <c r="W201" s="133"/>
      <c r="X201" s="133"/>
      <c r="Y201" s="133"/>
    </row>
    <row r="202" spans="1:25">
      <c r="A202" s="133">
        <v>200</v>
      </c>
      <c r="B202" s="127">
        <f t="shared" si="3"/>
        <v>45888</v>
      </c>
      <c r="C202" s="238">
        <f>YEAR(MC[[#This Row],[Date]])+IF(MONTH(MC[[#This Row],[Date]])&gt;=4,1,0)</f>
        <v>2026</v>
      </c>
      <c r="D202" s="130">
        <f>YEAR(MC[[#This Row],[Date]])</f>
        <v>2025</v>
      </c>
      <c r="E202" s="351" t="s">
        <v>218</v>
      </c>
      <c r="F202" s="351" t="s">
        <v>218</v>
      </c>
      <c r="G202" s="4" t="str">
        <f>TEXT(MC[[#This Row],[Date]],"mmm-yy")</f>
        <v>Aug-25</v>
      </c>
      <c r="H202" s="4">
        <f>DAY(EOMONTH(MC[[#This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26"/>
      <c r="Q202" s="126"/>
      <c r="R202" s="4">
        <f>SUM(MC[[#This Row],[ICR1]:[ICR12]])</f>
        <v>0</v>
      </c>
      <c r="S202" s="133"/>
      <c r="T202" s="133"/>
      <c r="U202" s="133"/>
      <c r="V202" s="133"/>
      <c r="W202" s="133"/>
      <c r="X202" s="133"/>
      <c r="Y202" s="133"/>
    </row>
    <row r="203" spans="1:25">
      <c r="A203" s="133">
        <v>201</v>
      </c>
      <c r="B203" s="127">
        <f t="shared" si="3"/>
        <v>45889</v>
      </c>
      <c r="C203" s="238">
        <f>YEAR(MC[[#This Row],[Date]])+IF(MONTH(MC[[#This Row],[Date]])&gt;=4,1,0)</f>
        <v>2026</v>
      </c>
      <c r="D203" s="130">
        <f>YEAR(MC[[#This Row],[Date]])</f>
        <v>2025</v>
      </c>
      <c r="E203" s="351" t="s">
        <v>218</v>
      </c>
      <c r="F203" s="351" t="s">
        <v>218</v>
      </c>
      <c r="G203" s="4" t="str">
        <f>TEXT(MC[[#This Row],[Date]],"mmm-yy")</f>
        <v>Aug-25</v>
      </c>
      <c r="H203" s="4">
        <f>DAY(EOMONTH(MC[[#This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26"/>
      <c r="Q203" s="126"/>
      <c r="R203" s="4">
        <f>SUM(MC[[#This Row],[ICR1]:[ICR12]])</f>
        <v>0</v>
      </c>
      <c r="S203" s="133"/>
      <c r="T203" s="133"/>
      <c r="U203" s="133"/>
      <c r="V203" s="133"/>
      <c r="W203" s="133"/>
      <c r="X203" s="133"/>
      <c r="Y203" s="133"/>
    </row>
    <row r="204" spans="1:25">
      <c r="A204" s="133">
        <v>202</v>
      </c>
      <c r="B204" s="127">
        <f t="shared" si="3"/>
        <v>45890</v>
      </c>
      <c r="C204" s="238">
        <f>YEAR(MC[[#This Row],[Date]])+IF(MONTH(MC[[#This Row],[Date]])&gt;=4,1,0)</f>
        <v>2026</v>
      </c>
      <c r="D204" s="130">
        <f>YEAR(MC[[#This Row],[Date]])</f>
        <v>2025</v>
      </c>
      <c r="E204" s="351" t="s">
        <v>218</v>
      </c>
      <c r="F204" s="351" t="s">
        <v>218</v>
      </c>
      <c r="G204" s="4" t="str">
        <f>TEXT(MC[[#This Row],[Date]],"mmm-yy")</f>
        <v>Aug-25</v>
      </c>
      <c r="H204" s="4">
        <f>DAY(EOMONTH(MC[[#This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26"/>
      <c r="Q204" s="126"/>
      <c r="R204" s="4">
        <f>SUM(MC[[#This Row],[ICR1]:[ICR12]])</f>
        <v>0</v>
      </c>
      <c r="S204" s="133"/>
      <c r="T204" s="133"/>
      <c r="U204" s="133"/>
      <c r="V204" s="133"/>
      <c r="W204" s="133"/>
      <c r="X204" s="133"/>
      <c r="Y204" s="133"/>
    </row>
    <row r="205" spans="1:25">
      <c r="A205" s="133">
        <v>203</v>
      </c>
      <c r="B205" s="127">
        <f t="shared" si="3"/>
        <v>45891</v>
      </c>
      <c r="C205" s="238">
        <f>YEAR(MC[[#This Row],[Date]])+IF(MONTH(MC[[#This Row],[Date]])&gt;=4,1,0)</f>
        <v>2026</v>
      </c>
      <c r="D205" s="130">
        <f>YEAR(MC[[#This Row],[Date]])</f>
        <v>2025</v>
      </c>
      <c r="E205" s="351" t="s">
        <v>218</v>
      </c>
      <c r="F205" s="351" t="s">
        <v>218</v>
      </c>
      <c r="G205" s="4" t="str">
        <f>TEXT(MC[[#This Row],[Date]],"mmm-yy")</f>
        <v>Aug-25</v>
      </c>
      <c r="H205" s="4">
        <f>DAY(EOMONTH(MC[[#This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26"/>
      <c r="Q205" s="126"/>
      <c r="R205" s="4">
        <f>SUM(MC[[#This Row],[ICR1]:[ICR12]])</f>
        <v>0</v>
      </c>
      <c r="S205" s="133"/>
      <c r="T205" s="133"/>
      <c r="U205" s="133"/>
      <c r="V205" s="133"/>
      <c r="W205" s="133"/>
      <c r="X205" s="133"/>
      <c r="Y205" s="133"/>
    </row>
    <row r="206" spans="1:25">
      <c r="A206" s="133">
        <v>204</v>
      </c>
      <c r="B206" s="127">
        <f t="shared" si="3"/>
        <v>45892</v>
      </c>
      <c r="C206" s="238">
        <f>YEAR(MC[[#This Row],[Date]])+IF(MONTH(MC[[#This Row],[Date]])&gt;=4,1,0)</f>
        <v>2026</v>
      </c>
      <c r="D206" s="130">
        <f>YEAR(MC[[#This Row],[Date]])</f>
        <v>2025</v>
      </c>
      <c r="E206" s="351" t="s">
        <v>218</v>
      </c>
      <c r="F206" s="351" t="s">
        <v>218</v>
      </c>
      <c r="G206" s="4" t="str">
        <f>TEXT(MC[[#This Row],[Date]],"mmm-yy")</f>
        <v>Aug-25</v>
      </c>
      <c r="H206" s="4">
        <f>DAY(EOMONTH(MC[[#This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26"/>
      <c r="Q206" s="126"/>
      <c r="R206" s="4">
        <f>SUM(MC[[#This Row],[ICR1]:[ICR12]])</f>
        <v>0</v>
      </c>
      <c r="S206" s="133"/>
      <c r="T206" s="133"/>
      <c r="U206" s="133"/>
      <c r="V206" s="133"/>
      <c r="W206" s="133"/>
      <c r="X206" s="133"/>
      <c r="Y206" s="133"/>
    </row>
    <row r="207" spans="1:25">
      <c r="A207" s="133">
        <v>205</v>
      </c>
      <c r="B207" s="127">
        <f t="shared" si="3"/>
        <v>45893</v>
      </c>
      <c r="C207" s="238">
        <f>YEAR(MC[[#This Row],[Date]])+IF(MONTH(MC[[#This Row],[Date]])&gt;=4,1,0)</f>
        <v>2026</v>
      </c>
      <c r="D207" s="130">
        <f>YEAR(MC[[#This Row],[Date]])</f>
        <v>2025</v>
      </c>
      <c r="E207" s="351" t="s">
        <v>218</v>
      </c>
      <c r="F207" s="351" t="s">
        <v>218</v>
      </c>
      <c r="G207" s="4" t="str">
        <f>TEXT(MC[[#This Row],[Date]],"mmm-yy")</f>
        <v>Aug-25</v>
      </c>
      <c r="H207" s="4">
        <f>DAY(EOMONTH(MC[[#This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26"/>
      <c r="Q207" s="126"/>
      <c r="R207" s="4">
        <f>SUM(MC[[#This Row],[ICR1]:[ICR12]])</f>
        <v>0</v>
      </c>
      <c r="S207" s="133"/>
      <c r="T207" s="133"/>
      <c r="U207" s="133"/>
      <c r="V207" s="133"/>
      <c r="W207" s="133"/>
      <c r="X207" s="133"/>
      <c r="Y207" s="133"/>
    </row>
    <row r="208" spans="1:25">
      <c r="A208" s="133">
        <v>206</v>
      </c>
      <c r="B208" s="127">
        <f t="shared" si="3"/>
        <v>45894</v>
      </c>
      <c r="C208" s="238">
        <f>YEAR(MC[[#This Row],[Date]])+IF(MONTH(MC[[#This Row],[Date]])&gt;=4,1,0)</f>
        <v>2026</v>
      </c>
      <c r="D208" s="130">
        <f>YEAR(MC[[#This Row],[Date]])</f>
        <v>2025</v>
      </c>
      <c r="E208" s="351" t="s">
        <v>218</v>
      </c>
      <c r="F208" s="351" t="s">
        <v>218</v>
      </c>
      <c r="G208" s="4" t="str">
        <f>TEXT(MC[[#This Row],[Date]],"mmm-yy")</f>
        <v>Aug-25</v>
      </c>
      <c r="H208" s="4">
        <f>DAY(EOMONTH(MC[[#This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26"/>
      <c r="Q208" s="126"/>
      <c r="R208" s="4">
        <f>SUM(MC[[#This Row],[ICR1]:[ICR12]])</f>
        <v>0</v>
      </c>
      <c r="S208" s="133"/>
      <c r="T208" s="133"/>
      <c r="U208" s="133"/>
      <c r="V208" s="133"/>
      <c r="W208" s="133"/>
      <c r="X208" s="133"/>
      <c r="Y208" s="133"/>
    </row>
    <row r="209" spans="1:25">
      <c r="A209" s="133">
        <v>207</v>
      </c>
      <c r="B209" s="127">
        <f t="shared" si="3"/>
        <v>45895</v>
      </c>
      <c r="C209" s="238">
        <f>YEAR(MC[[#This Row],[Date]])+IF(MONTH(MC[[#This Row],[Date]])&gt;=4,1,0)</f>
        <v>2026</v>
      </c>
      <c r="D209" s="130">
        <f>YEAR(MC[[#This Row],[Date]])</f>
        <v>2025</v>
      </c>
      <c r="E209" s="351" t="s">
        <v>218</v>
      </c>
      <c r="F209" s="351" t="s">
        <v>218</v>
      </c>
      <c r="G209" s="4" t="str">
        <f>TEXT(MC[[#This Row],[Date]],"mmm-yy")</f>
        <v>Aug-25</v>
      </c>
      <c r="H209" s="4">
        <f>DAY(EOMONTH(MC[[#This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26"/>
      <c r="Q209" s="126"/>
      <c r="R209" s="4">
        <f>SUM(MC[[#This Row],[ICR1]:[ICR12]])</f>
        <v>0</v>
      </c>
      <c r="S209" s="133"/>
      <c r="T209" s="133"/>
      <c r="U209" s="133"/>
      <c r="V209" s="133"/>
      <c r="W209" s="133"/>
      <c r="X209" s="133"/>
      <c r="Y209" s="133"/>
    </row>
    <row r="210" spans="1:25">
      <c r="A210" s="133">
        <v>208</v>
      </c>
      <c r="B210" s="127">
        <f t="shared" si="3"/>
        <v>45896</v>
      </c>
      <c r="C210" s="238">
        <f>YEAR(MC[[#This Row],[Date]])+IF(MONTH(MC[[#This Row],[Date]])&gt;=4,1,0)</f>
        <v>2026</v>
      </c>
      <c r="D210" s="130">
        <f>YEAR(MC[[#This Row],[Date]])</f>
        <v>2025</v>
      </c>
      <c r="E210" s="351" t="s">
        <v>218</v>
      </c>
      <c r="F210" s="351" t="s">
        <v>218</v>
      </c>
      <c r="G210" s="4" t="str">
        <f>TEXT(MC[[#This Row],[Date]],"mmm-yy")</f>
        <v>Aug-25</v>
      </c>
      <c r="H210" s="4">
        <f>DAY(EOMONTH(MC[[#This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26"/>
      <c r="Q210" s="126"/>
      <c r="R210" s="4">
        <f>SUM(MC[[#This Row],[ICR1]:[ICR12]])</f>
        <v>0</v>
      </c>
      <c r="S210" s="133"/>
      <c r="T210" s="133"/>
      <c r="U210" s="133"/>
      <c r="V210" s="133"/>
      <c r="W210" s="133"/>
      <c r="X210" s="133"/>
      <c r="Y210" s="133"/>
    </row>
    <row r="211" spans="1:25">
      <c r="A211" s="133">
        <v>209</v>
      </c>
      <c r="B211" s="127">
        <f t="shared" si="3"/>
        <v>45897</v>
      </c>
      <c r="C211" s="238">
        <f>YEAR(MC[[#This Row],[Date]])+IF(MONTH(MC[[#This Row],[Date]])&gt;=4,1,0)</f>
        <v>2026</v>
      </c>
      <c r="D211" s="130">
        <f>YEAR(MC[[#This Row],[Date]])</f>
        <v>2025</v>
      </c>
      <c r="E211" s="351" t="s">
        <v>218</v>
      </c>
      <c r="F211" s="351" t="s">
        <v>218</v>
      </c>
      <c r="G211" s="4" t="str">
        <f>TEXT(MC[[#This Row],[Date]],"mmm-yy")</f>
        <v>Aug-25</v>
      </c>
      <c r="H211" s="4">
        <f>DAY(EOMONTH(MC[[#This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26"/>
      <c r="Q211" s="126"/>
      <c r="R211" s="4">
        <f>SUM(MC[[#This Row],[ICR1]:[ICR12]])</f>
        <v>0</v>
      </c>
      <c r="S211" s="133"/>
      <c r="T211" s="133"/>
      <c r="U211" s="133"/>
      <c r="V211" s="133"/>
      <c r="W211" s="133"/>
      <c r="X211" s="133"/>
      <c r="Y211" s="133"/>
    </row>
    <row r="212" spans="1:25">
      <c r="A212" s="133">
        <v>210</v>
      </c>
      <c r="B212" s="127">
        <f t="shared" si="3"/>
        <v>45898</v>
      </c>
      <c r="C212" s="238">
        <f>YEAR(MC[[#This Row],[Date]])+IF(MONTH(MC[[#This Row],[Date]])&gt;=4,1,0)</f>
        <v>2026</v>
      </c>
      <c r="D212" s="130">
        <f>YEAR(MC[[#This Row],[Date]])</f>
        <v>2025</v>
      </c>
      <c r="E212" s="351" t="s">
        <v>218</v>
      </c>
      <c r="F212" s="351" t="s">
        <v>218</v>
      </c>
      <c r="G212" s="4" t="str">
        <f>TEXT(MC[[#This Row],[Date]],"mmm-yy")</f>
        <v>Aug-25</v>
      </c>
      <c r="H212" s="4">
        <f>DAY(EOMONTH(MC[[#This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26"/>
      <c r="Q212" s="126"/>
      <c r="R212" s="4">
        <f>SUM(MC[[#This Row],[ICR1]:[ICR12]])</f>
        <v>0</v>
      </c>
      <c r="S212" s="133"/>
      <c r="T212" s="133"/>
      <c r="U212" s="133"/>
      <c r="V212" s="133"/>
      <c r="W212" s="133"/>
      <c r="X212" s="133"/>
      <c r="Y212" s="133"/>
    </row>
    <row r="213" spans="1:25">
      <c r="A213" s="133">
        <v>211</v>
      </c>
      <c r="B213" s="127">
        <f t="shared" si="3"/>
        <v>45899</v>
      </c>
      <c r="C213" s="238">
        <f>YEAR(MC[[#This Row],[Date]])+IF(MONTH(MC[[#This Row],[Date]])&gt;=4,1,0)</f>
        <v>2026</v>
      </c>
      <c r="D213" s="130">
        <f>YEAR(MC[[#This Row],[Date]])</f>
        <v>2025</v>
      </c>
      <c r="E213" s="351" t="s">
        <v>218</v>
      </c>
      <c r="F213" s="351" t="s">
        <v>218</v>
      </c>
      <c r="G213" s="4" t="str">
        <f>TEXT(MC[[#This Row],[Date]],"mmm-yy")</f>
        <v>Aug-25</v>
      </c>
      <c r="H213" s="4">
        <f>DAY(EOMONTH(MC[[#This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26"/>
      <c r="Q213" s="126"/>
      <c r="R213" s="4">
        <f>SUM(MC[[#This Row],[ICR1]:[ICR12]])</f>
        <v>0</v>
      </c>
      <c r="S213" s="133"/>
      <c r="T213" s="133"/>
      <c r="U213" s="133"/>
      <c r="V213" s="133"/>
      <c r="W213" s="133"/>
      <c r="X213" s="133"/>
      <c r="Y213" s="133"/>
    </row>
    <row r="214" spans="1:25">
      <c r="A214" s="133">
        <v>212</v>
      </c>
      <c r="B214" s="127">
        <f t="shared" si="3"/>
        <v>45900</v>
      </c>
      <c r="C214" s="238">
        <f>YEAR(MC[[#This Row],[Date]])+IF(MONTH(MC[[#This Row],[Date]])&gt;=4,1,0)</f>
        <v>2026</v>
      </c>
      <c r="D214" s="130">
        <f>YEAR(MC[[#This Row],[Date]])</f>
        <v>2025</v>
      </c>
      <c r="E214" s="351" t="s">
        <v>218</v>
      </c>
      <c r="F214" s="351" t="s">
        <v>218</v>
      </c>
      <c r="G214" s="4" t="str">
        <f>TEXT(MC[[#This Row],[Date]],"mmm-yy")</f>
        <v>Aug-25</v>
      </c>
      <c r="H214" s="4">
        <f>DAY(EOMONTH(MC[[#This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26"/>
      <c r="Q214" s="126"/>
      <c r="R214" s="4">
        <f>SUM(MC[[#This Row],[ICR1]:[ICR12]])</f>
        <v>0</v>
      </c>
      <c r="S214" s="133"/>
      <c r="T214" s="133"/>
      <c r="U214" s="133"/>
      <c r="V214" s="133"/>
      <c r="W214" s="133"/>
      <c r="X214" s="133"/>
      <c r="Y214" s="133"/>
    </row>
    <row r="215" spans="1:25">
      <c r="A215" s="133">
        <v>213</v>
      </c>
      <c r="B215" s="127">
        <f t="shared" si="3"/>
        <v>45901</v>
      </c>
      <c r="C215" s="238">
        <f>YEAR(MC[[#This Row],[Date]])+IF(MONTH(MC[[#This Row],[Date]])&gt;=4,1,0)</f>
        <v>2026</v>
      </c>
      <c r="D215" s="130">
        <f>YEAR(MC[[#This Row],[Date]])</f>
        <v>2025</v>
      </c>
      <c r="E215" s="351" t="s">
        <v>218</v>
      </c>
      <c r="F215" s="351" t="s">
        <v>218</v>
      </c>
      <c r="G215" s="4" t="str">
        <f>TEXT(MC[[#This Row],[Date]],"mmm-yy")</f>
        <v>Sep-25</v>
      </c>
      <c r="H215" s="4">
        <f>DAY(EOMONTH(MC[[#This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26"/>
      <c r="Q215" s="126"/>
      <c r="R215" s="4">
        <f>SUM(MC[[#This Row],[ICR1]:[ICR12]])</f>
        <v>0</v>
      </c>
      <c r="S215" s="133"/>
      <c r="T215" s="133"/>
      <c r="U215" s="133"/>
      <c r="V215" s="133"/>
      <c r="W215" s="133"/>
      <c r="X215" s="133"/>
      <c r="Y215" s="133"/>
    </row>
    <row r="216" spans="1:25">
      <c r="A216" s="133">
        <v>214</v>
      </c>
      <c r="B216" s="127">
        <f t="shared" si="3"/>
        <v>45902</v>
      </c>
      <c r="C216" s="238">
        <f>YEAR(MC[[#This Row],[Date]])+IF(MONTH(MC[[#This Row],[Date]])&gt;=4,1,0)</f>
        <v>2026</v>
      </c>
      <c r="D216" s="130">
        <f>YEAR(MC[[#This Row],[Date]])</f>
        <v>2025</v>
      </c>
      <c r="E216" s="351" t="s">
        <v>218</v>
      </c>
      <c r="F216" s="351" t="s">
        <v>218</v>
      </c>
      <c r="G216" s="4" t="str">
        <f>TEXT(MC[[#This Row],[Date]],"mmm-yy")</f>
        <v>Sep-25</v>
      </c>
      <c r="H216" s="4">
        <f>DAY(EOMONTH(MC[[#This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26"/>
      <c r="Q216" s="126"/>
      <c r="R216" s="4">
        <f>SUM(MC[[#This Row],[ICR1]:[ICR12]])</f>
        <v>0</v>
      </c>
      <c r="S216" s="133"/>
      <c r="T216" s="133"/>
      <c r="U216" s="133"/>
      <c r="V216" s="133"/>
      <c r="W216" s="133"/>
      <c r="X216" s="133"/>
      <c r="Y216" s="133"/>
    </row>
    <row r="217" spans="1:25">
      <c r="A217" s="133">
        <v>215</v>
      </c>
      <c r="B217" s="127">
        <f t="shared" si="3"/>
        <v>45903</v>
      </c>
      <c r="C217" s="238">
        <f>YEAR(MC[[#This Row],[Date]])+IF(MONTH(MC[[#This Row],[Date]])&gt;=4,1,0)</f>
        <v>2026</v>
      </c>
      <c r="D217" s="130">
        <f>YEAR(MC[[#This Row],[Date]])</f>
        <v>2025</v>
      </c>
      <c r="E217" s="351" t="s">
        <v>218</v>
      </c>
      <c r="F217" s="351" t="s">
        <v>218</v>
      </c>
      <c r="G217" s="4" t="str">
        <f>TEXT(MC[[#This Row],[Date]],"mmm-yy")</f>
        <v>Sep-25</v>
      </c>
      <c r="H217" s="4">
        <f>DAY(EOMONTH(MC[[#This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26"/>
      <c r="Q217" s="126"/>
      <c r="R217" s="4">
        <f>SUM(MC[[#This Row],[ICR1]:[ICR12]])</f>
        <v>0</v>
      </c>
      <c r="S217" s="133"/>
      <c r="T217" s="133"/>
      <c r="U217" s="133"/>
      <c r="V217" s="133"/>
      <c r="W217" s="133"/>
      <c r="X217" s="133"/>
      <c r="Y217" s="133"/>
    </row>
    <row r="218" spans="1:25">
      <c r="A218" s="133">
        <v>216</v>
      </c>
      <c r="B218" s="127">
        <f t="shared" si="3"/>
        <v>45904</v>
      </c>
      <c r="C218" s="238">
        <f>YEAR(MC[[#This Row],[Date]])+IF(MONTH(MC[[#This Row],[Date]])&gt;=4,1,0)</f>
        <v>2026</v>
      </c>
      <c r="D218" s="130">
        <f>YEAR(MC[[#This Row],[Date]])</f>
        <v>2025</v>
      </c>
      <c r="E218" s="351" t="s">
        <v>218</v>
      </c>
      <c r="F218" s="351" t="s">
        <v>218</v>
      </c>
      <c r="G218" s="4" t="str">
        <f>TEXT(MC[[#This Row],[Date]],"mmm-yy")</f>
        <v>Sep-25</v>
      </c>
      <c r="H218" s="4">
        <f>DAY(EOMONTH(MC[[#This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26"/>
      <c r="Q218" s="126"/>
      <c r="R218" s="4">
        <f>SUM(MC[[#This Row],[ICR1]:[ICR12]])</f>
        <v>0</v>
      </c>
      <c r="S218" s="133"/>
      <c r="T218" s="133"/>
      <c r="U218" s="133"/>
      <c r="V218" s="133"/>
      <c r="W218" s="133"/>
      <c r="X218" s="133"/>
      <c r="Y218" s="133"/>
    </row>
    <row r="219" spans="1:25">
      <c r="A219" s="133">
        <v>217</v>
      </c>
      <c r="B219" s="127">
        <f t="shared" si="3"/>
        <v>45905</v>
      </c>
      <c r="C219" s="238">
        <f>YEAR(MC[[#This Row],[Date]])+IF(MONTH(MC[[#This Row],[Date]])&gt;=4,1,0)</f>
        <v>2026</v>
      </c>
      <c r="D219" s="130">
        <f>YEAR(MC[[#This Row],[Date]])</f>
        <v>2025</v>
      </c>
      <c r="E219" s="351" t="s">
        <v>218</v>
      </c>
      <c r="F219" s="351" t="s">
        <v>218</v>
      </c>
      <c r="G219" s="4" t="str">
        <f>TEXT(MC[[#This Row],[Date]],"mmm-yy")</f>
        <v>Sep-25</v>
      </c>
      <c r="H219" s="4">
        <f>DAY(EOMONTH(MC[[#This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26"/>
      <c r="Q219" s="126"/>
      <c r="R219" s="4">
        <f>SUM(MC[[#This Row],[ICR1]:[ICR12]])</f>
        <v>0</v>
      </c>
      <c r="S219" s="133"/>
      <c r="T219" s="133"/>
      <c r="U219" s="133"/>
      <c r="V219" s="133"/>
      <c r="W219" s="133"/>
      <c r="X219" s="133"/>
      <c r="Y219" s="133"/>
    </row>
    <row r="220" spans="1:25">
      <c r="A220" s="133">
        <v>218</v>
      </c>
      <c r="B220" s="127">
        <f t="shared" si="3"/>
        <v>45906</v>
      </c>
      <c r="C220" s="238">
        <f>YEAR(MC[[#This Row],[Date]])+IF(MONTH(MC[[#This Row],[Date]])&gt;=4,1,0)</f>
        <v>2026</v>
      </c>
      <c r="D220" s="130">
        <f>YEAR(MC[[#This Row],[Date]])</f>
        <v>2025</v>
      </c>
      <c r="E220" s="351" t="s">
        <v>218</v>
      </c>
      <c r="F220" s="351" t="s">
        <v>218</v>
      </c>
      <c r="G220" s="4" t="str">
        <f>TEXT(MC[[#This Row],[Date]],"mmm-yy")</f>
        <v>Sep-25</v>
      </c>
      <c r="H220" s="4">
        <f>DAY(EOMONTH(MC[[#This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26"/>
      <c r="Q220" s="126"/>
      <c r="R220" s="4">
        <f>SUM(MC[[#This Row],[ICR1]:[ICR12]])</f>
        <v>0</v>
      </c>
      <c r="S220" s="133"/>
      <c r="T220" s="133"/>
      <c r="U220" s="133"/>
      <c r="V220" s="133"/>
      <c r="W220" s="133"/>
      <c r="X220" s="133"/>
      <c r="Y220" s="133"/>
    </row>
    <row r="221" spans="1:25">
      <c r="A221" s="133">
        <v>219</v>
      </c>
      <c r="B221" s="127">
        <f t="shared" si="3"/>
        <v>45907</v>
      </c>
      <c r="C221" s="238">
        <f>YEAR(MC[[#This Row],[Date]])+IF(MONTH(MC[[#This Row],[Date]])&gt;=4,1,0)</f>
        <v>2026</v>
      </c>
      <c r="D221" s="130">
        <f>YEAR(MC[[#This Row],[Date]])</f>
        <v>2025</v>
      </c>
      <c r="E221" s="351" t="s">
        <v>218</v>
      </c>
      <c r="F221" s="351" t="s">
        <v>218</v>
      </c>
      <c r="G221" s="4" t="str">
        <f>TEXT(MC[[#This Row],[Date]],"mmm-yy")</f>
        <v>Sep-25</v>
      </c>
      <c r="H221" s="4">
        <f>DAY(EOMONTH(MC[[#This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26"/>
      <c r="Q221" s="126"/>
      <c r="R221" s="4">
        <f>SUM(MC[[#This Row],[ICR1]:[ICR12]])</f>
        <v>0</v>
      </c>
      <c r="S221" s="133"/>
      <c r="T221" s="133"/>
      <c r="U221" s="133"/>
      <c r="V221" s="133"/>
      <c r="W221" s="133"/>
      <c r="X221" s="133"/>
      <c r="Y221" s="133"/>
    </row>
    <row r="222" spans="1:25">
      <c r="A222" s="133">
        <v>220</v>
      </c>
      <c r="B222" s="127">
        <f t="shared" si="3"/>
        <v>45908</v>
      </c>
      <c r="C222" s="238">
        <f>YEAR(MC[[#This Row],[Date]])+IF(MONTH(MC[[#This Row],[Date]])&gt;=4,1,0)</f>
        <v>2026</v>
      </c>
      <c r="D222" s="130">
        <f>YEAR(MC[[#This Row],[Date]])</f>
        <v>2025</v>
      </c>
      <c r="E222" s="351" t="s">
        <v>218</v>
      </c>
      <c r="F222" s="351" t="s">
        <v>218</v>
      </c>
      <c r="G222" s="4" t="str">
        <f>TEXT(MC[[#This Row],[Date]],"mmm-yy")</f>
        <v>Sep-25</v>
      </c>
      <c r="H222" s="4">
        <f>DAY(EOMONTH(MC[[#This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26"/>
      <c r="Q222" s="126"/>
      <c r="R222" s="4">
        <f>SUM(MC[[#This Row],[ICR1]:[ICR12]])</f>
        <v>0</v>
      </c>
      <c r="S222" s="133"/>
      <c r="T222" s="133"/>
      <c r="U222" s="133"/>
      <c r="V222" s="133"/>
      <c r="W222" s="133"/>
      <c r="X222" s="133"/>
      <c r="Y222" s="133"/>
    </row>
    <row r="223" spans="1:25">
      <c r="A223" s="133">
        <v>221</v>
      </c>
      <c r="B223" s="127">
        <f t="shared" si="3"/>
        <v>45909</v>
      </c>
      <c r="C223" s="238">
        <f>YEAR(MC[[#This Row],[Date]])+IF(MONTH(MC[[#This Row],[Date]])&gt;=4,1,0)</f>
        <v>2026</v>
      </c>
      <c r="D223" s="130">
        <f>YEAR(MC[[#This Row],[Date]])</f>
        <v>2025</v>
      </c>
      <c r="E223" s="351" t="s">
        <v>218</v>
      </c>
      <c r="F223" s="351" t="s">
        <v>218</v>
      </c>
      <c r="G223" s="4" t="str">
        <f>TEXT(MC[[#This Row],[Date]],"mmm-yy")</f>
        <v>Sep-25</v>
      </c>
      <c r="H223" s="4">
        <f>DAY(EOMONTH(MC[[#This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26"/>
      <c r="Q223" s="126"/>
      <c r="R223" s="4">
        <f>SUM(MC[[#This Row],[ICR1]:[ICR12]])</f>
        <v>0</v>
      </c>
      <c r="S223" s="133"/>
      <c r="T223" s="133"/>
      <c r="U223" s="133"/>
      <c r="V223" s="133"/>
      <c r="W223" s="133"/>
      <c r="X223" s="133"/>
      <c r="Y223" s="133"/>
    </row>
    <row r="224" spans="1:25">
      <c r="A224" s="133">
        <v>222</v>
      </c>
      <c r="B224" s="127">
        <f t="shared" si="3"/>
        <v>45910</v>
      </c>
      <c r="C224" s="238">
        <f>YEAR(MC[[#This Row],[Date]])+IF(MONTH(MC[[#This Row],[Date]])&gt;=4,1,0)</f>
        <v>2026</v>
      </c>
      <c r="D224" s="130">
        <f>YEAR(MC[[#This Row],[Date]])</f>
        <v>2025</v>
      </c>
      <c r="E224" s="351" t="s">
        <v>218</v>
      </c>
      <c r="F224" s="351" t="s">
        <v>218</v>
      </c>
      <c r="G224" s="4" t="str">
        <f>TEXT(MC[[#This Row],[Date]],"mmm-yy")</f>
        <v>Sep-25</v>
      </c>
      <c r="H224" s="4">
        <f>DAY(EOMONTH(MC[[#This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26"/>
      <c r="Q224" s="126"/>
      <c r="R224" s="4">
        <f>SUM(MC[[#This Row],[ICR1]:[ICR12]])</f>
        <v>0</v>
      </c>
      <c r="S224" s="133"/>
      <c r="T224" s="133"/>
      <c r="U224" s="133"/>
      <c r="V224" s="133"/>
      <c r="W224" s="133"/>
      <c r="X224" s="133"/>
      <c r="Y224" s="133"/>
    </row>
    <row r="225" spans="1:25">
      <c r="A225" s="133">
        <v>223</v>
      </c>
      <c r="B225" s="127">
        <f t="shared" si="3"/>
        <v>45911</v>
      </c>
      <c r="C225" s="238">
        <f>YEAR(MC[[#This Row],[Date]])+IF(MONTH(MC[[#This Row],[Date]])&gt;=4,1,0)</f>
        <v>2026</v>
      </c>
      <c r="D225" s="130">
        <f>YEAR(MC[[#This Row],[Date]])</f>
        <v>2025</v>
      </c>
      <c r="E225" s="351" t="s">
        <v>218</v>
      </c>
      <c r="F225" s="351" t="s">
        <v>218</v>
      </c>
      <c r="G225" s="4" t="str">
        <f>TEXT(MC[[#This Row],[Date]],"mmm-yy")</f>
        <v>Sep-25</v>
      </c>
      <c r="H225" s="4">
        <f>DAY(EOMONTH(MC[[#This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26"/>
      <c r="Q225" s="126"/>
      <c r="R225" s="4">
        <f>SUM(MC[[#This Row],[ICR1]:[ICR12]])</f>
        <v>0</v>
      </c>
      <c r="S225" s="133"/>
      <c r="T225" s="133"/>
      <c r="U225" s="133"/>
      <c r="V225" s="133"/>
      <c r="W225" s="133"/>
      <c r="X225" s="133"/>
      <c r="Y225" s="133"/>
    </row>
    <row r="226" spans="1:25">
      <c r="A226" s="133">
        <v>224</v>
      </c>
      <c r="B226" s="127">
        <f t="shared" si="3"/>
        <v>45912</v>
      </c>
      <c r="C226" s="238">
        <f>YEAR(MC[[#This Row],[Date]])+IF(MONTH(MC[[#This Row],[Date]])&gt;=4,1,0)</f>
        <v>2026</v>
      </c>
      <c r="D226" s="130">
        <f>YEAR(MC[[#This Row],[Date]])</f>
        <v>2025</v>
      </c>
      <c r="E226" s="351" t="s">
        <v>218</v>
      </c>
      <c r="F226" s="351" t="s">
        <v>218</v>
      </c>
      <c r="G226" s="4" t="str">
        <f>TEXT(MC[[#This Row],[Date]],"mmm-yy")</f>
        <v>Sep-25</v>
      </c>
      <c r="H226" s="4">
        <f>DAY(EOMONTH(MC[[#This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26"/>
      <c r="Q226" s="126"/>
      <c r="R226" s="4">
        <f>SUM(MC[[#This Row],[ICR1]:[ICR12]])</f>
        <v>0</v>
      </c>
      <c r="S226" s="133"/>
      <c r="T226" s="133"/>
      <c r="U226" s="133"/>
      <c r="V226" s="133"/>
      <c r="W226" s="133"/>
      <c r="X226" s="133"/>
      <c r="Y226" s="133"/>
    </row>
    <row r="227" spans="1:25">
      <c r="A227" s="133">
        <v>225</v>
      </c>
      <c r="B227" s="127">
        <f t="shared" si="3"/>
        <v>45913</v>
      </c>
      <c r="C227" s="238">
        <f>YEAR(MC[[#This Row],[Date]])+IF(MONTH(MC[[#This Row],[Date]])&gt;=4,1,0)</f>
        <v>2026</v>
      </c>
      <c r="D227" s="130">
        <f>YEAR(MC[[#This Row],[Date]])</f>
        <v>2025</v>
      </c>
      <c r="E227" s="351" t="s">
        <v>218</v>
      </c>
      <c r="F227" s="351" t="s">
        <v>218</v>
      </c>
      <c r="G227" s="4" t="str">
        <f>TEXT(MC[[#This Row],[Date]],"mmm-yy")</f>
        <v>Sep-25</v>
      </c>
      <c r="H227" s="4">
        <f>DAY(EOMONTH(MC[[#This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26"/>
      <c r="Q227" s="126"/>
      <c r="R227" s="4">
        <f>SUM(MC[[#This Row],[ICR1]:[ICR12]])</f>
        <v>0</v>
      </c>
      <c r="S227" s="133"/>
      <c r="T227" s="133"/>
      <c r="U227" s="133"/>
      <c r="V227" s="133"/>
      <c r="W227" s="133"/>
      <c r="X227" s="133"/>
      <c r="Y227" s="133"/>
    </row>
    <row r="228" spans="1:25">
      <c r="A228" s="133">
        <v>226</v>
      </c>
      <c r="B228" s="127">
        <f t="shared" si="3"/>
        <v>45914</v>
      </c>
      <c r="C228" s="238">
        <f>YEAR(MC[[#This Row],[Date]])+IF(MONTH(MC[[#This Row],[Date]])&gt;=4,1,0)</f>
        <v>2026</v>
      </c>
      <c r="D228" s="130">
        <f>YEAR(MC[[#This Row],[Date]])</f>
        <v>2025</v>
      </c>
      <c r="E228" s="351" t="s">
        <v>218</v>
      </c>
      <c r="F228" s="351" t="s">
        <v>218</v>
      </c>
      <c r="G228" s="4" t="str">
        <f>TEXT(MC[[#This Row],[Date]],"mmm-yy")</f>
        <v>Sep-25</v>
      </c>
      <c r="H228" s="4">
        <f>DAY(EOMONTH(MC[[#This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26"/>
      <c r="Q228" s="126"/>
      <c r="R228" s="4">
        <f>SUM(MC[[#This Row],[ICR1]:[ICR12]])</f>
        <v>0</v>
      </c>
      <c r="S228" s="133"/>
      <c r="T228" s="133"/>
      <c r="U228" s="133"/>
      <c r="V228" s="133"/>
      <c r="W228" s="133"/>
      <c r="X228" s="133"/>
      <c r="Y228" s="133"/>
    </row>
    <row r="229" spans="1:25">
      <c r="A229" s="133">
        <v>227</v>
      </c>
      <c r="B229" s="127">
        <f t="shared" si="3"/>
        <v>45915</v>
      </c>
      <c r="C229" s="238">
        <f>YEAR(MC[[#This Row],[Date]])+IF(MONTH(MC[[#This Row],[Date]])&gt;=4,1,0)</f>
        <v>2026</v>
      </c>
      <c r="D229" s="130">
        <f>YEAR(MC[[#This Row],[Date]])</f>
        <v>2025</v>
      </c>
      <c r="E229" s="351" t="s">
        <v>218</v>
      </c>
      <c r="F229" s="351" t="s">
        <v>218</v>
      </c>
      <c r="G229" s="4" t="str">
        <f>TEXT(MC[[#This Row],[Date]],"mmm-yy")</f>
        <v>Sep-25</v>
      </c>
      <c r="H229" s="4">
        <f>DAY(EOMONTH(MC[[#This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26"/>
      <c r="Q229" s="126"/>
      <c r="R229" s="4">
        <f>SUM(MC[[#This Row],[ICR1]:[ICR12]])</f>
        <v>0</v>
      </c>
      <c r="S229" s="133"/>
      <c r="T229" s="133"/>
      <c r="U229" s="133"/>
      <c r="V229" s="133"/>
      <c r="W229" s="133"/>
      <c r="X229" s="133"/>
      <c r="Y229" s="133"/>
    </row>
    <row r="230" spans="1:25">
      <c r="A230" s="133">
        <v>228</v>
      </c>
      <c r="B230" s="127">
        <f t="shared" si="3"/>
        <v>45916</v>
      </c>
      <c r="C230" s="238">
        <f>YEAR(MC[[#This Row],[Date]])+IF(MONTH(MC[[#This Row],[Date]])&gt;=4,1,0)</f>
        <v>2026</v>
      </c>
      <c r="D230" s="130">
        <f>YEAR(MC[[#This Row],[Date]])</f>
        <v>2025</v>
      </c>
      <c r="E230" s="351" t="s">
        <v>218</v>
      </c>
      <c r="F230" s="351" t="s">
        <v>218</v>
      </c>
      <c r="G230" s="4" t="str">
        <f>TEXT(MC[[#This Row],[Date]],"mmm-yy")</f>
        <v>Sep-25</v>
      </c>
      <c r="H230" s="4">
        <f>DAY(EOMONTH(MC[[#This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26"/>
      <c r="Q230" s="126"/>
      <c r="R230" s="4">
        <f>SUM(MC[[#This Row],[ICR1]:[ICR12]])</f>
        <v>0</v>
      </c>
      <c r="S230" s="133"/>
      <c r="T230" s="133"/>
      <c r="U230" s="133"/>
      <c r="V230" s="133"/>
      <c r="W230" s="133"/>
      <c r="X230" s="133"/>
      <c r="Y230" s="133"/>
    </row>
    <row r="231" spans="1:25">
      <c r="A231" s="133">
        <v>229</v>
      </c>
      <c r="B231" s="127">
        <f t="shared" si="3"/>
        <v>45917</v>
      </c>
      <c r="C231" s="238">
        <f>YEAR(MC[[#This Row],[Date]])+IF(MONTH(MC[[#This Row],[Date]])&gt;=4,1,0)</f>
        <v>2026</v>
      </c>
      <c r="D231" s="130">
        <f>YEAR(MC[[#This Row],[Date]])</f>
        <v>2025</v>
      </c>
      <c r="E231" s="351" t="s">
        <v>218</v>
      </c>
      <c r="F231" s="351" t="s">
        <v>218</v>
      </c>
      <c r="G231" s="4" t="str">
        <f>TEXT(MC[[#This Row],[Date]],"mmm-yy")</f>
        <v>Sep-25</v>
      </c>
      <c r="H231" s="4">
        <f>DAY(EOMONTH(MC[[#This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26"/>
      <c r="Q231" s="126"/>
      <c r="R231" s="4">
        <f>SUM(MC[[#This Row],[ICR1]:[ICR12]])</f>
        <v>0</v>
      </c>
      <c r="S231" s="133"/>
      <c r="T231" s="133"/>
      <c r="U231" s="133"/>
      <c r="V231" s="133"/>
      <c r="W231" s="133"/>
      <c r="X231" s="133"/>
      <c r="Y231" s="133"/>
    </row>
    <row r="232" spans="1:25">
      <c r="A232" s="133">
        <v>230</v>
      </c>
      <c r="B232" s="127">
        <f t="shared" si="3"/>
        <v>45918</v>
      </c>
      <c r="C232" s="238">
        <f>YEAR(MC[[#This Row],[Date]])+IF(MONTH(MC[[#This Row],[Date]])&gt;=4,1,0)</f>
        <v>2026</v>
      </c>
      <c r="D232" s="130">
        <f>YEAR(MC[[#This Row],[Date]])</f>
        <v>2025</v>
      </c>
      <c r="E232" s="351" t="s">
        <v>218</v>
      </c>
      <c r="F232" s="351" t="s">
        <v>218</v>
      </c>
      <c r="G232" s="4" t="str">
        <f>TEXT(MC[[#This Row],[Date]],"mmm-yy")</f>
        <v>Sep-25</v>
      </c>
      <c r="H232" s="4">
        <f>DAY(EOMONTH(MC[[#This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26"/>
      <c r="Q232" s="126"/>
      <c r="R232" s="4">
        <f>SUM(MC[[#This Row],[ICR1]:[ICR12]])</f>
        <v>0</v>
      </c>
      <c r="S232" s="133"/>
      <c r="T232" s="133"/>
      <c r="U232" s="133"/>
      <c r="V232" s="133"/>
      <c r="W232" s="133"/>
      <c r="X232" s="133"/>
      <c r="Y232" s="133"/>
    </row>
    <row r="233" spans="1:25">
      <c r="A233" s="133">
        <v>231</v>
      </c>
      <c r="B233" s="127">
        <f t="shared" si="3"/>
        <v>45919</v>
      </c>
      <c r="C233" s="238">
        <f>YEAR(MC[[#This Row],[Date]])+IF(MONTH(MC[[#This Row],[Date]])&gt;=4,1,0)</f>
        <v>2026</v>
      </c>
      <c r="D233" s="130">
        <f>YEAR(MC[[#This Row],[Date]])</f>
        <v>2025</v>
      </c>
      <c r="E233" s="351" t="s">
        <v>218</v>
      </c>
      <c r="F233" s="351" t="s">
        <v>218</v>
      </c>
      <c r="G233" s="4" t="str">
        <f>TEXT(MC[[#This Row],[Date]],"mmm-yy")</f>
        <v>Sep-25</v>
      </c>
      <c r="H233" s="4">
        <f>DAY(EOMONTH(MC[[#This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26"/>
      <c r="Q233" s="126"/>
      <c r="R233" s="4">
        <f>SUM(MC[[#This Row],[ICR1]:[ICR12]])</f>
        <v>0</v>
      </c>
      <c r="S233" s="133"/>
      <c r="T233" s="133"/>
      <c r="U233" s="133"/>
      <c r="V233" s="133"/>
      <c r="W233" s="133"/>
      <c r="X233" s="133"/>
      <c r="Y233" s="133"/>
    </row>
    <row r="234" spans="1:25">
      <c r="A234" s="133">
        <v>232</v>
      </c>
      <c r="B234" s="127">
        <f t="shared" si="3"/>
        <v>45920</v>
      </c>
      <c r="C234" s="238">
        <f>YEAR(MC[[#This Row],[Date]])+IF(MONTH(MC[[#This Row],[Date]])&gt;=4,1,0)</f>
        <v>2026</v>
      </c>
      <c r="D234" s="130">
        <f>YEAR(MC[[#This Row],[Date]])</f>
        <v>2025</v>
      </c>
      <c r="E234" s="351" t="s">
        <v>218</v>
      </c>
      <c r="F234" s="351" t="s">
        <v>218</v>
      </c>
      <c r="G234" s="4" t="str">
        <f>TEXT(MC[[#This Row],[Date]],"mmm-yy")</f>
        <v>Sep-25</v>
      </c>
      <c r="H234" s="4">
        <f>DAY(EOMONTH(MC[[#This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26"/>
      <c r="Q234" s="126"/>
      <c r="R234" s="4">
        <f>SUM(MC[[#This Row],[ICR1]:[ICR12]])</f>
        <v>0</v>
      </c>
      <c r="S234" s="133"/>
      <c r="T234" s="133"/>
      <c r="U234" s="133"/>
      <c r="V234" s="133"/>
      <c r="W234" s="133"/>
      <c r="X234" s="133"/>
      <c r="Y234" s="133"/>
    </row>
    <row r="235" spans="1:25">
      <c r="A235" s="133">
        <v>233</v>
      </c>
      <c r="B235" s="127">
        <f t="shared" si="3"/>
        <v>45921</v>
      </c>
      <c r="C235" s="238">
        <f>YEAR(MC[[#This Row],[Date]])+IF(MONTH(MC[[#This Row],[Date]])&gt;=4,1,0)</f>
        <v>2026</v>
      </c>
      <c r="D235" s="130">
        <f>YEAR(MC[[#This Row],[Date]])</f>
        <v>2025</v>
      </c>
      <c r="E235" s="351" t="s">
        <v>218</v>
      </c>
      <c r="F235" s="351" t="s">
        <v>218</v>
      </c>
      <c r="G235" s="4" t="str">
        <f>TEXT(MC[[#This Row],[Date]],"mmm-yy")</f>
        <v>Sep-25</v>
      </c>
      <c r="H235" s="4">
        <f>DAY(EOMONTH(MC[[#This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26"/>
      <c r="Q235" s="126"/>
      <c r="R235" s="4">
        <f>SUM(MC[[#This Row],[ICR1]:[ICR12]])</f>
        <v>0</v>
      </c>
      <c r="S235" s="133"/>
      <c r="T235" s="133"/>
      <c r="U235" s="133"/>
      <c r="V235" s="133"/>
      <c r="W235" s="133"/>
      <c r="X235" s="133"/>
      <c r="Y235" s="133"/>
    </row>
    <row r="236" spans="1:25">
      <c r="A236" s="133">
        <v>234</v>
      </c>
      <c r="B236" s="127">
        <f t="shared" si="3"/>
        <v>45922</v>
      </c>
      <c r="C236" s="238">
        <f>YEAR(MC[[#This Row],[Date]])+IF(MONTH(MC[[#This Row],[Date]])&gt;=4,1,0)</f>
        <v>2026</v>
      </c>
      <c r="D236" s="130">
        <f>YEAR(MC[[#This Row],[Date]])</f>
        <v>2025</v>
      </c>
      <c r="E236" s="351" t="s">
        <v>218</v>
      </c>
      <c r="F236" s="351" t="s">
        <v>218</v>
      </c>
      <c r="G236" s="4" t="str">
        <f>TEXT(MC[[#This Row],[Date]],"mmm-yy")</f>
        <v>Sep-25</v>
      </c>
      <c r="H236" s="4">
        <f>DAY(EOMONTH(MC[[#This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26"/>
      <c r="Q236" s="126"/>
      <c r="R236" s="4">
        <f>SUM(MC[[#This Row],[ICR1]:[ICR12]])</f>
        <v>0</v>
      </c>
      <c r="S236" s="133"/>
      <c r="T236" s="133"/>
      <c r="U236" s="133"/>
      <c r="V236" s="133"/>
      <c r="W236" s="133"/>
      <c r="X236" s="133"/>
      <c r="Y236" s="133"/>
    </row>
    <row r="237" spans="1:25">
      <c r="A237" s="133">
        <v>235</v>
      </c>
      <c r="B237" s="127">
        <f t="shared" si="3"/>
        <v>45923</v>
      </c>
      <c r="C237" s="238">
        <f>YEAR(MC[[#This Row],[Date]])+IF(MONTH(MC[[#This Row],[Date]])&gt;=4,1,0)</f>
        <v>2026</v>
      </c>
      <c r="D237" s="130">
        <f>YEAR(MC[[#This Row],[Date]])</f>
        <v>2025</v>
      </c>
      <c r="E237" s="351" t="s">
        <v>218</v>
      </c>
      <c r="F237" s="351" t="s">
        <v>218</v>
      </c>
      <c r="G237" s="4" t="str">
        <f>TEXT(MC[[#This Row],[Date]],"mmm-yy")</f>
        <v>Sep-25</v>
      </c>
      <c r="H237" s="4">
        <f>DAY(EOMONTH(MC[[#This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26"/>
      <c r="Q237" s="126"/>
      <c r="R237" s="4">
        <f>SUM(MC[[#This Row],[ICR1]:[ICR12]])</f>
        <v>0</v>
      </c>
      <c r="S237" s="133"/>
      <c r="T237" s="133"/>
      <c r="U237" s="133"/>
      <c r="V237" s="133"/>
      <c r="W237" s="133"/>
      <c r="X237" s="133"/>
      <c r="Y237" s="133"/>
    </row>
    <row r="238" spans="1:25">
      <c r="A238" s="133">
        <v>236</v>
      </c>
      <c r="B238" s="127">
        <f t="shared" si="3"/>
        <v>45924</v>
      </c>
      <c r="C238" s="238">
        <f>YEAR(MC[[#This Row],[Date]])+IF(MONTH(MC[[#This Row],[Date]])&gt;=4,1,0)</f>
        <v>2026</v>
      </c>
      <c r="D238" s="130">
        <f>YEAR(MC[[#This Row],[Date]])</f>
        <v>2025</v>
      </c>
      <c r="E238" s="351" t="s">
        <v>218</v>
      </c>
      <c r="F238" s="351" t="s">
        <v>218</v>
      </c>
      <c r="G238" s="4" t="str">
        <f>TEXT(MC[[#This Row],[Date]],"mmm-yy")</f>
        <v>Sep-25</v>
      </c>
      <c r="H238" s="4">
        <f>DAY(EOMONTH(MC[[#This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26"/>
      <c r="Q238" s="126"/>
      <c r="R238" s="4">
        <f>SUM(MC[[#This Row],[ICR1]:[ICR12]])</f>
        <v>0</v>
      </c>
      <c r="S238" s="133"/>
      <c r="T238" s="133"/>
      <c r="U238" s="133"/>
      <c r="V238" s="133"/>
      <c r="W238" s="133"/>
      <c r="X238" s="133"/>
      <c r="Y238" s="133"/>
    </row>
    <row r="239" spans="1:25">
      <c r="A239" s="133">
        <v>237</v>
      </c>
      <c r="B239" s="127">
        <f t="shared" si="3"/>
        <v>45925</v>
      </c>
      <c r="C239" s="238">
        <f>YEAR(MC[[#This Row],[Date]])+IF(MONTH(MC[[#This Row],[Date]])&gt;=4,1,0)</f>
        <v>2026</v>
      </c>
      <c r="D239" s="130">
        <f>YEAR(MC[[#This Row],[Date]])</f>
        <v>2025</v>
      </c>
      <c r="E239" s="351" t="s">
        <v>218</v>
      </c>
      <c r="F239" s="351" t="s">
        <v>218</v>
      </c>
      <c r="G239" s="4" t="str">
        <f>TEXT(MC[[#This Row],[Date]],"mmm-yy")</f>
        <v>Sep-25</v>
      </c>
      <c r="H239" s="4">
        <f>DAY(EOMONTH(MC[[#This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26"/>
      <c r="Q239" s="126"/>
      <c r="R239" s="4">
        <f>SUM(MC[[#This Row],[ICR1]:[ICR12]])</f>
        <v>0</v>
      </c>
      <c r="S239" s="133"/>
      <c r="T239" s="133"/>
      <c r="U239" s="133"/>
      <c r="V239" s="133"/>
      <c r="W239" s="133"/>
      <c r="X239" s="133"/>
      <c r="Y239" s="133"/>
    </row>
    <row r="240" spans="1:25">
      <c r="A240" s="133">
        <v>238</v>
      </c>
      <c r="B240" s="127">
        <f t="shared" si="3"/>
        <v>45926</v>
      </c>
      <c r="C240" s="238">
        <f>YEAR(MC[[#This Row],[Date]])+IF(MONTH(MC[[#This Row],[Date]])&gt;=4,1,0)</f>
        <v>2026</v>
      </c>
      <c r="D240" s="130">
        <f>YEAR(MC[[#This Row],[Date]])</f>
        <v>2025</v>
      </c>
      <c r="E240" s="351" t="s">
        <v>218</v>
      </c>
      <c r="F240" s="351" t="s">
        <v>218</v>
      </c>
      <c r="G240" s="4" t="str">
        <f>TEXT(MC[[#This Row],[Date]],"mmm-yy")</f>
        <v>Sep-25</v>
      </c>
      <c r="H240" s="4">
        <f>DAY(EOMONTH(MC[[#This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26"/>
      <c r="Q240" s="126"/>
      <c r="R240" s="4">
        <f>SUM(MC[[#This Row],[ICR1]:[ICR12]])</f>
        <v>0</v>
      </c>
      <c r="S240" s="133"/>
      <c r="T240" s="133"/>
      <c r="U240" s="133"/>
      <c r="V240" s="133"/>
      <c r="W240" s="133"/>
      <c r="X240" s="133"/>
      <c r="Y240" s="133"/>
    </row>
    <row r="241" spans="1:25">
      <c r="A241" s="133">
        <v>239</v>
      </c>
      <c r="B241" s="127">
        <f t="shared" si="3"/>
        <v>45927</v>
      </c>
      <c r="C241" s="238">
        <f>YEAR(MC[[#This Row],[Date]])+IF(MONTH(MC[[#This Row],[Date]])&gt;=4,1,0)</f>
        <v>2026</v>
      </c>
      <c r="D241" s="130">
        <f>YEAR(MC[[#This Row],[Date]])</f>
        <v>2025</v>
      </c>
      <c r="E241" s="351" t="s">
        <v>218</v>
      </c>
      <c r="F241" s="351" t="s">
        <v>218</v>
      </c>
      <c r="G241" s="4" t="str">
        <f>TEXT(MC[[#This Row],[Date]],"mmm-yy")</f>
        <v>Sep-25</v>
      </c>
      <c r="H241" s="4">
        <f>DAY(EOMONTH(MC[[#This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26"/>
      <c r="Q241" s="126"/>
      <c r="R241" s="4">
        <f>SUM(MC[[#This Row],[ICR1]:[ICR12]])</f>
        <v>0</v>
      </c>
      <c r="S241" s="133"/>
      <c r="T241" s="133"/>
      <c r="U241" s="133"/>
      <c r="V241" s="133"/>
      <c r="W241" s="133"/>
      <c r="X241" s="133"/>
      <c r="Y241" s="133"/>
    </row>
    <row r="242" spans="1:25">
      <c r="A242" s="133">
        <v>240</v>
      </c>
      <c r="B242" s="127">
        <f t="shared" si="3"/>
        <v>45928</v>
      </c>
      <c r="C242" s="238">
        <f>YEAR(MC[[#This Row],[Date]])+IF(MONTH(MC[[#This Row],[Date]])&gt;=4,1,0)</f>
        <v>2026</v>
      </c>
      <c r="D242" s="130">
        <f>YEAR(MC[[#This Row],[Date]])</f>
        <v>2025</v>
      </c>
      <c r="E242" s="351" t="s">
        <v>218</v>
      </c>
      <c r="F242" s="351" t="s">
        <v>218</v>
      </c>
      <c r="G242" s="4" t="str">
        <f>TEXT(MC[[#This Row],[Date]],"mmm-yy")</f>
        <v>Sep-25</v>
      </c>
      <c r="H242" s="4">
        <f>DAY(EOMONTH(MC[[#This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26"/>
      <c r="Q242" s="126"/>
      <c r="R242" s="4">
        <f>SUM(MC[[#This Row],[ICR1]:[ICR12]])</f>
        <v>0</v>
      </c>
      <c r="S242" s="133"/>
      <c r="T242" s="133"/>
      <c r="U242" s="133"/>
      <c r="V242" s="133"/>
      <c r="W242" s="133"/>
      <c r="X242" s="133"/>
      <c r="Y242" s="133"/>
    </row>
    <row r="243" spans="1:25">
      <c r="A243" s="133">
        <v>241</v>
      </c>
      <c r="B243" s="127">
        <f t="shared" si="3"/>
        <v>45929</v>
      </c>
      <c r="C243" s="238">
        <f>YEAR(MC[[#This Row],[Date]])+IF(MONTH(MC[[#This Row],[Date]])&gt;=4,1,0)</f>
        <v>2026</v>
      </c>
      <c r="D243" s="130">
        <f>YEAR(MC[[#This Row],[Date]])</f>
        <v>2025</v>
      </c>
      <c r="E243" s="351" t="s">
        <v>218</v>
      </c>
      <c r="F243" s="351" t="s">
        <v>218</v>
      </c>
      <c r="G243" s="4" t="str">
        <f>TEXT(MC[[#This Row],[Date]],"mmm-yy")</f>
        <v>Sep-25</v>
      </c>
      <c r="H243" s="4">
        <f>DAY(EOMONTH(MC[[#This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26"/>
      <c r="Q243" s="126"/>
      <c r="R243" s="4">
        <f>SUM(MC[[#This Row],[ICR1]:[ICR12]])</f>
        <v>0</v>
      </c>
      <c r="S243" s="133"/>
      <c r="T243" s="133"/>
      <c r="U243" s="133"/>
      <c r="V243" s="133"/>
      <c r="W243" s="133"/>
      <c r="X243" s="133"/>
      <c r="Y243" s="133"/>
    </row>
    <row r="244" spans="1:25">
      <c r="A244" s="133">
        <v>242</v>
      </c>
      <c r="B244" s="127">
        <f t="shared" si="3"/>
        <v>45930</v>
      </c>
      <c r="C244" s="238">
        <f>YEAR(MC[[#This Row],[Date]])+IF(MONTH(MC[[#This Row],[Date]])&gt;=4,1,0)</f>
        <v>2026</v>
      </c>
      <c r="D244" s="130">
        <f>YEAR(MC[[#This Row],[Date]])</f>
        <v>2025</v>
      </c>
      <c r="E244" s="351" t="s">
        <v>218</v>
      </c>
      <c r="F244" s="351" t="s">
        <v>218</v>
      </c>
      <c r="G244" s="4" t="str">
        <f>TEXT(MC[[#This Row],[Date]],"mmm-yy")</f>
        <v>Sep-25</v>
      </c>
      <c r="H244" s="4">
        <f>DAY(EOMONTH(MC[[#This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26"/>
      <c r="Q244" s="126"/>
      <c r="R244" s="4">
        <f>SUM(MC[[#This Row],[ICR1]:[ICR12]])</f>
        <v>0</v>
      </c>
      <c r="S244" s="133"/>
      <c r="T244" s="133"/>
      <c r="U244" s="133"/>
      <c r="V244" s="133"/>
      <c r="W244" s="133"/>
      <c r="X244" s="133"/>
      <c r="Y244" s="133"/>
    </row>
    <row r="245" spans="1:25">
      <c r="A245" s="133">
        <v>243</v>
      </c>
      <c r="B245" s="127">
        <f t="shared" si="3"/>
        <v>45931</v>
      </c>
      <c r="C245" s="238">
        <f>YEAR(MC[[#This Row],[Date]])+IF(MONTH(MC[[#This Row],[Date]])&gt;=4,1,0)</f>
        <v>2026</v>
      </c>
      <c r="D245" s="130">
        <f>YEAR(MC[[#This Row],[Date]])</f>
        <v>2025</v>
      </c>
      <c r="E245" s="351" t="s">
        <v>218</v>
      </c>
      <c r="F245" s="351" t="s">
        <v>218</v>
      </c>
      <c r="G245" s="4" t="str">
        <f>TEXT(MC[[#This Row],[Date]],"mmm-yy")</f>
        <v>Oct-25</v>
      </c>
      <c r="H245" s="4">
        <f>DAY(EOMONTH(MC[[#This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26"/>
      <c r="Q245" s="126"/>
      <c r="R245" s="4">
        <f>SUM(MC[[#This Row],[ICR1]:[ICR12]])</f>
        <v>0</v>
      </c>
      <c r="S245" s="133"/>
      <c r="T245" s="133"/>
      <c r="U245" s="133"/>
      <c r="V245" s="133"/>
      <c r="W245" s="133"/>
      <c r="X245" s="133"/>
      <c r="Y245" s="133"/>
    </row>
    <row r="246" spans="1:25">
      <c r="A246" s="133">
        <v>244</v>
      </c>
      <c r="B246" s="127">
        <f t="shared" si="3"/>
        <v>45932</v>
      </c>
      <c r="C246" s="238">
        <f>YEAR(MC[[#This Row],[Date]])+IF(MONTH(MC[[#This Row],[Date]])&gt;=4,1,0)</f>
        <v>2026</v>
      </c>
      <c r="D246" s="130">
        <f>YEAR(MC[[#This Row],[Date]])</f>
        <v>2025</v>
      </c>
      <c r="E246" s="351" t="s">
        <v>218</v>
      </c>
      <c r="F246" s="351" t="s">
        <v>218</v>
      </c>
      <c r="G246" s="4" t="str">
        <f>TEXT(MC[[#This Row],[Date]],"mmm-yy")</f>
        <v>Oct-25</v>
      </c>
      <c r="H246" s="4">
        <f>DAY(EOMONTH(MC[[#This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26"/>
      <c r="Q246" s="126"/>
      <c r="R246" s="4">
        <f>SUM(MC[[#This Row],[ICR1]:[ICR12]])</f>
        <v>0</v>
      </c>
      <c r="S246" s="133"/>
      <c r="T246" s="133"/>
      <c r="U246" s="133"/>
      <c r="V246" s="133"/>
      <c r="W246" s="133"/>
      <c r="X246" s="133"/>
      <c r="Y246" s="133"/>
    </row>
    <row r="247" spans="1:25">
      <c r="A247" s="133">
        <v>245</v>
      </c>
      <c r="B247" s="127">
        <f t="shared" si="3"/>
        <v>45933</v>
      </c>
      <c r="C247" s="238">
        <f>YEAR(MC[[#This Row],[Date]])+IF(MONTH(MC[[#This Row],[Date]])&gt;=4,1,0)</f>
        <v>2026</v>
      </c>
      <c r="D247" s="130">
        <f>YEAR(MC[[#This Row],[Date]])</f>
        <v>2025</v>
      </c>
      <c r="E247" s="351" t="s">
        <v>218</v>
      </c>
      <c r="F247" s="351" t="s">
        <v>218</v>
      </c>
      <c r="G247" s="4" t="str">
        <f>TEXT(MC[[#This Row],[Date]],"mmm-yy")</f>
        <v>Oct-25</v>
      </c>
      <c r="H247" s="4">
        <f>DAY(EOMONTH(MC[[#This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26"/>
      <c r="Q247" s="126"/>
      <c r="R247" s="4">
        <f>SUM(MC[[#This Row],[ICR1]:[ICR12]])</f>
        <v>0</v>
      </c>
      <c r="S247" s="133"/>
      <c r="T247" s="133"/>
      <c r="U247" s="133"/>
      <c r="V247" s="133"/>
      <c r="W247" s="133"/>
      <c r="X247" s="133"/>
      <c r="Y247" s="133"/>
    </row>
    <row r="248" spans="1:25">
      <c r="A248" s="133">
        <v>246</v>
      </c>
      <c r="B248" s="127">
        <f t="shared" si="3"/>
        <v>45934</v>
      </c>
      <c r="C248" s="238">
        <f>YEAR(MC[[#This Row],[Date]])+IF(MONTH(MC[[#This Row],[Date]])&gt;=4,1,0)</f>
        <v>2026</v>
      </c>
      <c r="D248" s="130">
        <f>YEAR(MC[[#This Row],[Date]])</f>
        <v>2025</v>
      </c>
      <c r="E248" s="351" t="s">
        <v>218</v>
      </c>
      <c r="F248" s="351" t="s">
        <v>218</v>
      </c>
      <c r="G248" s="4" t="str">
        <f>TEXT(MC[[#This Row],[Date]],"mmm-yy")</f>
        <v>Oct-25</v>
      </c>
      <c r="H248" s="4">
        <f>DAY(EOMONTH(MC[[#This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26"/>
      <c r="Q248" s="126"/>
      <c r="R248" s="4">
        <f>SUM(MC[[#This Row],[ICR1]:[ICR12]])</f>
        <v>0</v>
      </c>
      <c r="S248" s="133"/>
      <c r="T248" s="133"/>
      <c r="U248" s="133"/>
      <c r="V248" s="133"/>
      <c r="W248" s="133"/>
      <c r="X248" s="133"/>
      <c r="Y248" s="133"/>
    </row>
    <row r="249" spans="1:25">
      <c r="A249" s="133">
        <v>247</v>
      </c>
      <c r="B249" s="127">
        <f t="shared" si="3"/>
        <v>45935</v>
      </c>
      <c r="C249" s="238">
        <f>YEAR(MC[[#This Row],[Date]])+IF(MONTH(MC[[#This Row],[Date]])&gt;=4,1,0)</f>
        <v>2026</v>
      </c>
      <c r="D249" s="130">
        <f>YEAR(MC[[#This Row],[Date]])</f>
        <v>2025</v>
      </c>
      <c r="E249" s="351" t="s">
        <v>218</v>
      </c>
      <c r="F249" s="351" t="s">
        <v>218</v>
      </c>
      <c r="G249" s="4" t="str">
        <f>TEXT(MC[[#This Row],[Date]],"mmm-yy")</f>
        <v>Oct-25</v>
      </c>
      <c r="H249" s="4">
        <f>DAY(EOMONTH(MC[[#This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26"/>
      <c r="Q249" s="126"/>
      <c r="R249" s="4">
        <f>SUM(MC[[#This Row],[ICR1]:[ICR12]])</f>
        <v>0</v>
      </c>
      <c r="S249" s="133"/>
      <c r="T249" s="133"/>
      <c r="U249" s="133"/>
      <c r="V249" s="133"/>
      <c r="W249" s="133"/>
      <c r="X249" s="133"/>
      <c r="Y249" s="133"/>
    </row>
    <row r="250" spans="1:25">
      <c r="A250" s="133">
        <v>248</v>
      </c>
      <c r="B250" s="127">
        <f t="shared" si="3"/>
        <v>45936</v>
      </c>
      <c r="C250" s="238">
        <f>YEAR(MC[[#This Row],[Date]])+IF(MONTH(MC[[#This Row],[Date]])&gt;=4,1,0)</f>
        <v>2026</v>
      </c>
      <c r="D250" s="130">
        <f>YEAR(MC[[#This Row],[Date]])</f>
        <v>2025</v>
      </c>
      <c r="E250" s="351" t="s">
        <v>218</v>
      </c>
      <c r="F250" s="351" t="s">
        <v>218</v>
      </c>
      <c r="G250" s="4" t="str">
        <f>TEXT(MC[[#This Row],[Date]],"mmm-yy")</f>
        <v>Oct-25</v>
      </c>
      <c r="H250" s="4">
        <f>DAY(EOMONTH(MC[[#This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26"/>
      <c r="Q250" s="126"/>
      <c r="R250" s="4">
        <f>SUM(MC[[#This Row],[ICR1]:[ICR12]])</f>
        <v>0</v>
      </c>
      <c r="S250" s="133"/>
      <c r="T250" s="133"/>
      <c r="U250" s="133"/>
      <c r="V250" s="133"/>
      <c r="W250" s="133"/>
      <c r="X250" s="133"/>
      <c r="Y250" s="133"/>
    </row>
    <row r="251" spans="1:25">
      <c r="A251" s="133">
        <v>249</v>
      </c>
      <c r="B251" s="127">
        <f t="shared" si="3"/>
        <v>45937</v>
      </c>
      <c r="C251" s="238">
        <f>YEAR(MC[[#This Row],[Date]])+IF(MONTH(MC[[#This Row],[Date]])&gt;=4,1,0)</f>
        <v>2026</v>
      </c>
      <c r="D251" s="130">
        <f>YEAR(MC[[#This Row],[Date]])</f>
        <v>2025</v>
      </c>
      <c r="E251" s="351" t="s">
        <v>218</v>
      </c>
      <c r="F251" s="351" t="s">
        <v>218</v>
      </c>
      <c r="G251" s="4" t="str">
        <f>TEXT(MC[[#This Row],[Date]],"mmm-yy")</f>
        <v>Oct-25</v>
      </c>
      <c r="H251" s="4">
        <f>DAY(EOMONTH(MC[[#This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26"/>
      <c r="Q251" s="126"/>
      <c r="R251" s="4">
        <f>SUM(MC[[#This Row],[ICR1]:[ICR12]])</f>
        <v>0</v>
      </c>
      <c r="S251" s="133"/>
      <c r="T251" s="133"/>
      <c r="U251" s="133"/>
      <c r="V251" s="133"/>
      <c r="W251" s="133"/>
      <c r="X251" s="133"/>
      <c r="Y251" s="133"/>
    </row>
    <row r="252" spans="1:25">
      <c r="A252" s="133">
        <v>250</v>
      </c>
      <c r="B252" s="127">
        <f t="shared" si="3"/>
        <v>45938</v>
      </c>
      <c r="C252" s="238">
        <f>YEAR(MC[[#This Row],[Date]])+IF(MONTH(MC[[#This Row],[Date]])&gt;=4,1,0)</f>
        <v>2026</v>
      </c>
      <c r="D252" s="130">
        <f>YEAR(MC[[#This Row],[Date]])</f>
        <v>2025</v>
      </c>
      <c r="E252" s="351" t="s">
        <v>218</v>
      </c>
      <c r="F252" s="351" t="s">
        <v>218</v>
      </c>
      <c r="G252" s="4" t="str">
        <f>TEXT(MC[[#This Row],[Date]],"mmm-yy")</f>
        <v>Oct-25</v>
      </c>
      <c r="H252" s="4">
        <f>DAY(EOMONTH(MC[[#This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26"/>
      <c r="Q252" s="126"/>
      <c r="R252" s="4">
        <f>SUM(MC[[#This Row],[ICR1]:[ICR12]])</f>
        <v>0</v>
      </c>
      <c r="S252" s="133"/>
      <c r="T252" s="133"/>
      <c r="U252" s="133"/>
      <c r="V252" s="133"/>
      <c r="W252" s="133"/>
      <c r="X252" s="133"/>
      <c r="Y252" s="133"/>
    </row>
    <row r="253" spans="1:25">
      <c r="A253" s="133">
        <v>251</v>
      </c>
      <c r="B253" s="127">
        <f t="shared" si="3"/>
        <v>45939</v>
      </c>
      <c r="C253" s="238">
        <f>YEAR(MC[[#This Row],[Date]])+IF(MONTH(MC[[#This Row],[Date]])&gt;=4,1,0)</f>
        <v>2026</v>
      </c>
      <c r="D253" s="130">
        <f>YEAR(MC[[#This Row],[Date]])</f>
        <v>2025</v>
      </c>
      <c r="E253" s="351" t="s">
        <v>218</v>
      </c>
      <c r="F253" s="351" t="s">
        <v>218</v>
      </c>
      <c r="G253" s="4" t="str">
        <f>TEXT(MC[[#This Row],[Date]],"mmm-yy")</f>
        <v>Oct-25</v>
      </c>
      <c r="H253" s="4">
        <f>DAY(EOMONTH(MC[[#This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26"/>
      <c r="Q253" s="126"/>
      <c r="R253" s="4">
        <f>SUM(MC[[#This Row],[ICR1]:[ICR12]])</f>
        <v>0</v>
      </c>
      <c r="S253" s="133"/>
      <c r="T253" s="133"/>
      <c r="U253" s="133"/>
      <c r="V253" s="133"/>
      <c r="W253" s="133"/>
      <c r="X253" s="133"/>
      <c r="Y253" s="133"/>
    </row>
    <row r="254" spans="1:25">
      <c r="A254" s="133">
        <v>252</v>
      </c>
      <c r="B254" s="127">
        <f t="shared" si="3"/>
        <v>45940</v>
      </c>
      <c r="C254" s="238">
        <f>YEAR(MC[[#This Row],[Date]])+IF(MONTH(MC[[#This Row],[Date]])&gt;=4,1,0)</f>
        <v>2026</v>
      </c>
      <c r="D254" s="130">
        <f>YEAR(MC[[#This Row],[Date]])</f>
        <v>2025</v>
      </c>
      <c r="E254" s="351" t="s">
        <v>218</v>
      </c>
      <c r="F254" s="351" t="s">
        <v>218</v>
      </c>
      <c r="G254" s="4" t="str">
        <f>TEXT(MC[[#This Row],[Date]],"mmm-yy")</f>
        <v>Oct-25</v>
      </c>
      <c r="H254" s="4">
        <f>DAY(EOMONTH(MC[[#This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26"/>
      <c r="Q254" s="126"/>
      <c r="R254" s="4">
        <f>SUM(MC[[#This Row],[ICR1]:[ICR12]])</f>
        <v>0</v>
      </c>
      <c r="S254" s="133"/>
      <c r="T254" s="133"/>
      <c r="U254" s="133"/>
      <c r="V254" s="133"/>
      <c r="W254" s="133"/>
      <c r="X254" s="133"/>
      <c r="Y254" s="133"/>
    </row>
    <row r="255" spans="1:25">
      <c r="A255" s="133">
        <v>253</v>
      </c>
      <c r="B255" s="127">
        <f t="shared" si="3"/>
        <v>45941</v>
      </c>
      <c r="C255" s="238">
        <f>YEAR(MC[[#This Row],[Date]])+IF(MONTH(MC[[#This Row],[Date]])&gt;=4,1,0)</f>
        <v>2026</v>
      </c>
      <c r="D255" s="130">
        <f>YEAR(MC[[#This Row],[Date]])</f>
        <v>2025</v>
      </c>
      <c r="E255" s="351" t="s">
        <v>218</v>
      </c>
      <c r="F255" s="351" t="s">
        <v>218</v>
      </c>
      <c r="G255" s="4" t="str">
        <f>TEXT(MC[[#This Row],[Date]],"mmm-yy")</f>
        <v>Oct-25</v>
      </c>
      <c r="H255" s="4">
        <f>DAY(EOMONTH(MC[[#This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26"/>
      <c r="Q255" s="126"/>
      <c r="R255" s="4">
        <f>SUM(MC[[#This Row],[ICR1]:[ICR12]])</f>
        <v>0</v>
      </c>
      <c r="S255" s="133"/>
      <c r="T255" s="133"/>
      <c r="U255" s="133"/>
      <c r="V255" s="133"/>
      <c r="W255" s="133"/>
      <c r="X255" s="133"/>
      <c r="Y255" s="133"/>
    </row>
    <row r="256" spans="1:25">
      <c r="A256" s="133">
        <v>254</v>
      </c>
      <c r="B256" s="127">
        <f t="shared" si="3"/>
        <v>45942</v>
      </c>
      <c r="C256" s="238">
        <f>YEAR(MC[[#This Row],[Date]])+IF(MONTH(MC[[#This Row],[Date]])&gt;=4,1,0)</f>
        <v>2026</v>
      </c>
      <c r="D256" s="130">
        <f>YEAR(MC[[#This Row],[Date]])</f>
        <v>2025</v>
      </c>
      <c r="E256" s="351" t="s">
        <v>218</v>
      </c>
      <c r="F256" s="351" t="s">
        <v>218</v>
      </c>
      <c r="G256" s="4" t="str">
        <f>TEXT(MC[[#This Row],[Date]],"mmm-yy")</f>
        <v>Oct-25</v>
      </c>
      <c r="H256" s="4">
        <f>DAY(EOMONTH(MC[[#This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26"/>
      <c r="Q256" s="126"/>
      <c r="R256" s="4">
        <f>SUM(MC[[#This Row],[ICR1]:[ICR12]])</f>
        <v>0</v>
      </c>
      <c r="S256" s="133"/>
      <c r="T256" s="133"/>
      <c r="U256" s="133"/>
      <c r="V256" s="133"/>
      <c r="W256" s="133"/>
      <c r="X256" s="133"/>
      <c r="Y256" s="133"/>
    </row>
    <row r="257" spans="1:25">
      <c r="A257" s="133">
        <v>255</v>
      </c>
      <c r="B257" s="127">
        <f t="shared" si="3"/>
        <v>45943</v>
      </c>
      <c r="C257" s="238">
        <f>YEAR(MC[[#This Row],[Date]])+IF(MONTH(MC[[#This Row],[Date]])&gt;=4,1,0)</f>
        <v>2026</v>
      </c>
      <c r="D257" s="130">
        <f>YEAR(MC[[#This Row],[Date]])</f>
        <v>2025</v>
      </c>
      <c r="E257" s="351" t="s">
        <v>218</v>
      </c>
      <c r="F257" s="351" t="s">
        <v>218</v>
      </c>
      <c r="G257" s="4" t="str">
        <f>TEXT(MC[[#This Row],[Date]],"mmm-yy")</f>
        <v>Oct-25</v>
      </c>
      <c r="H257" s="4">
        <f>DAY(EOMONTH(MC[[#This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26"/>
      <c r="Q257" s="126"/>
      <c r="R257" s="4">
        <f>SUM(MC[[#This Row],[ICR1]:[ICR12]])</f>
        <v>0</v>
      </c>
      <c r="S257" s="133"/>
      <c r="T257" s="133"/>
      <c r="U257" s="133"/>
      <c r="V257" s="133"/>
      <c r="W257" s="133"/>
      <c r="X257" s="133"/>
      <c r="Y257" s="133"/>
    </row>
    <row r="258" spans="1:25">
      <c r="A258" s="133">
        <v>256</v>
      </c>
      <c r="B258" s="127">
        <f t="shared" si="3"/>
        <v>45944</v>
      </c>
      <c r="C258" s="238">
        <f>YEAR(MC[[#This Row],[Date]])+IF(MONTH(MC[[#This Row],[Date]])&gt;=4,1,0)</f>
        <v>2026</v>
      </c>
      <c r="D258" s="130">
        <f>YEAR(MC[[#This Row],[Date]])</f>
        <v>2025</v>
      </c>
      <c r="E258" s="351" t="s">
        <v>218</v>
      </c>
      <c r="F258" s="351" t="s">
        <v>218</v>
      </c>
      <c r="G258" s="4" t="str">
        <f>TEXT(MC[[#This Row],[Date]],"mmm-yy")</f>
        <v>Oct-25</v>
      </c>
      <c r="H258" s="4">
        <f>DAY(EOMONTH(MC[[#This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26"/>
      <c r="Q258" s="126"/>
      <c r="R258" s="4">
        <f>SUM(MC[[#This Row],[ICR1]:[ICR12]])</f>
        <v>0</v>
      </c>
      <c r="S258" s="133"/>
      <c r="T258" s="133"/>
      <c r="U258" s="133"/>
      <c r="V258" s="133"/>
      <c r="W258" s="133"/>
      <c r="X258" s="133"/>
      <c r="Y258" s="133"/>
    </row>
    <row r="259" spans="1:25">
      <c r="A259" s="133">
        <v>257</v>
      </c>
      <c r="B259" s="127">
        <f t="shared" si="3"/>
        <v>45945</v>
      </c>
      <c r="C259" s="238">
        <f>YEAR(MC[[#This Row],[Date]])+IF(MONTH(MC[[#This Row],[Date]])&gt;=4,1,0)</f>
        <v>2026</v>
      </c>
      <c r="D259" s="130">
        <f>YEAR(MC[[#This Row],[Date]])</f>
        <v>2025</v>
      </c>
      <c r="E259" s="351" t="s">
        <v>218</v>
      </c>
      <c r="F259" s="351" t="s">
        <v>218</v>
      </c>
      <c r="G259" s="4" t="str">
        <f>TEXT(MC[[#This Row],[Date]],"mmm-yy")</f>
        <v>Oct-25</v>
      </c>
      <c r="H259" s="4">
        <f>DAY(EOMONTH(MC[[#This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26"/>
      <c r="Q259" s="126"/>
      <c r="R259" s="4">
        <f>SUM(MC[[#This Row],[ICR1]:[ICR12]])</f>
        <v>0</v>
      </c>
      <c r="S259" s="133"/>
      <c r="T259" s="133"/>
      <c r="U259" s="133"/>
      <c r="V259" s="133"/>
      <c r="W259" s="133"/>
      <c r="X259" s="133"/>
      <c r="Y259" s="133"/>
    </row>
    <row r="260" spans="1:25">
      <c r="A260" s="133">
        <v>258</v>
      </c>
      <c r="B260" s="127">
        <f t="shared" si="3"/>
        <v>45946</v>
      </c>
      <c r="C260" s="238">
        <f>YEAR(MC[[#This Row],[Date]])+IF(MONTH(MC[[#This Row],[Date]])&gt;=4,1,0)</f>
        <v>2026</v>
      </c>
      <c r="D260" s="130">
        <f>YEAR(MC[[#This Row],[Date]])</f>
        <v>2025</v>
      </c>
      <c r="E260" s="351" t="s">
        <v>218</v>
      </c>
      <c r="F260" s="351" t="s">
        <v>218</v>
      </c>
      <c r="G260" s="4" t="str">
        <f>TEXT(MC[[#This Row],[Date]],"mmm-yy")</f>
        <v>Oct-25</v>
      </c>
      <c r="H260" s="4">
        <f>DAY(EOMONTH(MC[[#This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26"/>
      <c r="Q260" s="126"/>
      <c r="R260" s="4">
        <f>SUM(MC[[#This Row],[ICR1]:[ICR12]])</f>
        <v>0</v>
      </c>
      <c r="S260" s="133"/>
      <c r="T260" s="133"/>
      <c r="U260" s="133"/>
      <c r="V260" s="133"/>
      <c r="W260" s="133"/>
      <c r="X260" s="133"/>
      <c r="Y260" s="133"/>
    </row>
    <row r="261" spans="1:25">
      <c r="A261" s="133">
        <v>259</v>
      </c>
      <c r="B261" s="127">
        <f t="shared" ref="B261:B324" si="4">B260+1</f>
        <v>45947</v>
      </c>
      <c r="C261" s="238">
        <f>YEAR(MC[[#This Row],[Date]])+IF(MONTH(MC[[#This Row],[Date]])&gt;=4,1,0)</f>
        <v>2026</v>
      </c>
      <c r="D261" s="130">
        <f>YEAR(MC[[#This Row],[Date]])</f>
        <v>2025</v>
      </c>
      <c r="E261" s="351" t="s">
        <v>218</v>
      </c>
      <c r="F261" s="351" t="s">
        <v>218</v>
      </c>
      <c r="G261" s="4" t="str">
        <f>TEXT(MC[[#This Row],[Date]],"mmm-yy")</f>
        <v>Oct-25</v>
      </c>
      <c r="H261" s="4">
        <f>DAY(EOMONTH(MC[[#This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26"/>
      <c r="Q261" s="126"/>
      <c r="R261" s="4">
        <f>SUM(MC[[#This Row],[ICR1]:[ICR12]])</f>
        <v>0</v>
      </c>
      <c r="S261" s="133"/>
      <c r="T261" s="133"/>
      <c r="U261" s="133"/>
      <c r="V261" s="133"/>
      <c r="W261" s="133"/>
      <c r="X261" s="133"/>
      <c r="Y261" s="133"/>
    </row>
    <row r="262" spans="1:25">
      <c r="A262" s="133">
        <v>260</v>
      </c>
      <c r="B262" s="127">
        <f t="shared" si="4"/>
        <v>45948</v>
      </c>
      <c r="C262" s="238">
        <f>YEAR(MC[[#This Row],[Date]])+IF(MONTH(MC[[#This Row],[Date]])&gt;=4,1,0)</f>
        <v>2026</v>
      </c>
      <c r="D262" s="130">
        <f>YEAR(MC[[#This Row],[Date]])</f>
        <v>2025</v>
      </c>
      <c r="E262" s="351" t="s">
        <v>218</v>
      </c>
      <c r="F262" s="351" t="s">
        <v>218</v>
      </c>
      <c r="G262" s="4" t="str">
        <f>TEXT(MC[[#This Row],[Date]],"mmm-yy")</f>
        <v>Oct-25</v>
      </c>
      <c r="H262" s="4">
        <f>DAY(EOMONTH(MC[[#This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26"/>
      <c r="Q262" s="126"/>
      <c r="R262" s="4">
        <f>SUM(MC[[#This Row],[ICR1]:[ICR12]])</f>
        <v>0</v>
      </c>
      <c r="S262" s="133"/>
      <c r="T262" s="133"/>
      <c r="U262" s="133"/>
      <c r="V262" s="133"/>
      <c r="W262" s="133"/>
      <c r="X262" s="133"/>
      <c r="Y262" s="133"/>
    </row>
    <row r="263" spans="1:25">
      <c r="A263" s="133">
        <v>261</v>
      </c>
      <c r="B263" s="127">
        <f t="shared" si="4"/>
        <v>45949</v>
      </c>
      <c r="C263" s="238">
        <f>YEAR(MC[[#This Row],[Date]])+IF(MONTH(MC[[#This Row],[Date]])&gt;=4,1,0)</f>
        <v>2026</v>
      </c>
      <c r="D263" s="130">
        <f>YEAR(MC[[#This Row],[Date]])</f>
        <v>2025</v>
      </c>
      <c r="E263" s="351" t="s">
        <v>218</v>
      </c>
      <c r="F263" s="351" t="s">
        <v>218</v>
      </c>
      <c r="G263" s="4" t="str">
        <f>TEXT(MC[[#This Row],[Date]],"mmm-yy")</f>
        <v>Oct-25</v>
      </c>
      <c r="H263" s="4">
        <f>DAY(EOMONTH(MC[[#This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26"/>
      <c r="Q263" s="126"/>
      <c r="R263" s="4">
        <f>SUM(MC[[#This Row],[ICR1]:[ICR12]])</f>
        <v>0</v>
      </c>
      <c r="S263" s="133"/>
      <c r="T263" s="133"/>
      <c r="U263" s="133"/>
      <c r="V263" s="133"/>
      <c r="W263" s="133"/>
      <c r="X263" s="133"/>
      <c r="Y263" s="133"/>
    </row>
    <row r="264" spans="1:25">
      <c r="A264" s="133">
        <v>262</v>
      </c>
      <c r="B264" s="127">
        <f t="shared" si="4"/>
        <v>45950</v>
      </c>
      <c r="C264" s="238">
        <f>YEAR(MC[[#This Row],[Date]])+IF(MONTH(MC[[#This Row],[Date]])&gt;=4,1,0)</f>
        <v>2026</v>
      </c>
      <c r="D264" s="130">
        <f>YEAR(MC[[#This Row],[Date]])</f>
        <v>2025</v>
      </c>
      <c r="E264" s="351" t="s">
        <v>218</v>
      </c>
      <c r="F264" s="351" t="s">
        <v>218</v>
      </c>
      <c r="G264" s="4" t="str">
        <f>TEXT(MC[[#This Row],[Date]],"mmm-yy")</f>
        <v>Oct-25</v>
      </c>
      <c r="H264" s="4">
        <f>DAY(EOMONTH(MC[[#This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26"/>
      <c r="Q264" s="126"/>
      <c r="R264" s="4">
        <f>SUM(MC[[#This Row],[ICR1]:[ICR12]])</f>
        <v>0</v>
      </c>
      <c r="S264" s="133"/>
      <c r="T264" s="133"/>
      <c r="U264" s="133"/>
      <c r="V264" s="133"/>
      <c r="W264" s="133"/>
      <c r="X264" s="133"/>
      <c r="Y264" s="133"/>
    </row>
    <row r="265" spans="1:25">
      <c r="A265" s="133">
        <v>263</v>
      </c>
      <c r="B265" s="127">
        <f t="shared" si="4"/>
        <v>45951</v>
      </c>
      <c r="C265" s="238">
        <f>YEAR(MC[[#This Row],[Date]])+IF(MONTH(MC[[#This Row],[Date]])&gt;=4,1,0)</f>
        <v>2026</v>
      </c>
      <c r="D265" s="130">
        <f>YEAR(MC[[#This Row],[Date]])</f>
        <v>2025</v>
      </c>
      <c r="E265" s="351" t="s">
        <v>218</v>
      </c>
      <c r="F265" s="351" t="s">
        <v>218</v>
      </c>
      <c r="G265" s="4" t="str">
        <f>TEXT(MC[[#This Row],[Date]],"mmm-yy")</f>
        <v>Oct-25</v>
      </c>
      <c r="H265" s="4">
        <f>DAY(EOMONTH(MC[[#This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26"/>
      <c r="Q265" s="126"/>
      <c r="R265" s="4">
        <f>SUM(MC[[#This Row],[ICR1]:[ICR12]])</f>
        <v>0</v>
      </c>
      <c r="S265" s="133"/>
      <c r="T265" s="133"/>
      <c r="U265" s="133"/>
      <c r="V265" s="133"/>
      <c r="W265" s="133"/>
      <c r="X265" s="133"/>
      <c r="Y265" s="133"/>
    </row>
    <row r="266" spans="1:25">
      <c r="A266" s="133">
        <v>264</v>
      </c>
      <c r="B266" s="127">
        <f t="shared" si="4"/>
        <v>45952</v>
      </c>
      <c r="C266" s="238">
        <f>YEAR(MC[[#This Row],[Date]])+IF(MONTH(MC[[#This Row],[Date]])&gt;=4,1,0)</f>
        <v>2026</v>
      </c>
      <c r="D266" s="130">
        <f>YEAR(MC[[#This Row],[Date]])</f>
        <v>2025</v>
      </c>
      <c r="E266" s="351" t="s">
        <v>218</v>
      </c>
      <c r="F266" s="351" t="s">
        <v>218</v>
      </c>
      <c r="G266" s="4" t="str">
        <f>TEXT(MC[[#This Row],[Date]],"mmm-yy")</f>
        <v>Oct-25</v>
      </c>
      <c r="H266" s="4">
        <f>DAY(EOMONTH(MC[[#This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26"/>
      <c r="Q266" s="126"/>
      <c r="R266" s="4">
        <f>SUM(MC[[#This Row],[ICR1]:[ICR12]])</f>
        <v>0</v>
      </c>
      <c r="S266" s="133"/>
      <c r="T266" s="133"/>
      <c r="U266" s="133"/>
      <c r="V266" s="133"/>
      <c r="W266" s="133"/>
      <c r="X266" s="133"/>
      <c r="Y266" s="133"/>
    </row>
    <row r="267" spans="1:25">
      <c r="A267" s="133">
        <v>265</v>
      </c>
      <c r="B267" s="127">
        <f t="shared" si="4"/>
        <v>45953</v>
      </c>
      <c r="C267" s="238">
        <f>YEAR(MC[[#This Row],[Date]])+IF(MONTH(MC[[#This Row],[Date]])&gt;=4,1,0)</f>
        <v>2026</v>
      </c>
      <c r="D267" s="130">
        <f>YEAR(MC[[#This Row],[Date]])</f>
        <v>2025</v>
      </c>
      <c r="E267" s="351" t="s">
        <v>218</v>
      </c>
      <c r="F267" s="351" t="s">
        <v>218</v>
      </c>
      <c r="G267" s="4" t="str">
        <f>TEXT(MC[[#This Row],[Date]],"mmm-yy")</f>
        <v>Oct-25</v>
      </c>
      <c r="H267" s="4">
        <f>DAY(EOMONTH(MC[[#This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26"/>
      <c r="Q267" s="126"/>
      <c r="R267" s="4">
        <f>SUM(MC[[#This Row],[ICR1]:[ICR12]])</f>
        <v>0</v>
      </c>
      <c r="S267" s="133"/>
      <c r="T267" s="133"/>
      <c r="U267" s="133"/>
      <c r="V267" s="133"/>
      <c r="W267" s="133"/>
      <c r="X267" s="133"/>
      <c r="Y267" s="133"/>
    </row>
    <row r="268" spans="1:25">
      <c r="A268" s="133">
        <v>266</v>
      </c>
      <c r="B268" s="127">
        <f t="shared" si="4"/>
        <v>45954</v>
      </c>
      <c r="C268" s="238">
        <f>YEAR(MC[[#This Row],[Date]])+IF(MONTH(MC[[#This Row],[Date]])&gt;=4,1,0)</f>
        <v>2026</v>
      </c>
      <c r="D268" s="130">
        <f>YEAR(MC[[#This Row],[Date]])</f>
        <v>2025</v>
      </c>
      <c r="E268" s="351" t="s">
        <v>218</v>
      </c>
      <c r="F268" s="351" t="s">
        <v>218</v>
      </c>
      <c r="G268" s="4" t="str">
        <f>TEXT(MC[[#This Row],[Date]],"mmm-yy")</f>
        <v>Oct-25</v>
      </c>
      <c r="H268" s="4">
        <f>DAY(EOMONTH(MC[[#This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26"/>
      <c r="Q268" s="126"/>
      <c r="R268" s="4">
        <f>SUM(MC[[#This Row],[ICR1]:[ICR12]])</f>
        <v>0</v>
      </c>
      <c r="S268" s="133"/>
      <c r="T268" s="133"/>
      <c r="U268" s="133"/>
      <c r="V268" s="133"/>
      <c r="W268" s="133"/>
      <c r="X268" s="133"/>
      <c r="Y268" s="133"/>
    </row>
    <row r="269" spans="1:25">
      <c r="A269" s="133">
        <v>267</v>
      </c>
      <c r="B269" s="127">
        <f t="shared" si="4"/>
        <v>45955</v>
      </c>
      <c r="C269" s="238">
        <f>YEAR(MC[[#This Row],[Date]])+IF(MONTH(MC[[#This Row],[Date]])&gt;=4,1,0)</f>
        <v>2026</v>
      </c>
      <c r="D269" s="130">
        <f>YEAR(MC[[#This Row],[Date]])</f>
        <v>2025</v>
      </c>
      <c r="E269" s="351" t="s">
        <v>218</v>
      </c>
      <c r="F269" s="351" t="s">
        <v>218</v>
      </c>
      <c r="G269" s="4" t="str">
        <f>TEXT(MC[[#This Row],[Date]],"mmm-yy")</f>
        <v>Oct-25</v>
      </c>
      <c r="H269" s="4">
        <f>DAY(EOMONTH(MC[[#This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26"/>
      <c r="Q269" s="126"/>
      <c r="R269" s="4">
        <f>SUM(MC[[#This Row],[ICR1]:[ICR12]])</f>
        <v>0</v>
      </c>
      <c r="S269" s="133"/>
      <c r="T269" s="133"/>
      <c r="U269" s="133"/>
      <c r="V269" s="133"/>
      <c r="W269" s="133"/>
      <c r="X269" s="133"/>
      <c r="Y269" s="133"/>
    </row>
    <row r="270" spans="1:25">
      <c r="A270" s="133">
        <v>268</v>
      </c>
      <c r="B270" s="127">
        <f t="shared" si="4"/>
        <v>45956</v>
      </c>
      <c r="C270" s="238">
        <f>YEAR(MC[[#This Row],[Date]])+IF(MONTH(MC[[#This Row],[Date]])&gt;=4,1,0)</f>
        <v>2026</v>
      </c>
      <c r="D270" s="130">
        <f>YEAR(MC[[#This Row],[Date]])</f>
        <v>2025</v>
      </c>
      <c r="E270" s="351" t="s">
        <v>218</v>
      </c>
      <c r="F270" s="351" t="s">
        <v>218</v>
      </c>
      <c r="G270" s="4" t="str">
        <f>TEXT(MC[[#This Row],[Date]],"mmm-yy")</f>
        <v>Oct-25</v>
      </c>
      <c r="H270" s="4">
        <f>DAY(EOMONTH(MC[[#This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26"/>
      <c r="Q270" s="126"/>
      <c r="R270" s="4">
        <f>SUM(MC[[#This Row],[ICR1]:[ICR12]])</f>
        <v>0</v>
      </c>
      <c r="S270" s="133"/>
      <c r="T270" s="133"/>
      <c r="U270" s="133"/>
      <c r="V270" s="133"/>
      <c r="W270" s="133"/>
      <c r="X270" s="133"/>
      <c r="Y270" s="133"/>
    </row>
    <row r="271" spans="1:25">
      <c r="A271" s="133">
        <v>269</v>
      </c>
      <c r="B271" s="127">
        <f t="shared" si="4"/>
        <v>45957</v>
      </c>
      <c r="C271" s="238">
        <f>YEAR(MC[[#This Row],[Date]])+IF(MONTH(MC[[#This Row],[Date]])&gt;=4,1,0)</f>
        <v>2026</v>
      </c>
      <c r="D271" s="130">
        <f>YEAR(MC[[#This Row],[Date]])</f>
        <v>2025</v>
      </c>
      <c r="E271" s="351" t="s">
        <v>218</v>
      </c>
      <c r="F271" s="351" t="s">
        <v>218</v>
      </c>
      <c r="G271" s="4" t="str">
        <f>TEXT(MC[[#This Row],[Date]],"mmm-yy")</f>
        <v>Oct-25</v>
      </c>
      <c r="H271" s="4">
        <f>DAY(EOMONTH(MC[[#This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26"/>
      <c r="Q271" s="126"/>
      <c r="R271" s="4">
        <f>SUM(MC[[#This Row],[ICR1]:[ICR12]])</f>
        <v>0</v>
      </c>
      <c r="S271" s="133"/>
      <c r="T271" s="133"/>
      <c r="U271" s="133"/>
      <c r="V271" s="133"/>
      <c r="W271" s="133"/>
      <c r="X271" s="133"/>
      <c r="Y271" s="133"/>
    </row>
    <row r="272" spans="1:25">
      <c r="A272" s="133">
        <v>270</v>
      </c>
      <c r="B272" s="127">
        <f t="shared" si="4"/>
        <v>45958</v>
      </c>
      <c r="C272" s="238">
        <f>YEAR(MC[[#This Row],[Date]])+IF(MONTH(MC[[#This Row],[Date]])&gt;=4,1,0)</f>
        <v>2026</v>
      </c>
      <c r="D272" s="130">
        <f>YEAR(MC[[#This Row],[Date]])</f>
        <v>2025</v>
      </c>
      <c r="E272" s="351" t="s">
        <v>218</v>
      </c>
      <c r="F272" s="351" t="s">
        <v>218</v>
      </c>
      <c r="G272" s="4" t="str">
        <f>TEXT(MC[[#This Row],[Date]],"mmm-yy")</f>
        <v>Oct-25</v>
      </c>
      <c r="H272" s="4">
        <f>DAY(EOMONTH(MC[[#This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26"/>
      <c r="Q272" s="126"/>
      <c r="R272" s="4">
        <f>SUM(MC[[#This Row],[ICR1]:[ICR12]])</f>
        <v>0</v>
      </c>
      <c r="S272" s="133"/>
      <c r="T272" s="133"/>
      <c r="U272" s="133"/>
      <c r="V272" s="133"/>
      <c r="W272" s="133"/>
      <c r="X272" s="133"/>
      <c r="Y272" s="133"/>
    </row>
    <row r="273" spans="1:25">
      <c r="A273" s="133">
        <v>271</v>
      </c>
      <c r="B273" s="127">
        <f t="shared" si="4"/>
        <v>45959</v>
      </c>
      <c r="C273" s="238">
        <f>YEAR(MC[[#This Row],[Date]])+IF(MONTH(MC[[#This Row],[Date]])&gt;=4,1,0)</f>
        <v>2026</v>
      </c>
      <c r="D273" s="130">
        <f>YEAR(MC[[#This Row],[Date]])</f>
        <v>2025</v>
      </c>
      <c r="E273" s="351" t="s">
        <v>218</v>
      </c>
      <c r="F273" s="351" t="s">
        <v>218</v>
      </c>
      <c r="G273" s="4" t="str">
        <f>TEXT(MC[[#This Row],[Date]],"mmm-yy")</f>
        <v>Oct-25</v>
      </c>
      <c r="H273" s="4">
        <f>DAY(EOMONTH(MC[[#This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26"/>
      <c r="Q273" s="126"/>
      <c r="R273" s="4">
        <f>SUM(MC[[#This Row],[ICR1]:[ICR12]])</f>
        <v>0</v>
      </c>
      <c r="S273" s="133"/>
      <c r="T273" s="133"/>
      <c r="U273" s="133"/>
      <c r="V273" s="133"/>
      <c r="W273" s="133"/>
      <c r="X273" s="133"/>
      <c r="Y273" s="133"/>
    </row>
    <row r="274" spans="1:25">
      <c r="A274" s="133">
        <v>272</v>
      </c>
      <c r="B274" s="127">
        <f t="shared" si="4"/>
        <v>45960</v>
      </c>
      <c r="C274" s="238">
        <f>YEAR(MC[[#This Row],[Date]])+IF(MONTH(MC[[#This Row],[Date]])&gt;=4,1,0)</f>
        <v>2026</v>
      </c>
      <c r="D274" s="130">
        <f>YEAR(MC[[#This Row],[Date]])</f>
        <v>2025</v>
      </c>
      <c r="E274" s="351" t="s">
        <v>218</v>
      </c>
      <c r="F274" s="351" t="s">
        <v>218</v>
      </c>
      <c r="G274" s="4" t="str">
        <f>TEXT(MC[[#This Row],[Date]],"mmm-yy")</f>
        <v>Oct-25</v>
      </c>
      <c r="H274" s="4">
        <f>DAY(EOMONTH(MC[[#This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26"/>
      <c r="Q274" s="126"/>
      <c r="R274" s="4">
        <f>SUM(MC[[#This Row],[ICR1]:[ICR12]])</f>
        <v>0</v>
      </c>
      <c r="S274" s="133"/>
      <c r="T274" s="133"/>
      <c r="U274" s="133"/>
      <c r="V274" s="133"/>
      <c r="W274" s="133"/>
      <c r="X274" s="133"/>
      <c r="Y274" s="133"/>
    </row>
    <row r="275" spans="1:25">
      <c r="A275" s="133">
        <v>273</v>
      </c>
      <c r="B275" s="127">
        <f t="shared" si="4"/>
        <v>45961</v>
      </c>
      <c r="C275" s="238">
        <f>YEAR(MC[[#This Row],[Date]])+IF(MONTH(MC[[#This Row],[Date]])&gt;=4,1,0)</f>
        <v>2026</v>
      </c>
      <c r="D275" s="130">
        <f>YEAR(MC[[#This Row],[Date]])</f>
        <v>2025</v>
      </c>
      <c r="E275" s="351" t="s">
        <v>218</v>
      </c>
      <c r="F275" s="351" t="s">
        <v>218</v>
      </c>
      <c r="G275" s="4" t="str">
        <f>TEXT(MC[[#This Row],[Date]],"mmm-yy")</f>
        <v>Oct-25</v>
      </c>
      <c r="H275" s="4">
        <f>DAY(EOMONTH(MC[[#This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26"/>
      <c r="Q275" s="126"/>
      <c r="R275" s="4">
        <f>SUM(MC[[#This Row],[ICR1]:[ICR12]])</f>
        <v>0</v>
      </c>
      <c r="S275" s="133"/>
      <c r="T275" s="133"/>
      <c r="U275" s="133"/>
      <c r="V275" s="133"/>
      <c r="W275" s="133"/>
      <c r="X275" s="133"/>
      <c r="Y275" s="133"/>
    </row>
    <row r="276" spans="1:25">
      <c r="A276" s="133">
        <v>274</v>
      </c>
      <c r="B276" s="127">
        <f t="shared" si="4"/>
        <v>45962</v>
      </c>
      <c r="C276" s="238">
        <f>YEAR(MC[[#This Row],[Date]])+IF(MONTH(MC[[#This Row],[Date]])&gt;=4,1,0)</f>
        <v>2026</v>
      </c>
      <c r="D276" s="130">
        <f>YEAR(MC[[#This Row],[Date]])</f>
        <v>2025</v>
      </c>
      <c r="E276" s="351" t="s">
        <v>218</v>
      </c>
      <c r="F276" s="351" t="s">
        <v>218</v>
      </c>
      <c r="G276" s="4" t="str">
        <f>TEXT(MC[[#This Row],[Date]],"mmm-yy")</f>
        <v>Nov-25</v>
      </c>
      <c r="H276" s="4">
        <f>DAY(EOMONTH(MC[[#This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26"/>
      <c r="Q276" s="126"/>
      <c r="R276" s="4">
        <f>SUM(MC[[#This Row],[ICR1]:[ICR12]])</f>
        <v>0</v>
      </c>
      <c r="S276" s="133"/>
      <c r="T276" s="133"/>
      <c r="U276" s="133"/>
      <c r="V276" s="133"/>
      <c r="W276" s="133"/>
      <c r="X276" s="133"/>
      <c r="Y276" s="133"/>
    </row>
    <row r="277" spans="1:25">
      <c r="A277" s="133">
        <v>275</v>
      </c>
      <c r="B277" s="127">
        <f t="shared" si="4"/>
        <v>45963</v>
      </c>
      <c r="C277" s="238">
        <f>YEAR(MC[[#This Row],[Date]])+IF(MONTH(MC[[#This Row],[Date]])&gt;=4,1,0)</f>
        <v>2026</v>
      </c>
      <c r="D277" s="130">
        <f>YEAR(MC[[#This Row],[Date]])</f>
        <v>2025</v>
      </c>
      <c r="E277" s="351" t="s">
        <v>218</v>
      </c>
      <c r="F277" s="351" t="s">
        <v>218</v>
      </c>
      <c r="G277" s="4" t="str">
        <f>TEXT(MC[[#This Row],[Date]],"mmm-yy")</f>
        <v>Nov-25</v>
      </c>
      <c r="H277" s="4">
        <f>DAY(EOMONTH(MC[[#This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26"/>
      <c r="Q277" s="126"/>
      <c r="R277" s="4">
        <f>SUM(MC[[#This Row],[ICR1]:[ICR12]])</f>
        <v>0</v>
      </c>
      <c r="S277" s="133"/>
      <c r="T277" s="133"/>
      <c r="U277" s="133"/>
      <c r="V277" s="133"/>
      <c r="W277" s="133"/>
      <c r="X277" s="133"/>
      <c r="Y277" s="133"/>
    </row>
    <row r="278" spans="1:25">
      <c r="A278" s="133">
        <v>276</v>
      </c>
      <c r="B278" s="127">
        <f t="shared" si="4"/>
        <v>45964</v>
      </c>
      <c r="C278" s="238">
        <f>YEAR(MC[[#This Row],[Date]])+IF(MONTH(MC[[#This Row],[Date]])&gt;=4,1,0)</f>
        <v>2026</v>
      </c>
      <c r="D278" s="130">
        <f>YEAR(MC[[#This Row],[Date]])</f>
        <v>2025</v>
      </c>
      <c r="E278" s="351" t="s">
        <v>218</v>
      </c>
      <c r="F278" s="351" t="s">
        <v>218</v>
      </c>
      <c r="G278" s="4" t="str">
        <f>TEXT(MC[[#This Row],[Date]],"mmm-yy")</f>
        <v>Nov-25</v>
      </c>
      <c r="H278" s="4">
        <f>DAY(EOMONTH(MC[[#This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26"/>
      <c r="Q278" s="126"/>
      <c r="R278" s="4">
        <f>SUM(MC[[#This Row],[ICR1]:[ICR12]])</f>
        <v>0</v>
      </c>
      <c r="S278" s="133"/>
      <c r="T278" s="133"/>
      <c r="U278" s="133"/>
      <c r="V278" s="133"/>
      <c r="W278" s="133"/>
      <c r="X278" s="133"/>
      <c r="Y278" s="133"/>
    </row>
    <row r="279" spans="1:25">
      <c r="A279" s="133">
        <v>277</v>
      </c>
      <c r="B279" s="127">
        <f t="shared" si="4"/>
        <v>45965</v>
      </c>
      <c r="C279" s="238">
        <f>YEAR(MC[[#This Row],[Date]])+IF(MONTH(MC[[#This Row],[Date]])&gt;=4,1,0)</f>
        <v>2026</v>
      </c>
      <c r="D279" s="130">
        <f>YEAR(MC[[#This Row],[Date]])</f>
        <v>2025</v>
      </c>
      <c r="E279" s="351" t="s">
        <v>218</v>
      </c>
      <c r="F279" s="351" t="s">
        <v>218</v>
      </c>
      <c r="G279" s="4" t="str">
        <f>TEXT(MC[[#This Row],[Date]],"mmm-yy")</f>
        <v>Nov-25</v>
      </c>
      <c r="H279" s="4">
        <f>DAY(EOMONTH(MC[[#This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26"/>
      <c r="Q279" s="126"/>
      <c r="R279" s="4">
        <f>SUM(MC[[#This Row],[ICR1]:[ICR12]])</f>
        <v>0</v>
      </c>
      <c r="S279" s="133"/>
      <c r="T279" s="133"/>
      <c r="U279" s="133"/>
      <c r="V279" s="133"/>
      <c r="W279" s="133"/>
      <c r="X279" s="133"/>
      <c r="Y279" s="133"/>
    </row>
    <row r="280" spans="1:25">
      <c r="A280" s="133">
        <v>278</v>
      </c>
      <c r="B280" s="127">
        <f t="shared" si="4"/>
        <v>45966</v>
      </c>
      <c r="C280" s="238">
        <f>YEAR(MC[[#This Row],[Date]])+IF(MONTH(MC[[#This Row],[Date]])&gt;=4,1,0)</f>
        <v>2026</v>
      </c>
      <c r="D280" s="130">
        <f>YEAR(MC[[#This Row],[Date]])</f>
        <v>2025</v>
      </c>
      <c r="E280" s="351" t="s">
        <v>218</v>
      </c>
      <c r="F280" s="351" t="s">
        <v>218</v>
      </c>
      <c r="G280" s="4" t="str">
        <f>TEXT(MC[[#This Row],[Date]],"mmm-yy")</f>
        <v>Nov-25</v>
      </c>
      <c r="H280" s="4">
        <f>DAY(EOMONTH(MC[[#This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26"/>
      <c r="Q280" s="126"/>
      <c r="R280" s="4">
        <f>SUM(MC[[#This Row],[ICR1]:[ICR12]])</f>
        <v>0</v>
      </c>
      <c r="S280" s="133"/>
      <c r="T280" s="133"/>
      <c r="U280" s="133"/>
      <c r="V280" s="133"/>
      <c r="W280" s="133"/>
      <c r="X280" s="133"/>
      <c r="Y280" s="133"/>
    </row>
    <row r="281" spans="1:25">
      <c r="A281" s="133">
        <v>279</v>
      </c>
      <c r="B281" s="127">
        <f t="shared" si="4"/>
        <v>45967</v>
      </c>
      <c r="C281" s="238">
        <f>YEAR(MC[[#This Row],[Date]])+IF(MONTH(MC[[#This Row],[Date]])&gt;=4,1,0)</f>
        <v>2026</v>
      </c>
      <c r="D281" s="130">
        <f>YEAR(MC[[#This Row],[Date]])</f>
        <v>2025</v>
      </c>
      <c r="E281" s="351" t="s">
        <v>218</v>
      </c>
      <c r="F281" s="351" t="s">
        <v>218</v>
      </c>
      <c r="G281" s="4" t="str">
        <f>TEXT(MC[[#This Row],[Date]],"mmm-yy")</f>
        <v>Nov-25</v>
      </c>
      <c r="H281" s="4">
        <f>DAY(EOMONTH(MC[[#This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26"/>
      <c r="Q281" s="126"/>
      <c r="R281" s="4">
        <f>SUM(MC[[#This Row],[ICR1]:[ICR12]])</f>
        <v>0</v>
      </c>
      <c r="S281" s="133"/>
      <c r="T281" s="133"/>
      <c r="U281" s="133"/>
      <c r="V281" s="133"/>
      <c r="W281" s="133"/>
      <c r="X281" s="133"/>
      <c r="Y281" s="133"/>
    </row>
    <row r="282" spans="1:25">
      <c r="A282" s="133">
        <v>280</v>
      </c>
      <c r="B282" s="127">
        <f t="shared" si="4"/>
        <v>45968</v>
      </c>
      <c r="C282" s="238">
        <f>YEAR(MC[[#This Row],[Date]])+IF(MONTH(MC[[#This Row],[Date]])&gt;=4,1,0)</f>
        <v>2026</v>
      </c>
      <c r="D282" s="130">
        <f>YEAR(MC[[#This Row],[Date]])</f>
        <v>2025</v>
      </c>
      <c r="E282" s="351" t="s">
        <v>218</v>
      </c>
      <c r="F282" s="351" t="s">
        <v>218</v>
      </c>
      <c r="G282" s="4" t="str">
        <f>TEXT(MC[[#This Row],[Date]],"mmm-yy")</f>
        <v>Nov-25</v>
      </c>
      <c r="H282" s="4">
        <f>DAY(EOMONTH(MC[[#This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26"/>
      <c r="Q282" s="126"/>
      <c r="R282" s="4">
        <f>SUM(MC[[#This Row],[ICR1]:[ICR12]])</f>
        <v>0</v>
      </c>
      <c r="S282" s="133"/>
      <c r="T282" s="133"/>
      <c r="U282" s="133"/>
      <c r="V282" s="133"/>
      <c r="W282" s="133"/>
      <c r="X282" s="133"/>
      <c r="Y282" s="133"/>
    </row>
    <row r="283" spans="1:25">
      <c r="A283" s="133">
        <v>281</v>
      </c>
      <c r="B283" s="127">
        <f t="shared" si="4"/>
        <v>45969</v>
      </c>
      <c r="C283" s="238">
        <f>YEAR(MC[[#This Row],[Date]])+IF(MONTH(MC[[#This Row],[Date]])&gt;=4,1,0)</f>
        <v>2026</v>
      </c>
      <c r="D283" s="130">
        <f>YEAR(MC[[#This Row],[Date]])</f>
        <v>2025</v>
      </c>
      <c r="E283" s="351" t="s">
        <v>218</v>
      </c>
      <c r="F283" s="351" t="s">
        <v>218</v>
      </c>
      <c r="G283" s="4" t="str">
        <f>TEXT(MC[[#This Row],[Date]],"mmm-yy")</f>
        <v>Nov-25</v>
      </c>
      <c r="H283" s="4">
        <f>DAY(EOMONTH(MC[[#This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26"/>
      <c r="Q283" s="126"/>
      <c r="R283" s="4">
        <f>SUM(MC[[#This Row],[ICR1]:[ICR12]])</f>
        <v>0</v>
      </c>
      <c r="S283" s="133"/>
      <c r="T283" s="133"/>
      <c r="U283" s="133"/>
      <c r="V283" s="133"/>
      <c r="W283" s="133"/>
      <c r="X283" s="133"/>
      <c r="Y283" s="133"/>
    </row>
    <row r="284" spans="1:25">
      <c r="A284" s="133">
        <v>282</v>
      </c>
      <c r="B284" s="127">
        <f t="shared" si="4"/>
        <v>45970</v>
      </c>
      <c r="C284" s="238">
        <f>YEAR(MC[[#This Row],[Date]])+IF(MONTH(MC[[#This Row],[Date]])&gt;=4,1,0)</f>
        <v>2026</v>
      </c>
      <c r="D284" s="130">
        <f>YEAR(MC[[#This Row],[Date]])</f>
        <v>2025</v>
      </c>
      <c r="E284" s="351" t="s">
        <v>218</v>
      </c>
      <c r="F284" s="351" t="s">
        <v>218</v>
      </c>
      <c r="G284" s="4" t="str">
        <f>TEXT(MC[[#This Row],[Date]],"mmm-yy")</f>
        <v>Nov-25</v>
      </c>
      <c r="H284" s="4">
        <f>DAY(EOMONTH(MC[[#This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26"/>
      <c r="Q284" s="126"/>
      <c r="R284" s="4">
        <f>SUM(MC[[#This Row],[ICR1]:[ICR12]])</f>
        <v>0</v>
      </c>
      <c r="S284" s="133"/>
      <c r="T284" s="133"/>
      <c r="U284" s="133"/>
      <c r="V284" s="133"/>
      <c r="W284" s="133"/>
      <c r="X284" s="133"/>
      <c r="Y284" s="133"/>
    </row>
    <row r="285" spans="1:25">
      <c r="A285" s="133">
        <v>283</v>
      </c>
      <c r="B285" s="127">
        <f t="shared" si="4"/>
        <v>45971</v>
      </c>
      <c r="C285" s="238">
        <f>YEAR(MC[[#This Row],[Date]])+IF(MONTH(MC[[#This Row],[Date]])&gt;=4,1,0)</f>
        <v>2026</v>
      </c>
      <c r="D285" s="130">
        <f>YEAR(MC[[#This Row],[Date]])</f>
        <v>2025</v>
      </c>
      <c r="E285" s="351" t="s">
        <v>218</v>
      </c>
      <c r="F285" s="351" t="s">
        <v>218</v>
      </c>
      <c r="G285" s="4" t="str">
        <f>TEXT(MC[[#This Row],[Date]],"mmm-yy")</f>
        <v>Nov-25</v>
      </c>
      <c r="H285" s="4">
        <f>DAY(EOMONTH(MC[[#This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26"/>
      <c r="Q285" s="126"/>
      <c r="R285" s="4">
        <f>SUM(MC[[#This Row],[ICR1]:[ICR12]])</f>
        <v>0</v>
      </c>
      <c r="S285" s="133"/>
      <c r="T285" s="133"/>
      <c r="U285" s="133"/>
      <c r="V285" s="133"/>
      <c r="W285" s="133"/>
      <c r="X285" s="133"/>
      <c r="Y285" s="133"/>
    </row>
    <row r="286" spans="1:25">
      <c r="A286" s="133">
        <v>284</v>
      </c>
      <c r="B286" s="127">
        <f t="shared" si="4"/>
        <v>45972</v>
      </c>
      <c r="C286" s="238">
        <f>YEAR(MC[[#This Row],[Date]])+IF(MONTH(MC[[#This Row],[Date]])&gt;=4,1,0)</f>
        <v>2026</v>
      </c>
      <c r="D286" s="130">
        <f>YEAR(MC[[#This Row],[Date]])</f>
        <v>2025</v>
      </c>
      <c r="E286" s="351" t="s">
        <v>218</v>
      </c>
      <c r="F286" s="351" t="s">
        <v>218</v>
      </c>
      <c r="G286" s="4" t="str">
        <f>TEXT(MC[[#This Row],[Date]],"mmm-yy")</f>
        <v>Nov-25</v>
      </c>
      <c r="H286" s="4">
        <f>DAY(EOMONTH(MC[[#This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26"/>
      <c r="Q286" s="126"/>
      <c r="R286" s="4">
        <f>SUM(MC[[#This Row],[ICR1]:[ICR12]])</f>
        <v>0</v>
      </c>
      <c r="S286" s="133"/>
      <c r="T286" s="133"/>
      <c r="U286" s="133"/>
      <c r="V286" s="133"/>
      <c r="W286" s="133"/>
      <c r="X286" s="133"/>
      <c r="Y286" s="133"/>
    </row>
    <row r="287" spans="1:25">
      <c r="A287" s="133">
        <v>285</v>
      </c>
      <c r="B287" s="127">
        <f t="shared" si="4"/>
        <v>45973</v>
      </c>
      <c r="C287" s="238">
        <f>YEAR(MC[[#This Row],[Date]])+IF(MONTH(MC[[#This Row],[Date]])&gt;=4,1,0)</f>
        <v>2026</v>
      </c>
      <c r="D287" s="130">
        <f>YEAR(MC[[#This Row],[Date]])</f>
        <v>2025</v>
      </c>
      <c r="E287" s="351" t="s">
        <v>218</v>
      </c>
      <c r="F287" s="351" t="s">
        <v>218</v>
      </c>
      <c r="G287" s="4" t="str">
        <f>TEXT(MC[[#This Row],[Date]],"mmm-yy")</f>
        <v>Nov-25</v>
      </c>
      <c r="H287" s="4">
        <f>DAY(EOMONTH(MC[[#This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26"/>
      <c r="Q287" s="126"/>
      <c r="R287" s="4">
        <f>SUM(MC[[#This Row],[ICR1]:[ICR12]])</f>
        <v>0</v>
      </c>
      <c r="S287" s="133"/>
      <c r="T287" s="133"/>
      <c r="U287" s="133"/>
      <c r="V287" s="133"/>
      <c r="W287" s="133"/>
      <c r="X287" s="133"/>
      <c r="Y287" s="133"/>
    </row>
    <row r="288" spans="1:25">
      <c r="A288" s="133">
        <v>286</v>
      </c>
      <c r="B288" s="127">
        <f t="shared" si="4"/>
        <v>45974</v>
      </c>
      <c r="C288" s="238">
        <f>YEAR(MC[[#This Row],[Date]])+IF(MONTH(MC[[#This Row],[Date]])&gt;=4,1,0)</f>
        <v>2026</v>
      </c>
      <c r="D288" s="130">
        <f>YEAR(MC[[#This Row],[Date]])</f>
        <v>2025</v>
      </c>
      <c r="E288" s="351" t="s">
        <v>218</v>
      </c>
      <c r="F288" s="351" t="s">
        <v>218</v>
      </c>
      <c r="G288" s="4" t="str">
        <f>TEXT(MC[[#This Row],[Date]],"mmm-yy")</f>
        <v>Nov-25</v>
      </c>
      <c r="H288" s="4">
        <f>DAY(EOMONTH(MC[[#This Row],[Month Year]],0))</f>
        <v>30</v>
      </c>
      <c r="I288" s="133"/>
      <c r="J288" s="352"/>
      <c r="K288" s="133"/>
      <c r="L288" s="133"/>
      <c r="M288" s="133"/>
      <c r="N288" s="133"/>
      <c r="O288" s="133"/>
      <c r="P288" s="126"/>
      <c r="Q288" s="126"/>
      <c r="R288" s="4">
        <f>SUM(MC[[#This Row],[ICR1]:[ICR12]])</f>
        <v>0</v>
      </c>
      <c r="S288" s="134"/>
      <c r="T288" s="134"/>
      <c r="U288" s="134"/>
      <c r="V288" s="134"/>
      <c r="W288" s="352"/>
      <c r="X288" s="133"/>
      <c r="Y288" s="133"/>
    </row>
    <row r="289" spans="1:25">
      <c r="A289" s="133">
        <v>287</v>
      </c>
      <c r="B289" s="127">
        <f t="shared" si="4"/>
        <v>45975</v>
      </c>
      <c r="C289" s="238">
        <f>YEAR(MC[[#This Row],[Date]])+IF(MONTH(MC[[#This Row],[Date]])&gt;=4,1,0)</f>
        <v>2026</v>
      </c>
      <c r="D289" s="130">
        <f>YEAR(MC[[#This Row],[Date]])</f>
        <v>2025</v>
      </c>
      <c r="E289" s="351" t="s">
        <v>218</v>
      </c>
      <c r="F289" s="351" t="s">
        <v>218</v>
      </c>
      <c r="G289" s="4" t="str">
        <f>TEXT(MC[[#This Row],[Date]],"mmm-yy")</f>
        <v>Nov-25</v>
      </c>
      <c r="H289" s="4">
        <f>DAY(EOMONTH(MC[[#This Row],[Month Year]],0))</f>
        <v>30</v>
      </c>
      <c r="I289" s="133"/>
      <c r="J289" s="352"/>
      <c r="K289" s="133"/>
      <c r="L289" s="133"/>
      <c r="M289" s="133"/>
      <c r="N289" s="133"/>
      <c r="O289" s="133"/>
      <c r="P289" s="126"/>
      <c r="Q289" s="126"/>
      <c r="R289" s="4">
        <f>SUM(MC[[#This Row],[ICR1]:[ICR12]])</f>
        <v>0</v>
      </c>
      <c r="S289" s="134"/>
      <c r="T289" s="134"/>
      <c r="U289" s="134"/>
      <c r="V289" s="134"/>
      <c r="W289" s="352"/>
      <c r="X289" s="133"/>
      <c r="Y289" s="133"/>
    </row>
    <row r="290" spans="1:25">
      <c r="A290" s="133">
        <v>288</v>
      </c>
      <c r="B290" s="127">
        <f t="shared" si="4"/>
        <v>45976</v>
      </c>
      <c r="C290" s="238">
        <f>YEAR(MC[[#This Row],[Date]])+IF(MONTH(MC[[#This Row],[Date]])&gt;=4,1,0)</f>
        <v>2026</v>
      </c>
      <c r="D290" s="130">
        <f>YEAR(MC[[#This Row],[Date]])</f>
        <v>2025</v>
      </c>
      <c r="E290" s="351" t="s">
        <v>218</v>
      </c>
      <c r="F290" s="351" t="s">
        <v>218</v>
      </c>
      <c r="G290" s="4" t="str">
        <f>TEXT(MC[[#This Row],[Date]],"mmm-yy")</f>
        <v>Nov-25</v>
      </c>
      <c r="H290" s="4">
        <f>DAY(EOMONTH(MC[[#This Row],[Month Year]],0))</f>
        <v>30</v>
      </c>
      <c r="I290" s="133"/>
      <c r="J290" s="352"/>
      <c r="K290" s="133"/>
      <c r="L290" s="133"/>
      <c r="M290" s="133"/>
      <c r="N290" s="133"/>
      <c r="O290" s="133"/>
      <c r="P290" s="126"/>
      <c r="Q290" s="126"/>
      <c r="R290" s="4">
        <f>SUM(MC[[#This Row],[ICR1]:[ICR12]])</f>
        <v>0</v>
      </c>
      <c r="S290" s="134"/>
      <c r="T290" s="134"/>
      <c r="U290" s="134"/>
      <c r="V290" s="134"/>
      <c r="W290" s="352"/>
      <c r="X290" s="133"/>
      <c r="Y290" s="133"/>
    </row>
    <row r="291" spans="1:25">
      <c r="A291" s="133">
        <v>289</v>
      </c>
      <c r="B291" s="127">
        <f t="shared" si="4"/>
        <v>45977</v>
      </c>
      <c r="C291" s="238">
        <f>YEAR(MC[[#This Row],[Date]])+IF(MONTH(MC[[#This Row],[Date]])&gt;=4,1,0)</f>
        <v>2026</v>
      </c>
      <c r="D291" s="130">
        <f>YEAR(MC[[#This Row],[Date]])</f>
        <v>2025</v>
      </c>
      <c r="E291" s="351" t="s">
        <v>218</v>
      </c>
      <c r="F291" s="351" t="s">
        <v>218</v>
      </c>
      <c r="G291" s="4" t="str">
        <f>TEXT(MC[[#This Row],[Date]],"mmm-yy")</f>
        <v>Nov-25</v>
      </c>
      <c r="H291" s="4">
        <f>DAY(EOMONTH(MC[[#This Row],[Month Year]],0))</f>
        <v>30</v>
      </c>
      <c r="I291" s="133"/>
      <c r="J291" s="352"/>
      <c r="K291" s="133"/>
      <c r="L291" s="133"/>
      <c r="M291" s="133"/>
      <c r="N291" s="133"/>
      <c r="O291" s="133"/>
      <c r="P291" s="126"/>
      <c r="Q291" s="126"/>
      <c r="R291" s="4">
        <f>SUM(MC[[#This Row],[ICR1]:[ICR12]])</f>
        <v>0</v>
      </c>
      <c r="S291" s="134"/>
      <c r="T291" s="134"/>
      <c r="U291" s="134"/>
      <c r="V291" s="134"/>
      <c r="W291" s="352"/>
      <c r="X291" s="133"/>
      <c r="Y291" s="133"/>
    </row>
    <row r="292" spans="1:25">
      <c r="A292" s="133">
        <v>290</v>
      </c>
      <c r="B292" s="127">
        <f t="shared" si="4"/>
        <v>45978</v>
      </c>
      <c r="C292" s="238">
        <f>YEAR(MC[[#This Row],[Date]])+IF(MONTH(MC[[#This Row],[Date]])&gt;=4,1,0)</f>
        <v>2026</v>
      </c>
      <c r="D292" s="130">
        <f>YEAR(MC[[#This Row],[Date]])</f>
        <v>2025</v>
      </c>
      <c r="E292" s="351" t="s">
        <v>218</v>
      </c>
      <c r="F292" s="351" t="s">
        <v>218</v>
      </c>
      <c r="G292" s="4" t="str">
        <f>TEXT(MC[[#This Row],[Date]],"mmm-yy")</f>
        <v>Nov-25</v>
      </c>
      <c r="H292" s="4">
        <f>DAY(EOMONTH(MC[[#This Row],[Month Year]],0))</f>
        <v>30</v>
      </c>
      <c r="I292" s="133"/>
      <c r="J292" s="352"/>
      <c r="K292" s="133"/>
      <c r="L292" s="133"/>
      <c r="M292" s="133"/>
      <c r="N292" s="133"/>
      <c r="O292" s="133"/>
      <c r="P292" s="126"/>
      <c r="Q292" s="126"/>
      <c r="R292" s="4">
        <f>SUM(MC[[#This Row],[ICR1]:[ICR12]])</f>
        <v>0</v>
      </c>
      <c r="S292" s="134"/>
      <c r="T292" s="134"/>
      <c r="U292" s="134"/>
      <c r="V292" s="134"/>
      <c r="W292" s="352"/>
      <c r="X292" s="133"/>
      <c r="Y292" s="133"/>
    </row>
    <row r="293" spans="1:25">
      <c r="A293" s="133">
        <v>291</v>
      </c>
      <c r="B293" s="127">
        <f t="shared" si="4"/>
        <v>45979</v>
      </c>
      <c r="C293" s="238">
        <f>YEAR(MC[[#This Row],[Date]])+IF(MONTH(MC[[#This Row],[Date]])&gt;=4,1,0)</f>
        <v>2026</v>
      </c>
      <c r="D293" s="130">
        <f>YEAR(MC[[#This Row],[Date]])</f>
        <v>2025</v>
      </c>
      <c r="E293" s="351" t="s">
        <v>218</v>
      </c>
      <c r="F293" s="351" t="s">
        <v>218</v>
      </c>
      <c r="G293" s="4" t="str">
        <f>TEXT(MC[[#This Row],[Date]],"mmm-yy")</f>
        <v>Nov-25</v>
      </c>
      <c r="H293" s="4">
        <f>DAY(EOMONTH(MC[[#This Row],[Month Year]],0))</f>
        <v>30</v>
      </c>
      <c r="I293" s="133"/>
      <c r="J293" s="352"/>
      <c r="K293" s="133"/>
      <c r="L293" s="133"/>
      <c r="M293" s="133"/>
      <c r="N293" s="133"/>
      <c r="O293" s="133"/>
      <c r="P293" s="126"/>
      <c r="Q293" s="126"/>
      <c r="R293" s="4">
        <f>SUM(MC[[#This Row],[ICR1]:[ICR12]])</f>
        <v>0</v>
      </c>
      <c r="S293" s="134"/>
      <c r="T293" s="134"/>
      <c r="U293" s="134"/>
      <c r="V293" s="134"/>
      <c r="W293" s="352"/>
      <c r="X293" s="133"/>
      <c r="Y293" s="133"/>
    </row>
    <row r="294" spans="1:25">
      <c r="A294" s="133">
        <v>292</v>
      </c>
      <c r="B294" s="127">
        <f t="shared" si="4"/>
        <v>45980</v>
      </c>
      <c r="C294" s="238">
        <f>YEAR(MC[[#This Row],[Date]])+IF(MONTH(MC[[#This Row],[Date]])&gt;=4,1,0)</f>
        <v>2026</v>
      </c>
      <c r="D294" s="130">
        <f>YEAR(MC[[#This Row],[Date]])</f>
        <v>2025</v>
      </c>
      <c r="E294" s="351" t="s">
        <v>218</v>
      </c>
      <c r="F294" s="351" t="s">
        <v>218</v>
      </c>
      <c r="G294" s="4" t="str">
        <f>TEXT(MC[[#This Row],[Date]],"mmm-yy")</f>
        <v>Nov-25</v>
      </c>
      <c r="H294" s="4">
        <f>DAY(EOMONTH(MC[[#This Row],[Month Year]],0))</f>
        <v>30</v>
      </c>
      <c r="I294" s="133"/>
      <c r="J294" s="352"/>
      <c r="K294" s="133"/>
      <c r="L294" s="133"/>
      <c r="M294" s="133"/>
      <c r="N294" s="133"/>
      <c r="O294" s="133"/>
      <c r="P294" s="126"/>
      <c r="Q294" s="126"/>
      <c r="R294" s="4">
        <f>SUM(MC[[#This Row],[ICR1]:[ICR12]])</f>
        <v>0</v>
      </c>
      <c r="S294" s="134"/>
      <c r="T294" s="134"/>
      <c r="U294" s="134"/>
      <c r="V294" s="134"/>
      <c r="W294" s="352"/>
      <c r="X294" s="133"/>
      <c r="Y294" s="133"/>
    </row>
    <row r="295" spans="1:25">
      <c r="A295" s="133">
        <v>293</v>
      </c>
      <c r="B295" s="127">
        <f t="shared" si="4"/>
        <v>45981</v>
      </c>
      <c r="C295" s="238">
        <f>YEAR(MC[[#This Row],[Date]])+IF(MONTH(MC[[#This Row],[Date]])&gt;=4,1,0)</f>
        <v>2026</v>
      </c>
      <c r="D295" s="130">
        <f>YEAR(MC[[#This Row],[Date]])</f>
        <v>2025</v>
      </c>
      <c r="E295" s="351" t="s">
        <v>218</v>
      </c>
      <c r="F295" s="351" t="s">
        <v>218</v>
      </c>
      <c r="G295" s="4" t="str">
        <f>TEXT(MC[[#This Row],[Date]],"mmm-yy")</f>
        <v>Nov-25</v>
      </c>
      <c r="H295" s="4">
        <f>DAY(EOMONTH(MC[[#This Row],[Month Year]],0))</f>
        <v>30</v>
      </c>
      <c r="I295" s="133"/>
      <c r="J295" s="352"/>
      <c r="K295" s="133"/>
      <c r="L295" s="133"/>
      <c r="M295" s="133"/>
      <c r="N295" s="133"/>
      <c r="O295" s="133"/>
      <c r="P295" s="126"/>
      <c r="Q295" s="126"/>
      <c r="R295" s="4">
        <f>SUM(MC[[#This Row],[ICR1]:[ICR12]])</f>
        <v>0</v>
      </c>
      <c r="S295" s="134"/>
      <c r="T295" s="134"/>
      <c r="U295" s="134"/>
      <c r="V295" s="134"/>
      <c r="W295" s="352"/>
      <c r="X295" s="133"/>
      <c r="Y295" s="133"/>
    </row>
    <row r="296" spans="1:25">
      <c r="A296" s="133">
        <v>294</v>
      </c>
      <c r="B296" s="127">
        <f t="shared" si="4"/>
        <v>45982</v>
      </c>
      <c r="C296" s="238">
        <f>YEAR(MC[[#This Row],[Date]])+IF(MONTH(MC[[#This Row],[Date]])&gt;=4,1,0)</f>
        <v>2026</v>
      </c>
      <c r="D296" s="130">
        <f>YEAR(MC[[#This Row],[Date]])</f>
        <v>2025</v>
      </c>
      <c r="E296" s="351" t="s">
        <v>218</v>
      </c>
      <c r="F296" s="351" t="s">
        <v>218</v>
      </c>
      <c r="G296" s="4" t="str">
        <f>TEXT(MC[[#This Row],[Date]],"mmm-yy")</f>
        <v>Nov-25</v>
      </c>
      <c r="H296" s="4">
        <f>DAY(EOMONTH(MC[[#This Row],[Month Year]],0))</f>
        <v>30</v>
      </c>
      <c r="I296" s="133"/>
      <c r="J296" s="352"/>
      <c r="K296" s="133"/>
      <c r="L296" s="133"/>
      <c r="M296" s="133"/>
      <c r="N296" s="133"/>
      <c r="O296" s="133"/>
      <c r="P296" s="126"/>
      <c r="Q296" s="126"/>
      <c r="R296" s="4">
        <f>SUM(MC[[#This Row],[ICR1]:[ICR12]])</f>
        <v>0</v>
      </c>
      <c r="S296" s="134"/>
      <c r="T296" s="134"/>
      <c r="U296" s="134"/>
      <c r="V296" s="134"/>
      <c r="W296" s="352"/>
      <c r="X296" s="133"/>
      <c r="Y296" s="133"/>
    </row>
    <row r="297" spans="1:25">
      <c r="A297" s="133">
        <v>295</v>
      </c>
      <c r="B297" s="127">
        <f t="shared" si="4"/>
        <v>45983</v>
      </c>
      <c r="C297" s="238">
        <f>YEAR(MC[[#This Row],[Date]])+IF(MONTH(MC[[#This Row],[Date]])&gt;=4,1,0)</f>
        <v>2026</v>
      </c>
      <c r="D297" s="130">
        <f>YEAR(MC[[#This Row],[Date]])</f>
        <v>2025</v>
      </c>
      <c r="E297" s="351" t="s">
        <v>218</v>
      </c>
      <c r="F297" s="351" t="s">
        <v>218</v>
      </c>
      <c r="G297" s="4" t="str">
        <f>TEXT(MC[[#This Row],[Date]],"mmm-yy")</f>
        <v>Nov-25</v>
      </c>
      <c r="H297" s="4">
        <f>DAY(EOMONTH(MC[[#This Row],[Month Year]],0))</f>
        <v>30</v>
      </c>
      <c r="I297" s="133"/>
      <c r="J297" s="352"/>
      <c r="K297" s="133"/>
      <c r="L297" s="133"/>
      <c r="M297" s="133"/>
      <c r="N297" s="133"/>
      <c r="O297" s="133"/>
      <c r="P297" s="126"/>
      <c r="Q297" s="126"/>
      <c r="R297" s="4">
        <f>SUM(MC[[#This Row],[ICR1]:[ICR12]])</f>
        <v>0</v>
      </c>
      <c r="S297" s="134"/>
      <c r="T297" s="134"/>
      <c r="U297" s="134"/>
      <c r="V297" s="134"/>
      <c r="W297" s="352"/>
      <c r="X297" s="133"/>
      <c r="Y297" s="133"/>
    </row>
    <row r="298" spans="1:25">
      <c r="A298" s="133">
        <v>296</v>
      </c>
      <c r="B298" s="127">
        <f t="shared" si="4"/>
        <v>45984</v>
      </c>
      <c r="C298" s="238">
        <f>YEAR(MC[[#This Row],[Date]])+IF(MONTH(MC[[#This Row],[Date]])&gt;=4,1,0)</f>
        <v>2026</v>
      </c>
      <c r="D298" s="130">
        <f>YEAR(MC[[#This Row],[Date]])</f>
        <v>2025</v>
      </c>
      <c r="E298" s="351" t="s">
        <v>218</v>
      </c>
      <c r="F298" s="351" t="s">
        <v>218</v>
      </c>
      <c r="G298" s="4" t="str">
        <f>TEXT(MC[[#This Row],[Date]],"mmm-yy")</f>
        <v>Nov-25</v>
      </c>
      <c r="H298" s="4">
        <f>DAY(EOMONTH(MC[[#This Row],[Month Year]],0))</f>
        <v>30</v>
      </c>
      <c r="I298" s="133"/>
      <c r="J298" s="352"/>
      <c r="K298" s="133"/>
      <c r="L298" s="133"/>
      <c r="M298" s="133"/>
      <c r="N298" s="133"/>
      <c r="O298" s="133"/>
      <c r="P298" s="126"/>
      <c r="Q298" s="126"/>
      <c r="R298" s="4">
        <f>SUM(MC[[#This Row],[ICR1]:[ICR12]])</f>
        <v>0</v>
      </c>
      <c r="S298" s="134"/>
      <c r="T298" s="134"/>
      <c r="U298" s="134"/>
      <c r="V298" s="134"/>
      <c r="W298" s="352"/>
      <c r="X298" s="133"/>
      <c r="Y298" s="133"/>
    </row>
    <row r="299" spans="1:25">
      <c r="A299" s="133">
        <v>297</v>
      </c>
      <c r="B299" s="127">
        <f t="shared" si="4"/>
        <v>45985</v>
      </c>
      <c r="C299" s="238">
        <f>YEAR(MC[[#This Row],[Date]])+IF(MONTH(MC[[#This Row],[Date]])&gt;=4,1,0)</f>
        <v>2026</v>
      </c>
      <c r="D299" s="130">
        <f>YEAR(MC[[#This Row],[Date]])</f>
        <v>2025</v>
      </c>
      <c r="E299" s="351" t="s">
        <v>218</v>
      </c>
      <c r="F299" s="351" t="s">
        <v>218</v>
      </c>
      <c r="G299" s="4" t="str">
        <f>TEXT(MC[[#This Row],[Date]],"mmm-yy")</f>
        <v>Nov-25</v>
      </c>
      <c r="H299" s="4">
        <f>DAY(EOMONTH(MC[[#This Row],[Month Year]],0))</f>
        <v>30</v>
      </c>
      <c r="I299" s="133"/>
      <c r="J299" s="352"/>
      <c r="K299" s="133"/>
      <c r="L299" s="133"/>
      <c r="M299" s="133"/>
      <c r="N299" s="133"/>
      <c r="O299" s="133"/>
      <c r="P299" s="126"/>
      <c r="Q299" s="126"/>
      <c r="R299" s="4">
        <f>SUM(MC[[#This Row],[ICR1]:[ICR12]])</f>
        <v>0</v>
      </c>
      <c r="S299" s="134"/>
      <c r="T299" s="134"/>
      <c r="U299" s="134"/>
      <c r="V299" s="134"/>
      <c r="W299" s="352"/>
      <c r="X299" s="133"/>
      <c r="Y299" s="133"/>
    </row>
    <row r="300" spans="1:25">
      <c r="A300" s="133">
        <v>298</v>
      </c>
      <c r="B300" s="127">
        <f t="shared" si="4"/>
        <v>45986</v>
      </c>
      <c r="C300" s="238">
        <f>YEAR(MC[[#This Row],[Date]])+IF(MONTH(MC[[#This Row],[Date]])&gt;=4,1,0)</f>
        <v>2026</v>
      </c>
      <c r="D300" s="130">
        <f>YEAR(MC[[#This Row],[Date]])</f>
        <v>2025</v>
      </c>
      <c r="E300" s="351" t="s">
        <v>218</v>
      </c>
      <c r="F300" s="351" t="s">
        <v>218</v>
      </c>
      <c r="G300" s="4" t="str">
        <f>TEXT(MC[[#This Row],[Date]],"mmm-yy")</f>
        <v>Nov-25</v>
      </c>
      <c r="H300" s="4">
        <f>DAY(EOMONTH(MC[[#This Row],[Month Year]],0))</f>
        <v>30</v>
      </c>
      <c r="I300" s="133"/>
      <c r="J300" s="352"/>
      <c r="K300" s="133"/>
      <c r="L300" s="133"/>
      <c r="M300" s="133"/>
      <c r="N300" s="133"/>
      <c r="O300" s="133"/>
      <c r="P300" s="126"/>
      <c r="Q300" s="126"/>
      <c r="R300" s="4">
        <f>SUM(MC[[#This Row],[ICR1]:[ICR12]])</f>
        <v>0</v>
      </c>
      <c r="S300" s="134"/>
      <c r="T300" s="134"/>
      <c r="U300" s="134"/>
      <c r="V300" s="134"/>
      <c r="W300" s="352"/>
      <c r="X300" s="133"/>
      <c r="Y300" s="133"/>
    </row>
    <row r="301" spans="1:25">
      <c r="A301" s="133">
        <v>299</v>
      </c>
      <c r="B301" s="127">
        <f t="shared" si="4"/>
        <v>45987</v>
      </c>
      <c r="C301" s="238">
        <f>YEAR(MC[[#This Row],[Date]])+IF(MONTH(MC[[#This Row],[Date]])&gt;=4,1,0)</f>
        <v>2026</v>
      </c>
      <c r="D301" s="130">
        <f>YEAR(MC[[#This Row],[Date]])</f>
        <v>2025</v>
      </c>
      <c r="E301" s="351" t="s">
        <v>218</v>
      </c>
      <c r="F301" s="351" t="s">
        <v>218</v>
      </c>
      <c r="G301" s="4" t="str">
        <f>TEXT(MC[[#This Row],[Date]],"mmm-yy")</f>
        <v>Nov-25</v>
      </c>
      <c r="H301" s="4">
        <f>DAY(EOMONTH(MC[[#This Row],[Month Year]],0))</f>
        <v>30</v>
      </c>
      <c r="I301" s="133"/>
      <c r="J301" s="352"/>
      <c r="K301" s="133"/>
      <c r="L301" s="133"/>
      <c r="M301" s="133"/>
      <c r="N301" s="133"/>
      <c r="O301" s="133"/>
      <c r="P301" s="126"/>
      <c r="Q301" s="126"/>
      <c r="R301" s="4">
        <f>SUM(MC[[#This Row],[ICR1]:[ICR12]])</f>
        <v>0</v>
      </c>
      <c r="S301" s="134"/>
      <c r="T301" s="134"/>
      <c r="U301" s="134"/>
      <c r="V301" s="134"/>
      <c r="W301" s="352"/>
      <c r="X301" s="133"/>
      <c r="Y301" s="133"/>
    </row>
    <row r="302" spans="1:25">
      <c r="A302" s="133">
        <v>300</v>
      </c>
      <c r="B302" s="127">
        <f t="shared" si="4"/>
        <v>45988</v>
      </c>
      <c r="C302" s="238">
        <f>YEAR(MC[[#This Row],[Date]])+IF(MONTH(MC[[#This Row],[Date]])&gt;=4,1,0)</f>
        <v>2026</v>
      </c>
      <c r="D302" s="130">
        <f>YEAR(MC[[#This Row],[Date]])</f>
        <v>2025</v>
      </c>
      <c r="E302" s="351" t="s">
        <v>218</v>
      </c>
      <c r="F302" s="351" t="s">
        <v>218</v>
      </c>
      <c r="G302" s="4" t="str">
        <f>TEXT(MC[[#This Row],[Date]],"mmm-yy")</f>
        <v>Nov-25</v>
      </c>
      <c r="H302" s="4">
        <f>DAY(EOMONTH(MC[[#This Row],[Month Year]],0))</f>
        <v>30</v>
      </c>
      <c r="I302" s="133"/>
      <c r="J302" s="352"/>
      <c r="K302" s="133"/>
      <c r="L302" s="133"/>
      <c r="M302" s="133"/>
      <c r="N302" s="133"/>
      <c r="O302" s="133"/>
      <c r="P302" s="126"/>
      <c r="Q302" s="126"/>
      <c r="R302" s="4">
        <f>SUM(MC[[#This Row],[ICR1]:[ICR12]])</f>
        <v>0</v>
      </c>
      <c r="S302" s="134"/>
      <c r="T302" s="134"/>
      <c r="U302" s="134"/>
      <c r="V302" s="134"/>
      <c r="W302" s="352"/>
      <c r="X302" s="133"/>
      <c r="Y302" s="133"/>
    </row>
    <row r="303" spans="1:25">
      <c r="A303" s="133">
        <v>301</v>
      </c>
      <c r="B303" s="127">
        <f t="shared" si="4"/>
        <v>45989</v>
      </c>
      <c r="C303" s="238">
        <f>YEAR(MC[[#This Row],[Date]])+IF(MONTH(MC[[#This Row],[Date]])&gt;=4,1,0)</f>
        <v>2026</v>
      </c>
      <c r="D303" s="130">
        <f>YEAR(MC[[#This Row],[Date]])</f>
        <v>2025</v>
      </c>
      <c r="E303" s="351" t="s">
        <v>218</v>
      </c>
      <c r="F303" s="351" t="s">
        <v>218</v>
      </c>
      <c r="G303" s="4" t="str">
        <f>TEXT(MC[[#This Row],[Date]],"mmm-yy")</f>
        <v>Nov-25</v>
      </c>
      <c r="H303" s="4">
        <f>DAY(EOMONTH(MC[[#This Row],[Month Year]],0))</f>
        <v>30</v>
      </c>
      <c r="I303" s="133"/>
      <c r="J303" s="352"/>
      <c r="K303" s="133"/>
      <c r="L303" s="133"/>
      <c r="M303" s="133"/>
      <c r="N303" s="133"/>
      <c r="O303" s="133"/>
      <c r="P303" s="126"/>
      <c r="Q303" s="126"/>
      <c r="R303" s="4">
        <f>SUM(MC[[#This Row],[ICR1]:[ICR12]])</f>
        <v>0</v>
      </c>
      <c r="S303" s="134"/>
      <c r="T303" s="134"/>
      <c r="U303" s="134"/>
      <c r="V303" s="134"/>
      <c r="W303" s="352"/>
      <c r="X303" s="133"/>
      <c r="Y303" s="133"/>
    </row>
    <row r="304" spans="1:25">
      <c r="A304" s="133">
        <v>302</v>
      </c>
      <c r="B304" s="127">
        <f t="shared" si="4"/>
        <v>45990</v>
      </c>
      <c r="C304" s="238">
        <f>YEAR(MC[[#This Row],[Date]])+IF(MONTH(MC[[#This Row],[Date]])&gt;=4,1,0)</f>
        <v>2026</v>
      </c>
      <c r="D304" s="130">
        <f>YEAR(MC[[#This Row],[Date]])</f>
        <v>2025</v>
      </c>
      <c r="E304" s="351" t="s">
        <v>218</v>
      </c>
      <c r="F304" s="351" t="s">
        <v>218</v>
      </c>
      <c r="G304" s="4" t="str">
        <f>TEXT(MC[[#This Row],[Date]],"mmm-yy")</f>
        <v>Nov-25</v>
      </c>
      <c r="H304" s="4">
        <f>DAY(EOMONTH(MC[[#This Row],[Month Year]],0))</f>
        <v>30</v>
      </c>
      <c r="I304" s="133"/>
      <c r="J304" s="352"/>
      <c r="K304" s="133"/>
      <c r="L304" s="133"/>
      <c r="M304" s="133"/>
      <c r="N304" s="133"/>
      <c r="O304" s="133"/>
      <c r="P304" s="126"/>
      <c r="Q304" s="126"/>
      <c r="R304" s="4">
        <f>SUM(MC[[#This Row],[ICR1]:[ICR12]])</f>
        <v>0</v>
      </c>
      <c r="S304" s="134"/>
      <c r="T304" s="134"/>
      <c r="U304" s="134"/>
      <c r="V304" s="134"/>
      <c r="W304" s="352"/>
      <c r="X304" s="133"/>
      <c r="Y304" s="133"/>
    </row>
    <row r="305" spans="1:25">
      <c r="A305" s="133">
        <v>303</v>
      </c>
      <c r="B305" s="127">
        <f t="shared" si="4"/>
        <v>45991</v>
      </c>
      <c r="C305" s="238">
        <f>YEAR(MC[[#This Row],[Date]])+IF(MONTH(MC[[#This Row],[Date]])&gt;=4,1,0)</f>
        <v>2026</v>
      </c>
      <c r="D305" s="130">
        <f>YEAR(MC[[#This Row],[Date]])</f>
        <v>2025</v>
      </c>
      <c r="E305" s="351" t="s">
        <v>218</v>
      </c>
      <c r="F305" s="351" t="s">
        <v>218</v>
      </c>
      <c r="G305" s="4" t="str">
        <f>TEXT(MC[[#This Row],[Date]],"mmm-yy")</f>
        <v>Nov-25</v>
      </c>
      <c r="H305" s="4">
        <f>DAY(EOMONTH(MC[[#This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26"/>
      <c r="Q305" s="126"/>
      <c r="R305" s="4">
        <f>SUM(MC[[#This Row],[ICR1]:[ICR12]])</f>
        <v>0</v>
      </c>
      <c r="S305" s="134"/>
      <c r="T305" s="134"/>
      <c r="U305" s="134"/>
      <c r="V305" s="134"/>
      <c r="W305" s="352"/>
      <c r="X305" s="133"/>
      <c r="Y305" s="133"/>
    </row>
    <row r="306" spans="1:25">
      <c r="A306" s="133">
        <v>304</v>
      </c>
      <c r="B306" s="127">
        <f t="shared" si="4"/>
        <v>45992</v>
      </c>
      <c r="C306" s="238">
        <f>YEAR(MC[[#This Row],[Date]])+IF(MONTH(MC[[#This Row],[Date]])&gt;=4,1,0)</f>
        <v>2026</v>
      </c>
      <c r="D306" s="130">
        <f>YEAR(MC[[#This Row],[Date]])</f>
        <v>2025</v>
      </c>
      <c r="E306" s="351" t="s">
        <v>218</v>
      </c>
      <c r="F306" s="351" t="s">
        <v>218</v>
      </c>
      <c r="G306" s="4" t="str">
        <f>TEXT(MC[[#This Row],[Date]],"mmm-yy")</f>
        <v>Dec-25</v>
      </c>
      <c r="H306" s="4">
        <f>DAY(EOMONTH(MC[[#This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26"/>
      <c r="Q306" s="126"/>
      <c r="R306" s="4">
        <f>SUM(MC[[#This Row],[ICR1]:[ICR12]])</f>
        <v>0</v>
      </c>
      <c r="S306" s="134"/>
      <c r="T306" s="134"/>
      <c r="U306" s="134"/>
      <c r="V306" s="134"/>
      <c r="W306" s="352"/>
      <c r="X306" s="133"/>
      <c r="Y306" s="133"/>
    </row>
    <row r="307" spans="1:25">
      <c r="A307" s="133">
        <v>305</v>
      </c>
      <c r="B307" s="127">
        <f t="shared" si="4"/>
        <v>45993</v>
      </c>
      <c r="C307" s="238">
        <f>YEAR(MC[[#This Row],[Date]])+IF(MONTH(MC[[#This Row],[Date]])&gt;=4,1,0)</f>
        <v>2026</v>
      </c>
      <c r="D307" s="130">
        <f>YEAR(MC[[#This Row],[Date]])</f>
        <v>2025</v>
      </c>
      <c r="E307" s="351" t="s">
        <v>218</v>
      </c>
      <c r="F307" s="351" t="s">
        <v>218</v>
      </c>
      <c r="G307" s="4" t="str">
        <f>TEXT(MC[[#This Row],[Date]],"mmm-yy")</f>
        <v>Dec-25</v>
      </c>
      <c r="H307" s="4">
        <f>DAY(EOMONTH(MC[[#This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26"/>
      <c r="Q307" s="126"/>
      <c r="R307" s="4">
        <f>SUM(MC[[#This Row],[ICR1]:[ICR12]])</f>
        <v>0</v>
      </c>
      <c r="S307" s="133"/>
      <c r="T307" s="133"/>
      <c r="U307" s="133"/>
      <c r="V307" s="133"/>
      <c r="W307" s="133"/>
      <c r="X307" s="133"/>
      <c r="Y307" s="133"/>
    </row>
    <row r="308" spans="1:25">
      <c r="A308" s="133">
        <v>306</v>
      </c>
      <c r="B308" s="127">
        <f t="shared" si="4"/>
        <v>45994</v>
      </c>
      <c r="C308" s="238">
        <f>YEAR(MC[[#This Row],[Date]])+IF(MONTH(MC[[#This Row],[Date]])&gt;=4,1,0)</f>
        <v>2026</v>
      </c>
      <c r="D308" s="130">
        <f>YEAR(MC[[#This Row],[Date]])</f>
        <v>2025</v>
      </c>
      <c r="E308" s="351" t="s">
        <v>218</v>
      </c>
      <c r="F308" s="351" t="s">
        <v>218</v>
      </c>
      <c r="G308" s="4" t="str">
        <f>TEXT(MC[[#This Row],[Date]],"mmm-yy")</f>
        <v>Dec-25</v>
      </c>
      <c r="H308" s="4">
        <f>DAY(EOMONTH(MC[[#This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26"/>
      <c r="Q308" s="126"/>
      <c r="R308" s="4">
        <f>SUM(MC[[#This Row],[ICR1]:[ICR12]])</f>
        <v>0</v>
      </c>
      <c r="S308" s="134"/>
      <c r="T308" s="134"/>
      <c r="U308" s="134"/>
      <c r="V308" s="134"/>
      <c r="W308" s="352"/>
      <c r="X308" s="133"/>
      <c r="Y308" s="133"/>
    </row>
    <row r="309" spans="1:25">
      <c r="A309" s="133">
        <v>307</v>
      </c>
      <c r="B309" s="127">
        <f t="shared" si="4"/>
        <v>45995</v>
      </c>
      <c r="C309" s="238">
        <f>YEAR(MC[[#This Row],[Date]])+IF(MONTH(MC[[#This Row],[Date]])&gt;=4,1,0)</f>
        <v>2026</v>
      </c>
      <c r="D309" s="130">
        <f>YEAR(MC[[#This Row],[Date]])</f>
        <v>2025</v>
      </c>
      <c r="E309" s="351" t="s">
        <v>218</v>
      </c>
      <c r="F309" s="351" t="s">
        <v>218</v>
      </c>
      <c r="G309" s="4" t="str">
        <f>TEXT(MC[[#This Row],[Date]],"mmm-yy")</f>
        <v>Dec-25</v>
      </c>
      <c r="H309" s="4">
        <f>DAY(EOMONTH(MC[[#This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26"/>
      <c r="Q309" s="126"/>
      <c r="R309" s="4">
        <f>SUM(MC[[#This Row],[ICR1]:[ICR12]])</f>
        <v>0</v>
      </c>
      <c r="S309" s="134"/>
      <c r="T309" s="134"/>
      <c r="U309" s="134"/>
      <c r="V309" s="134"/>
      <c r="W309" s="352"/>
      <c r="X309" s="133"/>
      <c r="Y309" s="133"/>
    </row>
    <row r="310" spans="1:25">
      <c r="A310" s="133">
        <v>308</v>
      </c>
      <c r="B310" s="127">
        <f t="shared" si="4"/>
        <v>45996</v>
      </c>
      <c r="C310" s="238">
        <f>YEAR(MC[[#This Row],[Date]])+IF(MONTH(MC[[#This Row],[Date]])&gt;=4,1,0)</f>
        <v>2026</v>
      </c>
      <c r="D310" s="130">
        <f>YEAR(MC[[#This Row],[Date]])</f>
        <v>2025</v>
      </c>
      <c r="E310" s="351" t="s">
        <v>218</v>
      </c>
      <c r="F310" s="351" t="s">
        <v>218</v>
      </c>
      <c r="G310" s="4" t="str">
        <f>TEXT(MC[[#This Row],[Date]],"mmm-yy")</f>
        <v>Dec-25</v>
      </c>
      <c r="H310" s="4">
        <f>DAY(EOMONTH(MC[[#This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26"/>
      <c r="Q310" s="126"/>
      <c r="R310" s="4">
        <f>SUM(MC[[#This Row],[ICR1]:[ICR12]])</f>
        <v>0</v>
      </c>
      <c r="S310" s="134"/>
      <c r="T310" s="134"/>
      <c r="U310" s="134"/>
      <c r="V310" s="134"/>
      <c r="W310" s="352"/>
      <c r="X310" s="133"/>
      <c r="Y310" s="133"/>
    </row>
    <row r="311" spans="1:25">
      <c r="A311" s="133">
        <v>309</v>
      </c>
      <c r="B311" s="127">
        <f t="shared" si="4"/>
        <v>45997</v>
      </c>
      <c r="C311" s="238">
        <f>YEAR(MC[[#This Row],[Date]])+IF(MONTH(MC[[#This Row],[Date]])&gt;=4,1,0)</f>
        <v>2026</v>
      </c>
      <c r="D311" s="130">
        <f>YEAR(MC[[#This Row],[Date]])</f>
        <v>2025</v>
      </c>
      <c r="E311" s="351" t="s">
        <v>218</v>
      </c>
      <c r="F311" s="351" t="s">
        <v>218</v>
      </c>
      <c r="G311" s="4" t="str">
        <f>TEXT(MC[[#This Row],[Date]],"mmm-yy")</f>
        <v>Dec-25</v>
      </c>
      <c r="H311" s="4">
        <f>DAY(EOMONTH(MC[[#This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26"/>
      <c r="Q311" s="126"/>
      <c r="R311" s="4">
        <f>SUM(MC[[#This Row],[ICR1]:[ICR12]])</f>
        <v>0</v>
      </c>
      <c r="S311" s="134"/>
      <c r="T311" s="134"/>
      <c r="U311" s="134"/>
      <c r="V311" s="134"/>
      <c r="W311" s="352"/>
      <c r="X311" s="133"/>
      <c r="Y311" s="133"/>
    </row>
    <row r="312" spans="1:25">
      <c r="A312" s="133">
        <v>310</v>
      </c>
      <c r="B312" s="127">
        <f t="shared" si="4"/>
        <v>45998</v>
      </c>
      <c r="C312" s="238">
        <f>YEAR(MC[[#This Row],[Date]])+IF(MONTH(MC[[#This Row],[Date]])&gt;=4,1,0)</f>
        <v>2026</v>
      </c>
      <c r="D312" s="130">
        <f>YEAR(MC[[#This Row],[Date]])</f>
        <v>2025</v>
      </c>
      <c r="E312" s="351" t="s">
        <v>218</v>
      </c>
      <c r="F312" s="351" t="s">
        <v>218</v>
      </c>
      <c r="G312" s="4" t="str">
        <f>TEXT(MC[[#This Row],[Date]],"mmm-yy")</f>
        <v>Dec-25</v>
      </c>
      <c r="H312" s="4">
        <f>DAY(EOMONTH(MC[[#This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26"/>
      <c r="Q312" s="126"/>
      <c r="R312" s="4">
        <f>SUM(MC[[#This Row],[ICR1]:[ICR12]])</f>
        <v>0</v>
      </c>
      <c r="S312" s="134"/>
      <c r="T312" s="134"/>
      <c r="U312" s="134"/>
      <c r="V312" s="134"/>
      <c r="W312" s="352"/>
      <c r="X312" s="133"/>
      <c r="Y312" s="133"/>
    </row>
    <row r="313" spans="1:25">
      <c r="A313" s="133">
        <v>311</v>
      </c>
      <c r="B313" s="127">
        <f t="shared" si="4"/>
        <v>45999</v>
      </c>
      <c r="C313" s="238">
        <f>YEAR(MC[[#This Row],[Date]])+IF(MONTH(MC[[#This Row],[Date]])&gt;=4,1,0)</f>
        <v>2026</v>
      </c>
      <c r="D313" s="130">
        <f>YEAR(MC[[#This Row],[Date]])</f>
        <v>2025</v>
      </c>
      <c r="E313" s="351" t="s">
        <v>218</v>
      </c>
      <c r="F313" s="351" t="s">
        <v>218</v>
      </c>
      <c r="G313" s="4" t="str">
        <f>TEXT(MC[[#This Row],[Date]],"mmm-yy")</f>
        <v>Dec-25</v>
      </c>
      <c r="H313" s="4">
        <f>DAY(EOMONTH(MC[[#This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26"/>
      <c r="Q313" s="126"/>
      <c r="R313" s="4">
        <f>SUM(MC[[#This Row],[ICR1]:[ICR12]])</f>
        <v>0</v>
      </c>
      <c r="S313" s="134"/>
      <c r="T313" s="134"/>
      <c r="U313" s="134"/>
      <c r="V313" s="134"/>
      <c r="W313" s="352"/>
      <c r="X313" s="133"/>
      <c r="Y313" s="133"/>
    </row>
    <row r="314" spans="1:25">
      <c r="A314" s="133">
        <v>312</v>
      </c>
      <c r="B314" s="127">
        <f t="shared" si="4"/>
        <v>46000</v>
      </c>
      <c r="C314" s="238">
        <f>YEAR(MC[[#This Row],[Date]])+IF(MONTH(MC[[#This Row],[Date]])&gt;=4,1,0)</f>
        <v>2026</v>
      </c>
      <c r="D314" s="130">
        <f>YEAR(MC[[#This Row],[Date]])</f>
        <v>2025</v>
      </c>
      <c r="E314" s="351" t="s">
        <v>218</v>
      </c>
      <c r="F314" s="351" t="s">
        <v>218</v>
      </c>
      <c r="G314" s="4" t="str">
        <f>TEXT(MC[[#This Row],[Date]],"mmm-yy")</f>
        <v>Dec-25</v>
      </c>
      <c r="H314" s="4">
        <f>DAY(EOMONTH(MC[[#This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26"/>
      <c r="Q314" s="126"/>
      <c r="R314" s="4">
        <f>SUM(MC[[#This Row],[ICR1]:[ICR12]])</f>
        <v>0</v>
      </c>
      <c r="S314" s="133"/>
      <c r="T314" s="133"/>
      <c r="U314" s="133"/>
      <c r="V314" s="133"/>
      <c r="W314" s="133"/>
      <c r="X314" s="133"/>
      <c r="Y314" s="133"/>
    </row>
    <row r="315" spans="1:25">
      <c r="A315" s="133">
        <v>313</v>
      </c>
      <c r="B315" s="127">
        <f t="shared" si="4"/>
        <v>46001</v>
      </c>
      <c r="C315" s="238">
        <f>YEAR(MC[[#This Row],[Date]])+IF(MONTH(MC[[#This Row],[Date]])&gt;=4,1,0)</f>
        <v>2026</v>
      </c>
      <c r="D315" s="130">
        <f>YEAR(MC[[#This Row],[Date]])</f>
        <v>2025</v>
      </c>
      <c r="E315" s="351" t="s">
        <v>218</v>
      </c>
      <c r="F315" s="351" t="s">
        <v>218</v>
      </c>
      <c r="G315" s="4" t="str">
        <f>TEXT(MC[[#This Row],[Date]],"mmm-yy")</f>
        <v>Dec-25</v>
      </c>
      <c r="H315" s="4">
        <f>DAY(EOMONTH(MC[[#This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26"/>
      <c r="Q315" s="126"/>
      <c r="R315" s="4">
        <f>SUM(MC[[#This Row],[ICR1]:[ICR12]])</f>
        <v>0</v>
      </c>
      <c r="S315" s="134"/>
      <c r="T315" s="134"/>
      <c r="U315" s="134"/>
      <c r="V315" s="134"/>
      <c r="W315" s="352"/>
      <c r="X315" s="133"/>
      <c r="Y315" s="133"/>
    </row>
    <row r="316" spans="1:25">
      <c r="A316" s="133">
        <v>314</v>
      </c>
      <c r="B316" s="127">
        <f t="shared" si="4"/>
        <v>46002</v>
      </c>
      <c r="C316" s="238">
        <f>YEAR(MC[[#This Row],[Date]])+IF(MONTH(MC[[#This Row],[Date]])&gt;=4,1,0)</f>
        <v>2026</v>
      </c>
      <c r="D316" s="130">
        <f>YEAR(MC[[#This Row],[Date]])</f>
        <v>2025</v>
      </c>
      <c r="E316" s="351" t="s">
        <v>218</v>
      </c>
      <c r="F316" s="351" t="s">
        <v>218</v>
      </c>
      <c r="G316" s="4" t="str">
        <f>TEXT(MC[[#This Row],[Date]],"mmm-yy")</f>
        <v>Dec-25</v>
      </c>
      <c r="H316" s="4">
        <f>DAY(EOMONTH(MC[[#This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26"/>
      <c r="Q316" s="126"/>
      <c r="R316" s="4">
        <f>SUM(MC[[#This Row],[ICR1]:[ICR12]])</f>
        <v>0</v>
      </c>
      <c r="S316" s="134"/>
      <c r="T316" s="134"/>
      <c r="U316" s="134"/>
      <c r="V316" s="134"/>
      <c r="W316" s="352"/>
      <c r="X316" s="133"/>
      <c r="Y316" s="133"/>
    </row>
    <row r="317" spans="1:25">
      <c r="A317" s="133">
        <v>315</v>
      </c>
      <c r="B317" s="127">
        <f t="shared" si="4"/>
        <v>46003</v>
      </c>
      <c r="C317" s="238">
        <f>YEAR(MC[[#This Row],[Date]])+IF(MONTH(MC[[#This Row],[Date]])&gt;=4,1,0)</f>
        <v>2026</v>
      </c>
      <c r="D317" s="130">
        <f>YEAR(MC[[#This Row],[Date]])</f>
        <v>2025</v>
      </c>
      <c r="E317" s="351" t="s">
        <v>218</v>
      </c>
      <c r="F317" s="351" t="s">
        <v>218</v>
      </c>
      <c r="G317" s="4" t="str">
        <f>TEXT(MC[[#This Row],[Date]],"mmm-yy")</f>
        <v>Dec-25</v>
      </c>
      <c r="H317" s="4">
        <f>DAY(EOMONTH(MC[[#This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26"/>
      <c r="Q317" s="126"/>
      <c r="R317" s="4">
        <f>SUM(MC[[#This Row],[ICR1]:[ICR12]])</f>
        <v>0</v>
      </c>
      <c r="S317" s="134"/>
      <c r="T317" s="134"/>
      <c r="U317" s="134"/>
      <c r="V317" s="134"/>
      <c r="W317" s="352"/>
      <c r="X317" s="133"/>
      <c r="Y317" s="133"/>
    </row>
    <row r="318" spans="1:25">
      <c r="A318" s="133">
        <v>316</v>
      </c>
      <c r="B318" s="127">
        <f t="shared" si="4"/>
        <v>46004</v>
      </c>
      <c r="C318" s="238">
        <f>YEAR(MC[[#This Row],[Date]])+IF(MONTH(MC[[#This Row],[Date]])&gt;=4,1,0)</f>
        <v>2026</v>
      </c>
      <c r="D318" s="130">
        <f>YEAR(MC[[#This Row],[Date]])</f>
        <v>2025</v>
      </c>
      <c r="E318" s="351" t="s">
        <v>218</v>
      </c>
      <c r="F318" s="351" t="s">
        <v>218</v>
      </c>
      <c r="G318" s="4" t="str">
        <f>TEXT(MC[[#This Row],[Date]],"mmm-yy")</f>
        <v>Dec-25</v>
      </c>
      <c r="H318" s="4">
        <f>DAY(EOMONTH(MC[[#This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26"/>
      <c r="Q318" s="126"/>
      <c r="R318" s="4">
        <f>SUM(MC[[#This Row],[ICR1]:[ICR12]])</f>
        <v>0</v>
      </c>
      <c r="S318" s="134"/>
      <c r="T318" s="134"/>
      <c r="U318" s="134"/>
      <c r="V318" s="134"/>
      <c r="W318" s="352"/>
      <c r="X318" s="133"/>
      <c r="Y318" s="133"/>
    </row>
    <row r="319" spans="1:25">
      <c r="A319" s="133">
        <v>317</v>
      </c>
      <c r="B319" s="127">
        <f t="shared" si="4"/>
        <v>46005</v>
      </c>
      <c r="C319" s="238">
        <f>YEAR(MC[[#This Row],[Date]])+IF(MONTH(MC[[#This Row],[Date]])&gt;=4,1,0)</f>
        <v>2026</v>
      </c>
      <c r="D319" s="130">
        <f>YEAR(MC[[#This Row],[Date]])</f>
        <v>2025</v>
      </c>
      <c r="E319" s="351" t="s">
        <v>218</v>
      </c>
      <c r="F319" s="351" t="s">
        <v>218</v>
      </c>
      <c r="G319" s="4" t="str">
        <f>TEXT(MC[[#This Row],[Date]],"mmm-yy")</f>
        <v>Dec-25</v>
      </c>
      <c r="H319" s="4">
        <f>DAY(EOMONTH(MC[[#This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26"/>
      <c r="Q319" s="126"/>
      <c r="R319" s="4">
        <f>SUM(MC[[#This Row],[ICR1]:[ICR12]])</f>
        <v>0</v>
      </c>
      <c r="S319" s="134"/>
      <c r="T319" s="134"/>
      <c r="U319" s="134"/>
      <c r="V319" s="134"/>
      <c r="W319" s="352"/>
      <c r="X319" s="133"/>
      <c r="Y319" s="133"/>
    </row>
    <row r="320" spans="1:25">
      <c r="A320" s="133">
        <v>318</v>
      </c>
      <c r="B320" s="127">
        <f t="shared" si="4"/>
        <v>46006</v>
      </c>
      <c r="C320" s="238">
        <f>YEAR(MC[[#This Row],[Date]])+IF(MONTH(MC[[#This Row],[Date]])&gt;=4,1,0)</f>
        <v>2026</v>
      </c>
      <c r="D320" s="130">
        <f>YEAR(MC[[#This Row],[Date]])</f>
        <v>2025</v>
      </c>
      <c r="E320" s="351" t="s">
        <v>218</v>
      </c>
      <c r="F320" s="351" t="s">
        <v>218</v>
      </c>
      <c r="G320" s="4" t="str">
        <f>TEXT(MC[[#This Row],[Date]],"mmm-yy")</f>
        <v>Dec-25</v>
      </c>
      <c r="H320" s="4">
        <f>DAY(EOMONTH(MC[[#This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26"/>
      <c r="Q320" s="126"/>
      <c r="R320" s="4">
        <f>SUM(MC[[#This Row],[ICR1]:[ICR12]])</f>
        <v>0</v>
      </c>
      <c r="S320" s="134"/>
      <c r="T320" s="134"/>
      <c r="U320" s="134"/>
      <c r="V320" s="134"/>
      <c r="W320" s="352"/>
      <c r="X320" s="133"/>
      <c r="Y320" s="133"/>
    </row>
    <row r="321" spans="1:25">
      <c r="A321" s="133">
        <v>319</v>
      </c>
      <c r="B321" s="127">
        <f t="shared" si="4"/>
        <v>46007</v>
      </c>
      <c r="C321" s="238">
        <f>YEAR(MC[[#This Row],[Date]])+IF(MONTH(MC[[#This Row],[Date]])&gt;=4,1,0)</f>
        <v>2026</v>
      </c>
      <c r="D321" s="130">
        <f>YEAR(MC[[#This Row],[Date]])</f>
        <v>2025</v>
      </c>
      <c r="E321" s="351" t="s">
        <v>218</v>
      </c>
      <c r="F321" s="351" t="s">
        <v>218</v>
      </c>
      <c r="G321" s="4" t="str">
        <f>TEXT(MC[[#This Row],[Date]],"mmm-yy")</f>
        <v>Dec-25</v>
      </c>
      <c r="H321" s="4">
        <f>DAY(EOMONTH(MC[[#This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26"/>
      <c r="Q321" s="126"/>
      <c r="R321" s="4">
        <f>SUM(MC[[#This Row],[ICR1]:[ICR12]])</f>
        <v>0</v>
      </c>
      <c r="S321" s="134"/>
      <c r="T321" s="134"/>
      <c r="U321" s="134"/>
      <c r="V321" s="134"/>
      <c r="W321" s="352"/>
      <c r="X321" s="133"/>
      <c r="Y321" s="133"/>
    </row>
    <row r="322" spans="1:25">
      <c r="A322" s="133">
        <v>320</v>
      </c>
      <c r="B322" s="127">
        <f t="shared" si="4"/>
        <v>46008</v>
      </c>
      <c r="C322" s="238">
        <f>YEAR(MC[[#This Row],[Date]])+IF(MONTH(MC[[#This Row],[Date]])&gt;=4,1,0)</f>
        <v>2026</v>
      </c>
      <c r="D322" s="130">
        <f>YEAR(MC[[#This Row],[Date]])</f>
        <v>2025</v>
      </c>
      <c r="E322" s="351" t="s">
        <v>218</v>
      </c>
      <c r="F322" s="351" t="s">
        <v>218</v>
      </c>
      <c r="G322" s="4" t="str">
        <f>TEXT(MC[[#This Row],[Date]],"mmm-yy")</f>
        <v>Dec-25</v>
      </c>
      <c r="H322" s="4">
        <f>DAY(EOMONTH(MC[[#This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26"/>
      <c r="Q322" s="126"/>
      <c r="R322" s="4">
        <f>SUM(MC[[#This Row],[ICR1]:[ICR12]])</f>
        <v>0</v>
      </c>
      <c r="S322" s="134"/>
      <c r="T322" s="134"/>
      <c r="U322" s="134"/>
      <c r="V322" s="134"/>
      <c r="W322" s="352"/>
      <c r="X322" s="133"/>
      <c r="Y322" s="133"/>
    </row>
    <row r="323" spans="1:25">
      <c r="A323" s="133">
        <v>321</v>
      </c>
      <c r="B323" s="127">
        <f t="shared" si="4"/>
        <v>46009</v>
      </c>
      <c r="C323" s="238">
        <f>YEAR(MC[[#This Row],[Date]])+IF(MONTH(MC[[#This Row],[Date]])&gt;=4,1,0)</f>
        <v>2026</v>
      </c>
      <c r="D323" s="130">
        <f>YEAR(MC[[#This Row],[Date]])</f>
        <v>2025</v>
      </c>
      <c r="E323" s="351" t="s">
        <v>218</v>
      </c>
      <c r="F323" s="351" t="s">
        <v>218</v>
      </c>
      <c r="G323" s="4" t="str">
        <f>TEXT(MC[[#This Row],[Date]],"mmm-yy")</f>
        <v>Dec-25</v>
      </c>
      <c r="H323" s="4">
        <f>DAY(EOMONTH(MC[[#This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26"/>
      <c r="Q323" s="126"/>
      <c r="R323" s="4">
        <f>SUM(MC[[#This Row],[ICR1]:[ICR12]])</f>
        <v>0</v>
      </c>
      <c r="S323" s="133"/>
      <c r="T323" s="133"/>
      <c r="U323" s="133"/>
      <c r="V323" s="133"/>
      <c r="W323" s="133"/>
      <c r="X323" s="133"/>
      <c r="Y323" s="133"/>
    </row>
    <row r="324" spans="1:25">
      <c r="A324" s="133">
        <v>322</v>
      </c>
      <c r="B324" s="127">
        <f t="shared" si="4"/>
        <v>46010</v>
      </c>
      <c r="C324" s="238">
        <f>YEAR(MC[[#This Row],[Date]])+IF(MONTH(MC[[#This Row],[Date]])&gt;=4,1,0)</f>
        <v>2026</v>
      </c>
      <c r="D324" s="130">
        <f>YEAR(MC[[#This Row],[Date]])</f>
        <v>2025</v>
      </c>
      <c r="E324" s="351" t="s">
        <v>218</v>
      </c>
      <c r="F324" s="351" t="s">
        <v>218</v>
      </c>
      <c r="G324" s="4" t="str">
        <f>TEXT(MC[[#This Row],[Date]],"mmm-yy")</f>
        <v>Dec-25</v>
      </c>
      <c r="H324" s="4">
        <f>DAY(EOMONTH(MC[[#This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26"/>
      <c r="Q324" s="126"/>
      <c r="R324" s="4">
        <f>SUM(MC[[#This Row],[ICR1]:[ICR12]])</f>
        <v>0</v>
      </c>
      <c r="S324" s="134"/>
      <c r="T324" s="134"/>
      <c r="U324" s="134"/>
      <c r="V324" s="134"/>
      <c r="W324" s="352"/>
      <c r="X324" s="133"/>
      <c r="Y324" s="133"/>
    </row>
    <row r="325" spans="1:25">
      <c r="A325" s="133">
        <v>323</v>
      </c>
      <c r="B325" s="127">
        <f t="shared" ref="B325:B381" si="5">B324+1</f>
        <v>46011</v>
      </c>
      <c r="C325" s="238">
        <f>YEAR(MC[[#This Row],[Date]])+IF(MONTH(MC[[#This Row],[Date]])&gt;=4,1,0)</f>
        <v>2026</v>
      </c>
      <c r="D325" s="130">
        <f>YEAR(MC[[#This Row],[Date]])</f>
        <v>2025</v>
      </c>
      <c r="E325" s="351" t="s">
        <v>218</v>
      </c>
      <c r="F325" s="351" t="s">
        <v>218</v>
      </c>
      <c r="G325" s="4" t="str">
        <f>TEXT(MC[[#This Row],[Date]],"mmm-yy")</f>
        <v>Dec-25</v>
      </c>
      <c r="H325" s="4">
        <f>DAY(EOMONTH(MC[[#This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26"/>
      <c r="Q325" s="126"/>
      <c r="R325" s="4">
        <f>SUM(MC[[#This Row],[ICR1]:[ICR12]])</f>
        <v>0</v>
      </c>
      <c r="S325" s="134"/>
      <c r="T325" s="134"/>
      <c r="U325" s="134"/>
      <c r="V325" s="134"/>
      <c r="W325" s="352"/>
      <c r="X325" s="133"/>
      <c r="Y325" s="133"/>
    </row>
    <row r="326" spans="1:25">
      <c r="A326" s="133">
        <v>324</v>
      </c>
      <c r="B326" s="127">
        <f t="shared" si="5"/>
        <v>46012</v>
      </c>
      <c r="C326" s="238">
        <f>YEAR(MC[[#This Row],[Date]])+IF(MONTH(MC[[#This Row],[Date]])&gt;=4,1,0)</f>
        <v>2026</v>
      </c>
      <c r="D326" s="130">
        <f>YEAR(MC[[#This Row],[Date]])</f>
        <v>2025</v>
      </c>
      <c r="E326" s="351" t="s">
        <v>218</v>
      </c>
      <c r="F326" s="351" t="s">
        <v>218</v>
      </c>
      <c r="G326" s="4" t="str">
        <f>TEXT(MC[[#This Row],[Date]],"mmm-yy")</f>
        <v>Dec-25</v>
      </c>
      <c r="H326" s="4">
        <f>DAY(EOMONTH(MC[[#This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26"/>
      <c r="Q326" s="126"/>
      <c r="R326" s="4">
        <f>SUM(MC[[#This Row],[ICR1]:[ICR12]])</f>
        <v>0</v>
      </c>
      <c r="S326" s="134"/>
      <c r="T326" s="134"/>
      <c r="U326" s="134"/>
      <c r="V326" s="134"/>
      <c r="W326" s="352"/>
      <c r="X326" s="133"/>
      <c r="Y326" s="133"/>
    </row>
    <row r="327" spans="1:25">
      <c r="A327" s="133">
        <v>325</v>
      </c>
      <c r="B327" s="127">
        <f t="shared" si="5"/>
        <v>46013</v>
      </c>
      <c r="C327" s="238">
        <f>YEAR(MC[[#This Row],[Date]])+IF(MONTH(MC[[#This Row],[Date]])&gt;=4,1,0)</f>
        <v>2026</v>
      </c>
      <c r="D327" s="130">
        <f>YEAR(MC[[#This Row],[Date]])</f>
        <v>2025</v>
      </c>
      <c r="E327" s="351" t="s">
        <v>218</v>
      </c>
      <c r="F327" s="351" t="s">
        <v>218</v>
      </c>
      <c r="G327" s="4" t="str">
        <f>TEXT(MC[[#This Row],[Date]],"mmm-yy")</f>
        <v>Dec-25</v>
      </c>
      <c r="H327" s="4">
        <f>DAY(EOMONTH(MC[[#This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26"/>
      <c r="Q327" s="126"/>
      <c r="R327" s="4">
        <f>SUM(MC[[#This Row],[ICR1]:[ICR12]])</f>
        <v>0</v>
      </c>
      <c r="S327" s="134"/>
      <c r="T327" s="134"/>
      <c r="U327" s="134"/>
      <c r="V327" s="134"/>
      <c r="W327" s="352"/>
      <c r="X327" s="133"/>
      <c r="Y327" s="133"/>
    </row>
    <row r="328" spans="1:25">
      <c r="A328" s="133">
        <v>326</v>
      </c>
      <c r="B328" s="127">
        <f t="shared" si="5"/>
        <v>46014</v>
      </c>
      <c r="C328" s="238">
        <f>YEAR(MC[[#This Row],[Date]])+IF(MONTH(MC[[#This Row],[Date]])&gt;=4,1,0)</f>
        <v>2026</v>
      </c>
      <c r="D328" s="130">
        <f>YEAR(MC[[#This Row],[Date]])</f>
        <v>2025</v>
      </c>
      <c r="E328" s="351" t="s">
        <v>218</v>
      </c>
      <c r="F328" s="351" t="s">
        <v>218</v>
      </c>
      <c r="G328" s="4" t="str">
        <f>TEXT(MC[[#This Row],[Date]],"mmm-yy")</f>
        <v>Dec-25</v>
      </c>
      <c r="H328" s="4">
        <f>DAY(EOMONTH(MC[[#This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26"/>
      <c r="Q328" s="126"/>
      <c r="R328" s="4">
        <f>SUM(MC[[#This Row],[ICR1]:[ICR12]])</f>
        <v>0</v>
      </c>
      <c r="S328" s="133"/>
      <c r="T328" s="133"/>
      <c r="U328" s="133"/>
      <c r="V328" s="133"/>
      <c r="W328" s="133"/>
      <c r="X328" s="133"/>
      <c r="Y328" s="133"/>
    </row>
    <row r="329" spans="1:25">
      <c r="A329" s="133">
        <v>327</v>
      </c>
      <c r="B329" s="127">
        <f t="shared" si="5"/>
        <v>46015</v>
      </c>
      <c r="C329" s="238">
        <f>YEAR(MC[[#This Row],[Date]])+IF(MONTH(MC[[#This Row],[Date]])&gt;=4,1,0)</f>
        <v>2026</v>
      </c>
      <c r="D329" s="130">
        <f>YEAR(MC[[#This Row],[Date]])</f>
        <v>2025</v>
      </c>
      <c r="E329" s="351" t="s">
        <v>218</v>
      </c>
      <c r="F329" s="351" t="s">
        <v>218</v>
      </c>
      <c r="G329" s="4" t="str">
        <f>TEXT(MC[[#This Row],[Date]],"mmm-yy")</f>
        <v>Dec-25</v>
      </c>
      <c r="H329" s="4">
        <f>DAY(EOMONTH(MC[[#This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26"/>
      <c r="Q329" s="126"/>
      <c r="R329" s="4">
        <f>SUM(MC[[#This Row],[ICR1]:[ICR12]])</f>
        <v>0</v>
      </c>
      <c r="S329" s="134"/>
      <c r="T329" s="134"/>
      <c r="U329" s="134"/>
      <c r="V329" s="134"/>
      <c r="W329" s="352"/>
      <c r="X329" s="133"/>
      <c r="Y329" s="133"/>
    </row>
    <row r="330" spans="1:25">
      <c r="A330" s="133">
        <v>328</v>
      </c>
      <c r="B330" s="127">
        <f t="shared" si="5"/>
        <v>46016</v>
      </c>
      <c r="C330" s="238">
        <f>YEAR(MC[[#This Row],[Date]])+IF(MONTH(MC[[#This Row],[Date]])&gt;=4,1,0)</f>
        <v>2026</v>
      </c>
      <c r="D330" s="130">
        <f>YEAR(MC[[#This Row],[Date]])</f>
        <v>2025</v>
      </c>
      <c r="E330" s="351" t="s">
        <v>218</v>
      </c>
      <c r="F330" s="351" t="s">
        <v>218</v>
      </c>
      <c r="G330" s="4" t="str">
        <f>TEXT(MC[[#This Row],[Date]],"mmm-yy")</f>
        <v>Dec-25</v>
      </c>
      <c r="H330" s="4">
        <f>DAY(EOMONTH(MC[[#This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26"/>
      <c r="Q330" s="126"/>
      <c r="R330" s="4">
        <f>SUM(MC[[#This Row],[ICR1]:[ICR12]])</f>
        <v>0</v>
      </c>
      <c r="S330" s="134"/>
      <c r="T330" s="134"/>
      <c r="U330" s="134"/>
      <c r="V330" s="134"/>
      <c r="W330" s="352"/>
      <c r="X330" s="133"/>
      <c r="Y330" s="133"/>
    </row>
    <row r="331" spans="1:25">
      <c r="A331" s="133">
        <v>329</v>
      </c>
      <c r="B331" s="127">
        <f t="shared" si="5"/>
        <v>46017</v>
      </c>
      <c r="C331" s="238">
        <f>YEAR(MC[[#This Row],[Date]])+IF(MONTH(MC[[#This Row],[Date]])&gt;=4,1,0)</f>
        <v>2026</v>
      </c>
      <c r="D331" s="130">
        <f>YEAR(MC[[#This Row],[Date]])</f>
        <v>2025</v>
      </c>
      <c r="E331" s="351" t="s">
        <v>218</v>
      </c>
      <c r="F331" s="351" t="s">
        <v>218</v>
      </c>
      <c r="G331" s="4" t="str">
        <f>TEXT(MC[[#This Row],[Date]],"mmm-yy")</f>
        <v>Dec-25</v>
      </c>
      <c r="H331" s="4">
        <f>DAY(EOMONTH(MC[[#This Row],[Month Year]],0))</f>
        <v>31</v>
      </c>
      <c r="I331" s="133"/>
      <c r="J331" s="133"/>
      <c r="K331" s="133"/>
      <c r="L331" s="133"/>
      <c r="M331" s="133"/>
      <c r="N331" s="133"/>
      <c r="O331" s="133"/>
      <c r="P331" s="126"/>
      <c r="Q331" s="126"/>
      <c r="R331" s="4">
        <f>SUM(MC[[#This Row],[ICR1]:[ICR12]])</f>
        <v>0</v>
      </c>
      <c r="S331" s="134"/>
      <c r="T331" s="134"/>
      <c r="U331" s="134"/>
      <c r="V331" s="134"/>
      <c r="W331" s="352"/>
      <c r="X331" s="133"/>
      <c r="Y331" s="133"/>
    </row>
    <row r="332" spans="1:25">
      <c r="A332" s="133">
        <v>330</v>
      </c>
      <c r="B332" s="127">
        <f t="shared" si="5"/>
        <v>46018</v>
      </c>
      <c r="C332" s="238">
        <f>YEAR(MC[[#This Row],[Date]])+IF(MONTH(MC[[#This Row],[Date]])&gt;=4,1,0)</f>
        <v>2026</v>
      </c>
      <c r="D332" s="130">
        <f>YEAR(MC[[#This Row],[Date]])</f>
        <v>2025</v>
      </c>
      <c r="E332" s="351" t="s">
        <v>218</v>
      </c>
      <c r="F332" s="351" t="s">
        <v>218</v>
      </c>
      <c r="G332" s="4" t="str">
        <f>TEXT(MC[[#This Row],[Date]],"mmm-yy")</f>
        <v>Dec-25</v>
      </c>
      <c r="H332" s="4">
        <f>DAY(EOMONTH(MC[[#This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26"/>
      <c r="Q332" s="126"/>
      <c r="R332" s="4">
        <f>SUM(MC[[#This Row],[ICR1]:[ICR12]])</f>
        <v>0</v>
      </c>
      <c r="S332" s="134"/>
      <c r="T332" s="134"/>
      <c r="U332" s="134"/>
      <c r="V332" s="134"/>
      <c r="W332" s="352"/>
      <c r="X332" s="133"/>
      <c r="Y332" s="133"/>
    </row>
    <row r="333" spans="1:25">
      <c r="A333" s="133">
        <v>331</v>
      </c>
      <c r="B333" s="127">
        <f t="shared" si="5"/>
        <v>46019</v>
      </c>
      <c r="C333" s="238">
        <f>YEAR(MC[[#This Row],[Date]])+IF(MONTH(MC[[#This Row],[Date]])&gt;=4,1,0)</f>
        <v>2026</v>
      </c>
      <c r="D333" s="130">
        <f>YEAR(MC[[#This Row],[Date]])</f>
        <v>2025</v>
      </c>
      <c r="E333" s="351" t="s">
        <v>218</v>
      </c>
      <c r="F333" s="351" t="s">
        <v>218</v>
      </c>
      <c r="G333" s="4" t="str">
        <f>TEXT(MC[[#This Row],[Date]],"mmm-yy")</f>
        <v>Dec-25</v>
      </c>
      <c r="H333" s="4">
        <f>DAY(EOMONTH(MC[[#This Row],[Month Year]],0))</f>
        <v>31</v>
      </c>
      <c r="I333" s="133"/>
      <c r="J333" s="133"/>
      <c r="K333" s="133"/>
      <c r="L333" s="133"/>
      <c r="M333" s="133"/>
      <c r="N333" s="133"/>
      <c r="O333" s="133"/>
      <c r="P333" s="126"/>
      <c r="Q333" s="126"/>
      <c r="R333" s="4">
        <f>SUM(MC[[#This Row],[ICR1]:[ICR12]])</f>
        <v>0</v>
      </c>
      <c r="S333" s="134"/>
      <c r="T333" s="134"/>
      <c r="U333" s="134"/>
      <c r="V333" s="134"/>
      <c r="W333" s="352"/>
      <c r="X333" s="133"/>
      <c r="Y333" s="133"/>
    </row>
    <row r="334" spans="1:25">
      <c r="A334" s="133">
        <v>332</v>
      </c>
      <c r="B334" s="127">
        <f t="shared" si="5"/>
        <v>46020</v>
      </c>
      <c r="C334" s="238">
        <f>YEAR(MC[[#This Row],[Date]])+IF(MONTH(MC[[#This Row],[Date]])&gt;=4,1,0)</f>
        <v>2026</v>
      </c>
      <c r="D334" s="130">
        <f>YEAR(MC[[#This Row],[Date]])</f>
        <v>2025</v>
      </c>
      <c r="E334" s="351" t="s">
        <v>218</v>
      </c>
      <c r="F334" s="351" t="s">
        <v>218</v>
      </c>
      <c r="G334" s="4" t="str">
        <f>TEXT(MC[[#This Row],[Date]],"mmm-yy")</f>
        <v>Dec-25</v>
      </c>
      <c r="H334" s="4">
        <f>DAY(EOMONTH(MC[[#This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26"/>
      <c r="Q334" s="126"/>
      <c r="R334" s="4">
        <f>SUM(MC[[#This Row],[ICR1]:[ICR12]])</f>
        <v>0</v>
      </c>
      <c r="S334" s="134"/>
      <c r="T334" s="134"/>
      <c r="U334" s="134"/>
      <c r="V334" s="134"/>
      <c r="W334" s="352"/>
      <c r="X334" s="133"/>
      <c r="Y334" s="133"/>
    </row>
    <row r="335" spans="1:25">
      <c r="A335" s="133">
        <v>333</v>
      </c>
      <c r="B335" s="127">
        <f t="shared" si="5"/>
        <v>46021</v>
      </c>
      <c r="C335" s="238">
        <f>YEAR(MC[[#This Row],[Date]])+IF(MONTH(MC[[#This Row],[Date]])&gt;=4,1,0)</f>
        <v>2026</v>
      </c>
      <c r="D335" s="130">
        <f>YEAR(MC[[#This Row],[Date]])</f>
        <v>2025</v>
      </c>
      <c r="E335" s="351" t="s">
        <v>218</v>
      </c>
      <c r="F335" s="351" t="s">
        <v>218</v>
      </c>
      <c r="G335" s="4" t="str">
        <f>TEXT(MC[[#This Row],[Date]],"mmm-yy")</f>
        <v>Dec-25</v>
      </c>
      <c r="H335" s="4">
        <f>DAY(EOMONTH(MC[[#This Row],[Month Year]],0))</f>
        <v>31</v>
      </c>
      <c r="I335" s="133"/>
      <c r="J335" s="133"/>
      <c r="K335" s="133"/>
      <c r="L335" s="133"/>
      <c r="M335" s="133"/>
      <c r="N335" s="133"/>
      <c r="O335" s="133"/>
      <c r="P335" s="126"/>
      <c r="Q335" s="126"/>
      <c r="R335" s="4">
        <f>SUM(MC[[#This Row],[ICR1]:[ICR12]])</f>
        <v>0</v>
      </c>
      <c r="S335" s="133"/>
      <c r="T335" s="133"/>
      <c r="U335" s="133"/>
      <c r="V335" s="133"/>
      <c r="W335" s="133"/>
      <c r="X335" s="133"/>
      <c r="Y335" s="133"/>
    </row>
    <row r="336" spans="1:25">
      <c r="A336" s="133">
        <v>334</v>
      </c>
      <c r="B336" s="127">
        <f t="shared" si="5"/>
        <v>46022</v>
      </c>
      <c r="C336" s="238">
        <f>YEAR(MC[[#This Row],[Date]])+IF(MONTH(MC[[#This Row],[Date]])&gt;=4,1,0)</f>
        <v>2026</v>
      </c>
      <c r="D336" s="130">
        <f>YEAR(MC[[#This Row],[Date]])</f>
        <v>2025</v>
      </c>
      <c r="E336" s="351" t="s">
        <v>218</v>
      </c>
      <c r="F336" s="351" t="s">
        <v>218</v>
      </c>
      <c r="G336" s="4" t="str">
        <f>TEXT(MC[[#This Row],[Date]],"mmm-yy")</f>
        <v>Dec-25</v>
      </c>
      <c r="H336" s="4">
        <f>DAY(EOMONTH(MC[[#This Row],[Month Year]],0))</f>
        <v>31</v>
      </c>
      <c r="I336" s="133"/>
      <c r="J336" s="133"/>
      <c r="K336" s="133"/>
      <c r="L336" s="133"/>
      <c r="M336" s="133"/>
      <c r="N336" s="133"/>
      <c r="O336" s="133"/>
      <c r="P336" s="126"/>
      <c r="Q336" s="126"/>
      <c r="R336" s="4">
        <f>SUM(MC[[#This Row],[ICR1]:[ICR12]])</f>
        <v>0</v>
      </c>
      <c r="S336" s="134"/>
      <c r="T336" s="134"/>
      <c r="U336" s="134"/>
      <c r="V336" s="134"/>
      <c r="W336" s="352"/>
      <c r="X336" s="133"/>
      <c r="Y336" s="133"/>
    </row>
    <row r="337" spans="1:25">
      <c r="A337" s="133">
        <v>335</v>
      </c>
      <c r="B337" s="127">
        <f t="shared" si="5"/>
        <v>46023</v>
      </c>
      <c r="C337" s="238">
        <f>YEAR(MC[[#This Row],[Date]])+IF(MONTH(MC[[#This Row],[Date]])&gt;=4,1,0)</f>
        <v>2026</v>
      </c>
      <c r="D337" s="130">
        <f>YEAR(MC[[#This Row],[Date]])</f>
        <v>2026</v>
      </c>
      <c r="E337" s="351" t="s">
        <v>218</v>
      </c>
      <c r="F337" s="351" t="s">
        <v>218</v>
      </c>
      <c r="G337" s="4" t="str">
        <f>TEXT(MC[[#This Row],[Date]],"mmm-yy")</f>
        <v>Jan-26</v>
      </c>
      <c r="H337" s="4">
        <f>DAY(EOMONTH(MC[[#This Row],[Month Year]],0))</f>
        <v>31</v>
      </c>
      <c r="I337" s="133"/>
      <c r="J337" s="133"/>
      <c r="K337" s="133"/>
      <c r="L337" s="133"/>
      <c r="M337" s="133"/>
      <c r="N337" s="133"/>
      <c r="O337" s="133"/>
      <c r="P337" s="126"/>
      <c r="Q337" s="126"/>
      <c r="R337" s="4">
        <f>SUM(MC[[#This Row],[ICR1]:[ICR12]])</f>
        <v>0</v>
      </c>
      <c r="S337" s="134"/>
      <c r="T337" s="134"/>
      <c r="U337" s="134"/>
      <c r="V337" s="134"/>
      <c r="W337" s="352"/>
      <c r="X337" s="133"/>
      <c r="Y337" s="133"/>
    </row>
    <row r="338" spans="1:25">
      <c r="A338" s="133">
        <v>336</v>
      </c>
      <c r="B338" s="127">
        <f t="shared" si="5"/>
        <v>46024</v>
      </c>
      <c r="C338" s="238">
        <f>YEAR(MC[[#This Row],[Date]])+IF(MONTH(MC[[#This Row],[Date]])&gt;=4,1,0)</f>
        <v>2026</v>
      </c>
      <c r="D338" s="130">
        <f>YEAR(MC[[#This Row],[Date]])</f>
        <v>2026</v>
      </c>
      <c r="E338" s="351" t="s">
        <v>218</v>
      </c>
      <c r="F338" s="351" t="s">
        <v>218</v>
      </c>
      <c r="G338" s="4" t="str">
        <f>TEXT(MC[[#This Row],[Date]],"mmm-yy")</f>
        <v>Jan-26</v>
      </c>
      <c r="H338" s="4">
        <f>DAY(EOMONTH(MC[[#This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26"/>
      <c r="Q338" s="126"/>
      <c r="R338" s="4">
        <f>SUM(MC[[#This Row],[ICR1]:[ICR12]])</f>
        <v>0</v>
      </c>
      <c r="S338" s="133"/>
      <c r="T338" s="133"/>
      <c r="U338" s="133"/>
      <c r="V338" s="133"/>
      <c r="W338" s="133"/>
      <c r="X338" s="133"/>
      <c r="Y338" s="133"/>
    </row>
    <row r="339" spans="1:25">
      <c r="A339" s="133">
        <v>337</v>
      </c>
      <c r="B339" s="127">
        <f t="shared" si="5"/>
        <v>46025</v>
      </c>
      <c r="C339" s="238">
        <f>YEAR(MC[[#This Row],[Date]])+IF(MONTH(MC[[#This Row],[Date]])&gt;=4,1,0)</f>
        <v>2026</v>
      </c>
      <c r="D339" s="130">
        <f>YEAR(MC[[#This Row],[Date]])</f>
        <v>2026</v>
      </c>
      <c r="E339" s="351" t="s">
        <v>218</v>
      </c>
      <c r="F339" s="351" t="s">
        <v>218</v>
      </c>
      <c r="G339" s="4" t="str">
        <f>TEXT(MC[[#This Row],[Date]],"mmm-yy")</f>
        <v>Jan-26</v>
      </c>
      <c r="H339" s="4">
        <f>DAY(EOMONTH(MC[[#This Row],[Month Year]],0))</f>
        <v>31</v>
      </c>
      <c r="I339" s="133"/>
      <c r="J339" s="133"/>
      <c r="K339" s="133"/>
      <c r="L339" s="133"/>
      <c r="M339" s="133"/>
      <c r="N339" s="133"/>
      <c r="O339" s="133"/>
      <c r="P339" s="126"/>
      <c r="Q339" s="126"/>
      <c r="R339" s="4">
        <f>SUM(MC[[#This Row],[ICR1]:[ICR12]])</f>
        <v>0</v>
      </c>
      <c r="S339" s="133"/>
      <c r="T339" s="133"/>
      <c r="U339" s="133"/>
      <c r="V339" s="133"/>
      <c r="W339" s="133"/>
      <c r="X339" s="133"/>
      <c r="Y339" s="133"/>
    </row>
    <row r="340" spans="1:25">
      <c r="A340" s="133">
        <v>338</v>
      </c>
      <c r="B340" s="127">
        <f t="shared" si="5"/>
        <v>46026</v>
      </c>
      <c r="C340" s="238">
        <f>YEAR(MC[[#This Row],[Date]])+IF(MONTH(MC[[#This Row],[Date]])&gt;=4,1,0)</f>
        <v>2026</v>
      </c>
      <c r="D340" s="130">
        <f>YEAR(MC[[#This Row],[Date]])</f>
        <v>2026</v>
      </c>
      <c r="E340" s="351" t="s">
        <v>218</v>
      </c>
      <c r="F340" s="351" t="s">
        <v>218</v>
      </c>
      <c r="G340" s="4" t="str">
        <f>TEXT(MC[[#This Row],[Date]],"mmm-yy")</f>
        <v>Jan-26</v>
      </c>
      <c r="H340" s="4">
        <f>DAY(EOMONTH(MC[[#This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26"/>
      <c r="Q340" s="126"/>
      <c r="R340" s="4">
        <f>SUM(MC[[#This Row],[ICR1]:[ICR12]])</f>
        <v>0</v>
      </c>
      <c r="S340" s="134"/>
      <c r="T340" s="134"/>
      <c r="U340" s="134"/>
      <c r="V340" s="134"/>
      <c r="W340" s="352"/>
      <c r="X340" s="133"/>
      <c r="Y340" s="133"/>
    </row>
    <row r="341" spans="1:25">
      <c r="A341" s="133">
        <v>339</v>
      </c>
      <c r="B341" s="127">
        <f t="shared" si="5"/>
        <v>46027</v>
      </c>
      <c r="C341" s="238">
        <f>YEAR(MC[[#This Row],[Date]])+IF(MONTH(MC[[#This Row],[Date]])&gt;=4,1,0)</f>
        <v>2026</v>
      </c>
      <c r="D341" s="130">
        <f>YEAR(MC[[#This Row],[Date]])</f>
        <v>2026</v>
      </c>
      <c r="E341" s="351" t="s">
        <v>218</v>
      </c>
      <c r="F341" s="351" t="s">
        <v>218</v>
      </c>
      <c r="G341" s="4" t="str">
        <f>TEXT(MC[[#This Row],[Date]],"mmm-yy")</f>
        <v>Jan-26</v>
      </c>
      <c r="H341" s="4">
        <f>DAY(EOMONTH(MC[[#This Row],[Month Year]],0))</f>
        <v>31</v>
      </c>
      <c r="I341" s="133"/>
      <c r="J341" s="133"/>
      <c r="K341" s="133"/>
      <c r="L341" s="133"/>
      <c r="M341" s="133"/>
      <c r="N341" s="133"/>
      <c r="O341" s="133"/>
      <c r="P341" s="126"/>
      <c r="Q341" s="126"/>
      <c r="R341" s="4">
        <f>SUM(MC[[#This Row],[ICR1]:[ICR12]])</f>
        <v>0</v>
      </c>
      <c r="S341" s="134"/>
      <c r="T341" s="134"/>
      <c r="U341" s="134"/>
      <c r="V341" s="134"/>
      <c r="W341" s="352"/>
      <c r="X341" s="133"/>
      <c r="Y341" s="133"/>
    </row>
    <row r="342" spans="1:25">
      <c r="A342" s="133">
        <v>340</v>
      </c>
      <c r="B342" s="127">
        <f t="shared" si="5"/>
        <v>46028</v>
      </c>
      <c r="C342" s="238">
        <f>YEAR(MC[[#This Row],[Date]])+IF(MONTH(MC[[#This Row],[Date]])&gt;=4,1,0)</f>
        <v>2026</v>
      </c>
      <c r="D342" s="130">
        <f>YEAR(MC[[#This Row],[Date]])</f>
        <v>2026</v>
      </c>
      <c r="E342" s="351" t="s">
        <v>218</v>
      </c>
      <c r="F342" s="351" t="s">
        <v>218</v>
      </c>
      <c r="G342" s="4" t="str">
        <f>TEXT(MC[[#This Row],[Date]],"mmm-yy")</f>
        <v>Jan-26</v>
      </c>
      <c r="H342" s="4">
        <f>DAY(EOMONTH(MC[[#This Row],[Month Year]],0))</f>
        <v>31</v>
      </c>
      <c r="I342" s="133"/>
      <c r="J342" s="133"/>
      <c r="K342" s="133"/>
      <c r="L342" s="133"/>
      <c r="M342" s="133"/>
      <c r="N342" s="133"/>
      <c r="O342" s="133"/>
      <c r="P342" s="126"/>
      <c r="Q342" s="126"/>
      <c r="R342" s="4">
        <f>SUM(MC[[#This Row],[ICR1]:[ICR12]])</f>
        <v>0</v>
      </c>
      <c r="S342" s="133"/>
      <c r="T342" s="133"/>
      <c r="U342" s="133"/>
      <c r="V342" s="133"/>
      <c r="W342" s="133"/>
      <c r="X342" s="133"/>
      <c r="Y342" s="133"/>
    </row>
    <row r="343" spans="1:25">
      <c r="A343" s="133">
        <v>341</v>
      </c>
      <c r="B343" s="127">
        <f t="shared" si="5"/>
        <v>46029</v>
      </c>
      <c r="C343" s="238">
        <f>YEAR(MC[[#This Row],[Date]])+IF(MONTH(MC[[#This Row],[Date]])&gt;=4,1,0)</f>
        <v>2026</v>
      </c>
      <c r="D343" s="130">
        <f>YEAR(MC[[#This Row],[Date]])</f>
        <v>2026</v>
      </c>
      <c r="E343" s="351" t="s">
        <v>218</v>
      </c>
      <c r="F343" s="351" t="s">
        <v>218</v>
      </c>
      <c r="G343" s="4" t="str">
        <f>TEXT(MC[[#This Row],[Date]],"mmm-yy")</f>
        <v>Jan-26</v>
      </c>
      <c r="H343" s="4">
        <f>DAY(EOMONTH(MC[[#This Row],[Month Year]],0))</f>
        <v>31</v>
      </c>
      <c r="I343" s="133"/>
      <c r="J343" s="133"/>
      <c r="K343" s="133"/>
      <c r="L343" s="133"/>
      <c r="M343" s="133"/>
      <c r="N343" s="133"/>
      <c r="O343" s="133"/>
      <c r="P343" s="126"/>
      <c r="Q343" s="126"/>
      <c r="R343" s="4">
        <f>SUM(MC[[#This Row],[ICR1]:[ICR12]])</f>
        <v>0</v>
      </c>
      <c r="S343" s="134"/>
      <c r="T343" s="134"/>
      <c r="U343" s="134"/>
      <c r="V343" s="134"/>
      <c r="W343" s="352"/>
      <c r="X343" s="133"/>
      <c r="Y343" s="133"/>
    </row>
    <row r="344" spans="1:25">
      <c r="A344" s="133">
        <v>342</v>
      </c>
      <c r="B344" s="127">
        <f t="shared" si="5"/>
        <v>46030</v>
      </c>
      <c r="C344" s="238">
        <f>YEAR(MC[[#This Row],[Date]])+IF(MONTH(MC[[#This Row],[Date]])&gt;=4,1,0)</f>
        <v>2026</v>
      </c>
      <c r="D344" s="130">
        <f>YEAR(MC[[#This Row],[Date]])</f>
        <v>2026</v>
      </c>
      <c r="E344" s="351" t="s">
        <v>218</v>
      </c>
      <c r="F344" s="351" t="s">
        <v>218</v>
      </c>
      <c r="G344" s="4" t="str">
        <f>TEXT(MC[[#This Row],[Date]],"mmm-yy")</f>
        <v>Jan-26</v>
      </c>
      <c r="H344" s="4">
        <f>DAY(EOMONTH(MC[[#This Row],[Month Year]],0))</f>
        <v>31</v>
      </c>
      <c r="I344" s="133"/>
      <c r="J344" s="133"/>
      <c r="K344" s="133"/>
      <c r="L344" s="133"/>
      <c r="M344" s="133"/>
      <c r="N344" s="133"/>
      <c r="O344" s="133"/>
      <c r="P344" s="126"/>
      <c r="Q344" s="126"/>
      <c r="R344" s="4">
        <f>SUM(MC[[#This Row],[ICR1]:[ICR12]])</f>
        <v>0</v>
      </c>
      <c r="S344" s="134"/>
      <c r="T344" s="134"/>
      <c r="U344" s="134"/>
      <c r="V344" s="134"/>
      <c r="W344" s="352"/>
      <c r="X344" s="133"/>
      <c r="Y344" s="133"/>
    </row>
    <row r="345" spans="1:25">
      <c r="A345" s="133">
        <v>343</v>
      </c>
      <c r="B345" s="127">
        <f t="shared" si="5"/>
        <v>46031</v>
      </c>
      <c r="C345" s="238">
        <f>YEAR(MC[[#This Row],[Date]])+IF(MONTH(MC[[#This Row],[Date]])&gt;=4,1,0)</f>
        <v>2026</v>
      </c>
      <c r="D345" s="130">
        <f>YEAR(MC[[#This Row],[Date]])</f>
        <v>2026</v>
      </c>
      <c r="E345" s="351" t="s">
        <v>218</v>
      </c>
      <c r="F345" s="351" t="s">
        <v>218</v>
      </c>
      <c r="G345" s="4" t="str">
        <f>TEXT(MC[[#This Row],[Date]],"mmm-yy")</f>
        <v>Jan-26</v>
      </c>
      <c r="H345" s="4">
        <f>DAY(EOMONTH(MC[[#This Row],[Month Year]],0))</f>
        <v>31</v>
      </c>
      <c r="I345" s="133"/>
      <c r="J345" s="133"/>
      <c r="K345" s="133"/>
      <c r="L345" s="133"/>
      <c r="M345" s="133"/>
      <c r="N345" s="133"/>
      <c r="O345" s="133"/>
      <c r="P345" s="126"/>
      <c r="Q345" s="126"/>
      <c r="R345" s="4">
        <f>SUM(MC[[#This Row],[ICR1]:[ICR12]])</f>
        <v>0</v>
      </c>
      <c r="S345" s="134"/>
      <c r="T345" s="134"/>
      <c r="U345" s="134"/>
      <c r="V345" s="134"/>
      <c r="W345" s="352"/>
      <c r="X345" s="133"/>
      <c r="Y345" s="133"/>
    </row>
    <row r="346" spans="1:25">
      <c r="A346" s="133">
        <v>344</v>
      </c>
      <c r="B346" s="127">
        <f t="shared" si="5"/>
        <v>46032</v>
      </c>
      <c r="C346" s="238">
        <f>YEAR(MC[[#This Row],[Date]])+IF(MONTH(MC[[#This Row],[Date]])&gt;=4,1,0)</f>
        <v>2026</v>
      </c>
      <c r="D346" s="130">
        <f>YEAR(MC[[#This Row],[Date]])</f>
        <v>2026</v>
      </c>
      <c r="E346" s="351" t="s">
        <v>218</v>
      </c>
      <c r="F346" s="351" t="s">
        <v>218</v>
      </c>
      <c r="G346" s="4" t="str">
        <f>TEXT(MC[[#This Row],[Date]],"mmm-yy")</f>
        <v>Jan-26</v>
      </c>
      <c r="H346" s="4">
        <f>DAY(EOMONTH(MC[[#This Row],[Month Year]],0))</f>
        <v>31</v>
      </c>
      <c r="I346" s="133"/>
      <c r="J346" s="133"/>
      <c r="K346" s="133"/>
      <c r="L346" s="133"/>
      <c r="M346" s="133"/>
      <c r="N346" s="133"/>
      <c r="O346" s="133"/>
      <c r="P346" s="126"/>
      <c r="Q346" s="126"/>
      <c r="R346" s="4">
        <f>SUM(MC[[#This Row],[ICR1]:[ICR12]])</f>
        <v>0</v>
      </c>
      <c r="S346" s="133"/>
      <c r="T346" s="133"/>
      <c r="U346" s="133"/>
      <c r="V346" s="133"/>
      <c r="W346" s="133"/>
      <c r="X346" s="133"/>
      <c r="Y346" s="133"/>
    </row>
    <row r="347" spans="1:25">
      <c r="A347" s="133">
        <v>345</v>
      </c>
      <c r="B347" s="127">
        <f t="shared" si="5"/>
        <v>46033</v>
      </c>
      <c r="C347" s="238">
        <f>YEAR(MC[[#This Row],[Date]])+IF(MONTH(MC[[#This Row],[Date]])&gt;=4,1,0)</f>
        <v>2026</v>
      </c>
      <c r="D347" s="130">
        <f>YEAR(MC[[#This Row],[Date]])</f>
        <v>2026</v>
      </c>
      <c r="E347" s="351" t="s">
        <v>218</v>
      </c>
      <c r="F347" s="351" t="s">
        <v>218</v>
      </c>
      <c r="G347" s="4" t="str">
        <f>TEXT(MC[[#This Row],[Date]],"mmm-yy")</f>
        <v>Jan-26</v>
      </c>
      <c r="H347" s="4">
        <f>DAY(EOMONTH(MC[[#This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26"/>
      <c r="Q347" s="126"/>
      <c r="R347" s="4">
        <f>SUM(MC[[#This Row],[ICR1]:[ICR12]])</f>
        <v>0</v>
      </c>
      <c r="S347" s="134"/>
      <c r="T347" s="134"/>
      <c r="U347" s="134"/>
      <c r="V347" s="134"/>
      <c r="W347" s="352"/>
      <c r="X347" s="133"/>
      <c r="Y347" s="133"/>
    </row>
    <row r="348" spans="1:25">
      <c r="A348" s="133">
        <v>346</v>
      </c>
      <c r="B348" s="127">
        <f t="shared" si="5"/>
        <v>46034</v>
      </c>
      <c r="C348" s="238">
        <f>YEAR(MC[[#This Row],[Date]])+IF(MONTH(MC[[#This Row],[Date]])&gt;=4,1,0)</f>
        <v>2026</v>
      </c>
      <c r="D348" s="130">
        <f>YEAR(MC[[#This Row],[Date]])</f>
        <v>2026</v>
      </c>
      <c r="E348" s="351" t="s">
        <v>218</v>
      </c>
      <c r="F348" s="351" t="s">
        <v>218</v>
      </c>
      <c r="G348" s="4" t="str">
        <f>TEXT(MC[[#This Row],[Date]],"mmm-yy")</f>
        <v>Jan-26</v>
      </c>
      <c r="H348" s="4">
        <f>DAY(EOMONTH(MC[[#This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4">
        <f>SUM(MC[[#This Row],[ICR1]:[ICR12]])</f>
        <v>0</v>
      </c>
      <c r="S348" s="133"/>
      <c r="T348" s="133"/>
      <c r="U348" s="134"/>
      <c r="V348" s="134"/>
      <c r="W348" s="352"/>
      <c r="X348" s="133"/>
      <c r="Y348" s="133"/>
    </row>
    <row r="349" spans="1:25">
      <c r="A349" s="133">
        <v>347</v>
      </c>
      <c r="B349" s="127">
        <f t="shared" si="5"/>
        <v>46035</v>
      </c>
      <c r="C349" s="238">
        <f>YEAR(MC[[#This Row],[Date]])+IF(MONTH(MC[[#This Row],[Date]])&gt;=4,1,0)</f>
        <v>2026</v>
      </c>
      <c r="D349" s="130">
        <f>YEAR(MC[[#This Row],[Date]])</f>
        <v>2026</v>
      </c>
      <c r="E349" s="351" t="s">
        <v>218</v>
      </c>
      <c r="F349" s="351" t="s">
        <v>218</v>
      </c>
      <c r="G349" s="4" t="str">
        <f>TEXT(MC[[#This Row],[Date]],"mmm-yy")</f>
        <v>Jan-26</v>
      </c>
      <c r="H349" s="4">
        <f>DAY(EOMONTH(MC[[#This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26"/>
      <c r="Q349" s="126"/>
      <c r="R349" s="4">
        <f>SUM(MC[[#This Row],[ICR1]:[ICR12]])</f>
        <v>0</v>
      </c>
      <c r="S349" s="133"/>
      <c r="T349" s="133"/>
      <c r="U349" s="133"/>
      <c r="V349" s="133"/>
      <c r="W349" s="133"/>
      <c r="X349" s="133"/>
      <c r="Y349" s="133"/>
    </row>
    <row r="350" spans="1:25">
      <c r="A350" s="133">
        <v>348</v>
      </c>
      <c r="B350" s="127">
        <f t="shared" si="5"/>
        <v>46036</v>
      </c>
      <c r="C350" s="238">
        <f>YEAR(MC[[#This Row],[Date]])+IF(MONTH(MC[[#This Row],[Date]])&gt;=4,1,0)</f>
        <v>2026</v>
      </c>
      <c r="D350" s="130">
        <f>YEAR(MC[[#This Row],[Date]])</f>
        <v>2026</v>
      </c>
      <c r="E350" s="351" t="s">
        <v>218</v>
      </c>
      <c r="F350" s="351" t="s">
        <v>218</v>
      </c>
      <c r="G350" s="4" t="str">
        <f>TEXT(MC[[#This Row],[Date]],"mmm-yy")</f>
        <v>Jan-26</v>
      </c>
      <c r="H350" s="4">
        <f>DAY(EOMONTH(MC[[#This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26"/>
      <c r="Q350" s="126"/>
      <c r="R350" s="4">
        <f>SUM(MC[[#This Row],[ICR1]:[ICR12]])</f>
        <v>0</v>
      </c>
      <c r="S350" s="133"/>
      <c r="T350" s="133"/>
      <c r="U350" s="133"/>
      <c r="V350" s="133"/>
      <c r="W350" s="133"/>
      <c r="X350" s="133"/>
      <c r="Y350" s="133"/>
    </row>
    <row r="351" spans="1:25">
      <c r="A351" s="133">
        <v>349</v>
      </c>
      <c r="B351" s="127">
        <f t="shared" si="5"/>
        <v>46037</v>
      </c>
      <c r="C351" s="238">
        <f>YEAR(MC[[#This Row],[Date]])+IF(MONTH(MC[[#This Row],[Date]])&gt;=4,1,0)</f>
        <v>2026</v>
      </c>
      <c r="D351" s="130">
        <f>YEAR(MC[[#This Row],[Date]])</f>
        <v>2026</v>
      </c>
      <c r="E351" s="351" t="s">
        <v>218</v>
      </c>
      <c r="F351" s="351" t="s">
        <v>218</v>
      </c>
      <c r="G351" s="4" t="str">
        <f>TEXT(MC[[#This Row],[Date]],"mmm-yy")</f>
        <v>Jan-26</v>
      </c>
      <c r="H351" s="4">
        <f>DAY(EOMONTH(MC[[#This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26"/>
      <c r="Q351" s="126"/>
      <c r="R351" s="4">
        <f>SUM(MC[[#This Row],[ICR1]:[ICR12]])</f>
        <v>0</v>
      </c>
      <c r="S351" s="134"/>
      <c r="T351" s="134"/>
      <c r="U351" s="134"/>
      <c r="V351" s="134"/>
      <c r="W351" s="352"/>
      <c r="X351" s="133"/>
      <c r="Y351" s="133"/>
    </row>
    <row r="352" spans="1:25">
      <c r="A352" s="133">
        <v>350</v>
      </c>
      <c r="B352" s="127">
        <f t="shared" si="5"/>
        <v>46038</v>
      </c>
      <c r="C352" s="238">
        <f>YEAR(MC[[#This Row],[Date]])+IF(MONTH(MC[[#This Row],[Date]])&gt;=4,1,0)</f>
        <v>2026</v>
      </c>
      <c r="D352" s="130">
        <f>YEAR(MC[[#This Row],[Date]])</f>
        <v>2026</v>
      </c>
      <c r="E352" s="351" t="s">
        <v>218</v>
      </c>
      <c r="F352" s="351" t="s">
        <v>218</v>
      </c>
      <c r="G352" s="4" t="str">
        <f>TEXT(MC[[#This Row],[Date]],"mmm-yy")</f>
        <v>Jan-26</v>
      </c>
      <c r="H352" s="4">
        <f>DAY(EOMONTH(MC[[#This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26"/>
      <c r="Q352" s="126"/>
      <c r="R352" s="4">
        <f>SUM(MC[[#This Row],[ICR1]:[ICR12]])</f>
        <v>0</v>
      </c>
      <c r="S352" s="134"/>
      <c r="T352" s="134"/>
      <c r="U352" s="134"/>
      <c r="V352" s="134"/>
      <c r="W352" s="352"/>
      <c r="X352" s="133"/>
      <c r="Y352" s="133"/>
    </row>
    <row r="353" spans="1:25">
      <c r="A353" s="133">
        <v>351</v>
      </c>
      <c r="B353" s="127">
        <f t="shared" si="5"/>
        <v>46039</v>
      </c>
      <c r="C353" s="238">
        <f>YEAR(MC[[#This Row],[Date]])+IF(MONTH(MC[[#This Row],[Date]])&gt;=4,1,0)</f>
        <v>2026</v>
      </c>
      <c r="D353" s="130">
        <f>YEAR(MC[[#This Row],[Date]])</f>
        <v>2026</v>
      </c>
      <c r="E353" s="351" t="s">
        <v>218</v>
      </c>
      <c r="F353" s="351" t="s">
        <v>218</v>
      </c>
      <c r="G353" s="4" t="str">
        <f>TEXT(MC[[#This Row],[Date]],"mmm-yy")</f>
        <v>Jan-26</v>
      </c>
      <c r="H353" s="4">
        <f>DAY(EOMONTH(MC[[#This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4">
        <f>SUM(MC[[#This Row],[ICR1]:[ICR12]])</f>
        <v>0</v>
      </c>
      <c r="S353" s="134"/>
      <c r="T353" s="134"/>
      <c r="U353" s="134"/>
      <c r="V353" s="134"/>
      <c r="W353" s="352"/>
      <c r="X353" s="133"/>
      <c r="Y353" s="133"/>
    </row>
    <row r="354" spans="1:25">
      <c r="A354" s="133">
        <v>352</v>
      </c>
      <c r="B354" s="127">
        <f t="shared" si="5"/>
        <v>46040</v>
      </c>
      <c r="C354" s="238">
        <f>YEAR(MC[[#This Row],[Date]])+IF(MONTH(MC[[#This Row],[Date]])&gt;=4,1,0)</f>
        <v>2026</v>
      </c>
      <c r="D354" s="130">
        <f>YEAR(MC[[#This Row],[Date]])</f>
        <v>2026</v>
      </c>
      <c r="E354" s="351" t="s">
        <v>218</v>
      </c>
      <c r="F354" s="351" t="s">
        <v>218</v>
      </c>
      <c r="G354" s="4" t="str">
        <f>TEXT(MC[[#This Row],[Date]],"mmm-yy")</f>
        <v>Jan-26</v>
      </c>
      <c r="H354" s="4">
        <f>DAY(EOMONTH(MC[[#This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26"/>
      <c r="Q354" s="126"/>
      <c r="R354" s="4">
        <f>SUM(MC[[#This Row],[ICR1]:[ICR12]])</f>
        <v>0</v>
      </c>
      <c r="S354" s="133"/>
      <c r="T354" s="133"/>
      <c r="U354" s="133"/>
      <c r="V354" s="133"/>
      <c r="W354" s="133"/>
      <c r="X354" s="133"/>
      <c r="Y354" s="133"/>
    </row>
    <row r="355" spans="1:25">
      <c r="A355" s="133">
        <v>353</v>
      </c>
      <c r="B355" s="127">
        <f t="shared" si="5"/>
        <v>46041</v>
      </c>
      <c r="C355" s="238">
        <f>YEAR(MC[[#This Row],[Date]])+IF(MONTH(MC[[#This Row],[Date]])&gt;=4,1,0)</f>
        <v>2026</v>
      </c>
      <c r="D355" s="130">
        <f>YEAR(MC[[#This Row],[Date]])</f>
        <v>2026</v>
      </c>
      <c r="E355" s="351" t="s">
        <v>218</v>
      </c>
      <c r="F355" s="351" t="s">
        <v>218</v>
      </c>
      <c r="G355" s="4" t="str">
        <f>TEXT(MC[[#This Row],[Date]],"mmm-yy")</f>
        <v>Jan-26</v>
      </c>
      <c r="H355" s="4">
        <f>DAY(EOMONTH(MC[[#This Row],[Month Year]],0))</f>
        <v>31</v>
      </c>
      <c r="I355" s="133"/>
      <c r="J355" s="133"/>
      <c r="K355" s="133"/>
      <c r="L355" s="133"/>
      <c r="M355" s="133"/>
      <c r="N355" s="133"/>
      <c r="O355" s="133"/>
      <c r="P355" s="126"/>
      <c r="Q355" s="126"/>
      <c r="R355" s="4">
        <f>SUM(MC[[#This Row],[ICR1]:[ICR12]])</f>
        <v>0</v>
      </c>
      <c r="S355" s="133"/>
      <c r="T355" s="133"/>
      <c r="U355" s="133"/>
      <c r="V355" s="133"/>
      <c r="W355" s="133"/>
      <c r="X355" s="133"/>
      <c r="Y355" s="133"/>
    </row>
    <row r="356" spans="1:25">
      <c r="A356" s="133">
        <v>354</v>
      </c>
      <c r="B356" s="127">
        <f t="shared" si="5"/>
        <v>46042</v>
      </c>
      <c r="C356" s="238">
        <f>YEAR(MC[[#This Row],[Date]])+IF(MONTH(MC[[#This Row],[Date]])&gt;=4,1,0)</f>
        <v>2026</v>
      </c>
      <c r="D356" s="130">
        <f>YEAR(MC[[#This Row],[Date]])</f>
        <v>2026</v>
      </c>
      <c r="E356" s="351" t="s">
        <v>218</v>
      </c>
      <c r="F356" s="351" t="s">
        <v>218</v>
      </c>
      <c r="G356" s="4" t="str">
        <f>TEXT(MC[[#This Row],[Date]],"mmm-yy")</f>
        <v>Jan-26</v>
      </c>
      <c r="H356" s="4">
        <f>DAY(EOMONTH(MC[[#This Row],[Month Year]],0))</f>
        <v>31</v>
      </c>
      <c r="I356" s="133"/>
      <c r="J356" s="133"/>
      <c r="K356" s="133"/>
      <c r="L356" s="133"/>
      <c r="M356" s="133"/>
      <c r="N356" s="133"/>
      <c r="O356" s="133"/>
      <c r="P356" s="126"/>
      <c r="Q356" s="126"/>
      <c r="R356" s="4">
        <f>SUM(MC[[#This Row],[ICR1]:[ICR12]])</f>
        <v>0</v>
      </c>
      <c r="S356" s="133"/>
      <c r="T356" s="133"/>
      <c r="U356" s="133"/>
      <c r="V356" s="133"/>
      <c r="W356" s="133"/>
      <c r="X356" s="133"/>
      <c r="Y356" s="133"/>
    </row>
    <row r="357" spans="1:25">
      <c r="A357" s="133">
        <v>355</v>
      </c>
      <c r="B357" s="127">
        <f t="shared" si="5"/>
        <v>46043</v>
      </c>
      <c r="C357" s="238">
        <f>YEAR(MC[[#This Row],[Date]])+IF(MONTH(MC[[#This Row],[Date]])&gt;=4,1,0)</f>
        <v>2026</v>
      </c>
      <c r="D357" s="130">
        <f>YEAR(MC[[#This Row],[Date]])</f>
        <v>2026</v>
      </c>
      <c r="E357" s="351" t="s">
        <v>218</v>
      </c>
      <c r="F357" s="351" t="s">
        <v>218</v>
      </c>
      <c r="G357" s="4" t="str">
        <f>TEXT(MC[[#This Row],[Date]],"mmm-yy")</f>
        <v>Jan-26</v>
      </c>
      <c r="H357" s="4">
        <f>DAY(EOMONTH(MC[[#This Row],[Month Year]],0))</f>
        <v>31</v>
      </c>
      <c r="I357" s="133"/>
      <c r="J357" s="133"/>
      <c r="K357" s="133"/>
      <c r="L357" s="133"/>
      <c r="M357" s="133"/>
      <c r="N357" s="133"/>
      <c r="O357" s="133"/>
      <c r="P357" s="126"/>
      <c r="Q357" s="126"/>
      <c r="R357" s="4">
        <f>SUM(MC[[#This Row],[ICR1]:[ICR12]])</f>
        <v>0</v>
      </c>
      <c r="S357" s="134"/>
      <c r="T357" s="134"/>
      <c r="U357" s="134"/>
      <c r="V357" s="134"/>
      <c r="W357" s="352"/>
      <c r="X357" s="133"/>
      <c r="Y357" s="133"/>
    </row>
    <row r="358" spans="1:25">
      <c r="A358" s="133">
        <v>356</v>
      </c>
      <c r="B358" s="127">
        <f t="shared" si="5"/>
        <v>46044</v>
      </c>
      <c r="C358" s="238">
        <f>YEAR(MC[[#This Row],[Date]])+IF(MONTH(MC[[#This Row],[Date]])&gt;=4,1,0)</f>
        <v>2026</v>
      </c>
      <c r="D358" s="130">
        <f>YEAR(MC[[#This Row],[Date]])</f>
        <v>2026</v>
      </c>
      <c r="E358" s="351" t="s">
        <v>218</v>
      </c>
      <c r="F358" s="351" t="s">
        <v>218</v>
      </c>
      <c r="G358" s="4" t="str">
        <f>TEXT(MC[[#This Row],[Date]],"mmm-yy")</f>
        <v>Jan-26</v>
      </c>
      <c r="H358" s="4">
        <f>DAY(EOMONTH(MC[[#This Row],[Month Year]],0))</f>
        <v>31</v>
      </c>
      <c r="I358" s="133"/>
      <c r="J358" s="133"/>
      <c r="K358" s="133"/>
      <c r="L358" s="133"/>
      <c r="M358" s="133"/>
      <c r="N358" s="133"/>
      <c r="O358" s="133"/>
      <c r="P358" s="126"/>
      <c r="Q358" s="126"/>
      <c r="R358" s="4">
        <f>SUM(MC[[#This Row],[ICR1]:[ICR12]])</f>
        <v>0</v>
      </c>
      <c r="S358" s="134"/>
      <c r="T358" s="134"/>
      <c r="U358" s="134"/>
      <c r="V358" s="134"/>
      <c r="W358" s="352"/>
      <c r="X358" s="133"/>
      <c r="Y358" s="133"/>
    </row>
    <row r="359" spans="1:25">
      <c r="A359" s="133">
        <v>357</v>
      </c>
      <c r="B359" s="127">
        <f t="shared" si="5"/>
        <v>46045</v>
      </c>
      <c r="C359" s="238">
        <f>YEAR(MC[[#This Row],[Date]])+IF(MONTH(MC[[#This Row],[Date]])&gt;=4,1,0)</f>
        <v>2026</v>
      </c>
      <c r="D359" s="130">
        <f>YEAR(MC[[#This Row],[Date]])</f>
        <v>2026</v>
      </c>
      <c r="E359" s="351" t="s">
        <v>218</v>
      </c>
      <c r="F359" s="351" t="s">
        <v>218</v>
      </c>
      <c r="G359" s="4" t="str">
        <f>TEXT(MC[[#This Row],[Date]],"mmm-yy")</f>
        <v>Jan-26</v>
      </c>
      <c r="H359" s="4">
        <f>DAY(EOMONTH(MC[[#This Row],[Month Year]],0))</f>
        <v>31</v>
      </c>
      <c r="I359" s="133"/>
      <c r="J359" s="133"/>
      <c r="K359" s="133"/>
      <c r="L359" s="133"/>
      <c r="M359" s="133"/>
      <c r="N359" s="133"/>
      <c r="O359" s="133"/>
      <c r="P359" s="126"/>
      <c r="Q359" s="126"/>
      <c r="R359" s="4">
        <f>SUM(MC[[#This Row],[ICR1]:[ICR12]])</f>
        <v>0</v>
      </c>
      <c r="S359" s="134"/>
      <c r="T359" s="134"/>
      <c r="U359" s="134"/>
      <c r="V359" s="134"/>
      <c r="W359" s="352"/>
      <c r="X359" s="133"/>
      <c r="Y359" s="133"/>
    </row>
    <row r="360" spans="1:25">
      <c r="A360" s="133">
        <v>358</v>
      </c>
      <c r="B360" s="127">
        <f t="shared" si="5"/>
        <v>46046</v>
      </c>
      <c r="C360" s="238">
        <f>YEAR(MC[[#This Row],[Date]])+IF(MONTH(MC[[#This Row],[Date]])&gt;=4,1,0)</f>
        <v>2026</v>
      </c>
      <c r="D360" s="130">
        <f>YEAR(MC[[#This Row],[Date]])</f>
        <v>2026</v>
      </c>
      <c r="E360" s="351" t="s">
        <v>218</v>
      </c>
      <c r="F360" s="351" t="s">
        <v>218</v>
      </c>
      <c r="G360" s="4" t="str">
        <f>TEXT(MC[[#This Row],[Date]],"mmm-yy")</f>
        <v>Jan-26</v>
      </c>
      <c r="H360" s="4">
        <f>DAY(EOMONTH(MC[[#This Row],[Month Year]],0))</f>
        <v>31</v>
      </c>
      <c r="I360" s="133"/>
      <c r="J360" s="133"/>
      <c r="K360" s="133"/>
      <c r="L360" s="133"/>
      <c r="M360" s="133"/>
      <c r="N360" s="133"/>
      <c r="O360" s="133"/>
      <c r="P360" s="126"/>
      <c r="Q360" s="126"/>
      <c r="R360" s="4">
        <f>SUM(MC[[#This Row],[ICR1]:[ICR12]])</f>
        <v>0</v>
      </c>
      <c r="S360" s="134"/>
      <c r="T360" s="134"/>
      <c r="U360" s="134"/>
      <c r="V360" s="134"/>
      <c r="W360" s="352"/>
      <c r="X360" s="133"/>
      <c r="Y360" s="133"/>
    </row>
    <row r="361" spans="1:25">
      <c r="A361" s="133">
        <v>359</v>
      </c>
      <c r="B361" s="127">
        <f t="shared" si="5"/>
        <v>46047</v>
      </c>
      <c r="C361" s="238">
        <f>YEAR(MC[[#This Row],[Date]])+IF(MONTH(MC[[#This Row],[Date]])&gt;=4,1,0)</f>
        <v>2026</v>
      </c>
      <c r="D361" s="130">
        <f>YEAR(MC[[#This Row],[Date]])</f>
        <v>2026</v>
      </c>
      <c r="E361" s="351" t="s">
        <v>218</v>
      </c>
      <c r="F361" s="351" t="s">
        <v>218</v>
      </c>
      <c r="G361" s="4" t="str">
        <f>TEXT(MC[[#This Row],[Date]],"mmm-yy")</f>
        <v>Jan-26</v>
      </c>
      <c r="H361" s="4">
        <f>DAY(EOMONTH(MC[[#This Row],[Month Year]],0))</f>
        <v>31</v>
      </c>
      <c r="I361" s="133"/>
      <c r="J361" s="133"/>
      <c r="K361" s="133"/>
      <c r="L361" s="133"/>
      <c r="M361" s="133"/>
      <c r="N361" s="133"/>
      <c r="O361" s="133"/>
      <c r="P361" s="126"/>
      <c r="Q361" s="126"/>
      <c r="R361" s="4">
        <f>SUM(MC[[#This Row],[ICR1]:[ICR12]])</f>
        <v>0</v>
      </c>
      <c r="S361" s="134"/>
      <c r="T361" s="134"/>
      <c r="U361" s="134"/>
      <c r="V361" s="134"/>
      <c r="W361" s="352"/>
      <c r="X361" s="133"/>
      <c r="Y361" s="133"/>
    </row>
    <row r="362" spans="1:25">
      <c r="A362" s="133">
        <v>360</v>
      </c>
      <c r="B362" s="127">
        <f t="shared" si="5"/>
        <v>46048</v>
      </c>
      <c r="C362" s="238">
        <f>YEAR(MC[[#This Row],[Date]])+IF(MONTH(MC[[#This Row],[Date]])&gt;=4,1,0)</f>
        <v>2026</v>
      </c>
      <c r="D362" s="130">
        <f>YEAR(MC[[#This Row],[Date]])</f>
        <v>2026</v>
      </c>
      <c r="E362" s="351" t="s">
        <v>218</v>
      </c>
      <c r="F362" s="351" t="s">
        <v>218</v>
      </c>
      <c r="G362" s="4" t="str">
        <f>TEXT(MC[[#This Row],[Date]],"mmm-yy")</f>
        <v>Jan-26</v>
      </c>
      <c r="H362" s="4">
        <f>DAY(EOMONTH(MC[[#This Row],[Month Year]],0))</f>
        <v>31</v>
      </c>
      <c r="I362" s="133"/>
      <c r="J362" s="133"/>
      <c r="K362" s="133"/>
      <c r="L362" s="133"/>
      <c r="M362" s="133"/>
      <c r="N362" s="133"/>
      <c r="O362" s="133"/>
      <c r="P362" s="126"/>
      <c r="Q362" s="126"/>
      <c r="R362" s="4">
        <f>SUM(MC[[#This Row],[ICR1]:[ICR12]])</f>
        <v>0</v>
      </c>
      <c r="S362" s="134"/>
      <c r="T362" s="134"/>
      <c r="U362" s="134"/>
      <c r="V362" s="134"/>
      <c r="W362" s="352"/>
      <c r="X362" s="133"/>
      <c r="Y362" s="133"/>
    </row>
    <row r="363" spans="1:25">
      <c r="A363" s="133">
        <v>361</v>
      </c>
      <c r="B363" s="127">
        <f t="shared" si="5"/>
        <v>46049</v>
      </c>
      <c r="C363" s="238">
        <f>YEAR(MC[[#This Row],[Date]])+IF(MONTH(MC[[#This Row],[Date]])&gt;=4,1,0)</f>
        <v>2026</v>
      </c>
      <c r="D363" s="130">
        <f>YEAR(MC[[#This Row],[Date]])</f>
        <v>2026</v>
      </c>
      <c r="E363" s="351" t="s">
        <v>218</v>
      </c>
      <c r="F363" s="351" t="s">
        <v>218</v>
      </c>
      <c r="G363" s="4" t="str">
        <f>TEXT(MC[[#This Row],[Date]],"mmm-yy")</f>
        <v>Jan-26</v>
      </c>
      <c r="H363" s="4">
        <f>DAY(EOMONTH(MC[[#This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26"/>
      <c r="Q363" s="126"/>
      <c r="R363" s="4">
        <f>SUM(MC[[#This Row],[ICR1]:[ICR12]])</f>
        <v>0</v>
      </c>
      <c r="S363" s="133"/>
      <c r="T363" s="133"/>
      <c r="U363" s="133"/>
      <c r="V363" s="133"/>
      <c r="W363" s="133"/>
      <c r="X363" s="133"/>
      <c r="Y363" s="133"/>
    </row>
    <row r="364" spans="1:25">
      <c r="A364" s="133">
        <v>362</v>
      </c>
      <c r="B364" s="127">
        <f t="shared" si="5"/>
        <v>46050</v>
      </c>
      <c r="C364" s="238">
        <f>YEAR(MC[[#This Row],[Date]])+IF(MONTH(MC[[#This Row],[Date]])&gt;=4,1,0)</f>
        <v>2026</v>
      </c>
      <c r="D364" s="130">
        <f>YEAR(MC[[#This Row],[Date]])</f>
        <v>2026</v>
      </c>
      <c r="E364" s="351" t="s">
        <v>218</v>
      </c>
      <c r="F364" s="351" t="s">
        <v>218</v>
      </c>
      <c r="G364" s="4" t="str">
        <f>TEXT(MC[[#This Row],[Date]],"mmm-yy")</f>
        <v>Jan-26</v>
      </c>
      <c r="H364" s="4">
        <f>DAY(EOMONTH(MC[[#This Row],[Month Year]],0))</f>
        <v>31</v>
      </c>
      <c r="I364" s="133"/>
      <c r="J364" s="133"/>
      <c r="K364" s="133"/>
      <c r="L364" s="133"/>
      <c r="M364" s="133"/>
      <c r="N364" s="133"/>
      <c r="O364" s="133"/>
      <c r="P364" s="126"/>
      <c r="Q364" s="126"/>
      <c r="R364" s="4">
        <f>SUM(MC[[#This Row],[ICR1]:[ICR12]])</f>
        <v>0</v>
      </c>
      <c r="S364" s="134"/>
      <c r="T364" s="134"/>
      <c r="U364" s="134"/>
      <c r="V364" s="134"/>
      <c r="W364" s="352"/>
      <c r="X364" s="133"/>
      <c r="Y364" s="133"/>
    </row>
    <row r="365" spans="1:25">
      <c r="A365" s="133">
        <v>363</v>
      </c>
      <c r="B365" s="127">
        <f t="shared" si="5"/>
        <v>46051</v>
      </c>
      <c r="C365" s="238">
        <f>YEAR(MC[[#This Row],[Date]])+IF(MONTH(MC[[#This Row],[Date]])&gt;=4,1,0)</f>
        <v>2026</v>
      </c>
      <c r="D365" s="130">
        <f>YEAR(MC[[#This Row],[Date]])</f>
        <v>2026</v>
      </c>
      <c r="E365" s="351" t="s">
        <v>218</v>
      </c>
      <c r="F365" s="351" t="s">
        <v>218</v>
      </c>
      <c r="G365" s="4" t="str">
        <f>TEXT(MC[[#This Row],[Date]],"mmm-yy")</f>
        <v>Jan-26</v>
      </c>
      <c r="H365" s="4">
        <f>DAY(EOMONTH(MC[[#This Row],[Month Year]],0))</f>
        <v>31</v>
      </c>
      <c r="I365" s="133"/>
      <c r="J365" s="133"/>
      <c r="K365" s="133"/>
      <c r="L365" s="133"/>
      <c r="M365" s="133"/>
      <c r="N365" s="133"/>
      <c r="O365" s="133"/>
      <c r="P365" s="126"/>
      <c r="Q365" s="126"/>
      <c r="R365" s="4">
        <f>SUM(MC[[#This Row],[ICR1]:[ICR12]])</f>
        <v>0</v>
      </c>
      <c r="S365" s="134"/>
      <c r="T365" s="134"/>
      <c r="U365" s="134"/>
      <c r="V365" s="134"/>
      <c r="W365" s="352"/>
      <c r="X365" s="133"/>
      <c r="Y365" s="133"/>
    </row>
    <row r="366" spans="1:25">
      <c r="A366" s="133">
        <v>364</v>
      </c>
      <c r="B366" s="127">
        <f t="shared" si="5"/>
        <v>46052</v>
      </c>
      <c r="C366" s="238">
        <f>YEAR(MC[[#This Row],[Date]])+IF(MONTH(MC[[#This Row],[Date]])&gt;=4,1,0)</f>
        <v>2026</v>
      </c>
      <c r="D366" s="130">
        <f>YEAR(MC[[#This Row],[Date]])</f>
        <v>2026</v>
      </c>
      <c r="E366" s="351" t="s">
        <v>218</v>
      </c>
      <c r="F366" s="351" t="s">
        <v>218</v>
      </c>
      <c r="G366" s="4" t="str">
        <f>TEXT(MC[[#This Row],[Date]],"mmm-yy")</f>
        <v>Jan-26</v>
      </c>
      <c r="H366" s="4">
        <f>DAY(EOMONTH(MC[[#This Row],[Month Year]],0))</f>
        <v>31</v>
      </c>
      <c r="I366" s="133"/>
      <c r="J366" s="133"/>
      <c r="K366" s="133"/>
      <c r="L366" s="133"/>
      <c r="M366" s="133"/>
      <c r="N366" s="133"/>
      <c r="O366" s="133"/>
      <c r="P366" s="126"/>
      <c r="Q366" s="126"/>
      <c r="R366" s="4">
        <f>SUM(MC[[#This Row],[ICR1]:[ICR12]])</f>
        <v>0</v>
      </c>
      <c r="S366" s="134"/>
      <c r="T366" s="134"/>
      <c r="U366" s="134"/>
      <c r="V366" s="134"/>
      <c r="W366" s="352"/>
      <c r="X366" s="133"/>
      <c r="Y366" s="133"/>
    </row>
    <row r="367" spans="1:25">
      <c r="A367" s="133">
        <v>365</v>
      </c>
      <c r="B367" s="127">
        <f t="shared" si="5"/>
        <v>46053</v>
      </c>
      <c r="C367" s="238">
        <f>YEAR(MC[[#This Row],[Date]])+IF(MONTH(MC[[#This Row],[Date]])&gt;=4,1,0)</f>
        <v>2026</v>
      </c>
      <c r="D367" s="130">
        <f>YEAR(MC[[#This Row],[Date]])</f>
        <v>2026</v>
      </c>
      <c r="E367" s="351" t="s">
        <v>218</v>
      </c>
      <c r="F367" s="351" t="s">
        <v>218</v>
      </c>
      <c r="G367" s="4" t="str">
        <f>TEXT(MC[[#This Row],[Date]],"mmm-yy")</f>
        <v>Jan-26</v>
      </c>
      <c r="H367" s="4">
        <f>DAY(EOMONTH(MC[[#This Row],[Month Year]],0))</f>
        <v>31</v>
      </c>
      <c r="I367" s="133"/>
      <c r="J367" s="133"/>
      <c r="K367" s="133"/>
      <c r="L367" s="133"/>
      <c r="M367" s="133"/>
      <c r="N367" s="133"/>
      <c r="O367" s="133"/>
      <c r="P367" s="126"/>
      <c r="Q367" s="126"/>
      <c r="R367" s="4">
        <f>SUM(MC[[#This Row],[ICR1]:[ICR12]])</f>
        <v>0</v>
      </c>
      <c r="S367" s="134"/>
      <c r="T367" s="134"/>
      <c r="U367" s="134"/>
      <c r="V367" s="134"/>
      <c r="W367" s="352"/>
      <c r="X367" s="133"/>
      <c r="Y367" s="133"/>
    </row>
    <row r="368" spans="1:25">
      <c r="A368" s="133">
        <v>366</v>
      </c>
      <c r="B368" s="127">
        <f t="shared" si="5"/>
        <v>46054</v>
      </c>
      <c r="C368" s="238">
        <f>YEAR(MC[[#This Row],[Date]])+IF(MONTH(MC[[#This Row],[Date]])&gt;=4,1,0)</f>
        <v>2026</v>
      </c>
      <c r="D368" s="130">
        <f>YEAR(MC[[#This Row],[Date]])</f>
        <v>2026</v>
      </c>
      <c r="E368" s="351" t="s">
        <v>218</v>
      </c>
      <c r="F368" s="351" t="s">
        <v>218</v>
      </c>
      <c r="G368" s="4" t="str">
        <f>TEXT(MC[[#This Row],[Date]],"mmm-yy")</f>
        <v>Feb-26</v>
      </c>
      <c r="H368" s="4">
        <f>DAY(EOMONTH(MC[[#This Row],[Month Year]],0))</f>
        <v>28</v>
      </c>
      <c r="I368" s="133"/>
      <c r="J368" s="133"/>
      <c r="K368" s="133"/>
      <c r="L368" s="133"/>
      <c r="M368" s="133"/>
      <c r="N368" s="133"/>
      <c r="O368" s="133"/>
      <c r="P368" s="126"/>
      <c r="Q368" s="126"/>
      <c r="R368" s="4">
        <f>SUM(MC[[#This Row],[ICR1]:[ICR12]])</f>
        <v>0</v>
      </c>
      <c r="S368" s="134"/>
      <c r="T368" s="134"/>
      <c r="U368" s="134"/>
      <c r="V368" s="134"/>
      <c r="W368" s="352"/>
      <c r="X368" s="133"/>
      <c r="Y368" s="133"/>
    </row>
    <row r="369" spans="1:25">
      <c r="A369" s="133">
        <v>367</v>
      </c>
      <c r="B369" s="127">
        <f t="shared" si="5"/>
        <v>46055</v>
      </c>
      <c r="C369" s="238">
        <f>YEAR(MC[[#This Row],[Date]])+IF(MONTH(MC[[#This Row],[Date]])&gt;=4,1,0)</f>
        <v>2026</v>
      </c>
      <c r="D369" s="130">
        <f>YEAR(MC[[#This Row],[Date]])</f>
        <v>2026</v>
      </c>
      <c r="E369" s="351" t="s">
        <v>218</v>
      </c>
      <c r="F369" s="351" t="s">
        <v>218</v>
      </c>
      <c r="G369" s="4" t="str">
        <f>TEXT(MC[[#This Row],[Date]],"mmm-yy")</f>
        <v>Feb-26</v>
      </c>
      <c r="H369" s="4">
        <f>DAY(EOMONTH(MC[[#This Row],[Month Year]],0))</f>
        <v>28</v>
      </c>
      <c r="I369" s="133"/>
      <c r="J369" s="133"/>
      <c r="K369" s="133"/>
      <c r="L369" s="133"/>
      <c r="M369" s="133"/>
      <c r="N369" s="133"/>
      <c r="O369" s="133"/>
      <c r="P369" s="126"/>
      <c r="Q369" s="126"/>
      <c r="R369" s="4">
        <f>SUM(MC[[#This Row],[ICR1]:[ICR12]])</f>
        <v>0</v>
      </c>
      <c r="S369" s="134"/>
      <c r="T369" s="134"/>
      <c r="U369" s="134"/>
      <c r="V369" s="134"/>
      <c r="W369" s="352"/>
      <c r="X369" s="133"/>
      <c r="Y369" s="133"/>
    </row>
    <row r="370" spans="1:25">
      <c r="A370" s="133">
        <v>368</v>
      </c>
      <c r="B370" s="127">
        <f t="shared" si="5"/>
        <v>46056</v>
      </c>
      <c r="C370" s="238">
        <f>YEAR(MC[[#This Row],[Date]])+IF(MONTH(MC[[#This Row],[Date]])&gt;=4,1,0)</f>
        <v>2026</v>
      </c>
      <c r="D370" s="130">
        <f>YEAR(MC[[#This Row],[Date]])</f>
        <v>2026</v>
      </c>
      <c r="E370" s="351" t="s">
        <v>218</v>
      </c>
      <c r="F370" s="351" t="s">
        <v>218</v>
      </c>
      <c r="G370" s="4" t="str">
        <f>TEXT(MC[[#This Row],[Date]],"mmm-yy")</f>
        <v>Feb-26</v>
      </c>
      <c r="H370" s="4">
        <f>DAY(EOMONTH(MC[[#This Row],[Month Year]],0))</f>
        <v>28</v>
      </c>
      <c r="I370" s="133"/>
      <c r="J370" s="133"/>
      <c r="K370" s="133"/>
      <c r="L370" s="133"/>
      <c r="M370" s="133"/>
      <c r="N370" s="133"/>
      <c r="O370" s="133"/>
      <c r="P370" s="126"/>
      <c r="Q370" s="126"/>
      <c r="R370" s="4">
        <f>SUM(MC[[#This Row],[ICR1]:[ICR12]])</f>
        <v>0</v>
      </c>
      <c r="S370" s="134"/>
      <c r="T370" s="134"/>
      <c r="U370" s="134"/>
      <c r="V370" s="134"/>
      <c r="W370" s="352"/>
      <c r="X370" s="133"/>
      <c r="Y370" s="133"/>
    </row>
    <row r="371" spans="1:25">
      <c r="A371" s="133">
        <v>369</v>
      </c>
      <c r="B371" s="127">
        <f t="shared" si="5"/>
        <v>46057</v>
      </c>
      <c r="C371" s="238">
        <f>YEAR(MC[[#This Row],[Date]])+IF(MONTH(MC[[#This Row],[Date]])&gt;=4,1,0)</f>
        <v>2026</v>
      </c>
      <c r="D371" s="130">
        <f>YEAR(MC[[#This Row],[Date]])</f>
        <v>2026</v>
      </c>
      <c r="E371" s="351" t="s">
        <v>218</v>
      </c>
      <c r="F371" s="351" t="s">
        <v>218</v>
      </c>
      <c r="G371" s="4" t="str">
        <f>TEXT(MC[[#This Row],[Date]],"mmm-yy")</f>
        <v>Feb-26</v>
      </c>
      <c r="H371" s="4">
        <f>DAY(EOMONTH(MC[[#This Row],[Month Year]],0))</f>
        <v>28</v>
      </c>
      <c r="I371" s="133"/>
      <c r="J371" s="133"/>
      <c r="K371" s="133"/>
      <c r="L371" s="133"/>
      <c r="M371" s="133"/>
      <c r="N371" s="133"/>
      <c r="O371" s="133"/>
      <c r="P371" s="126"/>
      <c r="Q371" s="126"/>
      <c r="R371" s="4">
        <f>SUM(MC[[#This Row],[ICR1]:[ICR12]])</f>
        <v>0</v>
      </c>
      <c r="S371" s="134"/>
      <c r="T371" s="134"/>
      <c r="U371" s="134"/>
      <c r="V371" s="134"/>
      <c r="W371" s="352"/>
      <c r="X371" s="133"/>
      <c r="Y371" s="133"/>
    </row>
    <row r="372" spans="1:25">
      <c r="A372" s="133">
        <v>370</v>
      </c>
      <c r="B372" s="127">
        <f t="shared" si="5"/>
        <v>46058</v>
      </c>
      <c r="C372" s="238">
        <f>YEAR(MC[[#This Row],[Date]])+IF(MONTH(MC[[#This Row],[Date]])&gt;=4,1,0)</f>
        <v>2026</v>
      </c>
      <c r="D372" s="130">
        <f>YEAR(MC[[#This Row],[Date]])</f>
        <v>2026</v>
      </c>
      <c r="E372" s="351" t="s">
        <v>218</v>
      </c>
      <c r="F372" s="351" t="s">
        <v>218</v>
      </c>
      <c r="G372" s="4" t="str">
        <f>TEXT(MC[[#This Row],[Date]],"mmm-yy")</f>
        <v>Feb-26</v>
      </c>
      <c r="H372" s="4">
        <f>DAY(EOMONTH(MC[[#This Row],[Month Year]],0))</f>
        <v>28</v>
      </c>
      <c r="I372" s="133"/>
      <c r="J372" s="133"/>
      <c r="K372" s="133"/>
      <c r="L372" s="133"/>
      <c r="M372" s="133"/>
      <c r="N372" s="133"/>
      <c r="O372" s="133"/>
      <c r="P372" s="126"/>
      <c r="Q372" s="126"/>
      <c r="R372" s="4">
        <f>SUM(MC[[#This Row],[ICR1]:[ICR12]])</f>
        <v>0</v>
      </c>
      <c r="S372" s="134"/>
      <c r="T372" s="134"/>
      <c r="U372" s="134"/>
      <c r="V372" s="134"/>
      <c r="W372" s="352"/>
      <c r="X372" s="133"/>
      <c r="Y372" s="133"/>
    </row>
    <row r="373" spans="1:25">
      <c r="A373" s="133">
        <v>371</v>
      </c>
      <c r="B373" s="127">
        <f t="shared" si="5"/>
        <v>46059</v>
      </c>
      <c r="C373" s="238">
        <f>YEAR(MC[[#This Row],[Date]])+IF(MONTH(MC[[#This Row],[Date]])&gt;=4,1,0)</f>
        <v>2026</v>
      </c>
      <c r="D373" s="130">
        <f>YEAR(MC[[#This Row],[Date]])</f>
        <v>2026</v>
      </c>
      <c r="E373" s="351" t="s">
        <v>218</v>
      </c>
      <c r="F373" s="351" t="s">
        <v>218</v>
      </c>
      <c r="G373" s="4" t="str">
        <f>TEXT(MC[[#This Row],[Date]],"mmm-yy")</f>
        <v>Feb-26</v>
      </c>
      <c r="H373" s="4">
        <f>DAY(EOMONTH(MC[[#This Row],[Month Year]],0))</f>
        <v>28</v>
      </c>
      <c r="I373" s="133"/>
      <c r="J373" s="133"/>
      <c r="K373" s="133"/>
      <c r="L373" s="133"/>
      <c r="M373" s="133"/>
      <c r="N373" s="133"/>
      <c r="O373" s="133"/>
      <c r="P373" s="126"/>
      <c r="Q373" s="126"/>
      <c r="R373" s="4">
        <f>SUM(MC[[#This Row],[ICR1]:[ICR12]])</f>
        <v>0</v>
      </c>
      <c r="S373" s="134"/>
      <c r="T373" s="134"/>
      <c r="U373" s="134"/>
      <c r="V373" s="134"/>
      <c r="W373" s="352"/>
      <c r="X373" s="133"/>
      <c r="Y373" s="133"/>
    </row>
    <row r="374" spans="1:25">
      <c r="A374" s="133">
        <v>372</v>
      </c>
      <c r="B374" s="127">
        <f t="shared" si="5"/>
        <v>46060</v>
      </c>
      <c r="C374" s="238">
        <f>YEAR(MC[[#This Row],[Date]])+IF(MONTH(MC[[#This Row],[Date]])&gt;=4,1,0)</f>
        <v>2026</v>
      </c>
      <c r="D374" s="130">
        <f>YEAR(MC[[#This Row],[Date]])</f>
        <v>2026</v>
      </c>
      <c r="E374" s="351" t="s">
        <v>218</v>
      </c>
      <c r="F374" s="351" t="s">
        <v>218</v>
      </c>
      <c r="G374" s="4" t="str">
        <f>TEXT(MC[[#This Row],[Date]],"mmm-yy")</f>
        <v>Feb-26</v>
      </c>
      <c r="H374" s="4">
        <f>DAY(EOMONTH(MC[[#This Row],[Month Year]],0))</f>
        <v>28</v>
      </c>
      <c r="I374" s="133"/>
      <c r="J374" s="133"/>
      <c r="K374" s="133"/>
      <c r="L374" s="133"/>
      <c r="M374" s="133"/>
      <c r="N374" s="133"/>
      <c r="O374" s="133"/>
      <c r="P374" s="126"/>
      <c r="Q374" s="126"/>
      <c r="R374" s="4">
        <f>SUM(MC[[#This Row],[ICR1]:[ICR12]])</f>
        <v>0</v>
      </c>
      <c r="S374" s="134"/>
      <c r="T374" s="134"/>
      <c r="U374" s="134"/>
      <c r="V374" s="134"/>
      <c r="W374" s="352"/>
      <c r="X374" s="133"/>
      <c r="Y374" s="133"/>
    </row>
    <row r="375" spans="1:25">
      <c r="A375" s="133">
        <v>373</v>
      </c>
      <c r="B375" s="127">
        <f t="shared" si="5"/>
        <v>46061</v>
      </c>
      <c r="C375" s="238">
        <f>YEAR(MC[[#This Row],[Date]])+IF(MONTH(MC[[#This Row],[Date]])&gt;=4,1,0)</f>
        <v>2026</v>
      </c>
      <c r="D375" s="130">
        <f>YEAR(MC[[#This Row],[Date]])</f>
        <v>2026</v>
      </c>
      <c r="E375" s="351" t="s">
        <v>218</v>
      </c>
      <c r="F375" s="351" t="s">
        <v>218</v>
      </c>
      <c r="G375" s="4" t="str">
        <f>TEXT(MC[[#This Row],[Date]],"mmm-yy")</f>
        <v>Feb-26</v>
      </c>
      <c r="H375" s="4">
        <f>DAY(EOMONTH(MC[[#This Row],[Month Year]],0))</f>
        <v>28</v>
      </c>
      <c r="I375" s="133"/>
      <c r="J375" s="133"/>
      <c r="K375" s="133"/>
      <c r="L375" s="133"/>
      <c r="M375" s="133"/>
      <c r="N375" s="133"/>
      <c r="O375" s="133"/>
      <c r="P375" s="126"/>
      <c r="Q375" s="126"/>
      <c r="R375" s="4">
        <f>SUM(MC[[#This Row],[ICR1]:[ICR12]])</f>
        <v>0</v>
      </c>
      <c r="S375" s="134"/>
      <c r="T375" s="134"/>
      <c r="U375" s="134"/>
      <c r="V375" s="134"/>
      <c r="W375" s="352"/>
      <c r="X375" s="133"/>
      <c r="Y375" s="133"/>
    </row>
    <row r="376" spans="1:25">
      <c r="A376" s="133">
        <v>374</v>
      </c>
      <c r="B376" s="127">
        <f t="shared" si="5"/>
        <v>46062</v>
      </c>
      <c r="C376" s="238">
        <f>YEAR(MC[[#This Row],[Date]])+IF(MONTH(MC[[#This Row],[Date]])&gt;=4,1,0)</f>
        <v>2026</v>
      </c>
      <c r="D376" s="130">
        <f>YEAR(MC[[#This Row],[Date]])</f>
        <v>2026</v>
      </c>
      <c r="E376" s="351" t="s">
        <v>218</v>
      </c>
      <c r="F376" s="351" t="s">
        <v>218</v>
      </c>
      <c r="G376" s="4" t="str">
        <f>TEXT(MC[[#This Row],[Date]],"mmm-yy")</f>
        <v>Feb-26</v>
      </c>
      <c r="H376" s="4">
        <f>DAY(EOMONTH(MC[[#This Row],[Month Year]],0))</f>
        <v>28</v>
      </c>
      <c r="I376" s="133"/>
      <c r="J376" s="133"/>
      <c r="K376" s="133"/>
      <c r="L376" s="133"/>
      <c r="M376" s="133"/>
      <c r="N376" s="133"/>
      <c r="O376" s="133"/>
      <c r="P376" s="126"/>
      <c r="Q376" s="126"/>
      <c r="R376" s="4">
        <f>SUM(MC[[#This Row],[ICR1]:[ICR12]])</f>
        <v>0</v>
      </c>
      <c r="S376" s="134"/>
      <c r="T376" s="134"/>
      <c r="U376" s="134"/>
      <c r="V376" s="134"/>
      <c r="W376" s="352"/>
      <c r="X376" s="133"/>
      <c r="Y376" s="133"/>
    </row>
    <row r="377" spans="1:25">
      <c r="A377" s="133">
        <v>375</v>
      </c>
      <c r="B377" s="127">
        <f t="shared" si="5"/>
        <v>46063</v>
      </c>
      <c r="C377" s="238">
        <f>YEAR(MC[[#This Row],[Date]])+IF(MONTH(MC[[#This Row],[Date]])&gt;=4,1,0)</f>
        <v>2026</v>
      </c>
      <c r="D377" s="130">
        <f>YEAR(MC[[#This Row],[Date]])</f>
        <v>2026</v>
      </c>
      <c r="E377" s="351" t="s">
        <v>218</v>
      </c>
      <c r="F377" s="351" t="s">
        <v>218</v>
      </c>
      <c r="G377" s="4" t="str">
        <f>TEXT(MC[[#This Row],[Date]],"mmm-yy")</f>
        <v>Feb-26</v>
      </c>
      <c r="H377" s="4">
        <f>DAY(EOMONTH(MC[[#This Row],[Month Year]],0))</f>
        <v>28</v>
      </c>
      <c r="I377" s="133"/>
      <c r="J377" s="133"/>
      <c r="K377" s="133"/>
      <c r="L377" s="133"/>
      <c r="M377" s="133"/>
      <c r="N377" s="133"/>
      <c r="O377" s="133"/>
      <c r="P377" s="126"/>
      <c r="Q377" s="126"/>
      <c r="R377" s="4">
        <f>SUM(MC[[#This Row],[ICR1]:[ICR12]])</f>
        <v>0</v>
      </c>
      <c r="S377" s="134"/>
      <c r="T377" s="134"/>
      <c r="U377" s="134"/>
      <c r="V377" s="134"/>
      <c r="W377" s="352"/>
      <c r="X377" s="133"/>
      <c r="Y377" s="133"/>
    </row>
    <row r="378" spans="1:25">
      <c r="A378" s="133">
        <v>376</v>
      </c>
      <c r="B378" s="127">
        <f t="shared" si="5"/>
        <v>46064</v>
      </c>
      <c r="C378" s="238">
        <f>YEAR(MC[[#This Row],[Date]])+IF(MONTH(MC[[#This Row],[Date]])&gt;=4,1,0)</f>
        <v>2026</v>
      </c>
      <c r="D378" s="130">
        <f>YEAR(MC[[#This Row],[Date]])</f>
        <v>2026</v>
      </c>
      <c r="E378" s="351" t="s">
        <v>218</v>
      </c>
      <c r="F378" s="351" t="s">
        <v>218</v>
      </c>
      <c r="G378" s="4" t="str">
        <f>TEXT(MC[[#This Row],[Date]],"mmm-yy")</f>
        <v>Feb-26</v>
      </c>
      <c r="H378" s="4">
        <f>DAY(EOMONTH(MC[[#This Row],[Month Year]],0))</f>
        <v>28</v>
      </c>
      <c r="I378" s="133"/>
      <c r="J378" s="133"/>
      <c r="K378" s="133"/>
      <c r="L378" s="133"/>
      <c r="M378" s="133"/>
      <c r="N378" s="133"/>
      <c r="O378" s="133"/>
      <c r="P378" s="126"/>
      <c r="Q378" s="126"/>
      <c r="R378" s="4">
        <f>SUM(MC[[#This Row],[ICR1]:[ICR12]])</f>
        <v>0</v>
      </c>
      <c r="S378" s="134"/>
      <c r="T378" s="134"/>
      <c r="U378" s="134"/>
      <c r="V378" s="134"/>
      <c r="W378" s="352"/>
      <c r="X378" s="133"/>
      <c r="Y378" s="133"/>
    </row>
    <row r="379" spans="1:25">
      <c r="A379" s="133">
        <v>377</v>
      </c>
      <c r="B379" s="127">
        <f t="shared" si="5"/>
        <v>46065</v>
      </c>
      <c r="C379" s="238">
        <f>YEAR(MC[[#This Row],[Date]])+IF(MONTH(MC[[#This Row],[Date]])&gt;=4,1,0)</f>
        <v>2026</v>
      </c>
      <c r="D379" s="130">
        <f>YEAR(MC[[#This Row],[Date]])</f>
        <v>2026</v>
      </c>
      <c r="E379" s="351" t="s">
        <v>218</v>
      </c>
      <c r="F379" s="351" t="s">
        <v>218</v>
      </c>
      <c r="G379" s="4" t="str">
        <f>TEXT(MC[[#This Row],[Date]],"mmm-yy")</f>
        <v>Feb-26</v>
      </c>
      <c r="H379" s="4">
        <f>DAY(EOMONTH(MC[[#This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26"/>
      <c r="Q379" s="126"/>
      <c r="R379" s="4">
        <f>SUM(MC[[#This Row],[ICR1]:[ICR12]])</f>
        <v>0</v>
      </c>
      <c r="S379" s="133"/>
      <c r="T379" s="133"/>
      <c r="U379" s="133"/>
      <c r="V379" s="133"/>
      <c r="W379" s="133"/>
      <c r="X379" s="133"/>
      <c r="Y379" s="133"/>
    </row>
    <row r="380" spans="1:25">
      <c r="A380" s="133">
        <v>378</v>
      </c>
      <c r="B380" s="127">
        <f t="shared" si="5"/>
        <v>46066</v>
      </c>
      <c r="C380" s="238">
        <f>YEAR(MC[[#This Row],[Date]])+IF(MONTH(MC[[#This Row],[Date]])&gt;=4,1,0)</f>
        <v>2026</v>
      </c>
      <c r="D380" s="130">
        <f>YEAR(MC[[#This Row],[Date]])</f>
        <v>2026</v>
      </c>
      <c r="E380" s="351" t="s">
        <v>218</v>
      </c>
      <c r="F380" s="351" t="s">
        <v>218</v>
      </c>
      <c r="G380" s="4" t="str">
        <f>TEXT(MC[[#This Row],[Date]],"mmm-yy")</f>
        <v>Feb-26</v>
      </c>
      <c r="H380" s="4">
        <f>DAY(EOMONTH(MC[[#This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26"/>
      <c r="Q380" s="126"/>
      <c r="R380" s="4">
        <f>SUM(MC[[#This Row],[ICR1]:[ICR12]])</f>
        <v>0</v>
      </c>
      <c r="S380" s="133"/>
      <c r="T380" s="133"/>
      <c r="U380" s="133"/>
      <c r="V380" s="133"/>
      <c r="W380" s="133"/>
      <c r="X380" s="133"/>
      <c r="Y380" s="133"/>
    </row>
    <row r="381" spans="1:25">
      <c r="A381" s="133">
        <v>379</v>
      </c>
      <c r="B381" s="127">
        <f t="shared" si="5"/>
        <v>46067</v>
      </c>
      <c r="C381" s="238">
        <f>YEAR(MC[[#This Row],[Date]])+IF(MONTH(MC[[#This Row],[Date]])&gt;=4,1,0)</f>
        <v>2026</v>
      </c>
      <c r="D381" s="130">
        <f>YEAR(MC[[#This Row],[Date]])</f>
        <v>2026</v>
      </c>
      <c r="E381" s="351" t="s">
        <v>218</v>
      </c>
      <c r="F381" s="351" t="s">
        <v>218</v>
      </c>
      <c r="G381" s="4" t="str">
        <f>TEXT(MC[[#This Row],[Date]],"mmm-yy")</f>
        <v>Feb-26</v>
      </c>
      <c r="H381" s="4">
        <f>DAY(EOMONTH(MC[[#This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26"/>
      <c r="Q381" s="126"/>
      <c r="R381" s="4">
        <f>SUM(MC[[#This Row],[ICR1]:[ICR12]])</f>
        <v>0</v>
      </c>
      <c r="S381" s="133"/>
      <c r="T381" s="133"/>
      <c r="U381" s="133"/>
      <c r="V381" s="133"/>
      <c r="W381" s="133"/>
      <c r="X381" s="133"/>
      <c r="Y381" s="133"/>
    </row>
    <row r="382" spans="1:25">
      <c r="P382" s="126"/>
      <c r="Q382" s="126"/>
    </row>
    <row r="383" spans="1:25">
      <c r="P383" s="126"/>
      <c r="Q383" s="126"/>
    </row>
    <row r="384" spans="1:25">
      <c r="P384" s="126"/>
      <c r="Q384" s="126"/>
    </row>
    <row r="385" spans="16:17">
      <c r="P385" s="126"/>
      <c r="Q385" s="126"/>
    </row>
    <row r="386" spans="16:17">
      <c r="P386" s="126"/>
      <c r="Q386" s="126"/>
    </row>
    <row r="387" spans="16:17">
      <c r="P387" s="126"/>
      <c r="Q387" s="126"/>
    </row>
    <row r="388" spans="16:17">
      <c r="P388" s="126"/>
      <c r="Q388" s="126"/>
    </row>
    <row r="389" spans="16:17">
      <c r="P389" s="126"/>
      <c r="Q389" s="126"/>
    </row>
    <row r="390" spans="16:17">
      <c r="P390" s="126"/>
      <c r="Q390" s="126"/>
    </row>
    <row r="391" spans="16:17">
      <c r="P391" s="126"/>
      <c r="Q391" s="126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409</v>
      </c>
      <c r="T2" s="124" t="s">
        <v>410</v>
      </c>
      <c r="U2" s="124" t="s">
        <v>411</v>
      </c>
      <c r="V2" s="124" t="s">
        <v>412</v>
      </c>
      <c r="W2" s="124" t="s">
        <v>413</v>
      </c>
      <c r="X2" s="124" t="s">
        <v>414</v>
      </c>
      <c r="Y2" s="124" t="s">
        <v>415</v>
      </c>
      <c r="Z2" s="124" t="s">
        <v>416</v>
      </c>
    </row>
    <row r="3" spans="1:26">
      <c r="A3" s="126">
        <v>1</v>
      </c>
      <c r="B3" s="127">
        <v>45689</v>
      </c>
      <c r="C3" s="128">
        <f>YEAR(MC_2[[#This Row],[Date]])+IF(MONTH(MC_2[[#This Row],[Date]])&gt;=4,1,0)</f>
        <v>2025</v>
      </c>
      <c r="D3" s="129">
        <f>YEAR(MC_2[[#This Row],[Date]])</f>
        <v>2025</v>
      </c>
      <c r="E3" s="126" t="s">
        <v>219</v>
      </c>
      <c r="F3" s="126" t="s">
        <v>219</v>
      </c>
      <c r="G3" s="130" t="str">
        <f>TEXT(MC_2[[#This Row],[Date]],"mmm-yy")</f>
        <v>Feb-25</v>
      </c>
      <c r="H3" s="130">
        <f>DAY(EOMONTH(MC_2[[#This Row],[Month Year]],0))</f>
        <v>28</v>
      </c>
      <c r="I3" s="126"/>
      <c r="J3" s="126"/>
      <c r="K3" s="126">
        <v>522</v>
      </c>
      <c r="L3" s="126">
        <v>0</v>
      </c>
      <c r="M3" s="126">
        <v>0</v>
      </c>
      <c r="N3" s="126">
        <v>0</v>
      </c>
      <c r="O3" s="126"/>
      <c r="P3" s="133"/>
      <c r="Q3" s="133"/>
      <c r="R3" s="133"/>
      <c r="S3" s="4"/>
      <c r="T3" s="131"/>
      <c r="U3" s="131"/>
      <c r="V3" s="131"/>
      <c r="W3" s="131"/>
      <c r="X3" s="126"/>
      <c r="Y3" s="126"/>
      <c r="Z3" s="132"/>
    </row>
    <row r="4" spans="1:26">
      <c r="A4" s="133">
        <v>2</v>
      </c>
      <c r="B4" s="127">
        <f>B3+1</f>
        <v>45690</v>
      </c>
      <c r="C4" s="128">
        <f>YEAR(MC_2[[#This Row],[Date]])+IF(MONTH(MC_2[[#This Row],[Date]])&gt;=4,1,0)</f>
        <v>2025</v>
      </c>
      <c r="D4" s="129">
        <f>YEAR(MC_2[[#This Row],[Date]])</f>
        <v>2025</v>
      </c>
      <c r="E4" s="126" t="s">
        <v>219</v>
      </c>
      <c r="F4" s="126" t="s">
        <v>219</v>
      </c>
      <c r="G4" s="130" t="str">
        <f>TEXT(MC_2[[#This Row],[Date]],"mmm-yy")</f>
        <v>Feb-25</v>
      </c>
      <c r="H4" s="130">
        <f>DAY(EOMONTH(MC_2[[#This Row],[Month Year]],0))</f>
        <v>28</v>
      </c>
      <c r="I4" s="133"/>
      <c r="J4" s="133"/>
      <c r="K4" s="133">
        <v>1044</v>
      </c>
      <c r="L4" s="133">
        <v>0</v>
      </c>
      <c r="M4" s="133">
        <v>0</v>
      </c>
      <c r="N4" s="133">
        <v>0</v>
      </c>
      <c r="O4" s="133"/>
      <c r="P4" s="133"/>
      <c r="Q4" s="133"/>
      <c r="R4" s="133"/>
      <c r="S4" s="4"/>
      <c r="T4" s="134"/>
      <c r="U4" s="134"/>
      <c r="V4" s="134"/>
      <c r="W4" s="134"/>
      <c r="X4" s="133"/>
      <c r="Y4" s="133"/>
      <c r="Z4" s="132"/>
    </row>
    <row r="5" spans="1:26">
      <c r="A5" s="133">
        <v>3</v>
      </c>
      <c r="B5" s="127">
        <f t="shared" ref="B5:B68" si="0">B4+1</f>
        <v>45691</v>
      </c>
      <c r="C5" s="128">
        <f>YEAR(MC_2[[#This Row],[Date]])+IF(MONTH(MC_2[[#This Row],[Date]])&gt;=4,1,0)</f>
        <v>2025</v>
      </c>
      <c r="D5" s="129">
        <f>YEAR(MC_2[[#This Row],[Date]])</f>
        <v>2025</v>
      </c>
      <c r="E5" s="126" t="s">
        <v>219</v>
      </c>
      <c r="F5" s="126" t="s">
        <v>219</v>
      </c>
      <c r="G5" s="130" t="str">
        <f>TEXT(MC_2[[#This Row],[Date]],"mmm-yy")</f>
        <v>Feb-25</v>
      </c>
      <c r="H5" s="130">
        <f>DAY(EOMONTH(MC_2[[#This Row],[Month Year]],0))</f>
        <v>28</v>
      </c>
      <c r="I5" s="133"/>
      <c r="J5" s="133"/>
      <c r="K5" s="133">
        <v>1450</v>
      </c>
      <c r="L5" s="133">
        <v>0</v>
      </c>
      <c r="M5" s="133">
        <v>0</v>
      </c>
      <c r="N5" s="133">
        <v>0</v>
      </c>
      <c r="O5" s="133"/>
      <c r="P5" s="133"/>
      <c r="Q5" s="133"/>
      <c r="R5" s="133"/>
      <c r="S5" s="4"/>
      <c r="T5" s="133"/>
      <c r="U5" s="133"/>
      <c r="V5" s="134"/>
      <c r="W5" s="134"/>
      <c r="X5" s="133"/>
      <c r="Y5" s="133"/>
      <c r="Z5" s="133"/>
    </row>
    <row r="6" spans="1:26">
      <c r="A6" s="133">
        <v>4</v>
      </c>
      <c r="B6" s="127">
        <f t="shared" si="0"/>
        <v>45692</v>
      </c>
      <c r="C6" s="128">
        <f>YEAR(MC_2[[#This Row],[Date]])+IF(MONTH(MC_2[[#This Row],[Date]])&gt;=4,1,0)</f>
        <v>2025</v>
      </c>
      <c r="D6" s="129">
        <f>YEAR(MC_2[[#This Row],[Date]])</f>
        <v>2025</v>
      </c>
      <c r="E6" s="126" t="s">
        <v>219</v>
      </c>
      <c r="F6" s="126" t="s">
        <v>219</v>
      </c>
      <c r="G6" s="130" t="str">
        <f>TEXT(MC_2[[#This Row],[Date]],"mmm-yy")</f>
        <v>Feb-25</v>
      </c>
      <c r="H6" s="130">
        <f>DAY(EOMONTH(MC_2[[#This Row],[Month Year]],0))</f>
        <v>28</v>
      </c>
      <c r="I6" s="133"/>
      <c r="J6" s="133"/>
      <c r="K6" s="133">
        <v>1392</v>
      </c>
      <c r="L6" s="133">
        <v>0</v>
      </c>
      <c r="M6" s="133">
        <v>0</v>
      </c>
      <c r="N6" s="133">
        <v>0</v>
      </c>
      <c r="O6" s="133"/>
      <c r="P6" s="133"/>
      <c r="Q6" s="133"/>
      <c r="R6" s="133"/>
      <c r="S6" s="4"/>
      <c r="T6" s="134"/>
      <c r="U6" s="134"/>
      <c r="V6" s="134"/>
      <c r="W6" s="134"/>
      <c r="X6" s="133"/>
      <c r="Y6" s="133"/>
      <c r="Z6" s="133"/>
    </row>
    <row r="7" spans="1:26">
      <c r="A7" s="133">
        <v>5</v>
      </c>
      <c r="B7" s="127">
        <f t="shared" si="0"/>
        <v>45693</v>
      </c>
      <c r="C7" s="128">
        <f>YEAR(MC_2[[#This Row],[Date]])+IF(MONTH(MC_2[[#This Row],[Date]])&gt;=4,1,0)</f>
        <v>2025</v>
      </c>
      <c r="D7" s="129">
        <f>YEAR(MC_2[[#This Row],[Date]])</f>
        <v>2025</v>
      </c>
      <c r="E7" s="126" t="s">
        <v>219</v>
      </c>
      <c r="F7" s="126" t="s">
        <v>219</v>
      </c>
      <c r="G7" s="130" t="str">
        <f>TEXT(MC_2[[#This Row],[Date]],"mmm-yy")</f>
        <v>Feb-25</v>
      </c>
      <c r="H7" s="130">
        <f>DAY(EOMONTH(MC_2[[#This Row],[Month Year]],0))</f>
        <v>28</v>
      </c>
      <c r="I7" s="133"/>
      <c r="J7" s="133"/>
      <c r="K7" s="133">
        <v>1450</v>
      </c>
      <c r="L7" s="133">
        <v>0</v>
      </c>
      <c r="M7" s="133">
        <v>0</v>
      </c>
      <c r="N7" s="133">
        <v>0</v>
      </c>
      <c r="O7" s="133"/>
      <c r="P7" s="133"/>
      <c r="Q7" s="133"/>
      <c r="R7" s="133"/>
      <c r="S7" s="4"/>
      <c r="T7" s="134"/>
      <c r="U7" s="134"/>
      <c r="V7" s="134"/>
      <c r="W7" s="134"/>
      <c r="X7" s="133"/>
      <c r="Y7" s="133"/>
      <c r="Z7" s="133"/>
    </row>
    <row r="8" spans="1:26">
      <c r="A8" s="133">
        <v>6</v>
      </c>
      <c r="B8" s="127">
        <f t="shared" si="0"/>
        <v>45694</v>
      </c>
      <c r="C8" s="128">
        <f>YEAR(MC_2[[#This Row],[Date]])+IF(MONTH(MC_2[[#This Row],[Date]])&gt;=4,1,0)</f>
        <v>2025</v>
      </c>
      <c r="D8" s="129">
        <f>YEAR(MC_2[[#This Row],[Date]])</f>
        <v>2025</v>
      </c>
      <c r="E8" s="126" t="s">
        <v>219</v>
      </c>
      <c r="F8" s="126" t="s">
        <v>219</v>
      </c>
      <c r="G8" s="130" t="str">
        <f>TEXT(MC_2[[#This Row],[Date]],"mmm-yy")</f>
        <v>Feb-25</v>
      </c>
      <c r="H8" s="130">
        <f>DAY(EOMONTH(MC_2[[#This Row],[Month Year]],0))</f>
        <v>28</v>
      </c>
      <c r="I8" s="133"/>
      <c r="J8" s="133"/>
      <c r="K8" s="133">
        <v>1102</v>
      </c>
      <c r="L8" s="133">
        <v>0</v>
      </c>
      <c r="M8" s="133">
        <v>0</v>
      </c>
      <c r="N8" s="133">
        <v>0</v>
      </c>
      <c r="O8" s="133"/>
      <c r="P8" s="133"/>
      <c r="Q8" s="133"/>
      <c r="R8" s="133"/>
      <c r="S8" s="4"/>
      <c r="T8" s="133"/>
      <c r="U8" s="133"/>
      <c r="V8" s="133"/>
      <c r="W8" s="133"/>
      <c r="X8" s="133"/>
      <c r="Y8" s="133"/>
      <c r="Z8" s="133"/>
    </row>
    <row r="9" spans="1:26">
      <c r="A9" s="133">
        <v>7</v>
      </c>
      <c r="B9" s="127">
        <f t="shared" si="0"/>
        <v>45695</v>
      </c>
      <c r="C9" s="128">
        <f>YEAR(MC_2[[#This Row],[Date]])+IF(MONTH(MC_2[[#This Row],[Date]])&gt;=4,1,0)</f>
        <v>2025</v>
      </c>
      <c r="D9" s="129">
        <f>YEAR(MC_2[[#This Row],[Date]])</f>
        <v>2025</v>
      </c>
      <c r="E9" s="126" t="s">
        <v>219</v>
      </c>
      <c r="F9" s="126" t="s">
        <v>219</v>
      </c>
      <c r="G9" s="130" t="str">
        <f>TEXT(MC_2[[#This Row],[Date]],"mmm-yy")</f>
        <v>Feb-25</v>
      </c>
      <c r="H9" s="130">
        <f>DAY(EOMONTH(MC_2[[#This Row],[Month Year]],0))</f>
        <v>28</v>
      </c>
      <c r="I9" s="133"/>
      <c r="J9" s="133"/>
      <c r="K9" s="133">
        <v>1682</v>
      </c>
      <c r="L9" s="133">
        <v>0</v>
      </c>
      <c r="M9" s="133">
        <v>0</v>
      </c>
      <c r="N9" s="133">
        <v>0</v>
      </c>
      <c r="O9" s="133"/>
      <c r="P9" s="133"/>
      <c r="Q9" s="133"/>
      <c r="R9" s="133"/>
      <c r="S9" s="4"/>
      <c r="T9" s="133"/>
      <c r="U9" s="133"/>
      <c r="V9" s="134"/>
      <c r="W9" s="134"/>
      <c r="X9" s="133"/>
      <c r="Y9" s="133"/>
      <c r="Z9" s="133"/>
    </row>
    <row r="10" spans="1:26">
      <c r="A10" s="133">
        <v>8</v>
      </c>
      <c r="B10" s="127">
        <f t="shared" si="0"/>
        <v>45696</v>
      </c>
      <c r="C10" s="128">
        <f>YEAR(MC_2[[#This Row],[Date]])+IF(MONTH(MC_2[[#This Row],[Date]])&gt;=4,1,0)</f>
        <v>2025</v>
      </c>
      <c r="D10" s="129">
        <f>YEAR(MC_2[[#This Row],[Date]])</f>
        <v>2025</v>
      </c>
      <c r="E10" s="126" t="s">
        <v>219</v>
      </c>
      <c r="F10" s="126" t="s">
        <v>219</v>
      </c>
      <c r="G10" s="130" t="str">
        <f>TEXT(MC_2[[#This Row],[Date]],"mmm-yy")</f>
        <v>Feb-25</v>
      </c>
      <c r="H10" s="130">
        <f>DAY(EOMONTH(MC_2[[#This Row],[Month Year]],0))</f>
        <v>28</v>
      </c>
      <c r="I10" s="133"/>
      <c r="J10" s="133"/>
      <c r="K10" s="133">
        <v>0</v>
      </c>
      <c r="L10" s="133">
        <v>1450</v>
      </c>
      <c r="M10" s="133">
        <v>0</v>
      </c>
      <c r="N10" s="133">
        <v>0</v>
      </c>
      <c r="O10" s="133"/>
      <c r="P10" s="133"/>
      <c r="Q10" s="133"/>
      <c r="R10" s="133"/>
      <c r="S10" s="4"/>
      <c r="T10" s="134"/>
      <c r="U10" s="134"/>
      <c r="V10" s="134"/>
      <c r="W10" s="134"/>
      <c r="X10" s="133"/>
      <c r="Y10" s="133"/>
      <c r="Z10" s="133"/>
    </row>
    <row r="11" spans="1:26">
      <c r="A11" s="133">
        <v>9</v>
      </c>
      <c r="B11" s="127">
        <f t="shared" si="0"/>
        <v>45697</v>
      </c>
      <c r="C11" s="128">
        <f>YEAR(MC_2[[#This Row],[Date]])+IF(MONTH(MC_2[[#This Row],[Date]])&gt;=4,1,0)</f>
        <v>2025</v>
      </c>
      <c r="D11" s="129">
        <f>YEAR(MC_2[[#This Row],[Date]])</f>
        <v>2025</v>
      </c>
      <c r="E11" s="126" t="s">
        <v>219</v>
      </c>
      <c r="F11" s="126" t="s">
        <v>219</v>
      </c>
      <c r="G11" s="130" t="str">
        <f>TEXT(MC_2[[#This Row],[Date]],"mmm-yy")</f>
        <v>Feb-25</v>
      </c>
      <c r="H11" s="130">
        <f>DAY(EOMONTH(MC_2[[#This Row],[Month Year]],0))</f>
        <v>28</v>
      </c>
      <c r="I11" s="133"/>
      <c r="J11" s="133"/>
      <c r="K11" s="133">
        <v>0</v>
      </c>
      <c r="L11" s="133">
        <v>1247</v>
      </c>
      <c r="M11" s="133">
        <v>0</v>
      </c>
      <c r="N11" s="133">
        <v>0</v>
      </c>
      <c r="O11" s="133"/>
      <c r="P11" s="133"/>
      <c r="Q11" s="133"/>
      <c r="R11" s="133"/>
      <c r="S11" s="4"/>
      <c r="T11" s="134"/>
      <c r="U11" s="134"/>
      <c r="V11" s="134"/>
      <c r="W11" s="134"/>
      <c r="X11" s="133"/>
      <c r="Y11" s="133"/>
      <c r="Z11" s="133"/>
    </row>
    <row r="12" spans="1:26">
      <c r="A12" s="133">
        <v>10</v>
      </c>
      <c r="B12" s="127">
        <f t="shared" si="0"/>
        <v>45698</v>
      </c>
      <c r="C12" s="128">
        <f>YEAR(MC_2[[#This Row],[Date]])+IF(MONTH(MC_2[[#This Row],[Date]])&gt;=4,1,0)</f>
        <v>2025</v>
      </c>
      <c r="D12" s="129">
        <f>YEAR(MC_2[[#This Row],[Date]])</f>
        <v>2025</v>
      </c>
      <c r="E12" s="126" t="s">
        <v>219</v>
      </c>
      <c r="F12" s="126" t="s">
        <v>219</v>
      </c>
      <c r="G12" s="130" t="str">
        <f>TEXT(MC_2[[#This Row],[Date]],"mmm-yy")</f>
        <v>Feb-25</v>
      </c>
      <c r="H12" s="130">
        <f>DAY(EOMONTH(MC_2[[#This Row],[Month Year]],0))</f>
        <v>28</v>
      </c>
      <c r="I12" s="133"/>
      <c r="J12" s="133"/>
      <c r="K12" s="133">
        <v>0</v>
      </c>
      <c r="L12" s="133">
        <v>0</v>
      </c>
      <c r="M12" s="133">
        <v>870</v>
      </c>
      <c r="N12" s="133">
        <v>580</v>
      </c>
      <c r="O12" s="133"/>
      <c r="P12" s="133"/>
      <c r="Q12" s="133"/>
      <c r="R12" s="133"/>
      <c r="S12" s="4"/>
      <c r="T12" s="133"/>
      <c r="U12" s="133"/>
      <c r="V12" s="134"/>
      <c r="W12" s="134"/>
      <c r="X12" s="133"/>
      <c r="Y12" s="133"/>
      <c r="Z12" s="133"/>
    </row>
    <row r="13" spans="1:26">
      <c r="A13" s="133">
        <v>11</v>
      </c>
      <c r="B13" s="127">
        <f t="shared" si="0"/>
        <v>45699</v>
      </c>
      <c r="C13" s="128">
        <f>YEAR(MC_2[[#This Row],[Date]])+IF(MONTH(MC_2[[#This Row],[Date]])&gt;=4,1,0)</f>
        <v>2025</v>
      </c>
      <c r="D13" s="129">
        <f>YEAR(MC_2[[#This Row],[Date]])</f>
        <v>2025</v>
      </c>
      <c r="E13" s="126" t="s">
        <v>219</v>
      </c>
      <c r="F13" s="126" t="s">
        <v>219</v>
      </c>
      <c r="G13" s="130" t="str">
        <f>TEXT(MC_2[[#This Row],[Date]],"mmm-yy")</f>
        <v>Feb-25</v>
      </c>
      <c r="H13" s="130">
        <f>DAY(EOMONTH(MC_2[[#This Row],[Month Year]],0))</f>
        <v>28</v>
      </c>
      <c r="I13" s="133"/>
      <c r="J13" s="133"/>
      <c r="K13" s="133">
        <v>0</v>
      </c>
      <c r="L13" s="133">
        <v>0</v>
      </c>
      <c r="M13" s="133">
        <v>0</v>
      </c>
      <c r="N13" s="133">
        <v>1102</v>
      </c>
      <c r="O13" s="133"/>
      <c r="P13" s="133"/>
      <c r="Q13" s="133"/>
      <c r="R13" s="133"/>
      <c r="S13" s="4"/>
      <c r="T13" s="134"/>
      <c r="U13" s="134"/>
      <c r="V13" s="134"/>
      <c r="W13" s="134"/>
      <c r="X13" s="133"/>
      <c r="Y13" s="133"/>
      <c r="Z13" s="133"/>
    </row>
    <row r="14" spans="1:26">
      <c r="A14" s="133">
        <v>12</v>
      </c>
      <c r="B14" s="127">
        <f t="shared" si="0"/>
        <v>45700</v>
      </c>
      <c r="C14" s="128">
        <f>YEAR(MC_2[[#This Row],[Date]])+IF(MONTH(MC_2[[#This Row],[Date]])&gt;=4,1,0)</f>
        <v>2025</v>
      </c>
      <c r="D14" s="129">
        <f>YEAR(MC_2[[#This Row],[Date]])</f>
        <v>2025</v>
      </c>
      <c r="E14" s="126" t="s">
        <v>219</v>
      </c>
      <c r="F14" s="126" t="s">
        <v>219</v>
      </c>
      <c r="G14" s="130" t="str">
        <f>TEXT(MC_2[[#This Row],[Date]],"mmm-yy")</f>
        <v>Feb-25</v>
      </c>
      <c r="H14" s="130">
        <f>DAY(EOMONTH(MC_2[[#This Row],[Month Year]],0))</f>
        <v>28</v>
      </c>
      <c r="I14" s="133"/>
      <c r="J14" s="133"/>
      <c r="K14" s="133">
        <v>0</v>
      </c>
      <c r="L14" s="133">
        <v>0</v>
      </c>
      <c r="M14" s="133">
        <v>0</v>
      </c>
      <c r="N14" s="133">
        <v>435</v>
      </c>
      <c r="O14" s="133"/>
      <c r="P14" s="133"/>
      <c r="Q14" s="133"/>
      <c r="R14" s="133"/>
      <c r="S14" s="4"/>
      <c r="T14" s="134"/>
      <c r="U14" s="134"/>
      <c r="V14" s="134"/>
      <c r="W14" s="134"/>
      <c r="X14" s="133"/>
      <c r="Y14" s="133"/>
      <c r="Z14" s="133"/>
    </row>
    <row r="15" spans="1:26">
      <c r="A15" s="133">
        <v>13</v>
      </c>
      <c r="B15" s="127">
        <f t="shared" si="0"/>
        <v>45701</v>
      </c>
      <c r="C15" s="128">
        <f>YEAR(MC_2[[#This Row],[Date]])+IF(MONTH(MC_2[[#This Row],[Date]])&gt;=4,1,0)</f>
        <v>2025</v>
      </c>
      <c r="D15" s="129">
        <f>YEAR(MC_2[[#This Row],[Date]])</f>
        <v>2025</v>
      </c>
      <c r="E15" s="126" t="s">
        <v>219</v>
      </c>
      <c r="F15" s="126" t="s">
        <v>219</v>
      </c>
      <c r="G15" s="130" t="str">
        <f>TEXT(MC_2[[#This Row],[Date]],"mmm-yy")</f>
        <v>Feb-25</v>
      </c>
      <c r="H15" s="130">
        <f>DAY(EOMONTH(MC_2[[#This Row],[Month Year]],0))</f>
        <v>28</v>
      </c>
      <c r="I15" s="133"/>
      <c r="J15" s="133"/>
      <c r="K15" s="133">
        <v>0</v>
      </c>
      <c r="L15" s="133">
        <v>0</v>
      </c>
      <c r="M15" s="133">
        <v>0</v>
      </c>
      <c r="N15" s="133">
        <v>0</v>
      </c>
      <c r="O15" s="133"/>
      <c r="P15" s="133"/>
      <c r="Q15" s="133"/>
      <c r="R15" s="133"/>
      <c r="S15" s="4"/>
      <c r="T15" s="134"/>
      <c r="U15" s="134"/>
      <c r="V15" s="134"/>
      <c r="W15" s="134"/>
      <c r="X15" s="133"/>
      <c r="Y15" s="133"/>
      <c r="Z15" s="133"/>
    </row>
    <row r="16" spans="1:26">
      <c r="A16" s="133">
        <v>14</v>
      </c>
      <c r="B16" s="127">
        <f t="shared" si="0"/>
        <v>45702</v>
      </c>
      <c r="C16" s="128">
        <f>YEAR(MC_2[[#This Row],[Date]])+IF(MONTH(MC_2[[#This Row],[Date]])&gt;=4,1,0)</f>
        <v>2025</v>
      </c>
      <c r="D16" s="129">
        <f>YEAR(MC_2[[#This Row],[Date]])</f>
        <v>2025</v>
      </c>
      <c r="E16" s="126" t="s">
        <v>219</v>
      </c>
      <c r="F16" s="126" t="s">
        <v>219</v>
      </c>
      <c r="G16" s="130" t="str">
        <f>TEXT(MC_2[[#This Row],[Date]],"mmm-yy")</f>
        <v>Feb-25</v>
      </c>
      <c r="H16" s="130">
        <f>DAY(EOMONTH(MC_2[[#This Row],[Month Year]],0))</f>
        <v>28</v>
      </c>
      <c r="I16" s="133"/>
      <c r="J16" s="133"/>
      <c r="K16" s="133">
        <v>0</v>
      </c>
      <c r="L16" s="133">
        <v>0</v>
      </c>
      <c r="M16" s="133">
        <v>0</v>
      </c>
      <c r="N16" s="133">
        <v>812</v>
      </c>
      <c r="O16" s="133"/>
      <c r="P16" s="133"/>
      <c r="Q16" s="133"/>
      <c r="R16" s="133"/>
      <c r="S16" s="4"/>
      <c r="T16" s="134"/>
      <c r="U16" s="134"/>
      <c r="V16" s="134"/>
      <c r="W16" s="134"/>
      <c r="X16" s="133"/>
      <c r="Y16" s="133"/>
      <c r="Z16" s="133"/>
    </row>
    <row r="17" spans="1:26">
      <c r="A17" s="133">
        <v>15</v>
      </c>
      <c r="B17" s="127">
        <f t="shared" si="0"/>
        <v>45703</v>
      </c>
      <c r="C17" s="128">
        <f>YEAR(MC_2[[#This Row],[Date]])+IF(MONTH(MC_2[[#This Row],[Date]])&gt;=4,1,0)</f>
        <v>2025</v>
      </c>
      <c r="D17" s="129">
        <f>YEAR(MC_2[[#This Row],[Date]])</f>
        <v>2025</v>
      </c>
      <c r="E17" s="126" t="s">
        <v>219</v>
      </c>
      <c r="F17" s="126" t="s">
        <v>219</v>
      </c>
      <c r="G17" s="130" t="str">
        <f>TEXT(MC_2[[#This Row],[Date]],"mmm-yy")</f>
        <v>Feb-25</v>
      </c>
      <c r="H17" s="130">
        <f>DAY(EOMONTH(MC_2[[#This Row],[Month Year]],0))</f>
        <v>28</v>
      </c>
      <c r="I17" s="133"/>
      <c r="J17" s="133"/>
      <c r="K17" s="133">
        <v>1276</v>
      </c>
      <c r="L17" s="133">
        <v>0</v>
      </c>
      <c r="M17" s="133">
        <v>0</v>
      </c>
      <c r="N17" s="133">
        <v>0</v>
      </c>
      <c r="O17" s="133"/>
      <c r="P17" s="133"/>
      <c r="Q17" s="133"/>
      <c r="R17" s="133"/>
      <c r="S17" s="4"/>
      <c r="T17" s="134"/>
      <c r="U17" s="134"/>
      <c r="V17" s="134"/>
      <c r="W17" s="134"/>
      <c r="X17" s="133"/>
      <c r="Y17" s="133"/>
      <c r="Z17" s="133"/>
    </row>
    <row r="18" spans="1:26">
      <c r="A18" s="133">
        <v>16</v>
      </c>
      <c r="B18" s="127">
        <f t="shared" si="0"/>
        <v>45704</v>
      </c>
      <c r="C18" s="128">
        <f>YEAR(MC_2[[#This Row],[Date]])+IF(MONTH(MC_2[[#This Row],[Date]])&gt;=4,1,0)</f>
        <v>2025</v>
      </c>
      <c r="D18" s="129">
        <f>YEAR(MC_2[[#This Row],[Date]])</f>
        <v>2025</v>
      </c>
      <c r="E18" s="126" t="s">
        <v>219</v>
      </c>
      <c r="F18" s="126" t="s">
        <v>219</v>
      </c>
      <c r="G18" s="130" t="str">
        <f>TEXT(MC_2[[#This Row],[Date]],"mmm-yy")</f>
        <v>Feb-25</v>
      </c>
      <c r="H18" s="130">
        <f>DAY(EOMONTH(MC_2[[#This Row],[Month Year]],0))</f>
        <v>28</v>
      </c>
      <c r="I18" s="133"/>
      <c r="J18" s="133"/>
      <c r="K18" s="133">
        <v>1160</v>
      </c>
      <c r="L18" s="133">
        <v>725</v>
      </c>
      <c r="M18" s="133">
        <v>0</v>
      </c>
      <c r="N18" s="133">
        <v>0</v>
      </c>
      <c r="O18" s="133"/>
      <c r="P18" s="133"/>
      <c r="Q18" s="133"/>
      <c r="R18" s="133"/>
      <c r="S18" s="4"/>
      <c r="T18" s="134"/>
      <c r="U18" s="134"/>
      <c r="V18" s="134"/>
      <c r="W18" s="134"/>
      <c r="X18" s="133"/>
      <c r="Y18" s="133"/>
      <c r="Z18" s="133"/>
    </row>
    <row r="19" spans="1:26">
      <c r="A19" s="133">
        <v>17</v>
      </c>
      <c r="B19" s="127">
        <f t="shared" si="0"/>
        <v>45705</v>
      </c>
      <c r="C19" s="128">
        <f>YEAR(MC_2[[#This Row],[Date]])+IF(MONTH(MC_2[[#This Row],[Date]])&gt;=4,1,0)</f>
        <v>2025</v>
      </c>
      <c r="D19" s="129">
        <f>YEAR(MC_2[[#This Row],[Date]])</f>
        <v>2025</v>
      </c>
      <c r="E19" s="126" t="s">
        <v>219</v>
      </c>
      <c r="F19" s="126" t="s">
        <v>219</v>
      </c>
      <c r="G19" s="130" t="str">
        <f>TEXT(MC_2[[#This Row],[Date]],"mmm-yy")</f>
        <v>Feb-25</v>
      </c>
      <c r="H19" s="130">
        <f>DAY(EOMONTH(MC_2[[#This Row],[Month Year]],0))</f>
        <v>28</v>
      </c>
      <c r="I19" s="133"/>
      <c r="J19" s="133"/>
      <c r="K19" s="133">
        <v>1276</v>
      </c>
      <c r="L19" s="133">
        <v>1218</v>
      </c>
      <c r="M19" s="133">
        <v>0</v>
      </c>
      <c r="N19" s="133">
        <v>0</v>
      </c>
      <c r="O19" s="133"/>
      <c r="P19" s="133"/>
      <c r="Q19" s="133"/>
      <c r="R19" s="133"/>
      <c r="S19" s="4"/>
      <c r="T19" s="134"/>
      <c r="U19" s="134"/>
      <c r="V19" s="134"/>
      <c r="W19" s="134"/>
      <c r="X19" s="133"/>
      <c r="Y19" s="133"/>
      <c r="Z19" s="133"/>
    </row>
    <row r="20" spans="1:26">
      <c r="A20" s="133">
        <v>18</v>
      </c>
      <c r="B20" s="127">
        <f t="shared" si="0"/>
        <v>45706</v>
      </c>
      <c r="C20" s="128">
        <f>YEAR(MC_2[[#This Row],[Date]])+IF(MONTH(MC_2[[#This Row],[Date]])&gt;=4,1,0)</f>
        <v>2025</v>
      </c>
      <c r="D20" s="129">
        <f>YEAR(MC_2[[#This Row],[Date]])</f>
        <v>2025</v>
      </c>
      <c r="E20" s="126" t="s">
        <v>219</v>
      </c>
      <c r="F20" s="126" t="s">
        <v>219</v>
      </c>
      <c r="G20" s="130" t="str">
        <f>TEXT(MC_2[[#This Row],[Date]],"mmm-yy")</f>
        <v>Feb-25</v>
      </c>
      <c r="H20" s="130">
        <f>DAY(EOMONTH(MC_2[[#This Row],[Month Year]],0))</f>
        <v>28</v>
      </c>
      <c r="I20" s="133"/>
      <c r="J20" s="133"/>
      <c r="K20" s="133">
        <v>0</v>
      </c>
      <c r="L20" s="133">
        <v>0</v>
      </c>
      <c r="M20" s="133">
        <v>0</v>
      </c>
      <c r="N20" s="133">
        <v>0</v>
      </c>
      <c r="O20" s="133"/>
      <c r="P20" s="133"/>
      <c r="Q20" s="133"/>
      <c r="R20" s="133"/>
      <c r="S20" s="4"/>
      <c r="T20" s="134"/>
      <c r="U20" s="134"/>
      <c r="V20" s="134"/>
      <c r="W20" s="134"/>
      <c r="X20" s="133"/>
      <c r="Y20" s="133"/>
      <c r="Z20" s="133"/>
    </row>
    <row r="21" spans="1:26">
      <c r="A21" s="133">
        <v>19</v>
      </c>
      <c r="B21" s="127">
        <f t="shared" si="0"/>
        <v>45707</v>
      </c>
      <c r="C21" s="128">
        <f>YEAR(MC_2[[#This Row],[Date]])+IF(MONTH(MC_2[[#This Row],[Date]])&gt;=4,1,0)</f>
        <v>2025</v>
      </c>
      <c r="D21" s="129">
        <f>YEAR(MC_2[[#This Row],[Date]])</f>
        <v>2025</v>
      </c>
      <c r="E21" s="126" t="s">
        <v>219</v>
      </c>
      <c r="F21" s="126" t="s">
        <v>219</v>
      </c>
      <c r="G21" s="130" t="str">
        <f>TEXT(MC_2[[#This Row],[Date]],"mmm-yy")</f>
        <v>Feb-25</v>
      </c>
      <c r="H21" s="130">
        <f>DAY(EOMONTH(MC_2[[#This Row],[Month Year]],0))</f>
        <v>28</v>
      </c>
      <c r="I21" s="133"/>
      <c r="J21" s="133"/>
      <c r="K21" s="133">
        <v>1740</v>
      </c>
      <c r="L21" s="133">
        <v>1015</v>
      </c>
      <c r="M21" s="133">
        <v>0</v>
      </c>
      <c r="N21" s="133">
        <v>0</v>
      </c>
      <c r="O21" s="133"/>
      <c r="P21" s="133"/>
      <c r="Q21" s="133"/>
      <c r="R21" s="133"/>
      <c r="S21" s="4"/>
      <c r="T21" s="134"/>
      <c r="U21" s="134"/>
      <c r="V21" s="133"/>
      <c r="W21" s="133"/>
      <c r="X21" s="133"/>
      <c r="Y21" s="133"/>
      <c r="Z21" s="133"/>
    </row>
    <row r="22" spans="1:26">
      <c r="A22" s="133">
        <v>20</v>
      </c>
      <c r="B22" s="127">
        <f t="shared" si="0"/>
        <v>45708</v>
      </c>
      <c r="C22" s="128">
        <f>YEAR(MC_2[[#This Row],[Date]])+IF(MONTH(MC_2[[#This Row],[Date]])&gt;=4,1,0)</f>
        <v>2025</v>
      </c>
      <c r="D22" s="129">
        <f>YEAR(MC_2[[#This Row],[Date]])</f>
        <v>2025</v>
      </c>
      <c r="E22" s="126" t="s">
        <v>219</v>
      </c>
      <c r="F22" s="126" t="s">
        <v>219</v>
      </c>
      <c r="G22" s="130" t="str">
        <f>TEXT(MC_2[[#This Row],[Date]],"mmm-yy")</f>
        <v>Feb-25</v>
      </c>
      <c r="H22" s="130">
        <f>DAY(EOMONTH(MC_2[[#This Row],[Month Year]],0))</f>
        <v>28</v>
      </c>
      <c r="I22" s="133"/>
      <c r="J22" s="133"/>
      <c r="K22" s="133">
        <v>1508</v>
      </c>
      <c r="L22" s="133">
        <v>1798</v>
      </c>
      <c r="M22" s="133">
        <v>0</v>
      </c>
      <c r="N22" s="133">
        <v>0</v>
      </c>
      <c r="O22" s="133"/>
      <c r="P22" s="133"/>
      <c r="Q22" s="133"/>
      <c r="R22" s="133"/>
      <c r="S22" s="4"/>
      <c r="T22" s="133"/>
      <c r="U22" s="133"/>
      <c r="V22" s="133"/>
      <c r="W22" s="133"/>
      <c r="X22" s="133"/>
      <c r="Y22" s="133"/>
      <c r="Z22" s="133"/>
    </row>
    <row r="23" spans="1:26">
      <c r="A23" s="133">
        <v>21</v>
      </c>
      <c r="B23" s="127">
        <f t="shared" si="0"/>
        <v>45709</v>
      </c>
      <c r="C23" s="128">
        <f>YEAR(MC_2[[#This Row],[Date]])+IF(MONTH(MC_2[[#This Row],[Date]])&gt;=4,1,0)</f>
        <v>2025</v>
      </c>
      <c r="D23" s="129">
        <f>YEAR(MC_2[[#This Row],[Date]])</f>
        <v>2025</v>
      </c>
      <c r="E23" s="126" t="s">
        <v>219</v>
      </c>
      <c r="F23" s="126" t="s">
        <v>219</v>
      </c>
      <c r="G23" s="130" t="str">
        <f>TEXT(MC_2[[#This Row],[Date]],"mmm-yy")</f>
        <v>Feb-25</v>
      </c>
      <c r="H23" s="130">
        <f>DAY(EOMONTH(MC_2[[#This Row],[Month Year]],0))</f>
        <v>28</v>
      </c>
      <c r="I23" s="133"/>
      <c r="J23" s="133"/>
      <c r="K23" s="133">
        <v>0</v>
      </c>
      <c r="L23" s="133">
        <v>2436</v>
      </c>
      <c r="M23" s="133">
        <v>0</v>
      </c>
      <c r="N23" s="133">
        <v>0</v>
      </c>
      <c r="O23" s="133"/>
      <c r="P23" s="133"/>
      <c r="Q23" s="133"/>
      <c r="R23" s="133"/>
      <c r="S23" s="4"/>
      <c r="T23" s="134"/>
      <c r="U23" s="134"/>
      <c r="V23" s="134"/>
      <c r="W23" s="134"/>
      <c r="X23" s="133"/>
      <c r="Y23" s="133"/>
      <c r="Z23" s="133"/>
    </row>
    <row r="24" spans="1:26">
      <c r="A24" s="133">
        <v>22</v>
      </c>
      <c r="B24" s="127">
        <f t="shared" si="0"/>
        <v>45710</v>
      </c>
      <c r="C24" s="128">
        <f>YEAR(MC_2[[#This Row],[Date]])+IF(MONTH(MC_2[[#This Row],[Date]])&gt;=4,1,0)</f>
        <v>2025</v>
      </c>
      <c r="D24" s="129">
        <f>YEAR(MC_2[[#This Row],[Date]])</f>
        <v>2025</v>
      </c>
      <c r="E24" s="126" t="s">
        <v>219</v>
      </c>
      <c r="F24" s="126" t="s">
        <v>219</v>
      </c>
      <c r="G24" s="130" t="str">
        <f>TEXT(MC_2[[#This Row],[Date]],"mmm-yy")</f>
        <v>Feb-25</v>
      </c>
      <c r="H24" s="130">
        <f>DAY(EOMONTH(MC_2[[#This Row],[Month Year]],0))</f>
        <v>28</v>
      </c>
      <c r="I24" s="133"/>
      <c r="J24" s="133"/>
      <c r="K24" s="133">
        <v>0</v>
      </c>
      <c r="L24" s="133">
        <v>2320</v>
      </c>
      <c r="M24" s="133">
        <v>0</v>
      </c>
      <c r="N24" s="133">
        <v>0</v>
      </c>
      <c r="O24" s="133"/>
      <c r="P24" s="133"/>
      <c r="Q24" s="133"/>
      <c r="R24" s="133"/>
      <c r="S24" s="4"/>
      <c r="T24" s="133"/>
      <c r="U24" s="133"/>
      <c r="V24" s="133"/>
      <c r="W24" s="133"/>
      <c r="X24" s="133"/>
      <c r="Y24" s="133"/>
      <c r="Z24" s="133"/>
    </row>
    <row r="25" spans="1:26">
      <c r="A25" s="133">
        <v>23</v>
      </c>
      <c r="B25" s="127">
        <f t="shared" si="0"/>
        <v>45711</v>
      </c>
      <c r="C25" s="128">
        <f>YEAR(MC_2[[#This Row],[Date]])+IF(MONTH(MC_2[[#This Row],[Date]])&gt;=4,1,0)</f>
        <v>2025</v>
      </c>
      <c r="D25" s="129">
        <f>YEAR(MC_2[[#This Row],[Date]])</f>
        <v>2025</v>
      </c>
      <c r="E25" s="126" t="s">
        <v>219</v>
      </c>
      <c r="F25" s="126" t="s">
        <v>219</v>
      </c>
      <c r="G25" s="130" t="str">
        <f>TEXT(MC_2[[#This Row],[Date]],"mmm-yy")</f>
        <v>Feb-25</v>
      </c>
      <c r="H25" s="130">
        <f>DAY(EOMONTH(MC_2[[#This Row],[Month Year]],0))</f>
        <v>28</v>
      </c>
      <c r="I25" s="133"/>
      <c r="J25" s="133"/>
      <c r="K25" s="133">
        <v>0</v>
      </c>
      <c r="L25" s="133">
        <v>2639</v>
      </c>
      <c r="M25" s="133">
        <v>0</v>
      </c>
      <c r="N25" s="133">
        <v>0</v>
      </c>
      <c r="O25" s="133"/>
      <c r="P25" s="133"/>
      <c r="Q25" s="133"/>
      <c r="R25" s="133"/>
      <c r="S25" s="4"/>
      <c r="T25" s="134"/>
      <c r="U25" s="134"/>
      <c r="V25" s="134"/>
      <c r="W25" s="134"/>
      <c r="X25" s="133"/>
      <c r="Y25" s="133"/>
      <c r="Z25" s="133"/>
    </row>
    <row r="26" spans="1:26">
      <c r="A26" s="133">
        <v>24</v>
      </c>
      <c r="B26" s="127">
        <f t="shared" si="0"/>
        <v>45712</v>
      </c>
      <c r="C26" s="128">
        <f>YEAR(MC_2[[#This Row],[Date]])+IF(MONTH(MC_2[[#This Row],[Date]])&gt;=4,1,0)</f>
        <v>2025</v>
      </c>
      <c r="D26" s="129">
        <f>YEAR(MC_2[[#This Row],[Date]])</f>
        <v>2025</v>
      </c>
      <c r="E26" s="126" t="s">
        <v>219</v>
      </c>
      <c r="F26" s="126" t="s">
        <v>219</v>
      </c>
      <c r="G26" s="130" t="str">
        <f>TEXT(MC_2[[#This Row],[Date]],"mmm-yy")</f>
        <v>Feb-25</v>
      </c>
      <c r="H26" s="130">
        <f>DAY(EOMONTH(MC_2[[#This Row],[Month Year]],0))</f>
        <v>28</v>
      </c>
      <c r="I26" s="133"/>
      <c r="J26" s="133"/>
      <c r="K26" s="133">
        <v>0</v>
      </c>
      <c r="L26" s="133">
        <v>2378</v>
      </c>
      <c r="M26" s="133">
        <v>0</v>
      </c>
      <c r="N26" s="133">
        <v>0</v>
      </c>
      <c r="O26" s="133"/>
      <c r="P26" s="133"/>
      <c r="Q26" s="133"/>
      <c r="R26" s="133"/>
      <c r="S26" s="4"/>
      <c r="T26" s="134"/>
      <c r="U26" s="134"/>
      <c r="V26" s="134"/>
      <c r="W26" s="134"/>
      <c r="X26" s="133"/>
      <c r="Y26" s="133"/>
      <c r="Z26" s="133"/>
    </row>
    <row r="27" spans="1:26">
      <c r="A27" s="133">
        <v>25</v>
      </c>
      <c r="B27" s="127">
        <f t="shared" si="0"/>
        <v>45713</v>
      </c>
      <c r="C27" s="128">
        <f>YEAR(MC_2[[#This Row],[Date]])+IF(MONTH(MC_2[[#This Row],[Date]])&gt;=4,1,0)</f>
        <v>2025</v>
      </c>
      <c r="D27" s="129">
        <f>YEAR(MC_2[[#This Row],[Date]])</f>
        <v>2025</v>
      </c>
      <c r="E27" s="126" t="s">
        <v>219</v>
      </c>
      <c r="F27" s="126" t="s">
        <v>219</v>
      </c>
      <c r="G27" s="130" t="str">
        <f>TEXT(MC_2[[#This Row],[Date]],"mmm-yy")</f>
        <v>Feb-25</v>
      </c>
      <c r="H27" s="130">
        <f>DAY(EOMONTH(MC_2[[#This Row],[Month Year]],0))</f>
        <v>28</v>
      </c>
      <c r="I27" s="133"/>
      <c r="J27" s="133"/>
      <c r="K27" s="133">
        <v>1450</v>
      </c>
      <c r="L27" s="133">
        <v>0</v>
      </c>
      <c r="M27" s="133">
        <v>0</v>
      </c>
      <c r="N27" s="133">
        <v>0</v>
      </c>
      <c r="O27" s="133"/>
      <c r="P27" s="133"/>
      <c r="Q27" s="133"/>
      <c r="R27" s="133"/>
      <c r="S27" s="4"/>
      <c r="T27" s="134"/>
      <c r="U27" s="134"/>
      <c r="V27" s="134"/>
      <c r="W27" s="134"/>
      <c r="X27" s="133"/>
      <c r="Y27" s="133"/>
      <c r="Z27" s="133"/>
    </row>
    <row r="28" spans="1:26">
      <c r="A28" s="133">
        <v>26</v>
      </c>
      <c r="B28" s="127">
        <f t="shared" si="0"/>
        <v>45714</v>
      </c>
      <c r="C28" s="128">
        <f>YEAR(MC_2[[#This Row],[Date]])+IF(MONTH(MC_2[[#This Row],[Date]])&gt;=4,1,0)</f>
        <v>2025</v>
      </c>
      <c r="D28" s="129">
        <f>YEAR(MC_2[[#This Row],[Date]])</f>
        <v>2025</v>
      </c>
      <c r="E28" s="126" t="s">
        <v>219</v>
      </c>
      <c r="F28" s="126" t="s">
        <v>219</v>
      </c>
      <c r="G28" s="130" t="str">
        <f>TEXT(MC_2[[#This Row],[Date]],"mmm-yy")</f>
        <v>Feb-25</v>
      </c>
      <c r="H28" s="130">
        <f>DAY(EOMONTH(MC_2[[#This Row],[Month Year]],0))</f>
        <v>28</v>
      </c>
      <c r="I28" s="133"/>
      <c r="J28" s="133"/>
      <c r="K28" s="133">
        <v>3712</v>
      </c>
      <c r="L28" s="133">
        <v>0</v>
      </c>
      <c r="M28" s="133">
        <v>0</v>
      </c>
      <c r="N28" s="133">
        <v>0</v>
      </c>
      <c r="O28" s="133"/>
      <c r="P28" s="133"/>
      <c r="Q28" s="133"/>
      <c r="R28" s="133"/>
      <c r="S28" s="4"/>
      <c r="T28" s="134"/>
      <c r="U28" s="134"/>
      <c r="V28" s="134"/>
      <c r="W28" s="134"/>
      <c r="X28" s="133"/>
      <c r="Y28" s="133"/>
      <c r="Z28" s="133"/>
    </row>
    <row r="29" spans="1:26">
      <c r="A29" s="133">
        <v>27</v>
      </c>
      <c r="B29" s="127">
        <f t="shared" si="0"/>
        <v>45715</v>
      </c>
      <c r="C29" s="128">
        <f>YEAR(MC_2[[#This Row],[Date]])+IF(MONTH(MC_2[[#This Row],[Date]])&gt;=4,1,0)</f>
        <v>2025</v>
      </c>
      <c r="D29" s="129">
        <f>YEAR(MC_2[[#This Row],[Date]])</f>
        <v>2025</v>
      </c>
      <c r="E29" s="126" t="s">
        <v>219</v>
      </c>
      <c r="F29" s="126" t="s">
        <v>219</v>
      </c>
      <c r="G29" s="130" t="str">
        <f>TEXT(MC_2[[#This Row],[Date]],"mmm-yy")</f>
        <v>Feb-25</v>
      </c>
      <c r="H29" s="130">
        <f>DAY(EOMONTH(MC_2[[#This Row],[Month Year]],0))</f>
        <v>28</v>
      </c>
      <c r="I29" s="133"/>
      <c r="J29" s="133"/>
      <c r="K29" s="133">
        <v>0</v>
      </c>
      <c r="L29" s="133">
        <v>0</v>
      </c>
      <c r="M29" s="133">
        <v>0</v>
      </c>
      <c r="N29" s="133">
        <v>0</v>
      </c>
      <c r="O29" s="133"/>
      <c r="P29" s="133"/>
      <c r="Q29" s="133"/>
      <c r="R29" s="133"/>
      <c r="S29" s="4"/>
      <c r="T29" s="134"/>
      <c r="U29" s="134"/>
      <c r="V29" s="134"/>
      <c r="W29" s="134"/>
      <c r="X29" s="133"/>
      <c r="Y29" s="133"/>
      <c r="Z29" s="133"/>
    </row>
    <row r="30" spans="1:26">
      <c r="A30" s="133">
        <v>28</v>
      </c>
      <c r="B30" s="127">
        <f t="shared" si="0"/>
        <v>45716</v>
      </c>
      <c r="C30" s="128">
        <f>YEAR(MC_2[[#This Row],[Date]])+IF(MONTH(MC_2[[#This Row],[Date]])&gt;=4,1,0)</f>
        <v>2025</v>
      </c>
      <c r="D30" s="129">
        <f>YEAR(MC_2[[#This Row],[Date]])</f>
        <v>2025</v>
      </c>
      <c r="E30" s="126" t="s">
        <v>219</v>
      </c>
      <c r="F30" s="126" t="s">
        <v>219</v>
      </c>
      <c r="G30" s="130" t="str">
        <f>TEXT(MC_2[[#This Row],[Date]],"mmm-yy")</f>
        <v>Feb-25</v>
      </c>
      <c r="H30" s="130">
        <f>DAY(EOMONTH(MC_2[[#This Row],[Month Year]],0))</f>
        <v>28</v>
      </c>
      <c r="I30" s="133"/>
      <c r="J30" s="133"/>
      <c r="K30" s="133">
        <v>1276</v>
      </c>
      <c r="L30" s="133">
        <v>580</v>
      </c>
      <c r="M30" s="133">
        <v>0</v>
      </c>
      <c r="N30" s="133">
        <v>0</v>
      </c>
      <c r="O30" s="133"/>
      <c r="P30" s="133"/>
      <c r="Q30" s="133"/>
      <c r="R30" s="133"/>
      <c r="S30" s="4"/>
      <c r="T30" s="134"/>
      <c r="U30" s="134"/>
      <c r="V30" s="134"/>
      <c r="W30" s="134"/>
      <c r="X30" s="133"/>
      <c r="Y30" s="133"/>
      <c r="Z30" s="133"/>
    </row>
    <row r="31" spans="1:26">
      <c r="A31" s="133">
        <v>29</v>
      </c>
      <c r="B31" s="127">
        <f t="shared" si="0"/>
        <v>45717</v>
      </c>
      <c r="C31" s="128">
        <f>YEAR(MC_2[[#This Row],[Date]])+IF(MONTH(MC_2[[#This Row],[Date]])&gt;=4,1,0)</f>
        <v>2025</v>
      </c>
      <c r="D31" s="129">
        <f>YEAR(MC_2[[#This Row],[Date]])</f>
        <v>2025</v>
      </c>
      <c r="E31" s="126" t="s">
        <v>219</v>
      </c>
      <c r="F31" s="126" t="s">
        <v>219</v>
      </c>
      <c r="G31" s="130" t="str">
        <f>TEXT(MC_2[[#This Row],[Date]],"mmm-yy")</f>
        <v>Mar-25</v>
      </c>
      <c r="H31" s="130">
        <f>DAY(EOMONTH(MC_2[[#This Row],[Month Year]],0))</f>
        <v>31</v>
      </c>
      <c r="I31" s="133"/>
      <c r="J31" s="133"/>
      <c r="K31" s="133">
        <v>580</v>
      </c>
      <c r="L31" s="133">
        <v>2378</v>
      </c>
      <c r="M31" s="133">
        <v>0</v>
      </c>
      <c r="N31" s="133">
        <v>0</v>
      </c>
      <c r="O31" s="133"/>
      <c r="P31" s="133"/>
      <c r="Q31" s="133"/>
      <c r="R31" s="133"/>
      <c r="S31" s="4"/>
      <c r="T31" s="134"/>
      <c r="U31" s="134"/>
      <c r="V31" s="133"/>
      <c r="W31" s="133"/>
      <c r="X31" s="133"/>
      <c r="Y31" s="133"/>
      <c r="Z31" s="133"/>
    </row>
    <row r="32" spans="1:26">
      <c r="A32" s="133">
        <v>30</v>
      </c>
      <c r="B32" s="127">
        <f t="shared" si="0"/>
        <v>45718</v>
      </c>
      <c r="C32" s="128">
        <f>YEAR(MC_2[[#This Row],[Date]])+IF(MONTH(MC_2[[#This Row],[Date]])&gt;=4,1,0)</f>
        <v>2025</v>
      </c>
      <c r="D32" s="129">
        <f>YEAR(MC_2[[#This Row],[Date]])</f>
        <v>2025</v>
      </c>
      <c r="E32" s="126" t="s">
        <v>219</v>
      </c>
      <c r="F32" s="126" t="s">
        <v>219</v>
      </c>
      <c r="G32" s="130" t="str">
        <f>TEXT(MC_2[[#This Row],[Date]],"mmm-yy")</f>
        <v>Mar-25</v>
      </c>
      <c r="H32" s="130">
        <f>DAY(EOMONTH(MC_2[[#This Row],[Month Year]],0))</f>
        <v>31</v>
      </c>
      <c r="I32" s="133"/>
      <c r="J32" s="133"/>
      <c r="K32" s="133">
        <v>0</v>
      </c>
      <c r="L32" s="133">
        <v>435</v>
      </c>
      <c r="M32" s="133">
        <v>1769</v>
      </c>
      <c r="N32" s="133">
        <v>0</v>
      </c>
      <c r="O32" s="133"/>
      <c r="P32" s="133"/>
      <c r="Q32" s="133"/>
      <c r="R32" s="133"/>
      <c r="S32" s="4"/>
      <c r="T32" s="133"/>
      <c r="U32" s="133"/>
      <c r="V32" s="133"/>
      <c r="W32" s="133"/>
      <c r="X32" s="133"/>
      <c r="Y32" s="133"/>
      <c r="Z32" s="133"/>
    </row>
    <row r="33" spans="1:26">
      <c r="A33" s="133">
        <v>31</v>
      </c>
      <c r="B33" s="127">
        <f t="shared" si="0"/>
        <v>45719</v>
      </c>
      <c r="C33" s="128">
        <f>YEAR(MC_2[[#This Row],[Date]])+IF(MONTH(MC_2[[#This Row],[Date]])&gt;=4,1,0)</f>
        <v>2025</v>
      </c>
      <c r="D33" s="129">
        <f>YEAR(MC_2[[#This Row],[Date]])</f>
        <v>2025</v>
      </c>
      <c r="E33" s="126" t="s">
        <v>219</v>
      </c>
      <c r="F33" s="126" t="s">
        <v>219</v>
      </c>
      <c r="G33" s="130" t="str">
        <f>TEXT(MC_2[[#This Row],[Date]],"mmm-yy")</f>
        <v>Mar-25</v>
      </c>
      <c r="H33" s="130">
        <f>DAY(EOMONTH(MC_2[[#This Row],[Month Year]],0))</f>
        <v>31</v>
      </c>
      <c r="I33" s="133"/>
      <c r="J33" s="133"/>
      <c r="K33" s="133">
        <v>2784</v>
      </c>
      <c r="L33" s="133">
        <v>0</v>
      </c>
      <c r="M33" s="133">
        <v>0</v>
      </c>
      <c r="N33" s="133">
        <v>0</v>
      </c>
      <c r="O33" s="133"/>
      <c r="P33" s="133"/>
      <c r="Q33" s="133"/>
      <c r="R33" s="133"/>
      <c r="S33" s="4"/>
      <c r="T33" s="133"/>
      <c r="U33" s="133"/>
      <c r="V33" s="133"/>
      <c r="W33" s="133"/>
      <c r="X33" s="133"/>
      <c r="Y33" s="133"/>
      <c r="Z33" s="133"/>
    </row>
    <row r="34" spans="1:26">
      <c r="A34" s="133">
        <v>32</v>
      </c>
      <c r="B34" s="127">
        <f t="shared" si="0"/>
        <v>45720</v>
      </c>
      <c r="C34" s="128">
        <f>YEAR(MC_2[[#This Row],[Date]])+IF(MONTH(MC_2[[#This Row],[Date]])&gt;=4,1,0)</f>
        <v>2025</v>
      </c>
      <c r="D34" s="129">
        <f>YEAR(MC_2[[#This Row],[Date]])</f>
        <v>2025</v>
      </c>
      <c r="E34" s="126" t="s">
        <v>219</v>
      </c>
      <c r="F34" s="126" t="s">
        <v>219</v>
      </c>
      <c r="G34" s="130" t="str">
        <f>TEXT(MC_2[[#This Row],[Date]],"mmm-yy")</f>
        <v>Mar-25</v>
      </c>
      <c r="H34" s="130">
        <f>DAY(EOMONTH(MC_2[[#This Row],[Month Year]],0))</f>
        <v>31</v>
      </c>
      <c r="I34" s="133"/>
      <c r="J34" s="133"/>
      <c r="K34" s="133">
        <v>0</v>
      </c>
      <c r="L34" s="133">
        <v>0</v>
      </c>
      <c r="M34" s="133">
        <v>0</v>
      </c>
      <c r="N34" s="133">
        <v>0</v>
      </c>
      <c r="O34" s="133"/>
      <c r="P34" s="133"/>
      <c r="Q34" s="133"/>
      <c r="R34" s="133"/>
      <c r="S34" s="4"/>
      <c r="T34" s="133"/>
      <c r="U34" s="133"/>
      <c r="V34" s="133"/>
      <c r="W34" s="133"/>
      <c r="X34" s="133"/>
      <c r="Y34" s="133"/>
      <c r="Z34" s="133"/>
    </row>
    <row r="35" spans="1:26">
      <c r="A35" s="133">
        <v>33</v>
      </c>
      <c r="B35" s="127">
        <f t="shared" si="0"/>
        <v>45721</v>
      </c>
      <c r="C35" s="128">
        <f>YEAR(MC_2[[#This Row],[Date]])+IF(MONTH(MC_2[[#This Row],[Date]])&gt;=4,1,0)</f>
        <v>2025</v>
      </c>
      <c r="D35" s="129">
        <f>YEAR(MC_2[[#This Row],[Date]])</f>
        <v>2025</v>
      </c>
      <c r="E35" s="126" t="s">
        <v>219</v>
      </c>
      <c r="F35" s="126" t="s">
        <v>219</v>
      </c>
      <c r="G35" s="130" t="str">
        <f>TEXT(MC_2[[#This Row],[Date]],"mmm-yy")</f>
        <v>Mar-25</v>
      </c>
      <c r="H35" s="130">
        <f>DAY(EOMONTH(MC_2[[#This Row],[Month Year]],0))</f>
        <v>31</v>
      </c>
      <c r="I35" s="133"/>
      <c r="J35" s="133"/>
      <c r="K35" s="133">
        <v>696</v>
      </c>
      <c r="L35" s="133">
        <v>0</v>
      </c>
      <c r="M35" s="133">
        <v>0</v>
      </c>
      <c r="N35" s="133">
        <v>986</v>
      </c>
      <c r="O35" s="133"/>
      <c r="P35" s="133"/>
      <c r="Q35" s="133"/>
      <c r="R35" s="133"/>
      <c r="S35" s="4"/>
      <c r="T35" s="133"/>
      <c r="U35" s="133"/>
      <c r="V35" s="133"/>
      <c r="W35" s="133"/>
      <c r="X35" s="133"/>
      <c r="Y35" s="133"/>
      <c r="Z35" s="133"/>
    </row>
    <row r="36" spans="1:26">
      <c r="A36" s="133">
        <v>34</v>
      </c>
      <c r="B36" s="127">
        <f t="shared" si="0"/>
        <v>45722</v>
      </c>
      <c r="C36" s="128">
        <f>YEAR(MC_2[[#This Row],[Date]])+IF(MONTH(MC_2[[#This Row],[Date]])&gt;=4,1,0)</f>
        <v>2025</v>
      </c>
      <c r="D36" s="129">
        <f>YEAR(MC_2[[#This Row],[Date]])</f>
        <v>2025</v>
      </c>
      <c r="E36" s="126" t="s">
        <v>219</v>
      </c>
      <c r="F36" s="126" t="s">
        <v>219</v>
      </c>
      <c r="G36" s="130" t="str">
        <f>TEXT(MC_2[[#This Row],[Date]],"mmm-yy")</f>
        <v>Mar-25</v>
      </c>
      <c r="H36" s="130">
        <f>DAY(EOMONTH(MC_2[[#This Row],[Month Year]],0))</f>
        <v>31</v>
      </c>
      <c r="I36" s="133"/>
      <c r="J36" s="133"/>
      <c r="K36" s="133">
        <v>0</v>
      </c>
      <c r="L36" s="133">
        <v>0</v>
      </c>
      <c r="M36" s="133">
        <v>0</v>
      </c>
      <c r="N36" s="133">
        <v>1972</v>
      </c>
      <c r="O36" s="133"/>
      <c r="P36" s="133"/>
      <c r="Q36" s="133"/>
      <c r="R36" s="133"/>
      <c r="S36" s="4"/>
      <c r="T36" s="133"/>
      <c r="U36" s="133"/>
      <c r="V36" s="133"/>
      <c r="W36" s="133"/>
      <c r="X36" s="133"/>
      <c r="Y36" s="133"/>
      <c r="Z36" s="133"/>
    </row>
    <row r="37" spans="1:26">
      <c r="A37" s="133">
        <v>35</v>
      </c>
      <c r="B37" s="127">
        <f t="shared" si="0"/>
        <v>45723</v>
      </c>
      <c r="C37" s="128">
        <f>YEAR(MC_2[[#This Row],[Date]])+IF(MONTH(MC_2[[#This Row],[Date]])&gt;=4,1,0)</f>
        <v>2025</v>
      </c>
      <c r="D37" s="129">
        <f>YEAR(MC_2[[#This Row],[Date]])</f>
        <v>2025</v>
      </c>
      <c r="E37" s="126" t="s">
        <v>219</v>
      </c>
      <c r="F37" s="126" t="s">
        <v>219</v>
      </c>
      <c r="G37" s="130" t="str">
        <f>TEXT(MC_2[[#This Row],[Date]],"mmm-yy")</f>
        <v>Mar-25</v>
      </c>
      <c r="H37" s="130">
        <f>DAY(EOMONTH(MC_2[[#This Row],[Month Year]],0))</f>
        <v>31</v>
      </c>
      <c r="I37" s="133"/>
      <c r="J37" s="133"/>
      <c r="K37" s="133">
        <v>928</v>
      </c>
      <c r="L37" s="133">
        <v>0</v>
      </c>
      <c r="M37" s="133">
        <v>0</v>
      </c>
      <c r="N37" s="133">
        <v>58</v>
      </c>
      <c r="O37" s="133"/>
      <c r="P37" s="133"/>
      <c r="Q37" s="133"/>
      <c r="R37" s="133"/>
      <c r="S37" s="4"/>
      <c r="T37" s="133"/>
      <c r="U37" s="133"/>
      <c r="V37" s="133"/>
      <c r="W37" s="133"/>
      <c r="X37" s="133"/>
      <c r="Y37" s="133"/>
      <c r="Z37" s="133"/>
    </row>
    <row r="38" spans="1:26">
      <c r="A38" s="133">
        <v>36</v>
      </c>
      <c r="B38" s="127">
        <f t="shared" si="0"/>
        <v>45724</v>
      </c>
      <c r="C38" s="128">
        <f>YEAR(MC_2[[#This Row],[Date]])+IF(MONTH(MC_2[[#This Row],[Date]])&gt;=4,1,0)</f>
        <v>2025</v>
      </c>
      <c r="D38" s="129">
        <f>YEAR(MC_2[[#This Row],[Date]])</f>
        <v>2025</v>
      </c>
      <c r="E38" s="126" t="s">
        <v>219</v>
      </c>
      <c r="F38" s="126" t="s">
        <v>219</v>
      </c>
      <c r="G38" s="130" t="str">
        <f>TEXT(MC_2[[#This Row],[Date]],"mmm-yy")</f>
        <v>Mar-25</v>
      </c>
      <c r="H38" s="130">
        <f>DAY(EOMONTH(MC_2[[#This Row],[Month Year]],0))</f>
        <v>31</v>
      </c>
      <c r="I38" s="133"/>
      <c r="J38" s="133"/>
      <c r="K38" s="133">
        <v>0</v>
      </c>
      <c r="L38" s="133">
        <v>1943</v>
      </c>
      <c r="M38" s="133">
        <v>0</v>
      </c>
      <c r="N38" s="133">
        <v>0</v>
      </c>
      <c r="O38" s="133"/>
      <c r="P38" s="133"/>
      <c r="Q38" s="133"/>
      <c r="R38" s="133"/>
      <c r="S38" s="4"/>
      <c r="T38" s="134"/>
      <c r="U38" s="134"/>
      <c r="V38" s="133"/>
      <c r="W38" s="134"/>
      <c r="X38" s="133"/>
      <c r="Y38" s="133"/>
      <c r="Z38" s="133"/>
    </row>
    <row r="39" spans="1:26">
      <c r="A39" s="133">
        <v>37</v>
      </c>
      <c r="B39" s="127">
        <f t="shared" si="0"/>
        <v>45725</v>
      </c>
      <c r="C39" s="128">
        <f>YEAR(MC_2[[#This Row],[Date]])+IF(MONTH(MC_2[[#This Row],[Date]])&gt;=4,1,0)</f>
        <v>2025</v>
      </c>
      <c r="D39" s="129">
        <f>YEAR(MC_2[[#This Row],[Date]])</f>
        <v>2025</v>
      </c>
      <c r="E39" s="126" t="s">
        <v>219</v>
      </c>
      <c r="F39" s="126" t="s">
        <v>219</v>
      </c>
      <c r="G39" s="130" t="str">
        <f>TEXT(MC_2[[#This Row],[Date]],"mmm-yy")</f>
        <v>Mar-25</v>
      </c>
      <c r="H39" s="130">
        <f>DAY(EOMONTH(MC_2[[#This Row],[Month Year]],0))</f>
        <v>31</v>
      </c>
      <c r="I39" s="133"/>
      <c r="J39" s="133"/>
      <c r="K39" s="133">
        <v>0</v>
      </c>
      <c r="L39" s="133">
        <v>1769</v>
      </c>
      <c r="M39" s="133">
        <v>0</v>
      </c>
      <c r="N39" s="133">
        <v>0</v>
      </c>
      <c r="O39" s="133"/>
      <c r="P39" s="133"/>
      <c r="Q39" s="133"/>
      <c r="R39" s="133"/>
      <c r="S39" s="4"/>
      <c r="T39" s="134"/>
      <c r="U39" s="133"/>
      <c r="V39" s="133"/>
      <c r="W39" s="134"/>
      <c r="X39" s="133"/>
      <c r="Y39" s="133"/>
      <c r="Z39" s="133"/>
    </row>
    <row r="40" spans="1:26">
      <c r="A40" s="133">
        <v>38</v>
      </c>
      <c r="B40" s="127">
        <f t="shared" si="0"/>
        <v>45726</v>
      </c>
      <c r="C40" s="128">
        <f>YEAR(MC_2[[#This Row],[Date]])+IF(MONTH(MC_2[[#This Row],[Date]])&gt;=4,1,0)</f>
        <v>2025</v>
      </c>
      <c r="D40" s="129">
        <f>YEAR(MC_2[[#This Row],[Date]])</f>
        <v>2025</v>
      </c>
      <c r="E40" s="126" t="s">
        <v>219</v>
      </c>
      <c r="F40" s="126" t="s">
        <v>219</v>
      </c>
      <c r="G40" s="130" t="str">
        <f>TEXT(MC_2[[#This Row],[Date]],"mmm-yy")</f>
        <v>Mar-25</v>
      </c>
      <c r="H40" s="130">
        <f>DAY(EOMONTH(MC_2[[#This Row],[Month Year]],0))</f>
        <v>31</v>
      </c>
      <c r="I40" s="133"/>
      <c r="J40" s="133"/>
      <c r="K40" s="133">
        <v>0</v>
      </c>
      <c r="L40" s="133">
        <v>1740</v>
      </c>
      <c r="M40" s="133">
        <v>0</v>
      </c>
      <c r="N40" s="133">
        <v>0</v>
      </c>
      <c r="O40" s="133"/>
      <c r="P40" s="133"/>
      <c r="Q40" s="133"/>
      <c r="R40" s="133"/>
      <c r="S40" s="4"/>
      <c r="T40" s="134"/>
      <c r="U40" s="134"/>
      <c r="V40" s="133"/>
      <c r="W40" s="133"/>
      <c r="X40" s="133"/>
      <c r="Y40" s="133"/>
      <c r="Z40" s="133"/>
    </row>
    <row r="41" spans="1:26">
      <c r="A41" s="133">
        <v>39</v>
      </c>
      <c r="B41" s="127">
        <f t="shared" si="0"/>
        <v>45727</v>
      </c>
      <c r="C41" s="128">
        <f>YEAR(MC_2[[#This Row],[Date]])+IF(MONTH(MC_2[[#This Row],[Date]])&gt;=4,1,0)</f>
        <v>2025</v>
      </c>
      <c r="D41" s="129">
        <f>YEAR(MC_2[[#This Row],[Date]])</f>
        <v>2025</v>
      </c>
      <c r="E41" s="126" t="s">
        <v>219</v>
      </c>
      <c r="F41" s="126" t="s">
        <v>219</v>
      </c>
      <c r="G41" s="130" t="str">
        <f>TEXT(MC_2[[#This Row],[Date]],"mmm-yy")</f>
        <v>Mar-25</v>
      </c>
      <c r="H41" s="130">
        <f>DAY(EOMONTH(MC_2[[#This Row],[Month Year]],0))</f>
        <v>31</v>
      </c>
      <c r="I41" s="133"/>
      <c r="J41" s="133"/>
      <c r="K41" s="133">
        <v>0</v>
      </c>
      <c r="L41" s="133">
        <v>3103</v>
      </c>
      <c r="M41" s="133">
        <v>0</v>
      </c>
      <c r="N41" s="133">
        <v>0</v>
      </c>
      <c r="O41" s="133"/>
      <c r="P41" s="133"/>
      <c r="Q41" s="133"/>
      <c r="R41" s="133"/>
      <c r="S41" s="4"/>
      <c r="T41" s="133"/>
      <c r="U41" s="133"/>
      <c r="V41" s="133"/>
      <c r="W41" s="133"/>
      <c r="X41" s="133"/>
      <c r="Y41" s="133"/>
      <c r="Z41" s="133"/>
    </row>
    <row r="42" spans="1:26">
      <c r="A42" s="133">
        <v>40</v>
      </c>
      <c r="B42" s="127">
        <f t="shared" si="0"/>
        <v>45728</v>
      </c>
      <c r="C42" s="128">
        <f>YEAR(MC_2[[#This Row],[Date]])+IF(MONTH(MC_2[[#This Row],[Date]])&gt;=4,1,0)</f>
        <v>2025</v>
      </c>
      <c r="D42" s="129">
        <f>YEAR(MC_2[[#This Row],[Date]])</f>
        <v>2025</v>
      </c>
      <c r="E42" s="126" t="s">
        <v>219</v>
      </c>
      <c r="F42" s="126" t="s">
        <v>219</v>
      </c>
      <c r="G42" s="130" t="str">
        <f>TEXT(MC_2[[#This Row],[Date]],"mmm-yy")</f>
        <v>Mar-25</v>
      </c>
      <c r="H42" s="130">
        <f>DAY(EOMONTH(MC_2[[#This Row],[Month Year]],0))</f>
        <v>31</v>
      </c>
      <c r="I42" s="133"/>
      <c r="J42" s="133"/>
      <c r="K42" s="133">
        <v>0</v>
      </c>
      <c r="L42" s="133">
        <v>4002</v>
      </c>
      <c r="M42" s="133">
        <v>0</v>
      </c>
      <c r="N42" s="133">
        <v>0</v>
      </c>
      <c r="O42" s="133"/>
      <c r="P42" s="133"/>
      <c r="Q42" s="133"/>
      <c r="R42" s="133"/>
      <c r="S42" s="4"/>
      <c r="T42" s="134"/>
      <c r="U42" s="134"/>
      <c r="V42" s="133"/>
      <c r="W42" s="133"/>
      <c r="X42" s="133"/>
      <c r="Y42" s="133"/>
      <c r="Z42" s="133"/>
    </row>
    <row r="43" spans="1:26">
      <c r="A43" s="133">
        <v>41</v>
      </c>
      <c r="B43" s="127">
        <f t="shared" si="0"/>
        <v>45729</v>
      </c>
      <c r="C43" s="128">
        <f>YEAR(MC_2[[#This Row],[Date]])+IF(MONTH(MC_2[[#This Row],[Date]])&gt;=4,1,0)</f>
        <v>2025</v>
      </c>
      <c r="D43" s="129">
        <f>YEAR(MC_2[[#This Row],[Date]])</f>
        <v>2025</v>
      </c>
      <c r="E43" s="126" t="s">
        <v>219</v>
      </c>
      <c r="F43" s="126" t="s">
        <v>219</v>
      </c>
      <c r="G43" s="130" t="str">
        <f>TEXT(MC_2[[#This Row],[Date]],"mmm-yy")</f>
        <v>Mar-25</v>
      </c>
      <c r="H43" s="130">
        <f>DAY(EOMONTH(MC_2[[#This Row],[Month Year]],0))</f>
        <v>31</v>
      </c>
      <c r="I43" s="133"/>
      <c r="J43" s="133"/>
      <c r="K43" s="133">
        <v>0</v>
      </c>
      <c r="L43" s="133">
        <v>0</v>
      </c>
      <c r="M43" s="133">
        <v>0</v>
      </c>
      <c r="N43" s="133">
        <v>0</v>
      </c>
      <c r="O43" s="133"/>
      <c r="P43" s="133"/>
      <c r="Q43" s="133"/>
      <c r="R43" s="133"/>
      <c r="S43" s="4"/>
      <c r="T43" s="133"/>
      <c r="U43" s="133"/>
      <c r="V43" s="133"/>
      <c r="W43" s="133"/>
      <c r="X43" s="133"/>
      <c r="Y43" s="133"/>
      <c r="Z43" s="133"/>
    </row>
    <row r="44" spans="1:26">
      <c r="A44" s="133">
        <v>42</v>
      </c>
      <c r="B44" s="127">
        <f t="shared" si="0"/>
        <v>45730</v>
      </c>
      <c r="C44" s="128">
        <f>YEAR(MC_2[[#This Row],[Date]])+IF(MONTH(MC_2[[#This Row],[Date]])&gt;=4,1,0)</f>
        <v>2025</v>
      </c>
      <c r="D44" s="129">
        <f>YEAR(MC_2[[#This Row],[Date]])</f>
        <v>2025</v>
      </c>
      <c r="E44" s="126" t="s">
        <v>219</v>
      </c>
      <c r="F44" s="126" t="s">
        <v>219</v>
      </c>
      <c r="G44" s="130" t="str">
        <f>TEXT(MC_2[[#This Row],[Date]],"mmm-yy")</f>
        <v>Mar-25</v>
      </c>
      <c r="H44" s="130">
        <f>DAY(EOMONTH(MC_2[[#This Row],[Month Year]],0))</f>
        <v>31</v>
      </c>
      <c r="I44" s="133"/>
      <c r="J44" s="133"/>
      <c r="K44" s="133">
        <v>0</v>
      </c>
      <c r="L44" s="133">
        <v>0</v>
      </c>
      <c r="M44" s="133">
        <v>0</v>
      </c>
      <c r="N44" s="133">
        <v>0</v>
      </c>
      <c r="O44" s="133"/>
      <c r="P44" s="133"/>
      <c r="Q44" s="133"/>
      <c r="R44" s="133"/>
      <c r="S44" s="4"/>
      <c r="T44" s="133"/>
      <c r="U44" s="133"/>
      <c r="V44" s="133"/>
      <c r="W44" s="133"/>
      <c r="X44" s="133"/>
      <c r="Y44" s="133"/>
      <c r="Z44" s="133"/>
    </row>
    <row r="45" spans="1:26">
      <c r="A45" s="133">
        <v>43</v>
      </c>
      <c r="B45" s="127">
        <f t="shared" si="0"/>
        <v>45731</v>
      </c>
      <c r="C45" s="128">
        <f>YEAR(MC_2[[#This Row],[Date]])+IF(MONTH(MC_2[[#This Row],[Date]])&gt;=4,1,0)</f>
        <v>2025</v>
      </c>
      <c r="D45" s="129">
        <f>YEAR(MC_2[[#This Row],[Date]])</f>
        <v>2025</v>
      </c>
      <c r="E45" s="126" t="s">
        <v>219</v>
      </c>
      <c r="F45" s="126" t="s">
        <v>219</v>
      </c>
      <c r="G45" s="130" t="str">
        <f>TEXT(MC_2[[#This Row],[Date]],"mmm-yy")</f>
        <v>Mar-25</v>
      </c>
      <c r="H45" s="130">
        <f>DAY(EOMONTH(MC_2[[#This Row],[Month Year]],0))</f>
        <v>31</v>
      </c>
      <c r="I45" s="133"/>
      <c r="J45" s="133"/>
      <c r="K45" s="133">
        <v>0</v>
      </c>
      <c r="L45" s="133">
        <v>0</v>
      </c>
      <c r="M45" s="133">
        <v>0</v>
      </c>
      <c r="N45" s="133">
        <v>0</v>
      </c>
      <c r="O45" s="133"/>
      <c r="P45" s="133"/>
      <c r="Q45" s="133"/>
      <c r="R45" s="133"/>
      <c r="S45" s="4"/>
      <c r="T45" s="134"/>
      <c r="U45" s="134"/>
      <c r="V45" s="133"/>
      <c r="W45" s="133"/>
      <c r="X45" s="133"/>
      <c r="Y45" s="133"/>
      <c r="Z45" s="133"/>
    </row>
    <row r="46" spans="1:26">
      <c r="A46" s="133">
        <v>44</v>
      </c>
      <c r="B46" s="127">
        <f t="shared" si="0"/>
        <v>45732</v>
      </c>
      <c r="C46" s="128">
        <f>YEAR(MC_2[[#This Row],[Date]])+IF(MONTH(MC_2[[#This Row],[Date]])&gt;=4,1,0)</f>
        <v>2025</v>
      </c>
      <c r="D46" s="129">
        <f>YEAR(MC_2[[#This Row],[Date]])</f>
        <v>2025</v>
      </c>
      <c r="E46" s="126" t="s">
        <v>219</v>
      </c>
      <c r="F46" s="126" t="s">
        <v>219</v>
      </c>
      <c r="G46" s="130" t="str">
        <f>TEXT(MC_2[[#This Row],[Date]],"mmm-yy")</f>
        <v>Mar-25</v>
      </c>
      <c r="H46" s="130">
        <f>DAY(EOMONTH(MC_2[[#This Row],[Month Year]],0))</f>
        <v>31</v>
      </c>
      <c r="I46" s="133"/>
      <c r="J46" s="133"/>
      <c r="K46" s="133">
        <v>0</v>
      </c>
      <c r="L46" s="133">
        <v>0</v>
      </c>
      <c r="M46" s="133">
        <v>0</v>
      </c>
      <c r="N46" s="133">
        <v>0</v>
      </c>
      <c r="O46" s="133"/>
      <c r="P46" s="133"/>
      <c r="Q46" s="133"/>
      <c r="R46" s="133"/>
      <c r="S46" s="4"/>
      <c r="T46" s="133"/>
      <c r="U46" s="133"/>
      <c r="V46" s="133"/>
      <c r="W46" s="133"/>
      <c r="X46" s="133"/>
      <c r="Y46" s="133"/>
      <c r="Z46" s="133"/>
    </row>
    <row r="47" spans="1:26">
      <c r="A47" s="133">
        <v>45</v>
      </c>
      <c r="B47" s="127">
        <f t="shared" si="0"/>
        <v>45733</v>
      </c>
      <c r="C47" s="128">
        <f>YEAR(MC_2[[#This Row],[Date]])+IF(MONTH(MC_2[[#This Row],[Date]])&gt;=4,1,0)</f>
        <v>2025</v>
      </c>
      <c r="D47" s="129">
        <f>YEAR(MC_2[[#This Row],[Date]])</f>
        <v>2025</v>
      </c>
      <c r="E47" s="126" t="s">
        <v>219</v>
      </c>
      <c r="F47" s="126" t="s">
        <v>219</v>
      </c>
      <c r="G47" s="130" t="str">
        <f>TEXT(MC_2[[#This Row],[Date]],"mmm-yy")</f>
        <v>Mar-25</v>
      </c>
      <c r="H47" s="130">
        <f>DAY(EOMONTH(MC_2[[#This Row],[Month Year]],0))</f>
        <v>31</v>
      </c>
      <c r="I47" s="133"/>
      <c r="J47" s="133"/>
      <c r="K47" s="133">
        <v>2726</v>
      </c>
      <c r="L47" s="133">
        <v>0</v>
      </c>
      <c r="M47" s="133">
        <v>0</v>
      </c>
      <c r="N47" s="133">
        <v>0</v>
      </c>
      <c r="O47" s="133"/>
      <c r="P47" s="133"/>
      <c r="Q47" s="133"/>
      <c r="R47" s="133"/>
      <c r="S47" s="4"/>
      <c r="T47" s="133"/>
      <c r="U47" s="133"/>
      <c r="V47" s="133"/>
      <c r="W47" s="133"/>
      <c r="X47" s="133"/>
      <c r="Y47" s="133"/>
      <c r="Z47" s="133"/>
    </row>
    <row r="48" spans="1:26">
      <c r="A48" s="133">
        <v>46</v>
      </c>
      <c r="B48" s="127">
        <f t="shared" si="0"/>
        <v>45734</v>
      </c>
      <c r="C48" s="128">
        <f>YEAR(MC_2[[#This Row],[Date]])+IF(MONTH(MC_2[[#This Row],[Date]])&gt;=4,1,0)</f>
        <v>2025</v>
      </c>
      <c r="D48" s="129">
        <f>YEAR(MC_2[[#This Row],[Date]])</f>
        <v>2025</v>
      </c>
      <c r="E48" s="126" t="s">
        <v>219</v>
      </c>
      <c r="F48" s="126" t="s">
        <v>219</v>
      </c>
      <c r="G48" s="130" t="str">
        <f>TEXT(MC_2[[#This Row],[Date]],"mmm-yy")</f>
        <v>Mar-25</v>
      </c>
      <c r="H48" s="130">
        <f>DAY(EOMONTH(MC_2[[#This Row],[Month Year]],0))</f>
        <v>31</v>
      </c>
      <c r="I48" s="133"/>
      <c r="J48" s="133"/>
      <c r="K48" s="133">
        <v>0</v>
      </c>
      <c r="L48" s="133">
        <v>2117</v>
      </c>
      <c r="M48" s="133">
        <v>580</v>
      </c>
      <c r="N48" s="133">
        <v>754</v>
      </c>
      <c r="O48" s="133"/>
      <c r="P48" s="133"/>
      <c r="Q48" s="133"/>
      <c r="R48" s="133"/>
      <c r="S48" s="4"/>
      <c r="T48" s="133"/>
      <c r="U48" s="133"/>
      <c r="V48" s="133"/>
      <c r="W48" s="133"/>
      <c r="X48" s="133"/>
      <c r="Y48" s="133"/>
      <c r="Z48" s="133"/>
    </row>
    <row r="49" spans="1:26">
      <c r="A49" s="133">
        <v>47</v>
      </c>
      <c r="B49" s="127">
        <f t="shared" si="0"/>
        <v>45735</v>
      </c>
      <c r="C49" s="128">
        <f>YEAR(MC_2[[#This Row],[Date]])+IF(MONTH(MC_2[[#This Row],[Date]])&gt;=4,1,0)</f>
        <v>2025</v>
      </c>
      <c r="D49" s="129">
        <f>YEAR(MC_2[[#This Row],[Date]])</f>
        <v>2025</v>
      </c>
      <c r="E49" s="126" t="s">
        <v>219</v>
      </c>
      <c r="F49" s="126" t="s">
        <v>219</v>
      </c>
      <c r="G49" s="130" t="str">
        <f>TEXT(MC_2[[#This Row],[Date]],"mmm-yy")</f>
        <v>Mar-25</v>
      </c>
      <c r="H49" s="130">
        <f>DAY(EOMONTH(MC_2[[#This Row],[Month Year]],0))</f>
        <v>31</v>
      </c>
      <c r="I49" s="133"/>
      <c r="J49" s="133"/>
      <c r="K49" s="133">
        <v>2900</v>
      </c>
      <c r="L49" s="133">
        <v>0</v>
      </c>
      <c r="M49" s="133">
        <v>348</v>
      </c>
      <c r="N49" s="133">
        <v>0</v>
      </c>
      <c r="O49" s="133"/>
      <c r="P49" s="133"/>
      <c r="Q49" s="133"/>
      <c r="R49" s="133"/>
      <c r="S49" s="4"/>
      <c r="T49" s="133"/>
      <c r="U49" s="133"/>
      <c r="V49" s="133"/>
      <c r="W49" s="133"/>
      <c r="X49" s="133"/>
      <c r="Y49" s="133"/>
      <c r="Z49" s="133"/>
    </row>
    <row r="50" spans="1:26">
      <c r="A50" s="133">
        <v>48</v>
      </c>
      <c r="B50" s="127">
        <f t="shared" si="0"/>
        <v>45736</v>
      </c>
      <c r="C50" s="128">
        <f>YEAR(MC_2[[#This Row],[Date]])+IF(MONTH(MC_2[[#This Row],[Date]])&gt;=4,1,0)</f>
        <v>2025</v>
      </c>
      <c r="D50" s="129">
        <f>YEAR(MC_2[[#This Row],[Date]])</f>
        <v>2025</v>
      </c>
      <c r="E50" s="126" t="s">
        <v>219</v>
      </c>
      <c r="F50" s="126" t="s">
        <v>219</v>
      </c>
      <c r="G50" s="130" t="str">
        <f>TEXT(MC_2[[#This Row],[Date]],"mmm-yy")</f>
        <v>Mar-25</v>
      </c>
      <c r="H50" s="130">
        <f>DAY(EOMONTH(MC_2[[#This Row],[Month Year]],0))</f>
        <v>31</v>
      </c>
      <c r="I50" s="133"/>
      <c r="J50" s="133"/>
      <c r="K50" s="133">
        <v>3161</v>
      </c>
      <c r="L50" s="133">
        <v>0</v>
      </c>
      <c r="M50" s="133">
        <v>0</v>
      </c>
      <c r="N50" s="133">
        <v>0</v>
      </c>
      <c r="O50" s="133"/>
      <c r="P50" s="133"/>
      <c r="Q50" s="133"/>
      <c r="R50" s="133"/>
      <c r="S50" s="4"/>
      <c r="T50" s="133"/>
      <c r="U50" s="133"/>
      <c r="V50" s="133"/>
      <c r="W50" s="133"/>
      <c r="X50" s="133"/>
      <c r="Y50" s="133"/>
      <c r="Z50" s="133"/>
    </row>
    <row r="51" spans="1:26">
      <c r="A51" s="133">
        <v>49</v>
      </c>
      <c r="B51" s="127">
        <f t="shared" si="0"/>
        <v>45737</v>
      </c>
      <c r="C51" s="128">
        <f>YEAR(MC_2[[#This Row],[Date]])+IF(MONTH(MC_2[[#This Row],[Date]])&gt;=4,1,0)</f>
        <v>2025</v>
      </c>
      <c r="D51" s="129">
        <f>YEAR(MC_2[[#This Row],[Date]])</f>
        <v>2025</v>
      </c>
      <c r="E51" s="126" t="s">
        <v>219</v>
      </c>
      <c r="F51" s="126" t="s">
        <v>219</v>
      </c>
      <c r="G51" s="130" t="str">
        <f>TEXT(MC_2[[#This Row],[Date]],"mmm-yy")</f>
        <v>Mar-25</v>
      </c>
      <c r="H51" s="130">
        <f>DAY(EOMONTH(MC_2[[#This Row],[Month Year]],0))</f>
        <v>31</v>
      </c>
      <c r="I51" s="133"/>
      <c r="J51" s="133"/>
      <c r="K51" s="133">
        <v>0</v>
      </c>
      <c r="L51" s="133">
        <v>0</v>
      </c>
      <c r="M51" s="133">
        <v>0</v>
      </c>
      <c r="N51" s="133">
        <v>0</v>
      </c>
      <c r="O51" s="133"/>
      <c r="P51" s="133"/>
      <c r="Q51" s="133"/>
      <c r="R51" s="133"/>
      <c r="S51" s="4"/>
      <c r="T51" s="133"/>
      <c r="U51" s="133"/>
      <c r="V51" s="133"/>
      <c r="W51" s="133"/>
      <c r="X51" s="133"/>
      <c r="Y51" s="133"/>
      <c r="Z51" s="133"/>
    </row>
    <row r="52" spans="1:26">
      <c r="A52" s="133">
        <v>50</v>
      </c>
      <c r="B52" s="127">
        <f t="shared" si="0"/>
        <v>45738</v>
      </c>
      <c r="C52" s="128">
        <f>YEAR(MC_2[[#This Row],[Date]])+IF(MONTH(MC_2[[#This Row],[Date]])&gt;=4,1,0)</f>
        <v>2025</v>
      </c>
      <c r="D52" s="129">
        <f>YEAR(MC_2[[#This Row],[Date]])</f>
        <v>2025</v>
      </c>
      <c r="E52" s="126" t="s">
        <v>219</v>
      </c>
      <c r="F52" s="126" t="s">
        <v>219</v>
      </c>
      <c r="G52" s="130" t="str">
        <f>TEXT(MC_2[[#This Row],[Date]],"mmm-yy")</f>
        <v>Mar-25</v>
      </c>
      <c r="H52" s="130">
        <f>DAY(EOMONTH(MC_2[[#This Row],[Month Year]],0))</f>
        <v>31</v>
      </c>
      <c r="I52" s="133"/>
      <c r="J52" s="133"/>
      <c r="K52" s="133">
        <v>4524</v>
      </c>
      <c r="L52" s="133">
        <v>0</v>
      </c>
      <c r="M52" s="133">
        <v>0</v>
      </c>
      <c r="N52" s="133">
        <v>0</v>
      </c>
      <c r="O52" s="133"/>
      <c r="P52" s="133"/>
      <c r="Q52" s="133"/>
      <c r="R52" s="133"/>
      <c r="S52" s="4"/>
      <c r="T52" s="133"/>
      <c r="U52" s="133"/>
      <c r="V52" s="133"/>
      <c r="W52" s="133"/>
      <c r="X52" s="133"/>
      <c r="Y52" s="133"/>
      <c r="Z52" s="133"/>
    </row>
    <row r="53" spans="1:26">
      <c r="A53" s="133">
        <v>51</v>
      </c>
      <c r="B53" s="127">
        <f t="shared" si="0"/>
        <v>45739</v>
      </c>
      <c r="C53" s="128">
        <f>YEAR(MC_2[[#This Row],[Date]])+IF(MONTH(MC_2[[#This Row],[Date]])&gt;=4,1,0)</f>
        <v>2025</v>
      </c>
      <c r="D53" s="129">
        <f>YEAR(MC_2[[#This Row],[Date]])</f>
        <v>2025</v>
      </c>
      <c r="E53" s="126" t="s">
        <v>219</v>
      </c>
      <c r="F53" s="126" t="s">
        <v>219</v>
      </c>
      <c r="G53" s="130" t="str">
        <f>TEXT(MC_2[[#This Row],[Date]],"mmm-yy")</f>
        <v>Mar-25</v>
      </c>
      <c r="H53" s="130">
        <f>DAY(EOMONTH(MC_2[[#This Row],[Month Year]],0))</f>
        <v>31</v>
      </c>
      <c r="I53" s="133"/>
      <c r="J53" s="133"/>
      <c r="K53" s="133">
        <v>0</v>
      </c>
      <c r="L53" s="133">
        <v>0</v>
      </c>
      <c r="M53" s="133">
        <v>0</v>
      </c>
      <c r="N53" s="133">
        <v>3509</v>
      </c>
      <c r="O53" s="133"/>
      <c r="P53" s="133"/>
      <c r="Q53" s="133"/>
      <c r="R53" s="133"/>
      <c r="S53" s="4"/>
      <c r="T53" s="133"/>
      <c r="U53" s="133"/>
      <c r="V53" s="133"/>
      <c r="W53" s="133"/>
      <c r="X53" s="133"/>
      <c r="Y53" s="133"/>
      <c r="Z53" s="133"/>
    </row>
    <row r="54" spans="1:26">
      <c r="A54" s="133">
        <v>52</v>
      </c>
      <c r="B54" s="127">
        <f t="shared" si="0"/>
        <v>45740</v>
      </c>
      <c r="C54" s="128">
        <f>YEAR(MC_2[[#This Row],[Date]])+IF(MONTH(MC_2[[#This Row],[Date]])&gt;=4,1,0)</f>
        <v>2025</v>
      </c>
      <c r="D54" s="129">
        <f>YEAR(MC_2[[#This Row],[Date]])</f>
        <v>2025</v>
      </c>
      <c r="E54" s="126" t="s">
        <v>219</v>
      </c>
      <c r="F54" s="126" t="s">
        <v>219</v>
      </c>
      <c r="G54" s="130" t="str">
        <f>TEXT(MC_2[[#This Row],[Date]],"mmm-yy")</f>
        <v>Mar-25</v>
      </c>
      <c r="H54" s="130">
        <f>DAY(EOMONTH(MC_2[[#This Row],[Month Year]],0))</f>
        <v>31</v>
      </c>
      <c r="I54" s="133"/>
      <c r="J54" s="133"/>
      <c r="K54" s="133">
        <v>0</v>
      </c>
      <c r="L54" s="133">
        <v>2233</v>
      </c>
      <c r="M54" s="133">
        <v>1653</v>
      </c>
      <c r="N54" s="133">
        <v>2233</v>
      </c>
      <c r="O54" s="133"/>
      <c r="P54" s="133"/>
      <c r="Q54" s="133"/>
      <c r="R54" s="133"/>
      <c r="S54" s="4"/>
      <c r="T54" s="133"/>
      <c r="U54" s="133"/>
      <c r="V54" s="133"/>
      <c r="W54" s="133"/>
      <c r="X54" s="133"/>
      <c r="Y54" s="133"/>
      <c r="Z54" s="133"/>
    </row>
    <row r="55" spans="1:26">
      <c r="A55" s="133">
        <v>53</v>
      </c>
      <c r="B55" s="127">
        <f t="shared" si="0"/>
        <v>45741</v>
      </c>
      <c r="C55" s="128">
        <f>YEAR(MC_2[[#This Row],[Date]])+IF(MONTH(MC_2[[#This Row],[Date]])&gt;=4,1,0)</f>
        <v>2025</v>
      </c>
      <c r="D55" s="129">
        <f>YEAR(MC_2[[#This Row],[Date]])</f>
        <v>2025</v>
      </c>
      <c r="E55" s="126" t="s">
        <v>219</v>
      </c>
      <c r="F55" s="126" t="s">
        <v>219</v>
      </c>
      <c r="G55" s="130" t="str">
        <f>TEXT(MC_2[[#This Row],[Date]],"mmm-yy")</f>
        <v>Mar-25</v>
      </c>
      <c r="H55" s="130">
        <f>DAY(EOMONTH(MC_2[[#This Row],[Month Year]],0))</f>
        <v>31</v>
      </c>
      <c r="I55" s="133"/>
      <c r="J55" s="133"/>
      <c r="K55" s="133">
        <v>0</v>
      </c>
      <c r="L55" s="133">
        <v>3364</v>
      </c>
      <c r="M55" s="133">
        <v>0</v>
      </c>
      <c r="N55" s="133">
        <v>0</v>
      </c>
      <c r="O55" s="133"/>
      <c r="P55" s="133"/>
      <c r="Q55" s="133"/>
      <c r="R55" s="133"/>
      <c r="S55" s="4"/>
      <c r="T55" s="134"/>
      <c r="U55" s="133"/>
      <c r="V55" s="133"/>
      <c r="W55" s="134"/>
      <c r="X55" s="133"/>
      <c r="Y55" s="133"/>
      <c r="Z55" s="133"/>
    </row>
    <row r="56" spans="1:26">
      <c r="A56" s="133">
        <v>54</v>
      </c>
      <c r="B56" s="127">
        <f t="shared" si="0"/>
        <v>45742</v>
      </c>
      <c r="C56" s="128">
        <f>YEAR(MC_2[[#This Row],[Date]])+IF(MONTH(MC_2[[#This Row],[Date]])&gt;=4,1,0)</f>
        <v>2025</v>
      </c>
      <c r="D56" s="129">
        <f>YEAR(MC_2[[#This Row],[Date]])</f>
        <v>2025</v>
      </c>
      <c r="E56" s="126" t="s">
        <v>219</v>
      </c>
      <c r="F56" s="126" t="s">
        <v>219</v>
      </c>
      <c r="G56" s="130" t="str">
        <f>TEXT(MC_2[[#This Row],[Date]],"mmm-yy")</f>
        <v>Mar-25</v>
      </c>
      <c r="H56" s="130">
        <f>DAY(EOMONTH(MC_2[[#This Row],[Month Year]],0))</f>
        <v>31</v>
      </c>
      <c r="I56" s="133"/>
      <c r="J56" s="133"/>
      <c r="K56" s="133">
        <v>0</v>
      </c>
      <c r="L56" s="133">
        <v>3132</v>
      </c>
      <c r="M56" s="133">
        <v>0</v>
      </c>
      <c r="N56" s="133">
        <v>0</v>
      </c>
      <c r="O56" s="133"/>
      <c r="P56" s="133"/>
      <c r="Q56" s="133"/>
      <c r="R56" s="133"/>
      <c r="S56" s="4"/>
      <c r="T56" s="134"/>
      <c r="U56" s="133"/>
      <c r="V56" s="133"/>
      <c r="W56" s="134"/>
      <c r="X56" s="133"/>
      <c r="Y56" s="133"/>
      <c r="Z56" s="133"/>
    </row>
    <row r="57" spans="1:26">
      <c r="A57" s="133">
        <v>55</v>
      </c>
      <c r="B57" s="127">
        <f t="shared" si="0"/>
        <v>45743</v>
      </c>
      <c r="C57" s="128">
        <f>YEAR(MC_2[[#This Row],[Date]])+IF(MONTH(MC_2[[#This Row],[Date]])&gt;=4,1,0)</f>
        <v>2025</v>
      </c>
      <c r="D57" s="129">
        <f>YEAR(MC_2[[#This Row],[Date]])</f>
        <v>2025</v>
      </c>
      <c r="E57" s="126" t="s">
        <v>219</v>
      </c>
      <c r="F57" s="126" t="s">
        <v>219</v>
      </c>
      <c r="G57" s="130" t="str">
        <f>TEXT(MC_2[[#This Row],[Date]],"mmm-yy")</f>
        <v>Mar-25</v>
      </c>
      <c r="H57" s="130">
        <f>DAY(EOMONTH(MC_2[[#This Row],[Month Year]],0))</f>
        <v>31</v>
      </c>
      <c r="I57" s="133"/>
      <c r="J57" s="133"/>
      <c r="K57" s="133">
        <v>0</v>
      </c>
      <c r="L57" s="133">
        <v>1218</v>
      </c>
      <c r="M57" s="133">
        <v>1218</v>
      </c>
      <c r="N57" s="133">
        <v>0</v>
      </c>
      <c r="O57" s="133"/>
      <c r="P57" s="133"/>
      <c r="Q57" s="133"/>
      <c r="R57" s="133"/>
      <c r="S57" s="4"/>
      <c r="T57" s="134"/>
      <c r="U57" s="133"/>
      <c r="V57" s="133"/>
      <c r="W57" s="134"/>
      <c r="X57" s="133"/>
      <c r="Y57" s="133"/>
      <c r="Z57" s="133"/>
    </row>
    <row r="58" spans="1:26">
      <c r="A58" s="133">
        <v>56</v>
      </c>
      <c r="B58" s="127">
        <f t="shared" si="0"/>
        <v>45744</v>
      </c>
      <c r="C58" s="128">
        <f>YEAR(MC_2[[#This Row],[Date]])+IF(MONTH(MC_2[[#This Row],[Date]])&gt;=4,1,0)</f>
        <v>2025</v>
      </c>
      <c r="D58" s="129">
        <f>YEAR(MC_2[[#This Row],[Date]])</f>
        <v>2025</v>
      </c>
      <c r="E58" s="126" t="s">
        <v>219</v>
      </c>
      <c r="F58" s="126" t="s">
        <v>219</v>
      </c>
      <c r="G58" s="130" t="str">
        <f>TEXT(MC_2[[#This Row],[Date]],"mmm-yy")</f>
        <v>Mar-25</v>
      </c>
      <c r="H58" s="130">
        <f>DAY(EOMONTH(MC_2[[#This Row],[Month Year]],0))</f>
        <v>31</v>
      </c>
      <c r="I58" s="133"/>
      <c r="J58" s="133"/>
      <c r="K58" s="133">
        <v>2088</v>
      </c>
      <c r="L58" s="133">
        <v>0</v>
      </c>
      <c r="M58" s="133">
        <v>696</v>
      </c>
      <c r="N58" s="133">
        <v>1450</v>
      </c>
      <c r="O58" s="133"/>
      <c r="P58" s="133"/>
      <c r="Q58" s="133"/>
      <c r="R58" s="133"/>
      <c r="S58" s="4"/>
      <c r="T58" s="134"/>
      <c r="U58" s="133"/>
      <c r="V58" s="133"/>
      <c r="W58" s="134"/>
      <c r="X58" s="133"/>
      <c r="Y58" s="133"/>
      <c r="Z58" s="133"/>
    </row>
    <row r="59" spans="1:26">
      <c r="A59" s="133">
        <v>57</v>
      </c>
      <c r="B59" s="127">
        <f t="shared" si="0"/>
        <v>45745</v>
      </c>
      <c r="C59" s="128">
        <f>YEAR(MC_2[[#This Row],[Date]])+IF(MONTH(MC_2[[#This Row],[Date]])&gt;=4,1,0)</f>
        <v>2025</v>
      </c>
      <c r="D59" s="129">
        <f>YEAR(MC_2[[#This Row],[Date]])</f>
        <v>2025</v>
      </c>
      <c r="E59" s="126" t="s">
        <v>219</v>
      </c>
      <c r="F59" s="126" t="s">
        <v>219</v>
      </c>
      <c r="G59" s="130" t="str">
        <f>TEXT(MC_2[[#This Row],[Date]],"mmm-yy")</f>
        <v>Mar-25</v>
      </c>
      <c r="H59" s="130">
        <f>DAY(EOMONTH(MC_2[[#This Row],[Month Year]],0))</f>
        <v>31</v>
      </c>
      <c r="I59" s="133"/>
      <c r="J59" s="133"/>
      <c r="K59" s="133">
        <v>754</v>
      </c>
      <c r="L59" s="133">
        <v>0</v>
      </c>
      <c r="M59" s="133">
        <v>0</v>
      </c>
      <c r="N59" s="133">
        <v>0</v>
      </c>
      <c r="O59" s="133"/>
      <c r="P59" s="133"/>
      <c r="Q59" s="133"/>
      <c r="R59" s="133"/>
      <c r="S59" s="4"/>
      <c r="T59" s="134"/>
      <c r="U59" s="133"/>
      <c r="V59" s="133"/>
      <c r="W59" s="134"/>
      <c r="X59" s="133"/>
      <c r="Y59" s="133"/>
      <c r="Z59" s="133"/>
    </row>
    <row r="60" spans="1:26">
      <c r="A60" s="133">
        <v>58</v>
      </c>
      <c r="B60" s="127">
        <f t="shared" si="0"/>
        <v>45746</v>
      </c>
      <c r="C60" s="128">
        <f>YEAR(MC_2[[#This Row],[Date]])+IF(MONTH(MC_2[[#This Row],[Date]])&gt;=4,1,0)</f>
        <v>2025</v>
      </c>
      <c r="D60" s="129">
        <f>YEAR(MC_2[[#This Row],[Date]])</f>
        <v>2025</v>
      </c>
      <c r="E60" s="126" t="s">
        <v>219</v>
      </c>
      <c r="F60" s="126" t="s">
        <v>219</v>
      </c>
      <c r="G60" s="130" t="str">
        <f>TEXT(MC_2[[#This Row],[Date]],"mmm-yy")</f>
        <v>Mar-25</v>
      </c>
      <c r="H60" s="130">
        <f>DAY(EOMONTH(MC_2[[#This Row],[Month Year]],0))</f>
        <v>31</v>
      </c>
      <c r="I60" s="133"/>
      <c r="J60" s="133"/>
      <c r="K60" s="133">
        <v>1566</v>
      </c>
      <c r="L60" s="133">
        <v>0</v>
      </c>
      <c r="M60" s="133">
        <v>0</v>
      </c>
      <c r="N60" s="133">
        <v>2726</v>
      </c>
      <c r="O60" s="133"/>
      <c r="P60" s="133"/>
      <c r="Q60" s="133"/>
      <c r="R60" s="133"/>
      <c r="S60" s="4"/>
      <c r="T60" s="134"/>
      <c r="U60" s="133"/>
      <c r="V60" s="133"/>
      <c r="W60" s="134"/>
      <c r="X60" s="133"/>
      <c r="Y60" s="133"/>
      <c r="Z60" s="133"/>
    </row>
    <row r="61" spans="1:26">
      <c r="A61" s="133">
        <v>59</v>
      </c>
      <c r="B61" s="127">
        <f t="shared" si="0"/>
        <v>45747</v>
      </c>
      <c r="C61" s="128">
        <f>YEAR(MC_2[[#This Row],[Date]])+IF(MONTH(MC_2[[#This Row],[Date]])&gt;=4,1,0)</f>
        <v>2025</v>
      </c>
      <c r="D61" s="129">
        <f>YEAR(MC_2[[#This Row],[Date]])</f>
        <v>2025</v>
      </c>
      <c r="E61" s="126" t="s">
        <v>219</v>
      </c>
      <c r="F61" s="126" t="s">
        <v>219</v>
      </c>
      <c r="G61" s="130" t="str">
        <f>TEXT(MC_2[[#This Row],[Date]],"mmm-yy")</f>
        <v>Mar-25</v>
      </c>
      <c r="H61" s="130">
        <f>DAY(EOMONTH(MC_2[[#This Row],[Month Year]],0))</f>
        <v>31</v>
      </c>
      <c r="I61" s="133"/>
      <c r="J61" s="133"/>
      <c r="K61" s="133">
        <v>1566</v>
      </c>
      <c r="L61" s="133">
        <v>0</v>
      </c>
      <c r="M61" s="133">
        <v>0</v>
      </c>
      <c r="N61" s="133">
        <v>4031</v>
      </c>
      <c r="O61" s="133"/>
      <c r="P61" s="133"/>
      <c r="Q61" s="133"/>
      <c r="R61" s="133"/>
      <c r="S61" s="4"/>
      <c r="T61" s="134"/>
      <c r="U61" s="133"/>
      <c r="V61" s="133"/>
      <c r="W61" s="134"/>
      <c r="X61" s="133"/>
      <c r="Y61" s="133"/>
      <c r="Z61" s="133"/>
    </row>
    <row r="62" spans="1:26">
      <c r="A62" s="133">
        <v>60</v>
      </c>
      <c r="B62" s="127">
        <f t="shared" si="0"/>
        <v>45748</v>
      </c>
      <c r="C62" s="128">
        <f>YEAR(MC_2[[#This Row],[Date]])+IF(MONTH(MC_2[[#This Row],[Date]])&gt;=4,1,0)</f>
        <v>2026</v>
      </c>
      <c r="D62" s="129">
        <f>YEAR(MC_2[[#This Row],[Date]])</f>
        <v>2025</v>
      </c>
      <c r="E62" s="126" t="s">
        <v>219</v>
      </c>
      <c r="F62" s="126" t="s">
        <v>219</v>
      </c>
      <c r="G62" s="130" t="str">
        <f>TEXT(MC_2[[#This Row],[Date]],"mmm-yy")</f>
        <v>Apr-25</v>
      </c>
      <c r="H62" s="130">
        <f>DAY(EOMONTH(MC_2[[#This Row],[Month Year]],0))</f>
        <v>30</v>
      </c>
      <c r="I62" s="133"/>
      <c r="J62" s="133"/>
      <c r="K62" s="133">
        <v>0</v>
      </c>
      <c r="L62" s="133">
        <v>0</v>
      </c>
      <c r="M62" s="133">
        <v>0</v>
      </c>
      <c r="N62" s="133">
        <v>3567</v>
      </c>
      <c r="O62" s="133"/>
      <c r="P62" s="133"/>
      <c r="Q62" s="133"/>
      <c r="R62" s="133"/>
      <c r="S62" s="4"/>
      <c r="T62" s="134"/>
      <c r="U62" s="133"/>
      <c r="V62" s="133"/>
      <c r="W62" s="134"/>
      <c r="X62" s="133"/>
      <c r="Y62" s="133"/>
      <c r="Z62" s="133"/>
    </row>
    <row r="63" spans="1:26">
      <c r="A63" s="133">
        <v>61</v>
      </c>
      <c r="B63" s="127">
        <f t="shared" si="0"/>
        <v>45749</v>
      </c>
      <c r="C63" s="128">
        <f>YEAR(MC_2[[#This Row],[Date]])+IF(MONTH(MC_2[[#This Row],[Date]])&gt;=4,1,0)</f>
        <v>2026</v>
      </c>
      <c r="D63" s="129">
        <f>YEAR(MC_2[[#This Row],[Date]])</f>
        <v>2025</v>
      </c>
      <c r="E63" s="126" t="s">
        <v>219</v>
      </c>
      <c r="F63" s="126" t="s">
        <v>219</v>
      </c>
      <c r="G63" s="130" t="str">
        <f>TEXT(MC_2[[#This Row],[Date]],"mmm-yy")</f>
        <v>Apr-25</v>
      </c>
      <c r="H63" s="130">
        <f>DAY(EOMONTH(MC_2[[#This Row],[Month Year]],0))</f>
        <v>30</v>
      </c>
      <c r="I63" s="133"/>
      <c r="J63" s="133"/>
      <c r="K63" s="133">
        <v>0</v>
      </c>
      <c r="L63" s="133">
        <v>0</v>
      </c>
      <c r="M63" s="133">
        <v>0</v>
      </c>
      <c r="N63" s="133">
        <v>4321</v>
      </c>
      <c r="O63" s="133"/>
      <c r="P63" s="133"/>
      <c r="Q63" s="133"/>
      <c r="R63" s="133"/>
      <c r="S63" s="4"/>
      <c r="T63" s="133"/>
      <c r="U63" s="133"/>
      <c r="V63" s="133"/>
      <c r="W63" s="133"/>
      <c r="X63" s="133"/>
      <c r="Y63" s="133"/>
      <c r="Z63" s="133"/>
    </row>
    <row r="64" spans="1:26">
      <c r="A64" s="133">
        <v>62</v>
      </c>
      <c r="B64" s="127">
        <f t="shared" si="0"/>
        <v>45750</v>
      </c>
      <c r="C64" s="128">
        <f>YEAR(MC_2[[#This Row],[Date]])+IF(MONTH(MC_2[[#This Row],[Date]])&gt;=4,1,0)</f>
        <v>2026</v>
      </c>
      <c r="D64" s="129">
        <f>YEAR(MC_2[[#This Row],[Date]])</f>
        <v>2025</v>
      </c>
      <c r="E64" s="126" t="s">
        <v>219</v>
      </c>
      <c r="F64" s="126" t="s">
        <v>219</v>
      </c>
      <c r="G64" s="130" t="str">
        <f>TEXT(MC_2[[#This Row],[Date]],"mmm-yy")</f>
        <v>Apr-25</v>
      </c>
      <c r="H64" s="130">
        <f>DAY(EOMONTH(MC_2[[#This Row],[Month Year]],0))</f>
        <v>30</v>
      </c>
      <c r="I64" s="133"/>
      <c r="J64" s="133"/>
      <c r="K64" s="133">
        <v>5829</v>
      </c>
      <c r="L64" s="133">
        <v>0</v>
      </c>
      <c r="M64" s="133">
        <v>0</v>
      </c>
      <c r="N64" s="133">
        <v>0</v>
      </c>
      <c r="O64" s="133"/>
      <c r="P64" s="133"/>
      <c r="Q64" s="133"/>
      <c r="R64" s="133"/>
      <c r="S64" s="4"/>
      <c r="T64" s="134"/>
      <c r="U64" s="133"/>
      <c r="V64" s="133"/>
      <c r="W64" s="134"/>
      <c r="X64" s="133"/>
      <c r="Y64" s="133"/>
      <c r="Z64" s="133"/>
    </row>
    <row r="65" spans="1:26">
      <c r="A65" s="133">
        <v>63</v>
      </c>
      <c r="B65" s="127">
        <f t="shared" si="0"/>
        <v>45751</v>
      </c>
      <c r="C65" s="128">
        <f>YEAR(MC_2[[#This Row],[Date]])+IF(MONTH(MC_2[[#This Row],[Date]])&gt;=4,1,0)</f>
        <v>2026</v>
      </c>
      <c r="D65" s="129">
        <f>YEAR(MC_2[[#This Row],[Date]])</f>
        <v>2025</v>
      </c>
      <c r="E65" s="126" t="s">
        <v>219</v>
      </c>
      <c r="F65" s="126" t="s">
        <v>219</v>
      </c>
      <c r="G65" s="130" t="str">
        <f>TEXT(MC_2[[#This Row],[Date]],"mmm-yy")</f>
        <v>Apr-25</v>
      </c>
      <c r="H65" s="130">
        <f>DAY(EOMONTH(MC_2[[#This Row],[Month Year]],0))</f>
        <v>30</v>
      </c>
      <c r="I65" s="133"/>
      <c r="J65" s="133"/>
      <c r="K65" s="133">
        <v>4234</v>
      </c>
      <c r="L65" s="133">
        <v>1276</v>
      </c>
      <c r="M65" s="133">
        <v>0</v>
      </c>
      <c r="N65" s="133">
        <v>0</v>
      </c>
      <c r="O65" s="133"/>
      <c r="P65" s="133"/>
      <c r="Q65" s="133"/>
      <c r="R65" s="133"/>
      <c r="S65" s="4"/>
      <c r="T65" s="134"/>
      <c r="U65" s="133"/>
      <c r="V65" s="133"/>
      <c r="W65" s="134"/>
      <c r="X65" s="133"/>
      <c r="Y65" s="133"/>
      <c r="Z65" s="133"/>
    </row>
    <row r="66" spans="1:26">
      <c r="A66" s="133">
        <v>64</v>
      </c>
      <c r="B66" s="127">
        <f t="shared" si="0"/>
        <v>45752</v>
      </c>
      <c r="C66" s="128">
        <f>YEAR(MC_2[[#This Row],[Date]])+IF(MONTH(MC_2[[#This Row],[Date]])&gt;=4,1,0)</f>
        <v>2026</v>
      </c>
      <c r="D66" s="129">
        <f>YEAR(MC_2[[#This Row],[Date]])</f>
        <v>2025</v>
      </c>
      <c r="E66" s="126" t="s">
        <v>219</v>
      </c>
      <c r="F66" s="126" t="s">
        <v>219</v>
      </c>
      <c r="G66" s="130" t="str">
        <f>TEXT(MC_2[[#This Row],[Date]],"mmm-yy")</f>
        <v>Apr-25</v>
      </c>
      <c r="H66" s="130">
        <f>DAY(EOMONTH(MC_2[[#This Row],[Month Year]],0))</f>
        <v>30</v>
      </c>
      <c r="I66" s="133"/>
      <c r="J66" s="133"/>
      <c r="K66" s="133">
        <v>0</v>
      </c>
      <c r="L66" s="133">
        <v>0</v>
      </c>
      <c r="M66" s="133">
        <v>3509</v>
      </c>
      <c r="N66" s="133">
        <v>0</v>
      </c>
      <c r="O66" s="133"/>
      <c r="P66" s="133"/>
      <c r="Q66" s="133"/>
      <c r="R66" s="133"/>
      <c r="S66" s="4"/>
      <c r="T66" s="134"/>
      <c r="U66" s="133"/>
      <c r="V66" s="133"/>
      <c r="W66" s="134"/>
      <c r="X66" s="133"/>
      <c r="Y66" s="133"/>
      <c r="Z66" s="133"/>
    </row>
    <row r="67" spans="1:26">
      <c r="A67" s="133">
        <v>65</v>
      </c>
      <c r="B67" s="127">
        <f t="shared" si="0"/>
        <v>45753</v>
      </c>
      <c r="C67" s="128">
        <f>YEAR(MC_2[[#This Row],[Date]])+IF(MONTH(MC_2[[#This Row],[Date]])&gt;=4,1,0)</f>
        <v>2026</v>
      </c>
      <c r="D67" s="129">
        <f>YEAR(MC_2[[#This Row],[Date]])</f>
        <v>2025</v>
      </c>
      <c r="E67" s="126" t="s">
        <v>219</v>
      </c>
      <c r="F67" s="126" t="s">
        <v>219</v>
      </c>
      <c r="G67" s="130" t="str">
        <f>TEXT(MC_2[[#This Row],[Date]],"mmm-yy")</f>
        <v>Apr-25</v>
      </c>
      <c r="H67" s="130">
        <f>DAY(EOMONTH(MC_2[[#This Row],[Month Year]],0))</f>
        <v>30</v>
      </c>
      <c r="I67" s="133"/>
      <c r="J67" s="133"/>
      <c r="K67" s="133">
        <v>0</v>
      </c>
      <c r="L67" s="133">
        <v>3219</v>
      </c>
      <c r="M67" s="133">
        <v>0</v>
      </c>
      <c r="N67" s="133">
        <v>0</v>
      </c>
      <c r="O67" s="133"/>
      <c r="P67" s="133"/>
      <c r="Q67" s="133"/>
      <c r="R67" s="133"/>
      <c r="S67" s="4"/>
      <c r="T67" s="134"/>
      <c r="U67" s="133"/>
      <c r="V67" s="133"/>
      <c r="W67" s="134"/>
      <c r="X67" s="133"/>
      <c r="Y67" s="133"/>
      <c r="Z67" s="133"/>
    </row>
    <row r="68" spans="1:26">
      <c r="A68" s="133">
        <v>66</v>
      </c>
      <c r="B68" s="127">
        <f t="shared" si="0"/>
        <v>45754</v>
      </c>
      <c r="C68" s="128">
        <f>YEAR(MC_2[[#This Row],[Date]])+IF(MONTH(MC_2[[#This Row],[Date]])&gt;=4,1,0)</f>
        <v>2026</v>
      </c>
      <c r="D68" s="129">
        <f>YEAR(MC_2[[#This Row],[Date]])</f>
        <v>2025</v>
      </c>
      <c r="E68" s="126" t="s">
        <v>219</v>
      </c>
      <c r="F68" s="126" t="s">
        <v>219</v>
      </c>
      <c r="G68" s="130" t="str">
        <f>TEXT(MC_2[[#This Row],[Date]],"mmm-yy")</f>
        <v>Apr-25</v>
      </c>
      <c r="H68" s="130">
        <f>DAY(EOMONTH(MC_2[[#This Row],[Month Year]],0))</f>
        <v>30</v>
      </c>
      <c r="I68" s="133"/>
      <c r="J68" s="133"/>
      <c r="K68" s="133">
        <v>0</v>
      </c>
      <c r="L68" s="133">
        <v>2697</v>
      </c>
      <c r="M68" s="133">
        <v>0</v>
      </c>
      <c r="N68" s="133">
        <v>0</v>
      </c>
      <c r="O68" s="133"/>
      <c r="P68" s="133"/>
      <c r="Q68" s="133"/>
      <c r="R68" s="133"/>
      <c r="S68" s="4">
        <f>SUM( MC_2[[#This Row],[ICR1]:[ICR5]])</f>
        <v>2697</v>
      </c>
      <c r="T68" s="134">
        <v>0.35416666666666669</v>
      </c>
      <c r="U68" s="134">
        <v>0.41666666666666669</v>
      </c>
      <c r="V68" s="134">
        <v>0.66666666666666663</v>
      </c>
      <c r="W68" s="134">
        <v>0.77083333333333337</v>
      </c>
      <c r="X68" s="133"/>
      <c r="Y68" s="133"/>
      <c r="Z68" s="133"/>
    </row>
    <row r="69" spans="1:26">
      <c r="A69" s="133">
        <v>67</v>
      </c>
      <c r="B69" s="127">
        <f t="shared" ref="B69:B132" si="1">B68+1</f>
        <v>45755</v>
      </c>
      <c r="C69" s="128">
        <f>YEAR(MC_2[[#This Row],[Date]])+IF(MONTH(MC_2[[#This Row],[Date]])&gt;=4,1,0)</f>
        <v>2026</v>
      </c>
      <c r="D69" s="129">
        <f>YEAR(MC_2[[#This Row],[Date]])</f>
        <v>2025</v>
      </c>
      <c r="E69" s="126" t="s">
        <v>219</v>
      </c>
      <c r="F69" s="126" t="s">
        <v>219</v>
      </c>
      <c r="G69" s="130" t="str">
        <f>TEXT(MC_2[[#This Row],[Date]],"mmm-yy")</f>
        <v>Apr-25</v>
      </c>
      <c r="H69" s="130">
        <f>DAY(EOMONTH(MC_2[[#This Row],[Month Year]],0))</f>
        <v>30</v>
      </c>
      <c r="I69" s="133"/>
      <c r="J69" s="133"/>
      <c r="K69" s="133">
        <v>1450</v>
      </c>
      <c r="L69" s="133">
        <v>1943</v>
      </c>
      <c r="M69" s="133">
        <v>0</v>
      </c>
      <c r="N69" s="133">
        <v>0</v>
      </c>
      <c r="O69" s="133"/>
      <c r="P69" s="133"/>
      <c r="Q69" s="133"/>
      <c r="R69" s="133"/>
      <c r="S69" s="4">
        <f>SUM(MC_2[[#This Row],[ICR1]:[ICR5]])</f>
        <v>3393</v>
      </c>
      <c r="T69" s="134">
        <v>0.28125</v>
      </c>
      <c r="U69" s="134">
        <v>0.40625</v>
      </c>
      <c r="V69" s="134">
        <v>0.6875</v>
      </c>
      <c r="W69" s="134">
        <v>0.79166666666666663</v>
      </c>
      <c r="X69" s="133"/>
      <c r="Y69" s="133"/>
      <c r="Z69" s="133"/>
    </row>
    <row r="70" spans="1:26">
      <c r="A70" s="133">
        <v>68</v>
      </c>
      <c r="B70" s="127">
        <f t="shared" si="1"/>
        <v>45756</v>
      </c>
      <c r="C70" s="128">
        <f>YEAR(MC_2[[#This Row],[Date]])+IF(MONTH(MC_2[[#This Row],[Date]])&gt;=4,1,0)</f>
        <v>2026</v>
      </c>
      <c r="D70" s="129">
        <f>YEAR(MC_2[[#This Row],[Date]])</f>
        <v>2025</v>
      </c>
      <c r="E70" s="126" t="s">
        <v>219</v>
      </c>
      <c r="F70" s="126" t="s">
        <v>219</v>
      </c>
      <c r="G70" s="130" t="str">
        <f>TEXT(MC_2[[#This Row],[Date]],"mmm-yy")</f>
        <v>Apr-25</v>
      </c>
      <c r="H70" s="130">
        <f>DAY(EOMONTH(MC_2[[#This Row],[Month Year]],0))</f>
        <v>30</v>
      </c>
      <c r="I70" s="133"/>
      <c r="J70" s="133"/>
      <c r="K70" s="133">
        <v>4756</v>
      </c>
      <c r="L70" s="133">
        <v>0</v>
      </c>
      <c r="M70" s="133">
        <v>0</v>
      </c>
      <c r="N70" s="133">
        <v>0</v>
      </c>
      <c r="O70" s="133"/>
      <c r="P70" s="133"/>
      <c r="Q70" s="133"/>
      <c r="R70" s="133"/>
      <c r="S70" s="4">
        <f>SUM(MC_2[[#This Row],[ICR1]:[ICR5]])</f>
        <v>4756</v>
      </c>
      <c r="T70" s="134">
        <v>0.23958333333333334</v>
      </c>
      <c r="U70" s="134">
        <v>0.39583333333333331</v>
      </c>
      <c r="V70" s="134">
        <v>0.64583333333333337</v>
      </c>
      <c r="W70" s="134">
        <v>0.77083333333333337</v>
      </c>
      <c r="X70" s="133"/>
      <c r="Y70" s="133"/>
      <c r="Z70" s="133"/>
    </row>
    <row r="71" spans="1:26">
      <c r="A71" s="133">
        <v>69</v>
      </c>
      <c r="B71" s="127">
        <f t="shared" si="1"/>
        <v>45757</v>
      </c>
      <c r="C71" s="128">
        <f>YEAR(MC_2[[#This Row],[Date]])+IF(MONTH(MC_2[[#This Row],[Date]])&gt;=4,1,0)</f>
        <v>2026</v>
      </c>
      <c r="D71" s="129">
        <f>YEAR(MC_2[[#This Row],[Date]])</f>
        <v>2025</v>
      </c>
      <c r="E71" s="126" t="s">
        <v>219</v>
      </c>
      <c r="F71" s="126" t="s">
        <v>219</v>
      </c>
      <c r="G71" s="130" t="str">
        <f>TEXT(MC_2[[#This Row],[Date]],"mmm-yy")</f>
        <v>Apr-25</v>
      </c>
      <c r="H71" s="130">
        <f>DAY(EOMONTH(MC_2[[#This Row],[Month Year]],0))</f>
        <v>30</v>
      </c>
      <c r="I71" s="133"/>
      <c r="J71" s="133"/>
      <c r="K71" s="133">
        <v>2320</v>
      </c>
      <c r="L71" s="133">
        <v>0</v>
      </c>
      <c r="M71" s="133">
        <v>0</v>
      </c>
      <c r="N71" s="133">
        <v>0</v>
      </c>
      <c r="O71" s="133"/>
      <c r="P71" s="133"/>
      <c r="Q71" s="133"/>
      <c r="R71" s="133"/>
      <c r="S71" s="4">
        <f>SUM(MC_2[[#This Row],[ICR1]:[ICR5]])</f>
        <v>2320</v>
      </c>
      <c r="T71" s="134">
        <v>0.28125</v>
      </c>
      <c r="U71" s="134">
        <v>0.40625</v>
      </c>
      <c r="V71" s="134">
        <v>0.69791666666666663</v>
      </c>
      <c r="W71" s="134">
        <v>0.79166666666666663</v>
      </c>
      <c r="X71" s="133"/>
      <c r="Y71" s="133"/>
      <c r="Z71" s="133"/>
    </row>
    <row r="72" spans="1:26">
      <c r="A72" s="133">
        <v>70</v>
      </c>
      <c r="B72" s="127">
        <f t="shared" si="1"/>
        <v>45758</v>
      </c>
      <c r="C72" s="128">
        <f>YEAR(MC_2[[#This Row],[Date]])+IF(MONTH(MC_2[[#This Row],[Date]])&gt;=4,1,0)</f>
        <v>2026</v>
      </c>
      <c r="D72" s="129">
        <f>YEAR(MC_2[[#This Row],[Date]])</f>
        <v>2025</v>
      </c>
      <c r="E72" s="126" t="s">
        <v>219</v>
      </c>
      <c r="F72" s="126" t="s">
        <v>219</v>
      </c>
      <c r="G72" s="130" t="str">
        <f>TEXT(MC_2[[#This Row],[Date]],"mmm-yy")</f>
        <v>Apr-25</v>
      </c>
      <c r="H72" s="130">
        <f>DAY(EOMONTH(MC_2[[#This Row],[Month Year]],0))</f>
        <v>30</v>
      </c>
      <c r="I72" s="133"/>
      <c r="J72" s="133"/>
      <c r="K72" s="133">
        <v>1972</v>
      </c>
      <c r="L72" s="133">
        <v>0</v>
      </c>
      <c r="M72" s="133">
        <v>0</v>
      </c>
      <c r="N72" s="133">
        <v>1160</v>
      </c>
      <c r="O72" s="133"/>
      <c r="P72" s="133"/>
      <c r="Q72" s="133"/>
      <c r="R72" s="133"/>
      <c r="S72" s="4">
        <f>SUM(MC_2[[#This Row],[ICR1]:[ICR5]])</f>
        <v>3132</v>
      </c>
      <c r="T72" s="134">
        <v>0.22916666666666666</v>
      </c>
      <c r="U72" s="134">
        <v>0.39583333333333331</v>
      </c>
      <c r="V72" s="134">
        <v>0.60416666666666663</v>
      </c>
      <c r="W72" s="134">
        <v>0.6875</v>
      </c>
      <c r="X72" s="133"/>
      <c r="Y72" s="133"/>
      <c r="Z72" s="133"/>
    </row>
    <row r="73" spans="1:26">
      <c r="A73" s="133">
        <v>71</v>
      </c>
      <c r="B73" s="127">
        <f t="shared" si="1"/>
        <v>45759</v>
      </c>
      <c r="C73" s="128">
        <f>YEAR(MC_2[[#This Row],[Date]])+IF(MONTH(MC_2[[#This Row],[Date]])&gt;=4,1,0)</f>
        <v>2026</v>
      </c>
      <c r="D73" s="129">
        <f>YEAR(MC_2[[#This Row],[Date]])</f>
        <v>2025</v>
      </c>
      <c r="E73" s="126" t="s">
        <v>219</v>
      </c>
      <c r="F73" s="126" t="s">
        <v>219</v>
      </c>
      <c r="G73" s="130" t="str">
        <f>TEXT(MC_2[[#This Row],[Date]],"mmm-yy")</f>
        <v>Apr-25</v>
      </c>
      <c r="H73" s="130">
        <f>DAY(EOMONTH(MC_2[[#This Row],[Month Year]],0))</f>
        <v>30</v>
      </c>
      <c r="I73" s="133"/>
      <c r="J73" s="133"/>
      <c r="K73" s="133">
        <v>0</v>
      </c>
      <c r="L73" s="133">
        <v>0</v>
      </c>
      <c r="M73" s="133">
        <v>0</v>
      </c>
      <c r="N73" s="133">
        <v>1392</v>
      </c>
      <c r="O73" s="133"/>
      <c r="P73" s="133"/>
      <c r="Q73" s="133"/>
      <c r="R73" s="133"/>
      <c r="S73" s="4">
        <f>SUM(MC_2[[#This Row],[ICR1]:[ICR5]])</f>
        <v>1392</v>
      </c>
      <c r="T73" s="134">
        <v>0.23958333333333334</v>
      </c>
      <c r="U73" s="134">
        <v>0.39583333333333331</v>
      </c>
      <c r="V73" s="134">
        <v>0.64583333333333337</v>
      </c>
      <c r="W73" s="134">
        <v>0.77083333333333337</v>
      </c>
      <c r="X73" s="133"/>
      <c r="Y73" s="133"/>
      <c r="Z73" s="133"/>
    </row>
    <row r="74" spans="1:26">
      <c r="A74" s="133">
        <v>72</v>
      </c>
      <c r="B74" s="127">
        <f t="shared" si="1"/>
        <v>45760</v>
      </c>
      <c r="C74" s="128">
        <f>YEAR(MC_2[[#This Row],[Date]])+IF(MONTH(MC_2[[#This Row],[Date]])&gt;=4,1,0)</f>
        <v>2026</v>
      </c>
      <c r="D74" s="129">
        <f>YEAR(MC_2[[#This Row],[Date]])</f>
        <v>2025</v>
      </c>
      <c r="E74" s="126" t="s">
        <v>219</v>
      </c>
      <c r="F74" s="126" t="s">
        <v>219</v>
      </c>
      <c r="G74" s="130" t="str">
        <f>TEXT(MC_2[[#This Row],[Date]],"mmm-yy")</f>
        <v>Apr-25</v>
      </c>
      <c r="H74" s="130">
        <f>DAY(EOMONTH(MC_2[[#This Row],[Month Year]],0))</f>
        <v>30</v>
      </c>
      <c r="I74" s="133"/>
      <c r="J74" s="133"/>
      <c r="K74" s="133">
        <v>0</v>
      </c>
      <c r="L74" s="133">
        <v>0</v>
      </c>
      <c r="M74" s="133">
        <v>0</v>
      </c>
      <c r="N74" s="133">
        <v>2030</v>
      </c>
      <c r="O74" s="133"/>
      <c r="P74" s="133"/>
      <c r="Q74" s="133"/>
      <c r="R74" s="133"/>
      <c r="S74" s="4">
        <f>SUM(MC_2[[#This Row],[ICR1]:[ICR5]])</f>
        <v>2030</v>
      </c>
      <c r="T74" s="134">
        <v>0.22916666666666666</v>
      </c>
      <c r="U74" s="134">
        <v>0.39583333333333331</v>
      </c>
      <c r="V74" s="134">
        <v>0.60416666666666663</v>
      </c>
      <c r="W74" s="134">
        <v>0.6875</v>
      </c>
      <c r="X74" s="133"/>
      <c r="Y74" s="133"/>
      <c r="Z74" s="133"/>
    </row>
    <row r="75" spans="1:26">
      <c r="A75" s="133">
        <v>73</v>
      </c>
      <c r="B75" s="127">
        <f t="shared" si="1"/>
        <v>45761</v>
      </c>
      <c r="C75" s="128">
        <f>YEAR(MC_2[[#This Row],[Date]])+IF(MONTH(MC_2[[#This Row],[Date]])&gt;=4,1,0)</f>
        <v>2026</v>
      </c>
      <c r="D75" s="129">
        <f>YEAR(MC_2[[#This Row],[Date]])</f>
        <v>2025</v>
      </c>
      <c r="E75" s="126" t="s">
        <v>219</v>
      </c>
      <c r="F75" s="126" t="s">
        <v>219</v>
      </c>
      <c r="G75" s="130" t="str">
        <f>TEXT(MC_2[[#This Row],[Date]],"mmm-yy")</f>
        <v>Apr-25</v>
      </c>
      <c r="H75" s="130">
        <f>DAY(EOMONTH(MC_2[[#This Row],[Month Year]],0))</f>
        <v>30</v>
      </c>
      <c r="I75" s="133"/>
      <c r="J75" s="133"/>
      <c r="K75" s="133">
        <v>0</v>
      </c>
      <c r="L75" s="133">
        <v>0</v>
      </c>
      <c r="M75" s="133">
        <v>0</v>
      </c>
      <c r="N75" s="133">
        <v>3045</v>
      </c>
      <c r="O75" s="133"/>
      <c r="P75" s="133"/>
      <c r="Q75" s="133"/>
      <c r="R75" s="133"/>
      <c r="S75" s="4">
        <f>SUM(MC_2[[#This Row],[ICR1]:[ICR5]])</f>
        <v>3045</v>
      </c>
      <c r="T75" s="134">
        <v>0.21875</v>
      </c>
      <c r="U75" s="134">
        <v>0.39583333333333331</v>
      </c>
      <c r="V75" s="134">
        <v>0.625</v>
      </c>
      <c r="W75" s="134">
        <v>0.6875</v>
      </c>
      <c r="X75" s="133"/>
      <c r="Y75" s="133"/>
      <c r="Z75" s="133"/>
    </row>
    <row r="76" spans="1:26">
      <c r="A76" s="133">
        <v>74</v>
      </c>
      <c r="B76" s="127">
        <f t="shared" si="1"/>
        <v>45762</v>
      </c>
      <c r="C76" s="128">
        <f>YEAR(MC_2[[#This Row],[Date]])+IF(MONTH(MC_2[[#This Row],[Date]])&gt;=4,1,0)</f>
        <v>2026</v>
      </c>
      <c r="D76" s="129">
        <f>YEAR(MC_2[[#This Row],[Date]])</f>
        <v>2025</v>
      </c>
      <c r="E76" s="126" t="s">
        <v>219</v>
      </c>
      <c r="F76" s="126" t="s">
        <v>219</v>
      </c>
      <c r="G76" s="130" t="str">
        <f>TEXT(MC_2[[#This Row],[Date]],"mmm-yy")</f>
        <v>Apr-25</v>
      </c>
      <c r="H76" s="130">
        <f>DAY(EOMONTH(MC_2[[#This Row],[Month Year]],0))</f>
        <v>30</v>
      </c>
      <c r="I76" s="133"/>
      <c r="J76" s="133"/>
      <c r="K76" s="133">
        <v>0</v>
      </c>
      <c r="L76" s="133">
        <v>0</v>
      </c>
      <c r="M76" s="133">
        <v>0</v>
      </c>
      <c r="N76" s="133">
        <v>2842</v>
      </c>
      <c r="O76" s="133"/>
      <c r="P76" s="133"/>
      <c r="Q76" s="133"/>
      <c r="R76" s="133"/>
      <c r="S76" s="4">
        <f>SUM(MC_2[[#This Row],[ICR1]:[ICR5]])</f>
        <v>2842</v>
      </c>
      <c r="T76" s="134"/>
      <c r="U76" s="133"/>
      <c r="V76" s="133"/>
      <c r="W76" s="134"/>
      <c r="X76" s="133"/>
      <c r="Y76" s="133"/>
      <c r="Z76" s="133"/>
    </row>
    <row r="77" spans="1:26">
      <c r="A77" s="133">
        <v>75</v>
      </c>
      <c r="B77" s="127">
        <f t="shared" si="1"/>
        <v>45763</v>
      </c>
      <c r="C77" s="128">
        <f>YEAR(MC_2[[#This Row],[Date]])+IF(MONTH(MC_2[[#This Row],[Date]])&gt;=4,1,0)</f>
        <v>2026</v>
      </c>
      <c r="D77" s="129">
        <f>YEAR(MC_2[[#This Row],[Date]])</f>
        <v>2025</v>
      </c>
      <c r="E77" s="126" t="s">
        <v>219</v>
      </c>
      <c r="F77" s="126" t="s">
        <v>219</v>
      </c>
      <c r="G77" s="130" t="str">
        <f>TEXT(MC_2[[#This Row],[Date]],"mmm-yy")</f>
        <v>Apr-25</v>
      </c>
      <c r="H77" s="130">
        <f>DAY(EOMONTH(MC_2[[#This Row],[Month Year]],0))</f>
        <v>30</v>
      </c>
      <c r="I77" s="133"/>
      <c r="J77" s="133"/>
      <c r="K77" s="133">
        <v>0</v>
      </c>
      <c r="L77" s="133">
        <v>0</v>
      </c>
      <c r="M77" s="133">
        <v>0</v>
      </c>
      <c r="N77" s="133">
        <v>957</v>
      </c>
      <c r="O77" s="133"/>
      <c r="P77" s="133"/>
      <c r="Q77" s="133"/>
      <c r="R77" s="133"/>
      <c r="S77" s="4">
        <f>SUM(MC_2[[#This Row],[ICR1]:[ICR5]])</f>
        <v>957</v>
      </c>
      <c r="T77" s="134">
        <v>0.22916666666666666</v>
      </c>
      <c r="U77" s="134">
        <v>0.39583333333333331</v>
      </c>
      <c r="V77" s="134">
        <v>0.60416666666666663</v>
      </c>
      <c r="W77" s="134">
        <v>0.6875</v>
      </c>
      <c r="X77" s="133"/>
      <c r="Y77" s="133"/>
      <c r="Z77" s="133"/>
    </row>
    <row r="78" spans="1:26">
      <c r="A78" s="133">
        <v>76</v>
      </c>
      <c r="B78" s="127">
        <f t="shared" si="1"/>
        <v>45764</v>
      </c>
      <c r="C78" s="128">
        <f>YEAR(MC_2[[#This Row],[Date]])+IF(MONTH(MC_2[[#This Row],[Date]])&gt;=4,1,0)</f>
        <v>2026</v>
      </c>
      <c r="D78" s="129">
        <f>YEAR(MC_2[[#This Row],[Date]])</f>
        <v>2025</v>
      </c>
      <c r="E78" s="126" t="s">
        <v>219</v>
      </c>
      <c r="F78" s="126" t="s">
        <v>219</v>
      </c>
      <c r="G78" s="130" t="str">
        <f>TEXT(MC_2[[#This Row],[Date]],"mmm-yy")</f>
        <v>Apr-25</v>
      </c>
      <c r="H78" s="130">
        <f>DAY(EOMONTH(MC_2[[#This Row],[Month Year]],0))</f>
        <v>30</v>
      </c>
      <c r="I78" s="133"/>
      <c r="J78" s="133"/>
      <c r="K78" s="133">
        <v>0</v>
      </c>
      <c r="L78" s="133">
        <v>0</v>
      </c>
      <c r="M78" s="133">
        <v>1102</v>
      </c>
      <c r="N78" s="133">
        <v>1537</v>
      </c>
      <c r="O78" s="133"/>
      <c r="P78" s="133"/>
      <c r="Q78" s="133"/>
      <c r="R78" s="133"/>
      <c r="S78" s="4">
        <f>SUM(MC_2[[#This Row],[ICR1]:[ICR5]])</f>
        <v>2639</v>
      </c>
      <c r="T78" s="134">
        <v>0.22916666666666666</v>
      </c>
      <c r="U78" s="134">
        <v>0.39583333333333331</v>
      </c>
      <c r="V78" s="134">
        <v>0.60416666666666663</v>
      </c>
      <c r="W78" s="134">
        <v>0.6875</v>
      </c>
      <c r="X78" s="133"/>
      <c r="Y78" s="133"/>
      <c r="Z78" s="133"/>
    </row>
    <row r="79" spans="1:26">
      <c r="A79" s="133">
        <v>77</v>
      </c>
      <c r="B79" s="127">
        <f t="shared" si="1"/>
        <v>45765</v>
      </c>
      <c r="C79" s="128">
        <f>YEAR(MC_2[[#This Row],[Date]])+IF(MONTH(MC_2[[#This Row],[Date]])&gt;=4,1,0)</f>
        <v>2026</v>
      </c>
      <c r="D79" s="129">
        <f>YEAR(MC_2[[#This Row],[Date]])</f>
        <v>2025</v>
      </c>
      <c r="E79" s="126" t="s">
        <v>219</v>
      </c>
      <c r="F79" s="126" t="s">
        <v>219</v>
      </c>
      <c r="G79" s="130" t="str">
        <f>TEXT(MC_2[[#This Row],[Date]],"mmm-yy")</f>
        <v>Apr-25</v>
      </c>
      <c r="H79" s="130">
        <f>DAY(EOMONTH(MC_2[[#This Row],[Month Year]],0))</f>
        <v>30</v>
      </c>
      <c r="I79" s="133"/>
      <c r="J79" s="133"/>
      <c r="K79" s="133">
        <v>0</v>
      </c>
      <c r="L79" s="133">
        <v>0</v>
      </c>
      <c r="M79" s="133">
        <v>2320</v>
      </c>
      <c r="N79" s="133">
        <v>0</v>
      </c>
      <c r="O79" s="133"/>
      <c r="P79" s="133"/>
      <c r="Q79" s="133"/>
      <c r="R79" s="133"/>
      <c r="S79" s="4">
        <f>SUM(MC_2[[#This Row],[ICR1]:[ICR5]])</f>
        <v>2320</v>
      </c>
      <c r="T79" s="134">
        <v>0.22916666666666666</v>
      </c>
      <c r="U79" s="134">
        <v>0.39583333333333331</v>
      </c>
      <c r="V79" s="134">
        <v>0.60416666666666663</v>
      </c>
      <c r="W79" s="134">
        <v>0.6875</v>
      </c>
      <c r="X79" s="133"/>
      <c r="Y79" s="133"/>
      <c r="Z79" s="133"/>
    </row>
    <row r="80" spans="1:26">
      <c r="A80" s="133">
        <v>78</v>
      </c>
      <c r="B80" s="127">
        <f t="shared" si="1"/>
        <v>45766</v>
      </c>
      <c r="C80" s="128">
        <f>YEAR(MC_2[[#This Row],[Date]])+IF(MONTH(MC_2[[#This Row],[Date]])&gt;=4,1,0)</f>
        <v>2026</v>
      </c>
      <c r="D80" s="129">
        <f>YEAR(MC_2[[#This Row],[Date]])</f>
        <v>2025</v>
      </c>
      <c r="E80" s="126" t="s">
        <v>219</v>
      </c>
      <c r="F80" s="126" t="s">
        <v>219</v>
      </c>
      <c r="G80" s="130" t="str">
        <f>TEXT(MC_2[[#This Row],[Date]],"mmm-yy")</f>
        <v>Apr-25</v>
      </c>
      <c r="H80" s="130">
        <f>DAY(EOMONTH(MC_2[[#This Row],[Month Year]],0))</f>
        <v>30</v>
      </c>
      <c r="I80" s="133"/>
      <c r="J80" s="133"/>
      <c r="K80" s="133">
        <v>0</v>
      </c>
      <c r="L80" s="133">
        <v>1015</v>
      </c>
      <c r="M80" s="133">
        <v>2871</v>
      </c>
      <c r="N80" s="133">
        <v>0</v>
      </c>
      <c r="O80" s="133"/>
      <c r="P80" s="133"/>
      <c r="Q80" s="133"/>
      <c r="R80" s="133"/>
      <c r="S80" s="4">
        <f>SUM(MC_2[[#This Row],[ICR1]:[ICR5]])</f>
        <v>3886</v>
      </c>
      <c r="T80" s="134"/>
      <c r="U80" s="133"/>
      <c r="V80" s="133"/>
      <c r="W80" s="134"/>
      <c r="X80" s="133"/>
      <c r="Y80" s="133"/>
      <c r="Z80" s="133"/>
    </row>
    <row r="81" spans="1:26">
      <c r="A81" s="133">
        <v>79</v>
      </c>
      <c r="B81" s="127">
        <f t="shared" si="1"/>
        <v>45767</v>
      </c>
      <c r="C81" s="128">
        <f>YEAR(MC_2[[#This Row],[Date]])+IF(MONTH(MC_2[[#This Row],[Date]])&gt;=4,1,0)</f>
        <v>2026</v>
      </c>
      <c r="D81" s="129">
        <f>YEAR(MC_2[[#This Row],[Date]])</f>
        <v>2025</v>
      </c>
      <c r="E81" s="126" t="s">
        <v>219</v>
      </c>
      <c r="F81" s="126" t="s">
        <v>219</v>
      </c>
      <c r="G81" s="130" t="str">
        <f>TEXT(MC_2[[#This Row],[Date]],"mmm-yy")</f>
        <v>Apr-25</v>
      </c>
      <c r="H81" s="130">
        <f>DAY(EOMONTH(MC_2[[#This Row],[Month Year]],0))</f>
        <v>30</v>
      </c>
      <c r="I81" s="133"/>
      <c r="J81" s="133"/>
      <c r="K81" s="133">
        <v>0</v>
      </c>
      <c r="L81" s="133">
        <v>3799</v>
      </c>
      <c r="M81" s="133">
        <v>638</v>
      </c>
      <c r="N81" s="133">
        <v>0</v>
      </c>
      <c r="O81" s="133"/>
      <c r="P81" s="133"/>
      <c r="Q81" s="133"/>
      <c r="R81" s="133"/>
      <c r="S81" s="4">
        <f>SUM(MC_2[[#This Row],[ICR1]:[ICR5]])</f>
        <v>4437</v>
      </c>
      <c r="T81" s="133"/>
      <c r="U81" s="133"/>
      <c r="V81" s="133"/>
      <c r="W81" s="133"/>
      <c r="X81" s="133"/>
      <c r="Y81" s="133"/>
      <c r="Z81" s="133"/>
    </row>
    <row r="82" spans="1:26">
      <c r="A82" s="133">
        <v>80</v>
      </c>
      <c r="B82" s="127">
        <f t="shared" si="1"/>
        <v>45768</v>
      </c>
      <c r="C82" s="128">
        <f>YEAR(MC_2[[#This Row],[Date]])+IF(MONTH(MC_2[[#This Row],[Date]])&gt;=4,1,0)</f>
        <v>2026</v>
      </c>
      <c r="D82" s="129">
        <f>YEAR(MC_2[[#This Row],[Date]])</f>
        <v>2025</v>
      </c>
      <c r="E82" s="126" t="s">
        <v>219</v>
      </c>
      <c r="F82" s="126" t="s">
        <v>219</v>
      </c>
      <c r="G82" s="130" t="str">
        <f>TEXT(MC_2[[#This Row],[Date]],"mmm-yy")</f>
        <v>Apr-25</v>
      </c>
      <c r="H82" s="130">
        <f>DAY(EOMONTH(MC_2[[#This Row],[Month Year]],0))</f>
        <v>30</v>
      </c>
      <c r="I82" s="133"/>
      <c r="J82" s="133"/>
      <c r="K82" s="133">
        <v>0</v>
      </c>
      <c r="L82" s="133">
        <v>3480</v>
      </c>
      <c r="M82" s="133">
        <v>0</v>
      </c>
      <c r="N82" s="133">
        <v>0</v>
      </c>
      <c r="O82" s="133"/>
      <c r="P82" s="133"/>
      <c r="Q82" s="133"/>
      <c r="R82" s="133"/>
      <c r="S82" s="4">
        <f>SUM(MC_2[[#This Row],[ICR1]:[ICR5]])</f>
        <v>3480</v>
      </c>
      <c r="T82" s="133"/>
      <c r="U82" s="133"/>
      <c r="V82" s="133"/>
      <c r="W82" s="133"/>
      <c r="X82" s="133"/>
      <c r="Y82" s="133"/>
      <c r="Z82" s="133"/>
    </row>
    <row r="83" spans="1:26">
      <c r="A83" s="133">
        <v>81</v>
      </c>
      <c r="B83" s="127">
        <f t="shared" si="1"/>
        <v>45769</v>
      </c>
      <c r="C83" s="128">
        <f>YEAR(MC_2[[#This Row],[Date]])+IF(MONTH(MC_2[[#This Row],[Date]])&gt;=4,1,0)</f>
        <v>2026</v>
      </c>
      <c r="D83" s="129">
        <f>YEAR(MC_2[[#This Row],[Date]])</f>
        <v>2025</v>
      </c>
      <c r="E83" s="126" t="s">
        <v>219</v>
      </c>
      <c r="F83" s="126" t="s">
        <v>219</v>
      </c>
      <c r="G83" s="130" t="str">
        <f>TEXT(MC_2[[#This Row],[Date]],"mmm-yy")</f>
        <v>Apr-25</v>
      </c>
      <c r="H83" s="130">
        <f>DAY(EOMONTH(MC_2[[#This Row],[Month Year]],0))</f>
        <v>30</v>
      </c>
      <c r="I83" s="133"/>
      <c r="J83" s="133"/>
      <c r="K83" s="133">
        <v>0</v>
      </c>
      <c r="L83" s="133">
        <v>1856</v>
      </c>
      <c r="M83" s="133">
        <v>0</v>
      </c>
      <c r="N83" s="133">
        <v>0</v>
      </c>
      <c r="O83" s="133"/>
      <c r="P83" s="133"/>
      <c r="Q83" s="133"/>
      <c r="R83" s="133"/>
      <c r="S83" s="4">
        <f>SUM(MC_2[[#This Row],[ICR1]:[ICR5]])</f>
        <v>1856</v>
      </c>
      <c r="T83" s="133"/>
      <c r="U83" s="133"/>
      <c r="V83" s="133"/>
      <c r="W83" s="133"/>
      <c r="X83" s="133"/>
      <c r="Y83" s="133"/>
      <c r="Z83" s="133"/>
    </row>
    <row r="84" spans="1:26">
      <c r="A84" s="133">
        <v>82</v>
      </c>
      <c r="B84" s="127">
        <f t="shared" si="1"/>
        <v>45770</v>
      </c>
      <c r="C84" s="128">
        <f>YEAR(MC_2[[#This Row],[Date]])+IF(MONTH(MC_2[[#This Row],[Date]])&gt;=4,1,0)</f>
        <v>2026</v>
      </c>
      <c r="D84" s="129">
        <f>YEAR(MC_2[[#This Row],[Date]])</f>
        <v>2025</v>
      </c>
      <c r="E84" s="126" t="s">
        <v>219</v>
      </c>
      <c r="F84" s="126" t="s">
        <v>219</v>
      </c>
      <c r="G84" s="130" t="str">
        <f>TEXT(MC_2[[#This Row],[Date]],"mmm-yy")</f>
        <v>Apr-25</v>
      </c>
      <c r="H84" s="130">
        <f>DAY(EOMONTH(MC_2[[#This Row],[Month Year]],0))</f>
        <v>30</v>
      </c>
      <c r="I84" s="133"/>
      <c r="J84" s="133"/>
      <c r="K84" s="133">
        <v>0</v>
      </c>
      <c r="L84" s="133">
        <v>2639</v>
      </c>
      <c r="M84" s="133">
        <v>0</v>
      </c>
      <c r="N84" s="133">
        <v>0</v>
      </c>
      <c r="O84" s="133"/>
      <c r="P84" s="133"/>
      <c r="Q84" s="133"/>
      <c r="R84" s="133"/>
      <c r="S84" s="4">
        <f>SUM(MC_2[[#This Row],[ICR1]:[ICR5]])</f>
        <v>2639</v>
      </c>
      <c r="T84" s="133"/>
      <c r="U84" s="133"/>
      <c r="V84" s="133"/>
      <c r="W84" s="133"/>
      <c r="X84" s="133"/>
      <c r="Y84" s="133"/>
      <c r="Z84" s="133"/>
    </row>
    <row r="85" spans="1:26">
      <c r="A85" s="133">
        <v>83</v>
      </c>
      <c r="B85" s="127">
        <f t="shared" si="1"/>
        <v>45771</v>
      </c>
      <c r="C85" s="128">
        <f>YEAR(MC_2[[#This Row],[Date]])+IF(MONTH(MC_2[[#This Row],[Date]])&gt;=4,1,0)</f>
        <v>2026</v>
      </c>
      <c r="D85" s="129">
        <f>YEAR(MC_2[[#This Row],[Date]])</f>
        <v>2025</v>
      </c>
      <c r="E85" s="126" t="s">
        <v>219</v>
      </c>
      <c r="F85" s="126" t="s">
        <v>219</v>
      </c>
      <c r="G85" s="130" t="str">
        <f>TEXT(MC_2[[#This Row],[Date]],"mmm-yy")</f>
        <v>Apr-25</v>
      </c>
      <c r="H85" s="130">
        <f>DAY(EOMONTH(MC_2[[#This Row],[Month Year]],0))</f>
        <v>30</v>
      </c>
      <c r="I85" s="133"/>
      <c r="J85" s="133"/>
      <c r="K85" s="133">
        <v>0</v>
      </c>
      <c r="L85" s="133">
        <v>0</v>
      </c>
      <c r="M85" s="133">
        <v>0</v>
      </c>
      <c r="N85" s="133">
        <v>0</v>
      </c>
      <c r="O85" s="133"/>
      <c r="P85" s="133"/>
      <c r="Q85" s="133"/>
      <c r="R85" s="133"/>
      <c r="S85" s="4">
        <f>SUM(MC_2[[#This Row],[ICR1]:[ICR5]])</f>
        <v>0</v>
      </c>
      <c r="T85" s="133"/>
      <c r="U85" s="133"/>
      <c r="V85" s="133"/>
      <c r="W85" s="133"/>
      <c r="X85" s="133"/>
      <c r="Y85" s="133"/>
      <c r="Z85" s="133"/>
    </row>
    <row r="86" spans="1:26">
      <c r="A86" s="133">
        <v>84</v>
      </c>
      <c r="B86" s="127">
        <f t="shared" si="1"/>
        <v>45772</v>
      </c>
      <c r="C86" s="128">
        <f>YEAR(MC_2[[#This Row],[Date]])+IF(MONTH(MC_2[[#This Row],[Date]])&gt;=4,1,0)</f>
        <v>2026</v>
      </c>
      <c r="D86" s="129">
        <f>YEAR(MC_2[[#This Row],[Date]])</f>
        <v>2025</v>
      </c>
      <c r="E86" s="126" t="s">
        <v>219</v>
      </c>
      <c r="F86" s="126" t="s">
        <v>219</v>
      </c>
      <c r="G86" s="130" t="str">
        <f>TEXT(MC_2[[#This Row],[Date]],"mmm-yy")</f>
        <v>Apr-25</v>
      </c>
      <c r="H86" s="130">
        <f>DAY(EOMONTH(MC_2[[#This Row],[Month Year]],0))</f>
        <v>30</v>
      </c>
      <c r="I86" s="133"/>
      <c r="J86" s="133"/>
      <c r="K86" s="133">
        <v>0</v>
      </c>
      <c r="L86" s="133">
        <v>3741</v>
      </c>
      <c r="M86" s="133">
        <v>464</v>
      </c>
      <c r="N86" s="133">
        <v>0</v>
      </c>
      <c r="O86" s="133"/>
      <c r="P86" s="133"/>
      <c r="Q86" s="133"/>
      <c r="R86" s="133"/>
      <c r="S86" s="4">
        <f>SUM(MC_2[[#This Row],[ICR1]:[ICR5]])</f>
        <v>4205</v>
      </c>
      <c r="T86" s="134"/>
      <c r="U86" s="133"/>
      <c r="V86" s="133"/>
      <c r="W86" s="134"/>
      <c r="X86" s="133"/>
      <c r="Y86" s="133"/>
      <c r="Z86" s="133"/>
    </row>
    <row r="87" spans="1:26">
      <c r="A87" s="133">
        <v>85</v>
      </c>
      <c r="B87" s="127">
        <f t="shared" si="1"/>
        <v>45773</v>
      </c>
      <c r="C87" s="128">
        <f>YEAR(MC_2[[#This Row],[Date]])+IF(MONTH(MC_2[[#This Row],[Date]])&gt;=4,1,0)</f>
        <v>2026</v>
      </c>
      <c r="D87" s="129">
        <f>YEAR(MC_2[[#This Row],[Date]])</f>
        <v>2025</v>
      </c>
      <c r="E87" s="126" t="s">
        <v>219</v>
      </c>
      <c r="F87" s="126" t="s">
        <v>219</v>
      </c>
      <c r="G87" s="130" t="str">
        <f>TEXT(MC_2[[#This Row],[Date]],"mmm-yy")</f>
        <v>Apr-25</v>
      </c>
      <c r="H87" s="130">
        <f>DAY(EOMONTH(MC_2[[#This Row],[Month Year]],0))</f>
        <v>30</v>
      </c>
      <c r="I87" s="133"/>
      <c r="J87" s="133"/>
      <c r="K87" s="133">
        <v>1102</v>
      </c>
      <c r="L87" s="133">
        <v>2929</v>
      </c>
      <c r="M87" s="133">
        <v>116</v>
      </c>
      <c r="N87" s="133">
        <v>232</v>
      </c>
      <c r="O87" s="133"/>
      <c r="P87" s="133"/>
      <c r="Q87" s="133"/>
      <c r="R87" s="133"/>
      <c r="S87" s="4">
        <f>SUM(MC_2[[#This Row],[ICR1]:[ICR5]])</f>
        <v>4379</v>
      </c>
      <c r="T87" s="134"/>
      <c r="U87" s="133"/>
      <c r="V87" s="133"/>
      <c r="W87" s="134"/>
      <c r="X87" s="133"/>
      <c r="Y87" s="133"/>
      <c r="Z87" s="133"/>
    </row>
    <row r="88" spans="1:26">
      <c r="A88" s="133">
        <v>86</v>
      </c>
      <c r="B88" s="127">
        <f t="shared" si="1"/>
        <v>45774</v>
      </c>
      <c r="C88" s="128">
        <f>YEAR(MC_2[[#This Row],[Date]])+IF(MONTH(MC_2[[#This Row],[Date]])&gt;=4,1,0)</f>
        <v>2026</v>
      </c>
      <c r="D88" s="129">
        <f>YEAR(MC_2[[#This Row],[Date]])</f>
        <v>2025</v>
      </c>
      <c r="E88" s="126" t="s">
        <v>219</v>
      </c>
      <c r="F88" s="126" t="s">
        <v>219</v>
      </c>
      <c r="G88" s="130" t="str">
        <f>TEXT(MC_2[[#This Row],[Date]],"mmm-yy")</f>
        <v>Apr-25</v>
      </c>
      <c r="H88" s="130">
        <f>DAY(EOMONTH(MC_2[[#This Row],[Month Year]],0))</f>
        <v>30</v>
      </c>
      <c r="I88" s="133"/>
      <c r="J88" s="133"/>
      <c r="K88" s="133">
        <v>2668</v>
      </c>
      <c r="L88" s="133">
        <v>174</v>
      </c>
      <c r="M88" s="133">
        <v>0</v>
      </c>
      <c r="N88" s="133">
        <v>2349</v>
      </c>
      <c r="O88" s="133"/>
      <c r="P88" s="133"/>
      <c r="Q88" s="133"/>
      <c r="R88" s="133"/>
      <c r="S88" s="4">
        <f>SUM(MC_2[[#This Row],[ICR1]:[ICR5]])</f>
        <v>5191</v>
      </c>
      <c r="T88" s="133"/>
      <c r="U88" s="133"/>
      <c r="V88" s="133"/>
      <c r="W88" s="133"/>
      <c r="X88" s="133"/>
      <c r="Y88" s="133"/>
      <c r="Z88" s="133"/>
    </row>
    <row r="89" spans="1:26">
      <c r="A89" s="133">
        <v>87</v>
      </c>
      <c r="B89" s="127">
        <f t="shared" si="1"/>
        <v>45775</v>
      </c>
      <c r="C89" s="128">
        <f>YEAR(MC_2[[#This Row],[Date]])+IF(MONTH(MC_2[[#This Row],[Date]])&gt;=4,1,0)</f>
        <v>2026</v>
      </c>
      <c r="D89" s="129">
        <f>YEAR(MC_2[[#This Row],[Date]])</f>
        <v>2025</v>
      </c>
      <c r="E89" s="126" t="s">
        <v>219</v>
      </c>
      <c r="F89" s="126" t="s">
        <v>219</v>
      </c>
      <c r="G89" s="130" t="str">
        <f>TEXT(MC_2[[#This Row],[Date]],"mmm-yy")</f>
        <v>Apr-25</v>
      </c>
      <c r="H89" s="130">
        <f>DAY(EOMONTH(MC_2[[#This Row],[Month Year]],0))</f>
        <v>30</v>
      </c>
      <c r="I89" s="133"/>
      <c r="J89" s="133"/>
      <c r="K89" s="133">
        <v>1102</v>
      </c>
      <c r="L89" s="133">
        <v>2929</v>
      </c>
      <c r="M89" s="133">
        <v>116</v>
      </c>
      <c r="N89" s="133">
        <v>232</v>
      </c>
      <c r="O89" s="133"/>
      <c r="P89" s="133"/>
      <c r="Q89" s="133"/>
      <c r="R89" s="133"/>
      <c r="S89" s="4">
        <f>SUM(MC_2[[#This Row],[ICR1]:[ICR5]])</f>
        <v>4379</v>
      </c>
      <c r="T89" s="133"/>
      <c r="U89" s="133"/>
      <c r="V89" s="133"/>
      <c r="W89" s="133"/>
      <c r="X89" s="133"/>
      <c r="Y89" s="133"/>
      <c r="Z89" s="133"/>
    </row>
    <row r="90" spans="1:26">
      <c r="A90" s="133">
        <v>88</v>
      </c>
      <c r="B90" s="127">
        <f t="shared" si="1"/>
        <v>45776</v>
      </c>
      <c r="C90" s="128">
        <f>YEAR(MC_2[[#This Row],[Date]])+IF(MONTH(MC_2[[#This Row],[Date]])&gt;=4,1,0)</f>
        <v>2026</v>
      </c>
      <c r="D90" s="129">
        <f>YEAR(MC_2[[#This Row],[Date]])</f>
        <v>2025</v>
      </c>
      <c r="E90" s="126" t="s">
        <v>219</v>
      </c>
      <c r="F90" s="126" t="s">
        <v>219</v>
      </c>
      <c r="G90" s="130" t="str">
        <f>TEXT(MC_2[[#This Row],[Date]],"mmm-yy")</f>
        <v>Apr-25</v>
      </c>
      <c r="H90" s="130">
        <f>DAY(EOMONTH(MC_2[[#This Row],[Month Year]],0))</f>
        <v>30</v>
      </c>
      <c r="I90" s="133"/>
      <c r="J90" s="133"/>
      <c r="K90" s="133">
        <v>2668</v>
      </c>
      <c r="L90" s="133">
        <v>174</v>
      </c>
      <c r="M90" s="133">
        <v>2349</v>
      </c>
      <c r="N90" s="133">
        <v>0</v>
      </c>
      <c r="O90" s="133"/>
      <c r="P90" s="133"/>
      <c r="Q90" s="133"/>
      <c r="R90" s="133"/>
      <c r="S90" s="4">
        <f>SUM(MC_2[[#This Row],[ICR1]:[ICR5]])</f>
        <v>5191</v>
      </c>
      <c r="T90" s="133"/>
      <c r="U90" s="133"/>
      <c r="V90" s="133"/>
      <c r="W90" s="133"/>
      <c r="X90" s="133"/>
      <c r="Y90" s="133"/>
      <c r="Z90" s="133"/>
    </row>
    <row r="91" spans="1:26">
      <c r="A91" s="133">
        <v>89</v>
      </c>
      <c r="B91" s="127">
        <f t="shared" si="1"/>
        <v>45777</v>
      </c>
      <c r="C91" s="128">
        <f>YEAR(MC_2[[#This Row],[Date]])+IF(MONTH(MC_2[[#This Row],[Date]])&gt;=4,1,0)</f>
        <v>2026</v>
      </c>
      <c r="D91" s="129">
        <f>YEAR(MC_2[[#This Row],[Date]])</f>
        <v>2025</v>
      </c>
      <c r="E91" s="126" t="s">
        <v>219</v>
      </c>
      <c r="F91" s="126" t="s">
        <v>219</v>
      </c>
      <c r="G91" s="130" t="str">
        <f>TEXT(MC_2[[#This Row],[Date]],"mmm-yy")</f>
        <v>Apr-25</v>
      </c>
      <c r="H91" s="130">
        <f>DAY(EOMONTH(MC_2[[#This Row],[Month Year]],0))</f>
        <v>30</v>
      </c>
      <c r="I91" s="133"/>
      <c r="J91" s="133"/>
      <c r="K91" s="133">
        <v>2494</v>
      </c>
      <c r="L91" s="133">
        <v>1392</v>
      </c>
      <c r="M91" s="133">
        <v>0</v>
      </c>
      <c r="N91" s="133">
        <v>0</v>
      </c>
      <c r="O91" s="133"/>
      <c r="P91" s="133"/>
      <c r="Q91" s="133"/>
      <c r="R91" s="133"/>
      <c r="S91" s="4">
        <f>SUM(MC_2[[#This Row],[ICR1]:[ICR5]])</f>
        <v>3886</v>
      </c>
      <c r="T91" s="133"/>
      <c r="U91" s="133"/>
      <c r="V91" s="134">
        <v>0.70833333333333337</v>
      </c>
      <c r="W91" s="134">
        <v>0.79166666666666663</v>
      </c>
      <c r="X91" s="133"/>
      <c r="Y91" s="133"/>
      <c r="Z91" s="133"/>
    </row>
    <row r="92" spans="1:26">
      <c r="A92" s="133">
        <v>90</v>
      </c>
      <c r="B92" s="127">
        <f t="shared" si="1"/>
        <v>45778</v>
      </c>
      <c r="C92" s="128">
        <f>YEAR(MC_2[[#This Row],[Date]])+IF(MONTH(MC_2[[#This Row],[Date]])&gt;=4,1,0)</f>
        <v>2026</v>
      </c>
      <c r="D92" s="129">
        <f>YEAR(MC_2[[#This Row],[Date]])</f>
        <v>2025</v>
      </c>
      <c r="E92" s="126" t="s">
        <v>219</v>
      </c>
      <c r="F92" s="126" t="s">
        <v>219</v>
      </c>
      <c r="G92" s="130" t="str">
        <f>TEXT(MC_2[[#This Row],[Date]],"mmm-yy")</f>
        <v>May-25</v>
      </c>
      <c r="H92" s="130">
        <f>DAY(EOMONTH(MC_2[[#This Row],[Month Year]],0))</f>
        <v>31</v>
      </c>
      <c r="I92" s="133"/>
      <c r="J92" s="133"/>
      <c r="K92" s="133">
        <v>3654</v>
      </c>
      <c r="L92" s="133">
        <v>0</v>
      </c>
      <c r="M92" s="133">
        <v>0</v>
      </c>
      <c r="N92" s="133">
        <v>0</v>
      </c>
      <c r="O92" s="133"/>
      <c r="P92" s="133"/>
      <c r="Q92" s="133"/>
      <c r="R92" s="133"/>
      <c r="S92" s="4">
        <f>SUM(MC_2[[#This Row],[ICR1]:[ICR5]])</f>
        <v>3654</v>
      </c>
      <c r="T92" s="133"/>
      <c r="U92" s="133"/>
      <c r="V92" s="134">
        <v>0.58333333333333337</v>
      </c>
      <c r="W92" s="134">
        <v>0.8125</v>
      </c>
      <c r="X92" s="133"/>
      <c r="Y92" s="133"/>
      <c r="Z92" s="133"/>
    </row>
    <row r="93" spans="1:26">
      <c r="A93" s="133">
        <v>91</v>
      </c>
      <c r="B93" s="127">
        <f t="shared" si="1"/>
        <v>45779</v>
      </c>
      <c r="C93" s="128">
        <f>YEAR(MC_2[[#This Row],[Date]])+IF(MONTH(MC_2[[#This Row],[Date]])&gt;=4,1,0)</f>
        <v>2026</v>
      </c>
      <c r="D93" s="129">
        <f>YEAR(MC_2[[#This Row],[Date]])</f>
        <v>2025</v>
      </c>
      <c r="E93" s="126" t="s">
        <v>219</v>
      </c>
      <c r="F93" s="126" t="s">
        <v>219</v>
      </c>
      <c r="G93" s="130" t="str">
        <f>TEXT(MC_2[[#This Row],[Date]],"mmm-yy")</f>
        <v>May-25</v>
      </c>
      <c r="H93" s="130">
        <f>DAY(EOMONTH(MC_2[[#This Row],[Month Year]],0))</f>
        <v>31</v>
      </c>
      <c r="I93" s="133"/>
      <c r="J93" s="133"/>
      <c r="K93" s="133">
        <v>3828</v>
      </c>
      <c r="L93" s="133">
        <v>0</v>
      </c>
      <c r="M93" s="133">
        <v>0</v>
      </c>
      <c r="N93" s="133">
        <v>377</v>
      </c>
      <c r="O93" s="133"/>
      <c r="P93" s="133"/>
      <c r="Q93" s="133"/>
      <c r="R93" s="133"/>
      <c r="S93" s="4">
        <f>SUM(MC_2[[#This Row],[ICR1]:[ICR5]])</f>
        <v>4205</v>
      </c>
      <c r="T93" s="133"/>
      <c r="U93" s="133"/>
      <c r="V93" s="133"/>
      <c r="W93" s="133"/>
      <c r="X93" s="133"/>
      <c r="Y93" s="133"/>
      <c r="Z93" s="133"/>
    </row>
    <row r="94" spans="1:26">
      <c r="A94" s="133">
        <v>92</v>
      </c>
      <c r="B94" s="127">
        <f t="shared" si="1"/>
        <v>45780</v>
      </c>
      <c r="C94" s="128">
        <f>YEAR(MC_2[[#This Row],[Date]])+IF(MONTH(MC_2[[#This Row],[Date]])&gt;=4,1,0)</f>
        <v>2026</v>
      </c>
      <c r="D94" s="129">
        <f>YEAR(MC_2[[#This Row],[Date]])</f>
        <v>2025</v>
      </c>
      <c r="E94" s="126" t="s">
        <v>219</v>
      </c>
      <c r="F94" s="126" t="s">
        <v>219</v>
      </c>
      <c r="G94" s="130" t="str">
        <f>TEXT(MC_2[[#This Row],[Date]],"mmm-yy")</f>
        <v>May-25</v>
      </c>
      <c r="H94" s="130">
        <f>DAY(EOMONTH(MC_2[[#This Row],[Month Year]],0))</f>
        <v>31</v>
      </c>
      <c r="I94" s="133"/>
      <c r="J94" s="133"/>
      <c r="K94" s="133">
        <v>232</v>
      </c>
      <c r="L94" s="133">
        <v>0</v>
      </c>
      <c r="M94" s="133">
        <v>0</v>
      </c>
      <c r="N94" s="133">
        <v>4466</v>
      </c>
      <c r="O94" s="133"/>
      <c r="P94" s="133"/>
      <c r="Q94" s="133"/>
      <c r="R94" s="133"/>
      <c r="S94" s="4">
        <f>SUM(MC_2[[#This Row],[ICR1]:[ICR5]])</f>
        <v>4698</v>
      </c>
      <c r="T94" s="133"/>
      <c r="U94" s="133"/>
      <c r="V94" s="133"/>
      <c r="W94" s="133"/>
      <c r="X94" s="133"/>
      <c r="Y94" s="133"/>
      <c r="Z94" s="133"/>
    </row>
    <row r="95" spans="1:26">
      <c r="A95" s="133">
        <v>93</v>
      </c>
      <c r="B95" s="127">
        <f t="shared" si="1"/>
        <v>45781</v>
      </c>
      <c r="C95" s="128">
        <f>YEAR(MC_2[[#This Row],[Date]])+IF(MONTH(MC_2[[#This Row],[Date]])&gt;=4,1,0)</f>
        <v>2026</v>
      </c>
      <c r="D95" s="129">
        <f>YEAR(MC_2[[#This Row],[Date]])</f>
        <v>2025</v>
      </c>
      <c r="E95" s="126" t="s">
        <v>219</v>
      </c>
      <c r="F95" s="126" t="s">
        <v>219</v>
      </c>
      <c r="G95" s="130" t="str">
        <f>TEXT(MC_2[[#This Row],[Date]],"mmm-yy")</f>
        <v>May-25</v>
      </c>
      <c r="H95" s="130">
        <f>DAY(EOMONTH(MC_2[[#This Row],[Month Year]],0))</f>
        <v>31</v>
      </c>
      <c r="I95" s="133"/>
      <c r="J95" s="133"/>
      <c r="K95" s="133">
        <v>0</v>
      </c>
      <c r="L95" s="133">
        <v>0</v>
      </c>
      <c r="M95" s="133">
        <v>0</v>
      </c>
      <c r="N95" s="133">
        <v>4872</v>
      </c>
      <c r="O95" s="133"/>
      <c r="P95" s="133"/>
      <c r="Q95" s="133"/>
      <c r="R95" s="133"/>
      <c r="S95" s="4">
        <f>SUM(MC_2[[#This Row],[ICR1]:[ICR5]])</f>
        <v>4872</v>
      </c>
      <c r="T95" s="133"/>
      <c r="U95" s="133"/>
      <c r="V95" s="133"/>
      <c r="W95" s="133"/>
      <c r="X95" s="133"/>
      <c r="Y95" s="133"/>
      <c r="Z95" s="133"/>
    </row>
    <row r="96" spans="1:26">
      <c r="A96" s="133">
        <v>94</v>
      </c>
      <c r="B96" s="127">
        <f t="shared" si="1"/>
        <v>45782</v>
      </c>
      <c r="C96" s="128">
        <f>YEAR(MC_2[[#This Row],[Date]])+IF(MONTH(MC_2[[#This Row],[Date]])&gt;=4,1,0)</f>
        <v>2026</v>
      </c>
      <c r="D96" s="129">
        <f>YEAR(MC_2[[#This Row],[Date]])</f>
        <v>2025</v>
      </c>
      <c r="E96" s="126" t="s">
        <v>219</v>
      </c>
      <c r="F96" s="126" t="s">
        <v>219</v>
      </c>
      <c r="G96" s="130" t="str">
        <f>TEXT(MC_2[[#This Row],[Date]],"mmm-yy")</f>
        <v>May-25</v>
      </c>
      <c r="H96" s="130">
        <f>DAY(EOMONTH(MC_2[[#This Row],[Month Year]],0))</f>
        <v>31</v>
      </c>
      <c r="I96" s="133"/>
      <c r="J96" s="133"/>
      <c r="K96" s="133">
        <v>0</v>
      </c>
      <c r="L96" s="133">
        <v>0</v>
      </c>
      <c r="M96" s="133">
        <v>0</v>
      </c>
      <c r="N96" s="133">
        <v>4089</v>
      </c>
      <c r="O96" s="133"/>
      <c r="P96" s="133"/>
      <c r="Q96" s="133"/>
      <c r="R96" s="133"/>
      <c r="S96" s="4">
        <f>SUM(MC_2[[#This Row],[ICR1]:[ICR5]])</f>
        <v>4089</v>
      </c>
      <c r="T96" s="134"/>
      <c r="U96" s="133"/>
      <c r="V96" s="133"/>
      <c r="W96" s="134"/>
      <c r="X96" s="133"/>
      <c r="Y96" s="133"/>
      <c r="Z96" s="133"/>
    </row>
    <row r="97" spans="1:26">
      <c r="A97" s="133">
        <v>95</v>
      </c>
      <c r="B97" s="127">
        <f t="shared" si="1"/>
        <v>45783</v>
      </c>
      <c r="C97" s="128">
        <f>YEAR(MC_2[[#This Row],[Date]])+IF(MONTH(MC_2[[#This Row],[Date]])&gt;=4,1,0)</f>
        <v>2026</v>
      </c>
      <c r="D97" s="129">
        <f>YEAR(MC_2[[#This Row],[Date]])</f>
        <v>2025</v>
      </c>
      <c r="E97" s="126" t="s">
        <v>219</v>
      </c>
      <c r="F97" s="126" t="s">
        <v>219</v>
      </c>
      <c r="G97" s="130" t="str">
        <f>TEXT(MC_2[[#This Row],[Date]],"mmm-yy")</f>
        <v>May-25</v>
      </c>
      <c r="H97" s="130">
        <f>DAY(EOMONTH(MC_2[[#This Row],[Month Year]],0))</f>
        <v>31</v>
      </c>
      <c r="I97" s="133"/>
      <c r="J97" s="133"/>
      <c r="K97" s="133">
        <v>957</v>
      </c>
      <c r="L97" s="133">
        <v>0</v>
      </c>
      <c r="M97" s="133">
        <v>0</v>
      </c>
      <c r="N97" s="133">
        <v>0</v>
      </c>
      <c r="O97" s="133"/>
      <c r="P97" s="133"/>
      <c r="Q97" s="133"/>
      <c r="R97" s="133"/>
      <c r="S97" s="4">
        <f>SUM(MC_2[[#This Row],[ICR1]:[ICR5]])</f>
        <v>957</v>
      </c>
      <c r="T97" s="133"/>
      <c r="U97" s="133"/>
      <c r="V97" s="133"/>
      <c r="W97" s="133"/>
      <c r="X97" s="133"/>
      <c r="Y97" s="133"/>
      <c r="Z97" s="133"/>
    </row>
    <row r="98" spans="1:26">
      <c r="A98" s="133">
        <v>96</v>
      </c>
      <c r="B98" s="127">
        <f t="shared" si="1"/>
        <v>45784</v>
      </c>
      <c r="C98" s="128">
        <f>YEAR(MC_2[[#This Row],[Date]])+IF(MONTH(MC_2[[#This Row],[Date]])&gt;=4,1,0)</f>
        <v>2026</v>
      </c>
      <c r="D98" s="129">
        <f>YEAR(MC_2[[#This Row],[Date]])</f>
        <v>2025</v>
      </c>
      <c r="E98" s="126" t="s">
        <v>219</v>
      </c>
      <c r="F98" s="126" t="s">
        <v>219</v>
      </c>
      <c r="G98" s="130" t="str">
        <f>TEXT(MC_2[[#This Row],[Date]],"mmm-yy")</f>
        <v>May-25</v>
      </c>
      <c r="H98" s="130">
        <f>DAY(EOMONTH(MC_2[[#This Row],[Month Year]],0))</f>
        <v>31</v>
      </c>
      <c r="I98" s="133"/>
      <c r="J98" s="133"/>
      <c r="K98" s="133">
        <v>464</v>
      </c>
      <c r="L98" s="133">
        <v>0</v>
      </c>
      <c r="M98" s="133">
        <v>0</v>
      </c>
      <c r="N98" s="133">
        <v>0</v>
      </c>
      <c r="O98" s="133"/>
      <c r="P98" s="133"/>
      <c r="Q98" s="133"/>
      <c r="R98" s="133"/>
      <c r="S98" s="4">
        <f>SUM(MC_2[[#This Row],[ICR1]:[ICR5]])</f>
        <v>464</v>
      </c>
      <c r="T98" s="133"/>
      <c r="U98" s="133"/>
      <c r="V98" s="133"/>
      <c r="W98" s="133"/>
      <c r="X98" s="133"/>
      <c r="Y98" s="133"/>
      <c r="Z98" s="133"/>
    </row>
    <row r="99" spans="1:26">
      <c r="A99" s="133">
        <v>97</v>
      </c>
      <c r="B99" s="127">
        <f t="shared" si="1"/>
        <v>45785</v>
      </c>
      <c r="C99" s="128">
        <f>YEAR(MC_2[[#This Row],[Date]])+IF(MONTH(MC_2[[#This Row],[Date]])&gt;=4,1,0)</f>
        <v>2026</v>
      </c>
      <c r="D99" s="129">
        <f>YEAR(MC_2[[#This Row],[Date]])</f>
        <v>2025</v>
      </c>
      <c r="E99" s="126" t="s">
        <v>219</v>
      </c>
      <c r="F99" s="126" t="s">
        <v>219</v>
      </c>
      <c r="G99" s="130" t="str">
        <f>TEXT(MC_2[[#This Row],[Date]],"mmm-yy")</f>
        <v>May-25</v>
      </c>
      <c r="H99" s="130">
        <f>DAY(EOMONTH(MC_2[[#This Row],[Month Year]],0))</f>
        <v>31</v>
      </c>
      <c r="I99" s="133"/>
      <c r="J99" s="133"/>
      <c r="K99" s="133">
        <v>1392</v>
      </c>
      <c r="L99" s="133">
        <v>609</v>
      </c>
      <c r="M99" s="133">
        <v>0</v>
      </c>
      <c r="N99" s="133">
        <v>0</v>
      </c>
      <c r="O99" s="133"/>
      <c r="P99" s="133"/>
      <c r="Q99" s="133"/>
      <c r="R99" s="133"/>
      <c r="S99" s="4">
        <f>SUM(MC_2[[#This Row],[ICR1]:[ICR5]])</f>
        <v>2001</v>
      </c>
      <c r="T99" s="133"/>
      <c r="U99" s="133"/>
      <c r="V99" s="133"/>
      <c r="W99" s="133"/>
      <c r="X99" s="133"/>
      <c r="Y99" s="133"/>
      <c r="Z99" s="133"/>
    </row>
    <row r="100" spans="1:26">
      <c r="A100" s="133">
        <v>98</v>
      </c>
      <c r="B100" s="127">
        <f t="shared" si="1"/>
        <v>45786</v>
      </c>
      <c r="C100" s="128">
        <f>YEAR(MC_2[[#This Row],[Date]])+IF(MONTH(MC_2[[#This Row],[Date]])&gt;=4,1,0)</f>
        <v>2026</v>
      </c>
      <c r="D100" s="129">
        <f>YEAR(MC_2[[#This Row],[Date]])</f>
        <v>2025</v>
      </c>
      <c r="E100" s="126" t="s">
        <v>219</v>
      </c>
      <c r="F100" s="126" t="s">
        <v>219</v>
      </c>
      <c r="G100" s="130" t="str">
        <f>TEXT(MC_2[[#This Row],[Date]],"mmm-yy")</f>
        <v>May-25</v>
      </c>
      <c r="H100" s="130">
        <f>DAY(EOMONTH(MC_2[[#This Row],[Month Year]],0))</f>
        <v>31</v>
      </c>
      <c r="I100" s="133"/>
      <c r="J100" s="133"/>
      <c r="K100" s="133">
        <v>2407</v>
      </c>
      <c r="L100" s="133">
        <v>0</v>
      </c>
      <c r="M100" s="133">
        <v>0</v>
      </c>
      <c r="N100" s="133">
        <v>1914</v>
      </c>
      <c r="O100" s="133"/>
      <c r="P100" s="133"/>
      <c r="Q100" s="133"/>
      <c r="R100" s="133"/>
      <c r="S100" s="4">
        <f>SUM(MC_2[[#This Row],[ICR1]:[ICR5]])</f>
        <v>4321</v>
      </c>
      <c r="T100" s="133"/>
      <c r="U100" s="133"/>
      <c r="V100" s="133"/>
      <c r="W100" s="133"/>
      <c r="X100" s="133"/>
      <c r="Y100" s="133"/>
      <c r="Z100" s="133"/>
    </row>
    <row r="101" spans="1:26">
      <c r="A101" s="133">
        <v>99</v>
      </c>
      <c r="B101" s="127">
        <f t="shared" si="1"/>
        <v>45787</v>
      </c>
      <c r="C101" s="128">
        <f>YEAR(MC_2[[#This Row],[Date]])+IF(MONTH(MC_2[[#This Row],[Date]])&gt;=4,1,0)</f>
        <v>2026</v>
      </c>
      <c r="D101" s="129">
        <f>YEAR(MC_2[[#This Row],[Date]])</f>
        <v>2025</v>
      </c>
      <c r="E101" s="126" t="s">
        <v>219</v>
      </c>
      <c r="F101" s="126" t="s">
        <v>219</v>
      </c>
      <c r="G101" s="130" t="str">
        <f>TEXT(MC_2[[#This Row],[Date]],"mmm-yy")</f>
        <v>May-25</v>
      </c>
      <c r="H101" s="130">
        <f>DAY(EOMONTH(MC_2[[#This Row],[Month Year]],0))</f>
        <v>31</v>
      </c>
      <c r="I101" s="133"/>
      <c r="J101" s="133"/>
      <c r="K101" s="133">
        <v>0</v>
      </c>
      <c r="L101" s="133">
        <v>4756</v>
      </c>
      <c r="M101" s="133">
        <v>0</v>
      </c>
      <c r="N101" s="133">
        <v>0</v>
      </c>
      <c r="O101" s="133"/>
      <c r="P101" s="133"/>
      <c r="Q101" s="133"/>
      <c r="R101" s="133"/>
      <c r="S101" s="4">
        <f>SUM(MC_2[[#This Row],[ICR1]:[ICR5]])</f>
        <v>4756</v>
      </c>
      <c r="T101" s="133"/>
      <c r="U101" s="133"/>
      <c r="V101" s="133"/>
      <c r="W101" s="133"/>
      <c r="X101" s="133"/>
      <c r="Y101" s="133"/>
      <c r="Z101" s="133"/>
    </row>
    <row r="102" spans="1:26">
      <c r="A102" s="133">
        <v>100</v>
      </c>
      <c r="B102" s="127">
        <f t="shared" si="1"/>
        <v>45788</v>
      </c>
      <c r="C102" s="128">
        <f>YEAR(MC_2[[#This Row],[Date]])+IF(MONTH(MC_2[[#This Row],[Date]])&gt;=4,1,0)</f>
        <v>2026</v>
      </c>
      <c r="D102" s="129">
        <f>YEAR(MC_2[[#This Row],[Date]])</f>
        <v>2025</v>
      </c>
      <c r="E102" s="126" t="s">
        <v>219</v>
      </c>
      <c r="F102" s="126" t="s">
        <v>219</v>
      </c>
      <c r="G102" s="130" t="str">
        <f>TEXT(MC_2[[#This Row],[Date]],"mmm-yy")</f>
        <v>May-25</v>
      </c>
      <c r="H102" s="130">
        <f>DAY(EOMONTH(MC_2[[#This Row],[Month Year]],0))</f>
        <v>31</v>
      </c>
      <c r="I102" s="133"/>
      <c r="J102" s="133"/>
      <c r="K102" s="133">
        <v>0</v>
      </c>
      <c r="L102" s="133">
        <v>3712</v>
      </c>
      <c r="M102" s="133">
        <v>0</v>
      </c>
      <c r="N102" s="133">
        <v>0</v>
      </c>
      <c r="O102" s="133"/>
      <c r="P102" s="133"/>
      <c r="Q102" s="133"/>
      <c r="R102" s="133"/>
      <c r="S102" s="4">
        <f>SUM(MC_2[[#This Row],[ICR1]:[ICR5]])</f>
        <v>3712</v>
      </c>
      <c r="T102" s="133"/>
      <c r="U102" s="133"/>
      <c r="V102" s="133"/>
      <c r="W102" s="133"/>
      <c r="X102" s="133"/>
      <c r="Y102" s="133"/>
      <c r="Z102" s="133"/>
    </row>
    <row r="103" spans="1:26">
      <c r="A103" s="133">
        <v>101</v>
      </c>
      <c r="B103" s="127">
        <f t="shared" si="1"/>
        <v>45789</v>
      </c>
      <c r="C103" s="128">
        <f>YEAR(MC_2[[#This Row],[Date]])+IF(MONTH(MC_2[[#This Row],[Date]])&gt;=4,1,0)</f>
        <v>2026</v>
      </c>
      <c r="D103" s="129">
        <f>YEAR(MC_2[[#This Row],[Date]])</f>
        <v>2025</v>
      </c>
      <c r="E103" s="126" t="s">
        <v>219</v>
      </c>
      <c r="F103" s="126" t="s">
        <v>219</v>
      </c>
      <c r="G103" s="130" t="str">
        <f>TEXT(MC_2[[#This Row],[Date]],"mmm-yy")</f>
        <v>May-25</v>
      </c>
      <c r="H103" s="130">
        <f>DAY(EOMONTH(MC_2[[#This Row],[Month Year]],0))</f>
        <v>31</v>
      </c>
      <c r="I103" s="133"/>
      <c r="J103" s="133"/>
      <c r="K103" s="133">
        <v>0</v>
      </c>
      <c r="L103" s="133">
        <v>0</v>
      </c>
      <c r="M103" s="133">
        <v>0</v>
      </c>
      <c r="N103" s="133">
        <v>0</v>
      </c>
      <c r="O103" s="133"/>
      <c r="P103" s="133"/>
      <c r="Q103" s="133"/>
      <c r="R103" s="133"/>
      <c r="S103" s="4">
        <f>SUM(MC_2[[#This Row],[ICR1]:[ICR5]])</f>
        <v>0</v>
      </c>
      <c r="T103" s="133"/>
      <c r="U103" s="133"/>
      <c r="V103" s="133"/>
      <c r="W103" s="133"/>
      <c r="X103" s="133"/>
      <c r="Y103" s="133"/>
      <c r="Z103" s="133"/>
    </row>
    <row r="104" spans="1:26">
      <c r="A104" s="133">
        <v>102</v>
      </c>
      <c r="B104" s="127">
        <f t="shared" si="1"/>
        <v>45790</v>
      </c>
      <c r="C104" s="128">
        <f>YEAR(MC_2[[#This Row],[Date]])+IF(MONTH(MC_2[[#This Row],[Date]])&gt;=4,1,0)</f>
        <v>2026</v>
      </c>
      <c r="D104" s="129">
        <f>YEAR(MC_2[[#This Row],[Date]])</f>
        <v>2025</v>
      </c>
      <c r="E104" s="126" t="s">
        <v>219</v>
      </c>
      <c r="F104" s="126" t="s">
        <v>219</v>
      </c>
      <c r="G104" s="130" t="str">
        <f>TEXT(MC_2[[#This Row],[Date]],"mmm-yy")</f>
        <v>May-25</v>
      </c>
      <c r="H104" s="130">
        <f>DAY(EOMONTH(MC_2[[#This Row],[Month Year]],0))</f>
        <v>31</v>
      </c>
      <c r="I104" s="133"/>
      <c r="J104" s="133"/>
      <c r="K104" s="133">
        <v>0</v>
      </c>
      <c r="L104" s="133">
        <v>0</v>
      </c>
      <c r="M104" s="133">
        <v>0</v>
      </c>
      <c r="N104" s="133">
        <v>0</v>
      </c>
      <c r="O104" s="133"/>
      <c r="P104" s="133"/>
      <c r="Q104" s="133"/>
      <c r="R104" s="133"/>
      <c r="S104" s="4">
        <f>SUM(MC_2[[#This Row],[ICR1]:[ICR5]])</f>
        <v>0</v>
      </c>
      <c r="T104" s="133"/>
      <c r="U104" s="133"/>
      <c r="V104" s="133"/>
      <c r="W104" s="133"/>
      <c r="X104" s="133"/>
      <c r="Y104" s="133"/>
      <c r="Z104" s="133"/>
    </row>
    <row r="105" spans="1:26">
      <c r="A105" s="133">
        <v>103</v>
      </c>
      <c r="B105" s="127">
        <f t="shared" si="1"/>
        <v>45791</v>
      </c>
      <c r="C105" s="128">
        <f>YEAR(MC_2[[#This Row],[Date]])+IF(MONTH(MC_2[[#This Row],[Date]])&gt;=4,1,0)</f>
        <v>2026</v>
      </c>
      <c r="D105" s="129">
        <f>YEAR(MC_2[[#This Row],[Date]])</f>
        <v>2025</v>
      </c>
      <c r="E105" s="126" t="s">
        <v>219</v>
      </c>
      <c r="F105" s="126" t="s">
        <v>219</v>
      </c>
      <c r="G105" s="130" t="str">
        <f>TEXT(MC_2[[#This Row],[Date]],"mmm-yy")</f>
        <v>May-25</v>
      </c>
      <c r="H105" s="130">
        <f>DAY(EOMONTH(MC_2[[#This Row],[Month Year]],0))</f>
        <v>31</v>
      </c>
      <c r="I105" s="133"/>
      <c r="J105" s="133"/>
      <c r="K105" s="133">
        <v>0</v>
      </c>
      <c r="L105" s="133">
        <v>0</v>
      </c>
      <c r="M105" s="133">
        <v>0</v>
      </c>
      <c r="N105" s="133">
        <v>0</v>
      </c>
      <c r="O105" s="133"/>
      <c r="P105" s="133"/>
      <c r="Q105" s="133"/>
      <c r="R105" s="133"/>
      <c r="S105" s="4">
        <f>SUM(MC_2[[#This Row],[ICR1]:[ICR5]])</f>
        <v>0</v>
      </c>
      <c r="T105" s="133"/>
      <c r="U105" s="133"/>
      <c r="V105" s="134"/>
      <c r="W105" s="134"/>
      <c r="X105" s="133"/>
      <c r="Y105" s="133"/>
      <c r="Z105" s="133"/>
    </row>
    <row r="106" spans="1:26">
      <c r="A106" s="133">
        <v>104</v>
      </c>
      <c r="B106" s="127">
        <f t="shared" si="1"/>
        <v>45792</v>
      </c>
      <c r="C106" s="128">
        <f>YEAR(MC_2[[#This Row],[Date]])+IF(MONTH(MC_2[[#This Row],[Date]])&gt;=4,1,0)</f>
        <v>2026</v>
      </c>
      <c r="D106" s="129">
        <f>YEAR(MC_2[[#This Row],[Date]])</f>
        <v>2025</v>
      </c>
      <c r="E106" s="126" t="s">
        <v>219</v>
      </c>
      <c r="F106" s="126" t="s">
        <v>219</v>
      </c>
      <c r="G106" s="130" t="str">
        <f>TEXT(MC_2[[#This Row],[Date]],"mmm-yy")</f>
        <v>May-25</v>
      </c>
      <c r="H106" s="130">
        <f>DAY(EOMONTH(MC_2[[#This Row],[Month Year]],0))</f>
        <v>31</v>
      </c>
      <c r="I106" s="133"/>
      <c r="J106" s="133"/>
      <c r="K106" s="133">
        <v>0</v>
      </c>
      <c r="L106" s="133">
        <v>0</v>
      </c>
      <c r="M106" s="133">
        <v>0</v>
      </c>
      <c r="N106" s="133">
        <v>0</v>
      </c>
      <c r="O106" s="133"/>
      <c r="P106" s="133"/>
      <c r="Q106" s="133"/>
      <c r="R106" s="133"/>
      <c r="S106" s="4">
        <f>SUM(MC_2[[#This Row],[ICR1]:[ICR5]])</f>
        <v>0</v>
      </c>
      <c r="T106" s="134"/>
      <c r="U106" s="134"/>
      <c r="V106" s="134"/>
      <c r="W106" s="134"/>
      <c r="X106" s="133"/>
      <c r="Y106" s="133"/>
      <c r="Z106" s="133"/>
    </row>
    <row r="107" spans="1:26">
      <c r="A107" s="133">
        <v>105</v>
      </c>
      <c r="B107" s="127">
        <f t="shared" si="1"/>
        <v>45793</v>
      </c>
      <c r="C107" s="128">
        <f>YEAR(MC_2[[#This Row],[Date]])+IF(MONTH(MC_2[[#This Row],[Date]])&gt;=4,1,0)</f>
        <v>2026</v>
      </c>
      <c r="D107" s="129">
        <f>YEAR(MC_2[[#This Row],[Date]])</f>
        <v>2025</v>
      </c>
      <c r="E107" s="126" t="s">
        <v>219</v>
      </c>
      <c r="F107" s="126" t="s">
        <v>219</v>
      </c>
      <c r="G107" s="130" t="str">
        <f>TEXT(MC_2[[#This Row],[Date]],"mmm-yy")</f>
        <v>May-25</v>
      </c>
      <c r="H107" s="130">
        <f>DAY(EOMONTH(MC_2[[#This Row],[Month Year]],0))</f>
        <v>31</v>
      </c>
      <c r="I107" s="133"/>
      <c r="J107" s="133"/>
      <c r="K107" s="133">
        <v>0</v>
      </c>
      <c r="L107" s="133">
        <v>0</v>
      </c>
      <c r="M107" s="133">
        <v>0</v>
      </c>
      <c r="N107" s="133">
        <v>0</v>
      </c>
      <c r="O107" s="133"/>
      <c r="P107" s="133"/>
      <c r="Q107" s="133"/>
      <c r="R107" s="133"/>
      <c r="S107" s="4">
        <f>SUM(MC_2[[#This Row],[ICR1]:[ICR5]])</f>
        <v>0</v>
      </c>
      <c r="T107" s="134"/>
      <c r="U107" s="134"/>
      <c r="V107" s="133"/>
      <c r="W107" s="133"/>
      <c r="X107" s="133"/>
      <c r="Y107" s="133"/>
      <c r="Z107" s="133"/>
    </row>
    <row r="108" spans="1:26">
      <c r="A108" s="133">
        <v>106</v>
      </c>
      <c r="B108" s="127">
        <f t="shared" si="1"/>
        <v>45794</v>
      </c>
      <c r="C108" s="128">
        <f>YEAR(MC_2[[#This Row],[Date]])+IF(MONTH(MC_2[[#This Row],[Date]])&gt;=4,1,0)</f>
        <v>2026</v>
      </c>
      <c r="D108" s="129">
        <f>YEAR(MC_2[[#This Row],[Date]])</f>
        <v>2025</v>
      </c>
      <c r="E108" s="126" t="s">
        <v>219</v>
      </c>
      <c r="F108" s="126" t="s">
        <v>219</v>
      </c>
      <c r="G108" s="130" t="str">
        <f>TEXT(MC_2[[#This Row],[Date]],"mmm-yy")</f>
        <v>May-25</v>
      </c>
      <c r="H108" s="130">
        <f>DAY(EOMONTH(MC_2[[#This Row],[Month Year]],0))</f>
        <v>31</v>
      </c>
      <c r="I108" s="133"/>
      <c r="J108" s="133"/>
      <c r="K108" s="133">
        <v>0</v>
      </c>
      <c r="L108" s="133">
        <v>0</v>
      </c>
      <c r="M108" s="133">
        <v>0</v>
      </c>
      <c r="N108" s="133">
        <v>0</v>
      </c>
      <c r="O108" s="133"/>
      <c r="P108" s="133"/>
      <c r="Q108" s="133"/>
      <c r="R108" s="133"/>
      <c r="S108" s="4">
        <f>SUM(MC_2[[#This Row],[ICR1]:[ICR5]])</f>
        <v>0</v>
      </c>
      <c r="T108" s="133"/>
      <c r="U108" s="133"/>
      <c r="V108" s="133"/>
      <c r="W108" s="133"/>
      <c r="X108" s="133"/>
      <c r="Y108" s="133"/>
      <c r="Z108" s="133"/>
    </row>
    <row r="109" spans="1:26">
      <c r="A109" s="133">
        <v>107</v>
      </c>
      <c r="B109" s="127">
        <f t="shared" si="1"/>
        <v>45795</v>
      </c>
      <c r="C109" s="128">
        <f>YEAR(MC_2[[#This Row],[Date]])+IF(MONTH(MC_2[[#This Row],[Date]])&gt;=4,1,0)</f>
        <v>2026</v>
      </c>
      <c r="D109" s="129">
        <f>YEAR(MC_2[[#This Row],[Date]])</f>
        <v>2025</v>
      </c>
      <c r="E109" s="126" t="s">
        <v>219</v>
      </c>
      <c r="F109" s="126" t="s">
        <v>219</v>
      </c>
      <c r="G109" s="130" t="str">
        <f>TEXT(MC_2[[#This Row],[Date]],"mmm-yy")</f>
        <v>May-25</v>
      </c>
      <c r="H109" s="130">
        <f>DAY(EOMONTH(MC_2[[#This Row],[Month Year]],0))</f>
        <v>31</v>
      </c>
      <c r="I109" s="133"/>
      <c r="J109" s="133"/>
      <c r="K109" s="133">
        <v>0</v>
      </c>
      <c r="L109" s="133">
        <v>0</v>
      </c>
      <c r="M109" s="133">
        <v>0</v>
      </c>
      <c r="N109" s="133">
        <v>0</v>
      </c>
      <c r="O109" s="133"/>
      <c r="P109" s="133"/>
      <c r="Q109" s="133"/>
      <c r="R109" s="133"/>
      <c r="S109" s="4">
        <f>SUM(MC_2[[#This Row],[ICR1]:[ICR5]])</f>
        <v>0</v>
      </c>
      <c r="T109" s="133"/>
      <c r="U109" s="133"/>
      <c r="V109" s="133"/>
      <c r="W109" s="133"/>
      <c r="X109" s="133"/>
      <c r="Y109" s="133"/>
      <c r="Z109" s="133"/>
    </row>
    <row r="110" spans="1:26">
      <c r="A110" s="133">
        <v>108</v>
      </c>
      <c r="B110" s="127">
        <f t="shared" si="1"/>
        <v>45796</v>
      </c>
      <c r="C110" s="128">
        <f>YEAR(MC_2[[#This Row],[Date]])+IF(MONTH(MC_2[[#This Row],[Date]])&gt;=4,1,0)</f>
        <v>2026</v>
      </c>
      <c r="D110" s="129">
        <f>YEAR(MC_2[[#This Row],[Date]])</f>
        <v>2025</v>
      </c>
      <c r="E110" s="126" t="s">
        <v>219</v>
      </c>
      <c r="F110" s="126" t="s">
        <v>219</v>
      </c>
      <c r="G110" s="130" t="str">
        <f>TEXT(MC_2[[#This Row],[Date]],"mmm-yy")</f>
        <v>May-25</v>
      </c>
      <c r="H110" s="130">
        <f>DAY(EOMONTH(MC_2[[#This Row],[Month Year]],0))</f>
        <v>31</v>
      </c>
      <c r="I110" s="133"/>
      <c r="J110" s="133"/>
      <c r="K110" s="133">
        <v>0</v>
      </c>
      <c r="L110" s="133">
        <v>0</v>
      </c>
      <c r="M110" s="133">
        <v>0</v>
      </c>
      <c r="N110" s="133">
        <v>0</v>
      </c>
      <c r="O110" s="133"/>
      <c r="P110" s="133"/>
      <c r="Q110" s="133"/>
      <c r="R110" s="133"/>
      <c r="S110" s="4">
        <f>SUM(MC_2[[#This Row],[ICR1]:[ICR5]])</f>
        <v>0</v>
      </c>
      <c r="T110" s="133"/>
      <c r="U110" s="133"/>
      <c r="V110" s="134"/>
      <c r="W110" s="134"/>
      <c r="X110" s="133"/>
      <c r="Y110" s="133"/>
      <c r="Z110" s="133"/>
    </row>
    <row r="111" spans="1:26">
      <c r="A111" s="133">
        <v>109</v>
      </c>
      <c r="B111" s="127">
        <f t="shared" si="1"/>
        <v>45797</v>
      </c>
      <c r="C111" s="128">
        <f>YEAR(MC_2[[#This Row],[Date]])+IF(MONTH(MC_2[[#This Row],[Date]])&gt;=4,1,0)</f>
        <v>2026</v>
      </c>
      <c r="D111" s="129">
        <f>YEAR(MC_2[[#This Row],[Date]])</f>
        <v>2025</v>
      </c>
      <c r="E111" s="126" t="s">
        <v>219</v>
      </c>
      <c r="F111" s="126" t="s">
        <v>219</v>
      </c>
      <c r="G111" s="130" t="str">
        <f>TEXT(MC_2[[#This Row],[Date]],"mmm-yy")</f>
        <v>May-25</v>
      </c>
      <c r="H111" s="130">
        <f>DAY(EOMONTH(MC_2[[#This Row],[Month Year]],0))</f>
        <v>31</v>
      </c>
      <c r="I111" s="133"/>
      <c r="J111" s="133"/>
      <c r="K111" s="133">
        <v>0</v>
      </c>
      <c r="L111" s="133">
        <v>0</v>
      </c>
      <c r="M111" s="133">
        <v>0</v>
      </c>
      <c r="N111" s="133">
        <v>0</v>
      </c>
      <c r="O111" s="133"/>
      <c r="P111" s="133"/>
      <c r="Q111" s="133"/>
      <c r="R111" s="133"/>
      <c r="S111" s="4">
        <f>SUM(MC_2[[#This Row],[ICR1]:[ICR5]])</f>
        <v>0</v>
      </c>
      <c r="T111" s="134"/>
      <c r="U111" s="134"/>
      <c r="V111" s="134"/>
      <c r="W111" s="134"/>
      <c r="X111" s="133"/>
      <c r="Y111" s="133"/>
      <c r="Z111" s="133"/>
    </row>
    <row r="112" spans="1:26">
      <c r="A112" s="133">
        <v>110</v>
      </c>
      <c r="B112" s="127">
        <f t="shared" si="1"/>
        <v>45798</v>
      </c>
      <c r="C112" s="128">
        <f>YEAR(MC_2[[#This Row],[Date]])+IF(MONTH(MC_2[[#This Row],[Date]])&gt;=4,1,0)</f>
        <v>2026</v>
      </c>
      <c r="D112" s="129">
        <f>YEAR(MC_2[[#This Row],[Date]])</f>
        <v>2025</v>
      </c>
      <c r="E112" s="126" t="s">
        <v>219</v>
      </c>
      <c r="F112" s="126" t="s">
        <v>219</v>
      </c>
      <c r="G112" s="130" t="str">
        <f>TEXT(MC_2[[#This Row],[Date]],"mmm-yy")</f>
        <v>May-25</v>
      </c>
      <c r="H112" s="130">
        <f>DAY(EOMONTH(MC_2[[#This Row],[Month Year]],0))</f>
        <v>31</v>
      </c>
      <c r="I112" s="133"/>
      <c r="J112" s="133"/>
      <c r="K112" s="133">
        <v>0</v>
      </c>
      <c r="L112" s="133">
        <v>0</v>
      </c>
      <c r="M112" s="133">
        <v>0</v>
      </c>
      <c r="N112" s="133">
        <v>0</v>
      </c>
      <c r="O112" s="133"/>
      <c r="P112" s="133"/>
      <c r="Q112" s="133"/>
      <c r="R112" s="133"/>
      <c r="S112" s="4">
        <f>SUM(MC_2[[#This Row],[ICR1]:[ICR5]])</f>
        <v>0</v>
      </c>
      <c r="T112" s="134"/>
      <c r="U112" s="134"/>
      <c r="V112" s="134"/>
      <c r="W112" s="134"/>
      <c r="X112" s="133"/>
      <c r="Y112" s="133"/>
      <c r="Z112" s="133"/>
    </row>
    <row r="113" spans="1:26">
      <c r="A113" s="133">
        <v>111</v>
      </c>
      <c r="B113" s="127">
        <f t="shared" si="1"/>
        <v>45799</v>
      </c>
      <c r="C113" s="128">
        <f>YEAR(MC_2[[#This Row],[Date]])+IF(MONTH(MC_2[[#This Row],[Date]])&gt;=4,1,0)</f>
        <v>2026</v>
      </c>
      <c r="D113" s="129">
        <f>YEAR(MC_2[[#This Row],[Date]])</f>
        <v>2025</v>
      </c>
      <c r="E113" s="126" t="s">
        <v>219</v>
      </c>
      <c r="F113" s="126" t="s">
        <v>219</v>
      </c>
      <c r="G113" s="130" t="str">
        <f>TEXT(MC_2[[#This Row],[Date]],"mmm-yy")</f>
        <v>May-25</v>
      </c>
      <c r="H113" s="130">
        <f>DAY(EOMONTH(MC_2[[#This Row],[Month Year]],0))</f>
        <v>31</v>
      </c>
      <c r="I113" s="133"/>
      <c r="J113" s="133"/>
      <c r="K113" s="133">
        <v>0</v>
      </c>
      <c r="L113" s="133">
        <v>0</v>
      </c>
      <c r="M113" s="133">
        <v>0</v>
      </c>
      <c r="N113" s="133">
        <v>0</v>
      </c>
      <c r="O113" s="133"/>
      <c r="P113" s="133"/>
      <c r="Q113" s="133"/>
      <c r="R113" s="133"/>
      <c r="S113" s="4">
        <f>SUM(MC_2[[#This Row],[ICR1]:[ICR5]])</f>
        <v>0</v>
      </c>
      <c r="T113" s="133"/>
      <c r="U113" s="133"/>
      <c r="V113" s="134"/>
      <c r="W113" s="134"/>
      <c r="X113" s="133"/>
      <c r="Y113" s="133"/>
      <c r="Z113" s="133"/>
    </row>
    <row r="114" spans="1:26">
      <c r="A114" s="133">
        <v>112</v>
      </c>
      <c r="B114" s="127">
        <f t="shared" si="1"/>
        <v>45800</v>
      </c>
      <c r="C114" s="128">
        <f>YEAR(MC_2[[#This Row],[Date]])+IF(MONTH(MC_2[[#This Row],[Date]])&gt;=4,1,0)</f>
        <v>2026</v>
      </c>
      <c r="D114" s="129">
        <f>YEAR(MC_2[[#This Row],[Date]])</f>
        <v>2025</v>
      </c>
      <c r="E114" s="126" t="s">
        <v>219</v>
      </c>
      <c r="F114" s="126" t="s">
        <v>219</v>
      </c>
      <c r="G114" s="130" t="str">
        <f>TEXT(MC_2[[#This Row],[Date]],"mmm-yy")</f>
        <v>May-25</v>
      </c>
      <c r="H114" s="130">
        <f>DAY(EOMONTH(MC_2[[#This Row],[Month Year]],0))</f>
        <v>31</v>
      </c>
      <c r="I114" s="133"/>
      <c r="J114" s="133"/>
      <c r="K114" s="133">
        <v>0</v>
      </c>
      <c r="L114" s="133">
        <v>0</v>
      </c>
      <c r="M114" s="133">
        <v>0</v>
      </c>
      <c r="N114" s="133">
        <v>0</v>
      </c>
      <c r="O114" s="133"/>
      <c r="P114" s="133"/>
      <c r="Q114" s="133"/>
      <c r="R114" s="133"/>
      <c r="S114" s="4">
        <f>SUM(MC_2[[#This Row],[ICR1]:[ICR5]])</f>
        <v>0</v>
      </c>
      <c r="T114" s="134"/>
      <c r="U114" s="134"/>
      <c r="V114" s="134"/>
      <c r="W114" s="134"/>
      <c r="X114" s="133"/>
      <c r="Y114" s="133"/>
      <c r="Z114" s="133"/>
    </row>
    <row r="115" spans="1:26">
      <c r="A115" s="133">
        <v>113</v>
      </c>
      <c r="B115" s="127">
        <f t="shared" si="1"/>
        <v>45801</v>
      </c>
      <c r="C115" s="128">
        <f>YEAR(MC_2[[#This Row],[Date]])+IF(MONTH(MC_2[[#This Row],[Date]])&gt;=4,1,0)</f>
        <v>2026</v>
      </c>
      <c r="D115" s="129">
        <f>YEAR(MC_2[[#This Row],[Date]])</f>
        <v>2025</v>
      </c>
      <c r="E115" s="126" t="s">
        <v>219</v>
      </c>
      <c r="F115" s="126" t="s">
        <v>219</v>
      </c>
      <c r="G115" s="130" t="str">
        <f>TEXT(MC_2[[#This Row],[Date]],"mmm-yy")</f>
        <v>May-25</v>
      </c>
      <c r="H115" s="130">
        <f>DAY(EOMONTH(MC_2[[#This Row],[Month Year]],0))</f>
        <v>31</v>
      </c>
      <c r="I115" s="133"/>
      <c r="J115" s="133"/>
      <c r="K115" s="133">
        <v>0</v>
      </c>
      <c r="L115" s="133">
        <v>0</v>
      </c>
      <c r="M115" s="133">
        <v>0</v>
      </c>
      <c r="N115" s="133">
        <v>0</v>
      </c>
      <c r="O115" s="133"/>
      <c r="P115" s="133"/>
      <c r="Q115" s="133"/>
      <c r="R115" s="133"/>
      <c r="S115" s="4">
        <f>SUM(MC_2[[#This Row],[ICR1]:[ICR5]])</f>
        <v>0</v>
      </c>
      <c r="T115" s="134"/>
      <c r="U115" s="134"/>
      <c r="V115" s="134"/>
      <c r="W115" s="134"/>
      <c r="X115" s="133"/>
      <c r="Y115" s="133"/>
      <c r="Z115" s="133"/>
    </row>
    <row r="116" spans="1:26">
      <c r="A116" s="133">
        <v>114</v>
      </c>
      <c r="B116" s="127">
        <f t="shared" si="1"/>
        <v>45802</v>
      </c>
      <c r="C116" s="128">
        <f>YEAR(MC_2[[#This Row],[Date]])+IF(MONTH(MC_2[[#This Row],[Date]])&gt;=4,1,0)</f>
        <v>2026</v>
      </c>
      <c r="D116" s="129">
        <f>YEAR(MC_2[[#This Row],[Date]])</f>
        <v>2025</v>
      </c>
      <c r="E116" s="126" t="s">
        <v>219</v>
      </c>
      <c r="F116" s="126" t="s">
        <v>219</v>
      </c>
      <c r="G116" s="130" t="str">
        <f>TEXT(MC_2[[#This Row],[Date]],"mmm-yy")</f>
        <v>May-25</v>
      </c>
      <c r="H116" s="130">
        <f>DAY(EOMONTH(MC_2[[#This Row],[Month Year]],0))</f>
        <v>31</v>
      </c>
      <c r="I116" s="133"/>
      <c r="J116" s="133"/>
      <c r="K116" s="133">
        <v>0</v>
      </c>
      <c r="L116" s="133">
        <v>0</v>
      </c>
      <c r="M116" s="133">
        <v>0</v>
      </c>
      <c r="N116" s="133">
        <v>0</v>
      </c>
      <c r="O116" s="133"/>
      <c r="P116" s="133"/>
      <c r="Q116" s="133"/>
      <c r="R116" s="133"/>
      <c r="S116" s="4">
        <f>SUM(MC_2[[#This Row],[ICR1]:[ICR5]])</f>
        <v>0</v>
      </c>
      <c r="T116" s="134"/>
      <c r="U116" s="134"/>
      <c r="V116" s="134"/>
      <c r="W116" s="134"/>
      <c r="X116" s="133"/>
      <c r="Y116" s="133"/>
      <c r="Z116" s="133"/>
    </row>
    <row r="117" spans="1:26">
      <c r="A117" s="133">
        <v>115</v>
      </c>
      <c r="B117" s="127">
        <f t="shared" si="1"/>
        <v>45803</v>
      </c>
      <c r="C117" s="128">
        <f>YEAR(MC_2[[#This Row],[Date]])+IF(MONTH(MC_2[[#This Row],[Date]])&gt;=4,1,0)</f>
        <v>2026</v>
      </c>
      <c r="D117" s="129">
        <f>YEAR(MC_2[[#This Row],[Date]])</f>
        <v>2025</v>
      </c>
      <c r="E117" s="126" t="s">
        <v>219</v>
      </c>
      <c r="F117" s="126" t="s">
        <v>219</v>
      </c>
      <c r="G117" s="130" t="str">
        <f>TEXT(MC_2[[#This Row],[Date]],"mmm-yy")</f>
        <v>May-25</v>
      </c>
      <c r="H117" s="130">
        <f>DAY(EOMONTH(MC_2[[#This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4">
        <f>SUM(MC_2[[#This Row],[ICR1]:[ICR5]])</f>
        <v>0</v>
      </c>
      <c r="T117" s="134"/>
      <c r="U117" s="134"/>
      <c r="V117" s="133"/>
      <c r="W117" s="133"/>
      <c r="X117" s="133"/>
      <c r="Y117" s="133"/>
      <c r="Z117" s="133"/>
    </row>
    <row r="118" spans="1:26">
      <c r="A118" s="133">
        <v>116</v>
      </c>
      <c r="B118" s="127">
        <f t="shared" si="1"/>
        <v>45804</v>
      </c>
      <c r="C118" s="128">
        <f>YEAR(MC_2[[#This Row],[Date]])+IF(MONTH(MC_2[[#This Row],[Date]])&gt;=4,1,0)</f>
        <v>2026</v>
      </c>
      <c r="D118" s="129">
        <f>YEAR(MC_2[[#This Row],[Date]])</f>
        <v>2025</v>
      </c>
      <c r="E118" s="126" t="s">
        <v>219</v>
      </c>
      <c r="F118" s="126" t="s">
        <v>219</v>
      </c>
      <c r="G118" s="130" t="str">
        <f>TEXT(MC_2[[#This Row],[Date]],"mmm-yy")</f>
        <v>May-25</v>
      </c>
      <c r="H118" s="130">
        <f>DAY(EOMONTH(MC_2[[#This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4">
        <f>SUM(MC_2[[#This Row],[ICR1]:[ICR5]])</f>
        <v>0</v>
      </c>
      <c r="T118" s="133"/>
      <c r="U118" s="133"/>
      <c r="V118" s="133"/>
      <c r="W118" s="133"/>
      <c r="X118" s="133"/>
      <c r="Y118" s="133"/>
      <c r="Z118" s="133"/>
    </row>
    <row r="119" spans="1:26">
      <c r="A119" s="133">
        <v>117</v>
      </c>
      <c r="B119" s="127">
        <f t="shared" si="1"/>
        <v>45805</v>
      </c>
      <c r="C119" s="128">
        <f>YEAR(MC_2[[#This Row],[Date]])+IF(MONTH(MC_2[[#This Row],[Date]])&gt;=4,1,0)</f>
        <v>2026</v>
      </c>
      <c r="D119" s="129">
        <f>YEAR(MC_2[[#This Row],[Date]])</f>
        <v>2025</v>
      </c>
      <c r="E119" s="126" t="s">
        <v>219</v>
      </c>
      <c r="F119" s="126" t="s">
        <v>219</v>
      </c>
      <c r="G119" s="130" t="str">
        <f>TEXT(MC_2[[#This Row],[Date]],"mmm-yy")</f>
        <v>May-25</v>
      </c>
      <c r="H119" s="130">
        <f>DAY(EOMONTH(MC_2[[#This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4">
        <f>SUM(MC_2[[#This Row],[ICR1]:[ICR5]])</f>
        <v>0</v>
      </c>
      <c r="T119" s="133"/>
      <c r="U119" s="133"/>
      <c r="V119" s="133"/>
      <c r="W119" s="133"/>
      <c r="X119" s="133"/>
      <c r="Y119" s="133"/>
      <c r="Z119" s="133"/>
    </row>
    <row r="120" spans="1:26">
      <c r="A120" s="133">
        <v>118</v>
      </c>
      <c r="B120" s="127">
        <f t="shared" si="1"/>
        <v>45806</v>
      </c>
      <c r="C120" s="128">
        <f>YEAR(MC_2[[#This Row],[Date]])+IF(MONTH(MC_2[[#This Row],[Date]])&gt;=4,1,0)</f>
        <v>2026</v>
      </c>
      <c r="D120" s="129">
        <f>YEAR(MC_2[[#This Row],[Date]])</f>
        <v>2025</v>
      </c>
      <c r="E120" s="126" t="s">
        <v>219</v>
      </c>
      <c r="F120" s="126" t="s">
        <v>219</v>
      </c>
      <c r="G120" s="130" t="str">
        <f>TEXT(MC_2[[#This Row],[Date]],"mmm-yy")</f>
        <v>May-25</v>
      </c>
      <c r="H120" s="130">
        <f>DAY(EOMONTH(MC_2[[#This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4">
        <f>SUM(MC_2[[#This Row],[ICR1]:[ICR5]])</f>
        <v>0</v>
      </c>
      <c r="T120" s="133"/>
      <c r="U120" s="133"/>
      <c r="V120" s="133"/>
      <c r="W120" s="133"/>
      <c r="X120" s="133"/>
      <c r="Y120" s="133"/>
      <c r="Z120" s="133"/>
    </row>
    <row r="121" spans="1:26">
      <c r="A121" s="133">
        <v>119</v>
      </c>
      <c r="B121" s="127">
        <f t="shared" si="1"/>
        <v>45807</v>
      </c>
      <c r="C121" s="128">
        <f>YEAR(MC_2[[#This Row],[Date]])+IF(MONTH(MC_2[[#This Row],[Date]])&gt;=4,1,0)</f>
        <v>2026</v>
      </c>
      <c r="D121" s="129">
        <f>YEAR(MC_2[[#This Row],[Date]])</f>
        <v>2025</v>
      </c>
      <c r="E121" s="126" t="s">
        <v>219</v>
      </c>
      <c r="F121" s="126" t="s">
        <v>219</v>
      </c>
      <c r="G121" s="130" t="str">
        <f>TEXT(MC_2[[#This Row],[Date]],"mmm-yy")</f>
        <v>May-25</v>
      </c>
      <c r="H121" s="130">
        <f>DAY(EOMONTH(MC_2[[#This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4">
        <f>SUM(MC_2[[#This Row],[ICR1]:[ICR5]])</f>
        <v>0</v>
      </c>
      <c r="T121" s="133"/>
      <c r="U121" s="133"/>
      <c r="V121" s="133"/>
      <c r="W121" s="133"/>
      <c r="X121" s="133"/>
      <c r="Y121" s="133"/>
      <c r="Z121" s="133"/>
    </row>
    <row r="122" spans="1:26">
      <c r="A122" s="133">
        <v>120</v>
      </c>
      <c r="B122" s="127">
        <f t="shared" si="1"/>
        <v>45808</v>
      </c>
      <c r="C122" s="128">
        <f>YEAR(MC_2[[#This Row],[Date]])+IF(MONTH(MC_2[[#This Row],[Date]])&gt;=4,1,0)</f>
        <v>2026</v>
      </c>
      <c r="D122" s="129">
        <f>YEAR(MC_2[[#This Row],[Date]])</f>
        <v>2025</v>
      </c>
      <c r="E122" s="126" t="s">
        <v>219</v>
      </c>
      <c r="F122" s="126" t="s">
        <v>219</v>
      </c>
      <c r="G122" s="130" t="str">
        <f>TEXT(MC_2[[#This Row],[Date]],"mmm-yy")</f>
        <v>May-25</v>
      </c>
      <c r="H122" s="130">
        <f>DAY(EOMONTH(MC_2[[#This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4">
        <f>SUM(MC_2[[#This Row],[ICR1]:[ICR5]])</f>
        <v>0</v>
      </c>
      <c r="T122" s="133"/>
      <c r="U122" s="133"/>
      <c r="V122" s="133"/>
      <c r="W122" s="133"/>
      <c r="X122" s="133"/>
      <c r="Y122" s="133"/>
      <c r="Z122" s="133"/>
    </row>
    <row r="123" spans="1:26">
      <c r="A123" s="133">
        <v>120</v>
      </c>
      <c r="B123" s="127">
        <f t="shared" si="1"/>
        <v>45809</v>
      </c>
      <c r="C123" s="128">
        <f>YEAR(MC_2[[#This Row],[Date]])+IF(MONTH(MC_2[[#This Row],[Date]])&gt;=4,1,0)</f>
        <v>2026</v>
      </c>
      <c r="D123" s="129">
        <f>YEAR(MC_2[[#This Row],[Date]])</f>
        <v>2025</v>
      </c>
      <c r="E123" s="126" t="s">
        <v>219</v>
      </c>
      <c r="F123" s="126" t="s">
        <v>219</v>
      </c>
      <c r="G123" s="130" t="str">
        <f>TEXT(MC_2[[#This Row],[Date]],"mmm-yy")</f>
        <v>Jun-25</v>
      </c>
      <c r="H123" s="130">
        <f>DAY(EOMONTH(MC_2[[#This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4">
        <f>SUM(MC_2[[#This Row],[ICR1]:[ICR5]])</f>
        <v>0</v>
      </c>
      <c r="T123" s="133"/>
      <c r="U123" s="133"/>
      <c r="V123" s="133"/>
      <c r="W123" s="133"/>
      <c r="X123" s="133"/>
      <c r="Y123" s="133"/>
      <c r="Z123" s="133"/>
    </row>
    <row r="124" spans="1:26">
      <c r="A124" s="133">
        <v>122</v>
      </c>
      <c r="B124" s="127">
        <f t="shared" si="1"/>
        <v>45810</v>
      </c>
      <c r="C124" s="128">
        <f>YEAR(MC_2[[#This Row],[Date]])+IF(MONTH(MC_2[[#This Row],[Date]])&gt;=4,1,0)</f>
        <v>2026</v>
      </c>
      <c r="D124" s="129">
        <f>YEAR(MC_2[[#This Row],[Date]])</f>
        <v>2025</v>
      </c>
      <c r="E124" s="126" t="s">
        <v>219</v>
      </c>
      <c r="F124" s="126" t="s">
        <v>219</v>
      </c>
      <c r="G124" s="130" t="str">
        <f>TEXT(MC_2[[#This Row],[Date]],"mmm-yy")</f>
        <v>Jun-25</v>
      </c>
      <c r="H124" s="130">
        <f>DAY(EOMONTH(MC_2[[#This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4">
        <f>SUM(MC_2[[#This Row],[ICR1]:[ICR5]])</f>
        <v>0</v>
      </c>
      <c r="T124" s="133"/>
      <c r="U124" s="133"/>
      <c r="V124" s="133"/>
      <c r="W124" s="133"/>
      <c r="X124" s="133"/>
      <c r="Y124" s="133"/>
      <c r="Z124" s="133"/>
    </row>
    <row r="125" spans="1:26">
      <c r="A125" s="133">
        <v>123</v>
      </c>
      <c r="B125" s="127">
        <f t="shared" si="1"/>
        <v>45811</v>
      </c>
      <c r="C125" s="128">
        <f>YEAR(MC_2[[#This Row],[Date]])+IF(MONTH(MC_2[[#This Row],[Date]])&gt;=4,1,0)</f>
        <v>2026</v>
      </c>
      <c r="D125" s="129">
        <f>YEAR(MC_2[[#This Row],[Date]])</f>
        <v>2025</v>
      </c>
      <c r="E125" s="126" t="s">
        <v>219</v>
      </c>
      <c r="F125" s="126" t="s">
        <v>219</v>
      </c>
      <c r="G125" s="130" t="str">
        <f>TEXT(MC_2[[#This Row],[Date]],"mmm-yy")</f>
        <v>Jun-25</v>
      </c>
      <c r="H125" s="130">
        <f>DAY(EOMONTH(MC_2[[#This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4">
        <f>SUM(MC_2[[#This Row],[ICR1]:[ICR5]])</f>
        <v>0</v>
      </c>
      <c r="T125" s="133"/>
      <c r="U125" s="133"/>
      <c r="V125" s="133"/>
      <c r="W125" s="133"/>
      <c r="X125" s="133"/>
      <c r="Y125" s="133"/>
      <c r="Z125" s="133"/>
    </row>
    <row r="126" spans="1:26">
      <c r="A126" s="133">
        <v>124</v>
      </c>
      <c r="B126" s="127">
        <f t="shared" si="1"/>
        <v>45812</v>
      </c>
      <c r="C126" s="128">
        <f>YEAR(MC_2[[#This Row],[Date]])+IF(MONTH(MC_2[[#This Row],[Date]])&gt;=4,1,0)</f>
        <v>2026</v>
      </c>
      <c r="D126" s="129">
        <f>YEAR(MC_2[[#This Row],[Date]])</f>
        <v>2025</v>
      </c>
      <c r="E126" s="126" t="s">
        <v>219</v>
      </c>
      <c r="F126" s="126" t="s">
        <v>219</v>
      </c>
      <c r="G126" s="130" t="str">
        <f>TEXT(MC_2[[#This Row],[Date]],"mmm-yy")</f>
        <v>Jun-25</v>
      </c>
      <c r="H126" s="130">
        <f>DAY(EOMONTH(MC_2[[#This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4">
        <f>SUM(MC_2[[#This Row],[ICR1]:[ICR5]])</f>
        <v>0</v>
      </c>
      <c r="T126" s="133"/>
      <c r="U126" s="133"/>
      <c r="V126" s="133"/>
      <c r="W126" s="133"/>
      <c r="X126" s="133"/>
      <c r="Y126" s="133"/>
      <c r="Z126" s="133"/>
    </row>
    <row r="127" spans="1:26">
      <c r="A127" s="133">
        <v>125</v>
      </c>
      <c r="B127" s="127">
        <f t="shared" si="1"/>
        <v>45813</v>
      </c>
      <c r="C127" s="128">
        <f>YEAR(MC_2[[#This Row],[Date]])+IF(MONTH(MC_2[[#This Row],[Date]])&gt;=4,1,0)</f>
        <v>2026</v>
      </c>
      <c r="D127" s="129">
        <f>YEAR(MC_2[[#This Row],[Date]])</f>
        <v>2025</v>
      </c>
      <c r="E127" s="126" t="s">
        <v>219</v>
      </c>
      <c r="F127" s="126" t="s">
        <v>219</v>
      </c>
      <c r="G127" s="130" t="str">
        <f>TEXT(MC_2[[#This Row],[Date]],"mmm-yy")</f>
        <v>Jun-25</v>
      </c>
      <c r="H127" s="130">
        <f>DAY(EOMONTH(MC_2[[#This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4">
        <f>SUM(MC_2[[#This Row],[ICR1]:[ICR5]])</f>
        <v>0</v>
      </c>
      <c r="T127" s="133"/>
      <c r="U127" s="133"/>
      <c r="V127" s="133"/>
      <c r="W127" s="133"/>
      <c r="X127" s="133"/>
      <c r="Y127" s="133"/>
      <c r="Z127" s="133"/>
    </row>
    <row r="128" spans="1:26">
      <c r="A128" s="133">
        <v>126</v>
      </c>
      <c r="B128" s="127">
        <f t="shared" si="1"/>
        <v>45814</v>
      </c>
      <c r="C128" s="128">
        <f>YEAR(MC_2[[#This Row],[Date]])+IF(MONTH(MC_2[[#This Row],[Date]])&gt;=4,1,0)</f>
        <v>2026</v>
      </c>
      <c r="D128" s="129">
        <f>YEAR(MC_2[[#This Row],[Date]])</f>
        <v>2025</v>
      </c>
      <c r="E128" s="126" t="s">
        <v>219</v>
      </c>
      <c r="F128" s="126" t="s">
        <v>219</v>
      </c>
      <c r="G128" s="130" t="str">
        <f>TEXT(MC_2[[#This Row],[Date]],"mmm-yy")</f>
        <v>Jun-25</v>
      </c>
      <c r="H128" s="130">
        <f>DAY(EOMONTH(MC_2[[#This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4">
        <f>SUM(MC_2[[#This Row],[ICR1]:[ICR5]])</f>
        <v>0</v>
      </c>
      <c r="T128" s="133"/>
      <c r="U128" s="133"/>
      <c r="V128" s="133"/>
      <c r="W128" s="133"/>
      <c r="X128" s="133"/>
      <c r="Y128" s="133"/>
      <c r="Z128" s="133"/>
    </row>
    <row r="129" spans="1:26">
      <c r="A129" s="133">
        <v>127</v>
      </c>
      <c r="B129" s="127">
        <f t="shared" si="1"/>
        <v>45815</v>
      </c>
      <c r="C129" s="128">
        <f>YEAR(MC_2[[#This Row],[Date]])+IF(MONTH(MC_2[[#This Row],[Date]])&gt;=4,1,0)</f>
        <v>2026</v>
      </c>
      <c r="D129" s="129">
        <f>YEAR(MC_2[[#This Row],[Date]])</f>
        <v>2025</v>
      </c>
      <c r="E129" s="126" t="s">
        <v>219</v>
      </c>
      <c r="F129" s="126" t="s">
        <v>219</v>
      </c>
      <c r="G129" s="130" t="str">
        <f>TEXT(MC_2[[#This Row],[Date]],"mmm-yy")</f>
        <v>Jun-25</v>
      </c>
      <c r="H129" s="130">
        <f>DAY(EOMONTH(MC_2[[#This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4">
        <f>SUM(MC_2[[#This Row],[ICR1]:[ICR5]])</f>
        <v>0</v>
      </c>
      <c r="T129" s="133"/>
      <c r="U129" s="133"/>
      <c r="V129" s="133"/>
      <c r="W129" s="133"/>
      <c r="X129" s="133"/>
      <c r="Y129" s="133"/>
      <c r="Z129" s="133"/>
    </row>
    <row r="130" spans="1:26">
      <c r="A130" s="133">
        <v>127</v>
      </c>
      <c r="B130" s="127">
        <f t="shared" si="1"/>
        <v>45816</v>
      </c>
      <c r="C130" s="128">
        <f>YEAR(MC_2[[#This Row],[Date]])+IF(MONTH(MC_2[[#This Row],[Date]])&gt;=4,1,0)</f>
        <v>2026</v>
      </c>
      <c r="D130" s="129">
        <f>YEAR(MC_2[[#This Row],[Date]])</f>
        <v>2025</v>
      </c>
      <c r="E130" s="126" t="s">
        <v>219</v>
      </c>
      <c r="F130" s="126" t="s">
        <v>219</v>
      </c>
      <c r="G130" s="130" t="str">
        <f>TEXT(MC_2[[#This Row],[Date]],"mmm-yy")</f>
        <v>Jun-25</v>
      </c>
      <c r="H130" s="130">
        <f>DAY(EOMONTH(MC_2[[#This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4">
        <f>SUM(MC_2[[#This Row],[ICR1]:[ICR5]])</f>
        <v>0</v>
      </c>
      <c r="T130" s="133"/>
      <c r="U130" s="133"/>
      <c r="V130" s="134"/>
      <c r="W130" s="134"/>
      <c r="X130" s="133"/>
      <c r="Y130" s="133"/>
      <c r="Z130" s="133"/>
    </row>
    <row r="131" spans="1:26">
      <c r="A131" s="133">
        <v>127</v>
      </c>
      <c r="B131" s="127">
        <f t="shared" si="1"/>
        <v>45817</v>
      </c>
      <c r="C131" s="128">
        <f>YEAR(MC_2[[#This Row],[Date]])+IF(MONTH(MC_2[[#This Row],[Date]])&gt;=4,1,0)</f>
        <v>2026</v>
      </c>
      <c r="D131" s="129">
        <f>YEAR(MC_2[[#This Row],[Date]])</f>
        <v>2025</v>
      </c>
      <c r="E131" s="126" t="s">
        <v>219</v>
      </c>
      <c r="F131" s="126" t="s">
        <v>219</v>
      </c>
      <c r="G131" s="130" t="str">
        <f>TEXT(MC_2[[#This Row],[Date]],"mmm-yy")</f>
        <v>Jun-25</v>
      </c>
      <c r="H131" s="130">
        <f>DAY(EOMONTH(MC_2[[#This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4">
        <f>SUM(MC_2[[#This Row],[ICR1]:[ICR5]])</f>
        <v>0</v>
      </c>
      <c r="T131" s="133"/>
      <c r="U131" s="133"/>
      <c r="V131" s="134"/>
      <c r="W131" s="134"/>
      <c r="X131" s="133"/>
      <c r="Y131" s="133"/>
      <c r="Z131" s="133"/>
    </row>
    <row r="132" spans="1:26">
      <c r="A132" s="133">
        <v>127</v>
      </c>
      <c r="B132" s="127">
        <f t="shared" si="1"/>
        <v>45818</v>
      </c>
      <c r="C132" s="128">
        <f>YEAR(MC_2[[#This Row],[Date]])+IF(MONTH(MC_2[[#This Row],[Date]])&gt;=4,1,0)</f>
        <v>2026</v>
      </c>
      <c r="D132" s="129">
        <f>YEAR(MC_2[[#This Row],[Date]])</f>
        <v>2025</v>
      </c>
      <c r="E132" s="126" t="s">
        <v>219</v>
      </c>
      <c r="F132" s="126" t="s">
        <v>219</v>
      </c>
      <c r="G132" s="130" t="str">
        <f>TEXT(MC_2[[#This Row],[Date]],"mmm-yy")</f>
        <v>Jun-25</v>
      </c>
      <c r="H132" s="130">
        <f>DAY(EOMONTH(MC_2[[#This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4">
        <f>SUM(MC_2[[#This Row],[ICR1]:[ICR5]])</f>
        <v>0</v>
      </c>
      <c r="T132" s="133"/>
      <c r="U132" s="133"/>
      <c r="V132" s="134"/>
      <c r="W132" s="134"/>
      <c r="X132" s="133"/>
      <c r="Y132" s="133"/>
      <c r="Z132" s="133"/>
    </row>
    <row r="133" spans="1:26">
      <c r="A133" s="133">
        <v>127</v>
      </c>
      <c r="B133" s="127">
        <f t="shared" ref="B133:B196" si="2">B132+1</f>
        <v>45819</v>
      </c>
      <c r="C133" s="128">
        <f>YEAR(MC_2[[#This Row],[Date]])+IF(MONTH(MC_2[[#This Row],[Date]])&gt;=4,1,0)</f>
        <v>2026</v>
      </c>
      <c r="D133" s="129">
        <f>YEAR(MC_2[[#This Row],[Date]])</f>
        <v>2025</v>
      </c>
      <c r="E133" s="126" t="s">
        <v>219</v>
      </c>
      <c r="F133" s="126" t="s">
        <v>219</v>
      </c>
      <c r="G133" s="130" t="str">
        <f>TEXT(MC_2[[#This Row],[Date]],"mmm-yy")</f>
        <v>Jun-25</v>
      </c>
      <c r="H133" s="130">
        <f>DAY(EOMONTH(MC_2[[#This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4">
        <f>SUM(MC_2[[#This Row],[ICR1]:[ICR5]])</f>
        <v>0</v>
      </c>
      <c r="T133" s="133"/>
      <c r="U133" s="133"/>
      <c r="V133" s="134"/>
      <c r="W133" s="134"/>
      <c r="X133" s="133"/>
      <c r="Y133" s="133"/>
      <c r="Z133" s="133"/>
    </row>
    <row r="134" spans="1:26">
      <c r="A134" s="133">
        <v>127</v>
      </c>
      <c r="B134" s="127">
        <f t="shared" si="2"/>
        <v>45820</v>
      </c>
      <c r="C134" s="128">
        <f>YEAR(MC_2[[#This Row],[Date]])+IF(MONTH(MC_2[[#This Row],[Date]])&gt;=4,1,0)</f>
        <v>2026</v>
      </c>
      <c r="D134" s="129">
        <f>YEAR(MC_2[[#This Row],[Date]])</f>
        <v>2025</v>
      </c>
      <c r="E134" s="126" t="s">
        <v>219</v>
      </c>
      <c r="F134" s="126" t="s">
        <v>219</v>
      </c>
      <c r="G134" s="130" t="str">
        <f>TEXT(MC_2[[#This Row],[Date]],"mmm-yy")</f>
        <v>Jun-25</v>
      </c>
      <c r="H134" s="130">
        <f>DAY(EOMONTH(MC_2[[#This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4">
        <f>SUM(MC_2[[#This Row],[ICR1]:[ICR5]])</f>
        <v>0</v>
      </c>
      <c r="T134" s="133"/>
      <c r="U134" s="133"/>
      <c r="V134" s="134"/>
      <c r="W134" s="134"/>
      <c r="X134" s="133"/>
      <c r="Y134" s="133"/>
      <c r="Z134" s="133"/>
    </row>
    <row r="135" spans="1:26">
      <c r="A135" s="133">
        <v>127</v>
      </c>
      <c r="B135" s="127">
        <f t="shared" si="2"/>
        <v>45821</v>
      </c>
      <c r="C135" s="128">
        <f>YEAR(MC_2[[#This Row],[Date]])+IF(MONTH(MC_2[[#This Row],[Date]])&gt;=4,1,0)</f>
        <v>2026</v>
      </c>
      <c r="D135" s="129">
        <f>YEAR(MC_2[[#This Row],[Date]])</f>
        <v>2025</v>
      </c>
      <c r="E135" s="126" t="s">
        <v>219</v>
      </c>
      <c r="F135" s="126" t="s">
        <v>219</v>
      </c>
      <c r="G135" s="130" t="str">
        <f>TEXT(MC_2[[#This Row],[Date]],"mmm-yy")</f>
        <v>Jun-25</v>
      </c>
      <c r="H135" s="130">
        <f>DAY(EOMONTH(MC_2[[#This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4">
        <f>SUM(MC_2[[#This Row],[ICR1]:[ICR5]])</f>
        <v>0</v>
      </c>
      <c r="T135" s="134"/>
      <c r="U135" s="134"/>
      <c r="V135" s="134"/>
      <c r="W135" s="134"/>
      <c r="X135" s="133"/>
      <c r="Y135" s="133"/>
      <c r="Z135" s="133"/>
    </row>
    <row r="136" spans="1:26">
      <c r="A136" s="133">
        <v>127</v>
      </c>
      <c r="B136" s="127">
        <f t="shared" si="2"/>
        <v>45822</v>
      </c>
      <c r="C136" s="128">
        <f>YEAR(MC_2[[#This Row],[Date]])+IF(MONTH(MC_2[[#This Row],[Date]])&gt;=4,1,0)</f>
        <v>2026</v>
      </c>
      <c r="D136" s="129">
        <f>YEAR(MC_2[[#This Row],[Date]])</f>
        <v>2025</v>
      </c>
      <c r="E136" s="126" t="s">
        <v>219</v>
      </c>
      <c r="F136" s="126" t="s">
        <v>219</v>
      </c>
      <c r="G136" s="130" t="str">
        <f>TEXT(MC_2[[#This Row],[Date]],"mmm-yy")</f>
        <v>Jun-25</v>
      </c>
      <c r="H136" s="130">
        <f>DAY(EOMONTH(MC_2[[#This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4">
        <f>SUM(MC_2[[#This Row],[ICR1]:[ICR5]])</f>
        <v>0</v>
      </c>
      <c r="T136" s="134"/>
      <c r="U136" s="134"/>
      <c r="V136" s="134"/>
      <c r="W136" s="134"/>
      <c r="X136" s="133"/>
      <c r="Y136" s="133"/>
      <c r="Z136" s="133"/>
    </row>
    <row r="137" spans="1:26">
      <c r="A137" s="133">
        <v>127</v>
      </c>
      <c r="B137" s="127">
        <f t="shared" si="2"/>
        <v>45823</v>
      </c>
      <c r="C137" s="128">
        <f>YEAR(MC_2[[#This Row],[Date]])+IF(MONTH(MC_2[[#This Row],[Date]])&gt;=4,1,0)</f>
        <v>2026</v>
      </c>
      <c r="D137" s="129">
        <f>YEAR(MC_2[[#This Row],[Date]])</f>
        <v>2025</v>
      </c>
      <c r="E137" s="126" t="s">
        <v>219</v>
      </c>
      <c r="F137" s="126" t="s">
        <v>219</v>
      </c>
      <c r="G137" s="130" t="str">
        <f>TEXT(MC_2[[#This Row],[Date]],"mmm-yy")</f>
        <v>Jun-25</v>
      </c>
      <c r="H137" s="130">
        <f>DAY(EOMONTH(MC_2[[#This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4">
        <f>SUM(MC_2[[#This Row],[ICR1]:[ICR5]])</f>
        <v>0</v>
      </c>
      <c r="T137" s="134"/>
      <c r="U137" s="134"/>
      <c r="V137" s="134"/>
      <c r="W137" s="134"/>
      <c r="X137" s="133"/>
      <c r="Y137" s="133"/>
      <c r="Z137" s="133"/>
    </row>
    <row r="138" spans="1:26">
      <c r="A138" s="133">
        <v>127</v>
      </c>
      <c r="B138" s="127">
        <f t="shared" si="2"/>
        <v>45824</v>
      </c>
      <c r="C138" s="128">
        <f>YEAR(MC_2[[#This Row],[Date]])+IF(MONTH(MC_2[[#This Row],[Date]])&gt;=4,1,0)</f>
        <v>2026</v>
      </c>
      <c r="D138" s="129">
        <f>YEAR(MC_2[[#This Row],[Date]])</f>
        <v>2025</v>
      </c>
      <c r="E138" s="126" t="s">
        <v>219</v>
      </c>
      <c r="F138" s="126" t="s">
        <v>219</v>
      </c>
      <c r="G138" s="130" t="str">
        <f>TEXT(MC_2[[#This Row],[Date]],"mmm-yy")</f>
        <v>Jun-25</v>
      </c>
      <c r="H138" s="130">
        <f>DAY(EOMONTH(MC_2[[#This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4">
        <f>SUM(MC_2[[#This Row],[ICR1]:[ICR5]])</f>
        <v>0</v>
      </c>
      <c r="T138" s="134"/>
      <c r="U138" s="134"/>
      <c r="V138" s="134"/>
      <c r="W138" s="134"/>
      <c r="X138" s="133"/>
      <c r="Y138" s="133"/>
      <c r="Z138" s="133"/>
    </row>
    <row r="139" spans="1:26">
      <c r="A139" s="133">
        <v>127</v>
      </c>
      <c r="B139" s="127">
        <f t="shared" si="2"/>
        <v>45825</v>
      </c>
      <c r="C139" s="128">
        <f>YEAR(MC_2[[#This Row],[Date]])+IF(MONTH(MC_2[[#This Row],[Date]])&gt;=4,1,0)</f>
        <v>2026</v>
      </c>
      <c r="D139" s="129">
        <f>YEAR(MC_2[[#This Row],[Date]])</f>
        <v>2025</v>
      </c>
      <c r="E139" s="126" t="s">
        <v>219</v>
      </c>
      <c r="F139" s="126" t="s">
        <v>219</v>
      </c>
      <c r="G139" s="130" t="str">
        <f>TEXT(MC_2[[#This Row],[Date]],"mmm-yy")</f>
        <v>Jun-25</v>
      </c>
      <c r="H139" s="130">
        <f>DAY(EOMONTH(MC_2[[#This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4">
        <f>SUM(MC_2[[#This Row],[ICR1]:[ICR5]])</f>
        <v>0</v>
      </c>
      <c r="T139" s="134"/>
      <c r="U139" s="134"/>
      <c r="V139" s="134"/>
      <c r="W139" s="134"/>
      <c r="X139" s="133"/>
      <c r="Y139" s="133"/>
      <c r="Z139" s="133"/>
    </row>
    <row r="140" spans="1:26">
      <c r="A140" s="133">
        <v>127</v>
      </c>
      <c r="B140" s="127">
        <f t="shared" si="2"/>
        <v>45826</v>
      </c>
      <c r="C140" s="128">
        <f>YEAR(MC_2[[#This Row],[Date]])+IF(MONTH(MC_2[[#This Row],[Date]])&gt;=4,1,0)</f>
        <v>2026</v>
      </c>
      <c r="D140" s="129">
        <f>YEAR(MC_2[[#This Row],[Date]])</f>
        <v>2025</v>
      </c>
      <c r="E140" s="126" t="s">
        <v>219</v>
      </c>
      <c r="F140" s="126" t="s">
        <v>219</v>
      </c>
      <c r="G140" s="130" t="str">
        <f>TEXT(MC_2[[#This Row],[Date]],"mmm-yy")</f>
        <v>Jun-25</v>
      </c>
      <c r="H140" s="130">
        <f>DAY(EOMONTH(MC_2[[#This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4">
        <f>SUM(MC_2[[#This Row],[ICR1]:[ICR5]])</f>
        <v>0</v>
      </c>
      <c r="T140" s="134"/>
      <c r="U140" s="134"/>
      <c r="V140" s="134"/>
      <c r="W140" s="134"/>
      <c r="X140" s="133"/>
      <c r="Y140" s="133"/>
      <c r="Z140" s="133"/>
    </row>
    <row r="141" spans="1:26">
      <c r="A141" s="133">
        <v>139</v>
      </c>
      <c r="B141" s="127">
        <f t="shared" si="2"/>
        <v>45827</v>
      </c>
      <c r="C141" s="128">
        <f>YEAR(MC_2[[#This Row],[Date]])+IF(MONTH(MC_2[[#This Row],[Date]])&gt;=4,1,0)</f>
        <v>2026</v>
      </c>
      <c r="D141" s="129">
        <f>YEAR(MC_2[[#This Row],[Date]])</f>
        <v>2025</v>
      </c>
      <c r="E141" s="126" t="s">
        <v>219</v>
      </c>
      <c r="F141" s="126" t="s">
        <v>219</v>
      </c>
      <c r="G141" s="130" t="str">
        <f>TEXT(MC_2[[#This Row],[Date]],"mmm-yy")</f>
        <v>Jun-25</v>
      </c>
      <c r="H141" s="130">
        <f>DAY(EOMONTH(MC_2[[#This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4">
        <f>SUM(MC_2[[#This Row],[ICR1]:[ICR5]])</f>
        <v>0</v>
      </c>
      <c r="T141" s="134"/>
      <c r="U141" s="133"/>
      <c r="V141" s="134"/>
      <c r="W141" s="134"/>
      <c r="X141" s="133"/>
      <c r="Y141" s="133"/>
      <c r="Z141" s="133"/>
    </row>
    <row r="142" spans="1:26">
      <c r="A142" s="133">
        <v>140</v>
      </c>
      <c r="B142" s="127">
        <f t="shared" si="2"/>
        <v>45828</v>
      </c>
      <c r="C142" s="128">
        <f>YEAR(MC_2[[#This Row],[Date]])+IF(MONTH(MC_2[[#This Row],[Date]])&gt;=4,1,0)</f>
        <v>2026</v>
      </c>
      <c r="D142" s="129">
        <f>YEAR(MC_2[[#This Row],[Date]])</f>
        <v>2025</v>
      </c>
      <c r="E142" s="126" t="s">
        <v>219</v>
      </c>
      <c r="F142" s="126" t="s">
        <v>219</v>
      </c>
      <c r="G142" s="130" t="str">
        <f>TEXT(MC_2[[#This Row],[Date]],"mmm-yy")</f>
        <v>Jun-25</v>
      </c>
      <c r="H142" s="130">
        <f>DAY(EOMONTH(MC_2[[#This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4">
        <f>SUM(MC_2[[#This Row],[ICR1]:[ICR5]])</f>
        <v>0</v>
      </c>
      <c r="T142" s="134"/>
      <c r="U142" s="133"/>
      <c r="V142" s="133"/>
      <c r="W142" s="134"/>
      <c r="X142" s="133"/>
      <c r="Y142" s="133"/>
      <c r="Z142" s="133"/>
    </row>
    <row r="143" spans="1:26">
      <c r="A143" s="133">
        <v>141</v>
      </c>
      <c r="B143" s="127">
        <f t="shared" si="2"/>
        <v>45829</v>
      </c>
      <c r="C143" s="128">
        <f>YEAR(MC_2[[#This Row],[Date]])+IF(MONTH(MC_2[[#This Row],[Date]])&gt;=4,1,0)</f>
        <v>2026</v>
      </c>
      <c r="D143" s="129">
        <f>YEAR(MC_2[[#This Row],[Date]])</f>
        <v>2025</v>
      </c>
      <c r="E143" s="126" t="s">
        <v>219</v>
      </c>
      <c r="F143" s="126" t="s">
        <v>219</v>
      </c>
      <c r="G143" s="130" t="str">
        <f>TEXT(MC_2[[#This Row],[Date]],"mmm-yy")</f>
        <v>Jun-25</v>
      </c>
      <c r="H143" s="130">
        <f>DAY(EOMONTH(MC_2[[#This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4">
        <f>SUM(MC_2[[#This Row],[ICR1]:[ICR5]])</f>
        <v>0</v>
      </c>
      <c r="T143" s="134"/>
      <c r="U143" s="133"/>
      <c r="V143" s="133"/>
      <c r="W143" s="134"/>
      <c r="X143" s="133"/>
      <c r="Y143" s="133"/>
      <c r="Z143" s="133"/>
    </row>
    <row r="144" spans="1:26">
      <c r="A144" s="133">
        <v>142</v>
      </c>
      <c r="B144" s="127">
        <f t="shared" si="2"/>
        <v>45830</v>
      </c>
      <c r="C144" s="128">
        <f>YEAR(MC_2[[#This Row],[Date]])+IF(MONTH(MC_2[[#This Row],[Date]])&gt;=4,1,0)</f>
        <v>2026</v>
      </c>
      <c r="D144" s="129">
        <f>YEAR(MC_2[[#This Row],[Date]])</f>
        <v>2025</v>
      </c>
      <c r="E144" s="126" t="s">
        <v>219</v>
      </c>
      <c r="F144" s="126" t="s">
        <v>219</v>
      </c>
      <c r="G144" s="130" t="str">
        <f>TEXT(MC_2[[#This Row],[Date]],"mmm-yy")</f>
        <v>Jun-25</v>
      </c>
      <c r="H144" s="130">
        <f>DAY(EOMONTH(MC_2[[#This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4">
        <f>SUM(MC_2[[#This Row],[ICR1]:[ICR5]])</f>
        <v>0</v>
      </c>
      <c r="T144" s="134"/>
      <c r="U144" s="133"/>
      <c r="V144" s="134"/>
      <c r="W144" s="134"/>
      <c r="X144" s="133"/>
      <c r="Y144" s="133"/>
      <c r="Z144" s="133"/>
    </row>
    <row r="145" spans="1:26">
      <c r="A145" s="133">
        <v>143</v>
      </c>
      <c r="B145" s="127">
        <f t="shared" si="2"/>
        <v>45831</v>
      </c>
      <c r="C145" s="128">
        <f>YEAR(MC_2[[#This Row],[Date]])+IF(MONTH(MC_2[[#This Row],[Date]])&gt;=4,1,0)</f>
        <v>2026</v>
      </c>
      <c r="D145" s="129">
        <f>YEAR(MC_2[[#This Row],[Date]])</f>
        <v>2025</v>
      </c>
      <c r="E145" s="126" t="s">
        <v>219</v>
      </c>
      <c r="F145" s="126" t="s">
        <v>219</v>
      </c>
      <c r="G145" s="130" t="str">
        <f>TEXT(MC_2[[#This Row],[Date]],"mmm-yy")</f>
        <v>Jun-25</v>
      </c>
      <c r="H145" s="130">
        <f>DAY(EOMONTH(MC_2[[#This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4">
        <f>SUM(MC_2[[#This Row],[ICR1]:[ICR5]])</f>
        <v>0</v>
      </c>
      <c r="T145" s="134"/>
      <c r="U145" s="133"/>
      <c r="V145" s="134"/>
      <c r="W145" s="134"/>
      <c r="X145" s="133"/>
      <c r="Y145" s="133"/>
      <c r="Z145" s="133"/>
    </row>
    <row r="146" spans="1:26">
      <c r="A146" s="133">
        <v>144</v>
      </c>
      <c r="B146" s="127">
        <f t="shared" si="2"/>
        <v>45832</v>
      </c>
      <c r="C146" s="128">
        <f>YEAR(MC_2[[#This Row],[Date]])+IF(MONTH(MC_2[[#This Row],[Date]])&gt;=4,1,0)</f>
        <v>2026</v>
      </c>
      <c r="D146" s="129">
        <f>YEAR(MC_2[[#This Row],[Date]])</f>
        <v>2025</v>
      </c>
      <c r="E146" s="126" t="s">
        <v>219</v>
      </c>
      <c r="F146" s="126" t="s">
        <v>219</v>
      </c>
      <c r="G146" s="130" t="str">
        <f>TEXT(MC_2[[#This Row],[Date]],"mmm-yy")</f>
        <v>Jun-25</v>
      </c>
      <c r="H146" s="130">
        <f>DAY(EOMONTH(MC_2[[#This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4">
        <f>SUM(MC_2[[#This Row],[ICR1]:[ICR5]])</f>
        <v>0</v>
      </c>
      <c r="T146" s="133"/>
      <c r="U146" s="133"/>
      <c r="V146" s="134"/>
      <c r="W146" s="134"/>
      <c r="X146" s="134"/>
      <c r="Y146" s="134"/>
      <c r="Z146" s="133"/>
    </row>
    <row r="147" spans="1:26">
      <c r="A147" s="133">
        <v>145</v>
      </c>
      <c r="B147" s="127">
        <f t="shared" si="2"/>
        <v>45833</v>
      </c>
      <c r="C147" s="128">
        <f>YEAR(MC_2[[#This Row],[Date]])+IF(MONTH(MC_2[[#This Row],[Date]])&gt;=4,1,0)</f>
        <v>2026</v>
      </c>
      <c r="D147" s="129">
        <f>YEAR(MC_2[[#This Row],[Date]])</f>
        <v>2025</v>
      </c>
      <c r="E147" s="126" t="s">
        <v>219</v>
      </c>
      <c r="F147" s="126" t="s">
        <v>219</v>
      </c>
      <c r="G147" s="130" t="str">
        <f>TEXT(MC_2[[#This Row],[Date]],"mmm-yy")</f>
        <v>Jun-25</v>
      </c>
      <c r="H147" s="130">
        <f>DAY(EOMONTH(MC_2[[#This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4">
        <f>SUM(MC_2[[#This Row],[ICR1]:[ICR5]])</f>
        <v>0</v>
      </c>
      <c r="T147" s="133"/>
      <c r="U147" s="133"/>
      <c r="V147" s="134"/>
      <c r="W147" s="134"/>
      <c r="X147" s="134"/>
      <c r="Y147" s="134"/>
      <c r="Z147" s="133"/>
    </row>
    <row r="148" spans="1:26">
      <c r="A148" s="133">
        <v>146</v>
      </c>
      <c r="B148" s="127">
        <f t="shared" si="2"/>
        <v>45834</v>
      </c>
      <c r="C148" s="128">
        <f>YEAR(MC_2[[#This Row],[Date]])+IF(MONTH(MC_2[[#This Row],[Date]])&gt;=4,1,0)</f>
        <v>2026</v>
      </c>
      <c r="D148" s="129">
        <f>YEAR(MC_2[[#This Row],[Date]])</f>
        <v>2025</v>
      </c>
      <c r="E148" s="126" t="s">
        <v>219</v>
      </c>
      <c r="F148" s="126" t="s">
        <v>219</v>
      </c>
      <c r="G148" s="130" t="str">
        <f>TEXT(MC_2[[#This Row],[Date]],"mmm-yy")</f>
        <v>Jun-25</v>
      </c>
      <c r="H148" s="130">
        <f>DAY(EOMONTH(MC_2[[#This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4">
        <f>SUM(MC_2[[#This Row],[ICR1]:[ICR5]])</f>
        <v>0</v>
      </c>
      <c r="T148" s="133"/>
      <c r="U148" s="133"/>
      <c r="V148" s="134"/>
      <c r="W148" s="134"/>
      <c r="X148" s="134"/>
      <c r="Y148" s="134"/>
      <c r="Z148" s="133"/>
    </row>
    <row r="149" spans="1:26">
      <c r="A149" s="133">
        <v>147</v>
      </c>
      <c r="B149" s="127">
        <f t="shared" si="2"/>
        <v>45835</v>
      </c>
      <c r="C149" s="128">
        <f>YEAR(MC_2[[#This Row],[Date]])+IF(MONTH(MC_2[[#This Row],[Date]])&gt;=4,1,0)</f>
        <v>2026</v>
      </c>
      <c r="D149" s="129">
        <f>YEAR(MC_2[[#This Row],[Date]])</f>
        <v>2025</v>
      </c>
      <c r="E149" s="126" t="s">
        <v>219</v>
      </c>
      <c r="F149" s="126" t="s">
        <v>219</v>
      </c>
      <c r="G149" s="130" t="str">
        <f>TEXT(MC_2[[#This Row],[Date]],"mmm-yy")</f>
        <v>Jun-25</v>
      </c>
      <c r="H149" s="130">
        <f>DAY(EOMONTH(MC_2[[#This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4">
        <f>SUM(MC_2[[#This Row],[ICR1]:[ICR5]])</f>
        <v>0</v>
      </c>
      <c r="T149" s="134"/>
      <c r="U149" s="133"/>
      <c r="V149" s="133"/>
      <c r="W149" s="134"/>
      <c r="X149" s="133"/>
      <c r="Y149" s="133"/>
      <c r="Z149" s="133"/>
    </row>
    <row r="150" spans="1:26">
      <c r="A150" s="133">
        <v>148</v>
      </c>
      <c r="B150" s="127">
        <f t="shared" si="2"/>
        <v>45836</v>
      </c>
      <c r="C150" s="128">
        <f>YEAR(MC_2[[#This Row],[Date]])+IF(MONTH(MC_2[[#This Row],[Date]])&gt;=4,1,0)</f>
        <v>2026</v>
      </c>
      <c r="D150" s="129">
        <f>YEAR(MC_2[[#This Row],[Date]])</f>
        <v>2025</v>
      </c>
      <c r="E150" s="126" t="s">
        <v>219</v>
      </c>
      <c r="F150" s="126" t="s">
        <v>219</v>
      </c>
      <c r="G150" s="130" t="str">
        <f>TEXT(MC_2[[#This Row],[Date]],"mmm-yy")</f>
        <v>Jun-25</v>
      </c>
      <c r="H150" s="130">
        <f>DAY(EOMONTH(MC_2[[#This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4">
        <f>SUM(MC_2[[#This Row],[ICR1]:[ICR5]])</f>
        <v>0</v>
      </c>
      <c r="T150" s="133"/>
      <c r="U150" s="133"/>
      <c r="V150" s="133"/>
      <c r="W150" s="133"/>
      <c r="X150" s="133"/>
      <c r="Y150" s="133"/>
      <c r="Z150" s="135"/>
    </row>
    <row r="151" spans="1:26">
      <c r="A151" s="133">
        <v>149</v>
      </c>
      <c r="B151" s="127">
        <f t="shared" si="2"/>
        <v>45837</v>
      </c>
      <c r="C151" s="128">
        <f>YEAR(MC_2[[#This Row],[Date]])+IF(MONTH(MC_2[[#This Row],[Date]])&gt;=4,1,0)</f>
        <v>2026</v>
      </c>
      <c r="D151" s="129">
        <f>YEAR(MC_2[[#This Row],[Date]])</f>
        <v>2025</v>
      </c>
      <c r="E151" s="126" t="s">
        <v>219</v>
      </c>
      <c r="F151" s="126" t="s">
        <v>219</v>
      </c>
      <c r="G151" s="130" t="str">
        <f>TEXT(MC_2[[#This Row],[Date]],"mmm-yy")</f>
        <v>Jun-25</v>
      </c>
      <c r="H151" s="130">
        <f>DAY(EOMONTH(MC_2[[#This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4">
        <f>SUM(MC_2[[#This Row],[ICR1]:[ICR5]])</f>
        <v>0</v>
      </c>
      <c r="T151" s="133"/>
      <c r="U151" s="133"/>
      <c r="V151" s="133"/>
      <c r="W151" s="133"/>
      <c r="X151" s="133"/>
      <c r="Y151" s="133"/>
      <c r="Z151" s="135"/>
    </row>
    <row r="152" spans="1:26">
      <c r="A152" s="133">
        <v>150</v>
      </c>
      <c r="B152" s="127">
        <f t="shared" si="2"/>
        <v>45838</v>
      </c>
      <c r="C152" s="128">
        <f>YEAR(MC_2[[#This Row],[Date]])+IF(MONTH(MC_2[[#This Row],[Date]])&gt;=4,1,0)</f>
        <v>2026</v>
      </c>
      <c r="D152" s="129">
        <f>YEAR(MC_2[[#This Row],[Date]])</f>
        <v>2025</v>
      </c>
      <c r="E152" s="126" t="s">
        <v>219</v>
      </c>
      <c r="F152" s="126" t="s">
        <v>219</v>
      </c>
      <c r="G152" s="130" t="str">
        <f>TEXT(MC_2[[#This Row],[Date]],"mmm-yy")</f>
        <v>Jun-25</v>
      </c>
      <c r="H152" s="130">
        <f>DAY(EOMONTH(MC_2[[#This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4">
        <f>SUM(MC_2[[#This Row],[ICR1]:[ICR5]])</f>
        <v>0</v>
      </c>
      <c r="T152" s="133"/>
      <c r="U152" s="133"/>
      <c r="V152" s="133"/>
      <c r="W152" s="133"/>
      <c r="X152" s="133"/>
      <c r="Y152" s="133"/>
      <c r="Z152" s="135"/>
    </row>
    <row r="153" spans="1:26">
      <c r="A153" s="133">
        <v>151</v>
      </c>
      <c r="B153" s="127">
        <f t="shared" si="2"/>
        <v>45839</v>
      </c>
      <c r="C153" s="128">
        <f>YEAR(MC_2[[#This Row],[Date]])+IF(MONTH(MC_2[[#This Row],[Date]])&gt;=4,1,0)</f>
        <v>2026</v>
      </c>
      <c r="D153" s="129">
        <f>YEAR(MC_2[[#This Row],[Date]])</f>
        <v>2025</v>
      </c>
      <c r="E153" s="126" t="s">
        <v>219</v>
      </c>
      <c r="F153" s="126" t="s">
        <v>219</v>
      </c>
      <c r="G153" s="130" t="str">
        <f>TEXT(MC_2[[#This Row],[Date]],"mmm-yy")</f>
        <v>Jul-25</v>
      </c>
      <c r="H153" s="130">
        <f>DAY(EOMONTH(MC_2[[#This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4">
        <f>SUM(MC_2[[#This Row],[ICR1]:[ICR5]])</f>
        <v>0</v>
      </c>
      <c r="T153" s="133"/>
      <c r="U153" s="133"/>
      <c r="V153" s="133"/>
      <c r="W153" s="133"/>
      <c r="X153" s="133"/>
      <c r="Y153" s="133"/>
      <c r="Z153" s="135"/>
    </row>
    <row r="154" spans="1:26">
      <c r="A154" s="133">
        <v>152</v>
      </c>
      <c r="B154" s="127">
        <f t="shared" si="2"/>
        <v>45840</v>
      </c>
      <c r="C154" s="128">
        <f>YEAR(MC_2[[#This Row],[Date]])+IF(MONTH(MC_2[[#This Row],[Date]])&gt;=4,1,0)</f>
        <v>2026</v>
      </c>
      <c r="D154" s="129">
        <f>YEAR(MC_2[[#This Row],[Date]])</f>
        <v>2025</v>
      </c>
      <c r="E154" s="126" t="s">
        <v>219</v>
      </c>
      <c r="F154" s="126" t="s">
        <v>219</v>
      </c>
      <c r="G154" s="130" t="str">
        <f>TEXT(MC_2[[#This Row],[Date]],"mmm-yy")</f>
        <v>Jul-25</v>
      </c>
      <c r="H154" s="130">
        <f>DAY(EOMONTH(MC_2[[#This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4">
        <f>SUM(MC_2[[#This Row],[ICR1]:[ICR5]])</f>
        <v>0</v>
      </c>
      <c r="T154" s="133"/>
      <c r="U154" s="133"/>
      <c r="V154" s="133"/>
      <c r="W154" s="133"/>
      <c r="X154" s="133"/>
      <c r="Y154" s="133"/>
      <c r="Z154" s="135"/>
    </row>
    <row r="155" spans="1:26">
      <c r="A155" s="133">
        <v>153</v>
      </c>
      <c r="B155" s="127">
        <f t="shared" si="2"/>
        <v>45841</v>
      </c>
      <c r="C155" s="128">
        <f>YEAR(MC_2[[#This Row],[Date]])+IF(MONTH(MC_2[[#This Row],[Date]])&gt;=4,1,0)</f>
        <v>2026</v>
      </c>
      <c r="D155" s="129">
        <f>YEAR(MC_2[[#This Row],[Date]])</f>
        <v>2025</v>
      </c>
      <c r="E155" s="126" t="s">
        <v>219</v>
      </c>
      <c r="F155" s="126" t="s">
        <v>219</v>
      </c>
      <c r="G155" s="130" t="str">
        <f>TEXT(MC_2[[#This Row],[Date]],"mmm-yy")</f>
        <v>Jul-25</v>
      </c>
      <c r="H155" s="130">
        <f>DAY(EOMONTH(MC_2[[#This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4">
        <f>SUM(MC_2[[#This Row],[ICR1]:[ICR5]])</f>
        <v>0</v>
      </c>
      <c r="T155" s="133"/>
      <c r="U155" s="133"/>
      <c r="V155" s="133"/>
      <c r="W155" s="133"/>
      <c r="X155" s="133"/>
      <c r="Y155" s="133"/>
      <c r="Z155" s="135"/>
    </row>
    <row r="156" spans="1:26">
      <c r="A156" s="133">
        <v>154</v>
      </c>
      <c r="B156" s="127">
        <f t="shared" si="2"/>
        <v>45842</v>
      </c>
      <c r="C156" s="128">
        <f>YEAR(MC_2[[#This Row],[Date]])+IF(MONTH(MC_2[[#This Row],[Date]])&gt;=4,1,0)</f>
        <v>2026</v>
      </c>
      <c r="D156" s="129">
        <f>YEAR(MC_2[[#This Row],[Date]])</f>
        <v>2025</v>
      </c>
      <c r="E156" s="126" t="s">
        <v>219</v>
      </c>
      <c r="F156" s="126" t="s">
        <v>219</v>
      </c>
      <c r="G156" s="130" t="str">
        <f>TEXT(MC_2[[#This Row],[Date]],"mmm-yy")</f>
        <v>Jul-25</v>
      </c>
      <c r="H156" s="130">
        <f>DAY(EOMONTH(MC_2[[#This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4">
        <f>SUM(MC_2[[#This Row],[ICR1]:[ICR5]])</f>
        <v>0</v>
      </c>
      <c r="T156" s="134"/>
      <c r="U156" s="133"/>
      <c r="V156" s="133"/>
      <c r="W156" s="134"/>
      <c r="X156" s="133"/>
      <c r="Y156" s="133"/>
      <c r="Z156" s="133"/>
    </row>
    <row r="157" spans="1:26">
      <c r="A157" s="133">
        <v>155</v>
      </c>
      <c r="B157" s="127">
        <f t="shared" si="2"/>
        <v>45843</v>
      </c>
      <c r="C157" s="128">
        <f>YEAR(MC_2[[#This Row],[Date]])+IF(MONTH(MC_2[[#This Row],[Date]])&gt;=4,1,0)</f>
        <v>2026</v>
      </c>
      <c r="D157" s="129">
        <f>YEAR(MC_2[[#This Row],[Date]])</f>
        <v>2025</v>
      </c>
      <c r="E157" s="126" t="s">
        <v>219</v>
      </c>
      <c r="F157" s="126" t="s">
        <v>219</v>
      </c>
      <c r="G157" s="130" t="str">
        <f>TEXT(MC_2[[#This Row],[Date]],"mmm-yy")</f>
        <v>Jul-25</v>
      </c>
      <c r="H157" s="130">
        <f>DAY(EOMONTH(MC_2[[#This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4">
        <f>SUM(MC_2[[#This Row],[ICR1]:[ICR5]])</f>
        <v>0</v>
      </c>
      <c r="T157" s="134"/>
      <c r="U157" s="133"/>
      <c r="V157" s="133"/>
      <c r="W157" s="134"/>
      <c r="X157" s="133"/>
      <c r="Y157" s="133"/>
      <c r="Z157" s="133"/>
    </row>
    <row r="158" spans="1:26">
      <c r="A158" s="133">
        <v>156</v>
      </c>
      <c r="B158" s="127">
        <f t="shared" si="2"/>
        <v>45844</v>
      </c>
      <c r="C158" s="128">
        <f>YEAR(MC_2[[#This Row],[Date]])+IF(MONTH(MC_2[[#This Row],[Date]])&gt;=4,1,0)</f>
        <v>2026</v>
      </c>
      <c r="D158" s="129">
        <f>YEAR(MC_2[[#This Row],[Date]])</f>
        <v>2025</v>
      </c>
      <c r="E158" s="126" t="s">
        <v>219</v>
      </c>
      <c r="F158" s="126" t="s">
        <v>219</v>
      </c>
      <c r="G158" s="130" t="str">
        <f>TEXT(MC_2[[#This Row],[Date]],"mmm-yy")</f>
        <v>Jul-25</v>
      </c>
      <c r="H158" s="130">
        <f>DAY(EOMONTH(MC_2[[#This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4">
        <f>SUM(MC_2[[#This Row],[ICR1]:[ICR5]])</f>
        <v>0</v>
      </c>
      <c r="T158" s="134"/>
      <c r="U158" s="133"/>
      <c r="V158" s="133"/>
      <c r="W158" s="134"/>
      <c r="X158" s="133"/>
      <c r="Y158" s="133"/>
      <c r="Z158" s="133"/>
    </row>
    <row r="159" spans="1:26">
      <c r="A159" s="133">
        <v>157</v>
      </c>
      <c r="B159" s="127">
        <f t="shared" si="2"/>
        <v>45845</v>
      </c>
      <c r="C159" s="128">
        <f>YEAR(MC_2[[#This Row],[Date]])+IF(MONTH(MC_2[[#This Row],[Date]])&gt;=4,1,0)</f>
        <v>2026</v>
      </c>
      <c r="D159" s="129">
        <f>YEAR(MC_2[[#This Row],[Date]])</f>
        <v>2025</v>
      </c>
      <c r="E159" s="126" t="s">
        <v>219</v>
      </c>
      <c r="F159" s="126" t="s">
        <v>219</v>
      </c>
      <c r="G159" s="130" t="str">
        <f>TEXT(MC_2[[#This Row],[Date]],"mmm-yy")</f>
        <v>Jul-25</v>
      </c>
      <c r="H159" s="130">
        <f>DAY(EOMONTH(MC_2[[#This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4">
        <f>SUM(MC_2[[#This Row],[ICR1]:[ICR5]])</f>
        <v>0</v>
      </c>
      <c r="T159" s="134"/>
      <c r="U159" s="133"/>
      <c r="V159" s="133"/>
      <c r="W159" s="134"/>
      <c r="X159" s="133"/>
      <c r="Y159" s="133"/>
      <c r="Z159" s="133"/>
    </row>
    <row r="160" spans="1:26">
      <c r="A160" s="133">
        <v>158</v>
      </c>
      <c r="B160" s="127">
        <f t="shared" si="2"/>
        <v>45846</v>
      </c>
      <c r="C160" s="128">
        <f>YEAR(MC_2[[#This Row],[Date]])+IF(MONTH(MC_2[[#This Row],[Date]])&gt;=4,1,0)</f>
        <v>2026</v>
      </c>
      <c r="D160" s="129">
        <f>YEAR(MC_2[[#This Row],[Date]])</f>
        <v>2025</v>
      </c>
      <c r="E160" s="126" t="s">
        <v>219</v>
      </c>
      <c r="F160" s="126" t="s">
        <v>219</v>
      </c>
      <c r="G160" s="130" t="str">
        <f>TEXT(MC_2[[#This Row],[Date]],"mmm-yy")</f>
        <v>Jul-25</v>
      </c>
      <c r="H160" s="130">
        <f>DAY(EOMONTH(MC_2[[#This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4">
        <f>SUM(MC_2[[#This Row],[ICR1]:[ICR5]])</f>
        <v>0</v>
      </c>
      <c r="T160" s="133"/>
      <c r="U160" s="133"/>
      <c r="V160" s="133"/>
      <c r="W160" s="133"/>
      <c r="X160" s="133"/>
      <c r="Y160" s="133"/>
      <c r="Z160" s="133"/>
    </row>
    <row r="161" spans="1:26">
      <c r="A161" s="133">
        <v>159</v>
      </c>
      <c r="B161" s="127">
        <f t="shared" si="2"/>
        <v>45847</v>
      </c>
      <c r="C161" s="128">
        <f>YEAR(MC_2[[#This Row],[Date]])+IF(MONTH(MC_2[[#This Row],[Date]])&gt;=4,1,0)</f>
        <v>2026</v>
      </c>
      <c r="D161" s="129">
        <f>YEAR(MC_2[[#This Row],[Date]])</f>
        <v>2025</v>
      </c>
      <c r="E161" s="126" t="s">
        <v>219</v>
      </c>
      <c r="F161" s="126" t="s">
        <v>219</v>
      </c>
      <c r="G161" s="130" t="str">
        <f>TEXT(MC_2[[#This Row],[Date]],"mmm-yy")</f>
        <v>Jul-25</v>
      </c>
      <c r="H161" s="130">
        <f>DAY(EOMONTH(MC_2[[#This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4">
        <f>SUM(MC_2[[#This Row],[ICR1]:[ICR5]])</f>
        <v>0</v>
      </c>
      <c r="T161" s="134"/>
      <c r="U161" s="133"/>
      <c r="V161" s="133"/>
      <c r="W161" s="134"/>
      <c r="X161" s="133"/>
      <c r="Y161" s="133"/>
      <c r="Z161" s="133"/>
    </row>
    <row r="162" spans="1:26">
      <c r="A162" s="133">
        <v>160</v>
      </c>
      <c r="B162" s="127">
        <f t="shared" si="2"/>
        <v>45848</v>
      </c>
      <c r="C162" s="128">
        <f>YEAR(MC_2[[#This Row],[Date]])+IF(MONTH(MC_2[[#This Row],[Date]])&gt;=4,1,0)</f>
        <v>2026</v>
      </c>
      <c r="D162" s="129">
        <f>YEAR(MC_2[[#This Row],[Date]])</f>
        <v>2025</v>
      </c>
      <c r="E162" s="126" t="s">
        <v>219</v>
      </c>
      <c r="F162" s="126" t="s">
        <v>219</v>
      </c>
      <c r="G162" s="130" t="str">
        <f>TEXT(MC_2[[#This Row],[Date]],"mmm-yy")</f>
        <v>Jul-25</v>
      </c>
      <c r="H162" s="130">
        <f>DAY(EOMONTH(MC_2[[#This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4">
        <f>SUM(MC_2[[#This Row],[ICR1]:[ICR5]])</f>
        <v>0</v>
      </c>
      <c r="T162" s="134"/>
      <c r="U162" s="133"/>
      <c r="V162" s="133"/>
      <c r="W162" s="134"/>
      <c r="X162" s="133"/>
      <c r="Y162" s="133"/>
      <c r="Z162" s="133"/>
    </row>
    <row r="163" spans="1:26">
      <c r="A163" s="133">
        <v>161</v>
      </c>
      <c r="B163" s="127">
        <f t="shared" si="2"/>
        <v>45849</v>
      </c>
      <c r="C163" s="128">
        <f>YEAR(MC_2[[#This Row],[Date]])+IF(MONTH(MC_2[[#This Row],[Date]])&gt;=4,1,0)</f>
        <v>2026</v>
      </c>
      <c r="D163" s="129">
        <f>YEAR(MC_2[[#This Row],[Date]])</f>
        <v>2025</v>
      </c>
      <c r="E163" s="126" t="s">
        <v>219</v>
      </c>
      <c r="F163" s="126" t="s">
        <v>219</v>
      </c>
      <c r="G163" s="130" t="str">
        <f>TEXT(MC_2[[#This Row],[Date]],"mmm-yy")</f>
        <v>Jul-25</v>
      </c>
      <c r="H163" s="130">
        <f>DAY(EOMONTH(MC_2[[#This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4">
        <f>SUM(MC_2[[#This Row],[ICR1]:[ICR5]])</f>
        <v>0</v>
      </c>
      <c r="T163" s="134"/>
      <c r="U163" s="133"/>
      <c r="V163" s="133"/>
      <c r="W163" s="134"/>
      <c r="X163" s="133"/>
      <c r="Y163" s="133"/>
      <c r="Z163" s="133"/>
    </row>
    <row r="164" spans="1:26">
      <c r="A164" s="133">
        <v>162</v>
      </c>
      <c r="B164" s="127">
        <f t="shared" si="2"/>
        <v>45850</v>
      </c>
      <c r="C164" s="128">
        <f>YEAR(MC_2[[#This Row],[Date]])+IF(MONTH(MC_2[[#This Row],[Date]])&gt;=4,1,0)</f>
        <v>2026</v>
      </c>
      <c r="D164" s="129">
        <f>YEAR(MC_2[[#This Row],[Date]])</f>
        <v>2025</v>
      </c>
      <c r="E164" s="126" t="s">
        <v>219</v>
      </c>
      <c r="F164" s="126" t="s">
        <v>219</v>
      </c>
      <c r="G164" s="130" t="str">
        <f>TEXT(MC_2[[#This Row],[Date]],"mmm-yy")</f>
        <v>Jul-25</v>
      </c>
      <c r="H164" s="130">
        <f>DAY(EOMONTH(MC_2[[#This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4">
        <f>SUM(MC_2[[#This Row],[ICR1]:[ICR5]])</f>
        <v>0</v>
      </c>
      <c r="T164" s="134"/>
      <c r="U164" s="133"/>
      <c r="V164" s="133"/>
      <c r="W164" s="134"/>
      <c r="X164" s="133"/>
      <c r="Y164" s="133"/>
      <c r="Z164" s="133"/>
    </row>
    <row r="165" spans="1:26">
      <c r="A165" s="133">
        <v>163</v>
      </c>
      <c r="B165" s="127">
        <f t="shared" si="2"/>
        <v>45851</v>
      </c>
      <c r="C165" s="128">
        <f>YEAR(MC_2[[#This Row],[Date]])+IF(MONTH(MC_2[[#This Row],[Date]])&gt;=4,1,0)</f>
        <v>2026</v>
      </c>
      <c r="D165" s="129">
        <f>YEAR(MC_2[[#This Row],[Date]])</f>
        <v>2025</v>
      </c>
      <c r="E165" s="126" t="s">
        <v>219</v>
      </c>
      <c r="F165" s="126" t="s">
        <v>219</v>
      </c>
      <c r="G165" s="130" t="str">
        <f>TEXT(MC_2[[#This Row],[Date]],"mmm-yy")</f>
        <v>Jul-25</v>
      </c>
      <c r="H165" s="130">
        <f>DAY(EOMONTH(MC_2[[#This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4">
        <f>SUM(MC_2[[#This Row],[ICR1]:[ICR5]])</f>
        <v>0</v>
      </c>
      <c r="T165" s="133"/>
      <c r="U165" s="133"/>
      <c r="V165" s="133"/>
      <c r="W165" s="133"/>
      <c r="X165" s="133"/>
      <c r="Y165" s="133"/>
      <c r="Z165" s="133"/>
    </row>
    <row r="166" spans="1:26">
      <c r="A166" s="133">
        <v>164</v>
      </c>
      <c r="B166" s="127">
        <f t="shared" si="2"/>
        <v>45852</v>
      </c>
      <c r="C166" s="128">
        <f>YEAR(MC_2[[#This Row],[Date]])+IF(MONTH(MC_2[[#This Row],[Date]])&gt;=4,1,0)</f>
        <v>2026</v>
      </c>
      <c r="D166" s="129">
        <f>YEAR(MC_2[[#This Row],[Date]])</f>
        <v>2025</v>
      </c>
      <c r="E166" s="126" t="s">
        <v>219</v>
      </c>
      <c r="F166" s="126" t="s">
        <v>219</v>
      </c>
      <c r="G166" s="130" t="str">
        <f>TEXT(MC_2[[#This Row],[Date]],"mmm-yy")</f>
        <v>Jul-25</v>
      </c>
      <c r="H166" s="130">
        <f>DAY(EOMONTH(MC_2[[#This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4">
        <f>SUM(MC_2[[#This Row],[ICR1]:[ICR5]])</f>
        <v>0</v>
      </c>
      <c r="T166" s="133"/>
      <c r="U166" s="133"/>
      <c r="V166" s="133"/>
      <c r="W166" s="133"/>
      <c r="X166" s="133"/>
      <c r="Y166" s="133"/>
      <c r="Z166" s="135"/>
    </row>
    <row r="167" spans="1:26">
      <c r="A167" s="133">
        <v>165</v>
      </c>
      <c r="B167" s="127">
        <f t="shared" si="2"/>
        <v>45853</v>
      </c>
      <c r="C167" s="128">
        <f>YEAR(MC_2[[#This Row],[Date]])+IF(MONTH(MC_2[[#This Row],[Date]])&gt;=4,1,0)</f>
        <v>2026</v>
      </c>
      <c r="D167" s="129">
        <f>YEAR(MC_2[[#This Row],[Date]])</f>
        <v>2025</v>
      </c>
      <c r="E167" s="126" t="s">
        <v>219</v>
      </c>
      <c r="F167" s="126" t="s">
        <v>219</v>
      </c>
      <c r="G167" s="130" t="str">
        <f>TEXT(MC_2[[#This Row],[Date]],"mmm-yy")</f>
        <v>Jul-25</v>
      </c>
      <c r="H167" s="130">
        <f>DAY(EOMONTH(MC_2[[#This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4">
        <f>SUM(MC_2[[#This Row],[ICR1]:[ICR5]])</f>
        <v>0</v>
      </c>
      <c r="T167" s="133"/>
      <c r="U167" s="133"/>
      <c r="V167" s="133"/>
      <c r="W167" s="133"/>
      <c r="X167" s="133"/>
      <c r="Y167" s="133"/>
      <c r="Z167" s="135"/>
    </row>
    <row r="168" spans="1:26">
      <c r="A168" s="133">
        <v>166</v>
      </c>
      <c r="B168" s="127">
        <f t="shared" si="2"/>
        <v>45854</v>
      </c>
      <c r="C168" s="128">
        <f>YEAR(MC_2[[#This Row],[Date]])+IF(MONTH(MC_2[[#This Row],[Date]])&gt;=4,1,0)</f>
        <v>2026</v>
      </c>
      <c r="D168" s="129">
        <f>YEAR(MC_2[[#This Row],[Date]])</f>
        <v>2025</v>
      </c>
      <c r="E168" s="126" t="s">
        <v>219</v>
      </c>
      <c r="F168" s="126" t="s">
        <v>219</v>
      </c>
      <c r="G168" s="130" t="str">
        <f>TEXT(MC_2[[#This Row],[Date]],"mmm-yy")</f>
        <v>Jul-25</v>
      </c>
      <c r="H168" s="130">
        <f>DAY(EOMONTH(MC_2[[#This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4">
        <f>SUM(MC_2[[#This Row],[ICR1]:[ICR5]])</f>
        <v>0</v>
      </c>
      <c r="T168" s="133"/>
      <c r="U168" s="133"/>
      <c r="V168" s="133"/>
      <c r="W168" s="133"/>
      <c r="X168" s="133"/>
      <c r="Y168" s="133"/>
      <c r="Z168" s="135"/>
    </row>
    <row r="169" spans="1:26">
      <c r="A169" s="133">
        <v>167</v>
      </c>
      <c r="B169" s="127">
        <f t="shared" si="2"/>
        <v>45855</v>
      </c>
      <c r="C169" s="128">
        <f>YEAR(MC_2[[#This Row],[Date]])+IF(MONTH(MC_2[[#This Row],[Date]])&gt;=4,1,0)</f>
        <v>2026</v>
      </c>
      <c r="D169" s="129">
        <f>YEAR(MC_2[[#This Row],[Date]])</f>
        <v>2025</v>
      </c>
      <c r="E169" s="126" t="s">
        <v>219</v>
      </c>
      <c r="F169" s="126" t="s">
        <v>219</v>
      </c>
      <c r="G169" s="130" t="str">
        <f>TEXT(MC_2[[#This Row],[Date]],"mmm-yy")</f>
        <v>Jul-25</v>
      </c>
      <c r="H169" s="130">
        <f>DAY(EOMONTH(MC_2[[#This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4">
        <f>SUM(MC_2[[#This Row],[ICR1]:[ICR5]])</f>
        <v>0</v>
      </c>
      <c r="T169" s="133"/>
      <c r="U169" s="133"/>
      <c r="V169" s="133"/>
      <c r="W169" s="133"/>
      <c r="X169" s="133"/>
      <c r="Y169" s="133"/>
      <c r="Z169" s="135"/>
    </row>
    <row r="170" spans="1:26">
      <c r="A170" s="133">
        <v>168</v>
      </c>
      <c r="B170" s="127">
        <f t="shared" si="2"/>
        <v>45856</v>
      </c>
      <c r="C170" s="128">
        <f>YEAR(MC_2[[#This Row],[Date]])+IF(MONTH(MC_2[[#This Row],[Date]])&gt;=4,1,0)</f>
        <v>2026</v>
      </c>
      <c r="D170" s="129">
        <f>YEAR(MC_2[[#This Row],[Date]])</f>
        <v>2025</v>
      </c>
      <c r="E170" s="126" t="s">
        <v>219</v>
      </c>
      <c r="F170" s="126" t="s">
        <v>219</v>
      </c>
      <c r="G170" s="130" t="str">
        <f>TEXT(MC_2[[#This Row],[Date]],"mmm-yy")</f>
        <v>Jul-25</v>
      </c>
      <c r="H170" s="130">
        <f>DAY(EOMONTH(MC_2[[#This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4">
        <f>SUM(MC_2[[#This Row],[ICR1]:[ICR5]])</f>
        <v>0</v>
      </c>
      <c r="T170" s="133"/>
      <c r="U170" s="133"/>
      <c r="V170" s="133"/>
      <c r="W170" s="133"/>
      <c r="X170" s="133"/>
      <c r="Y170" s="133"/>
      <c r="Z170" s="135"/>
    </row>
    <row r="171" spans="1:26">
      <c r="A171" s="133">
        <v>169</v>
      </c>
      <c r="B171" s="127">
        <f t="shared" si="2"/>
        <v>45857</v>
      </c>
      <c r="C171" s="128">
        <f>YEAR(MC_2[[#This Row],[Date]])+IF(MONTH(MC_2[[#This Row],[Date]])&gt;=4,1,0)</f>
        <v>2026</v>
      </c>
      <c r="D171" s="129">
        <f>YEAR(MC_2[[#This Row],[Date]])</f>
        <v>2025</v>
      </c>
      <c r="E171" s="126" t="s">
        <v>219</v>
      </c>
      <c r="F171" s="126" t="s">
        <v>219</v>
      </c>
      <c r="G171" s="130" t="str">
        <f>TEXT(MC_2[[#This Row],[Date]],"mmm-yy")</f>
        <v>Jul-25</v>
      </c>
      <c r="H171" s="130">
        <f>DAY(EOMONTH(MC_2[[#This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4">
        <f>SUM(MC_2[[#This Row],[ICR1]:[ICR5]])</f>
        <v>0</v>
      </c>
      <c r="T171" s="133"/>
      <c r="U171" s="133"/>
      <c r="V171" s="133"/>
      <c r="W171" s="133"/>
      <c r="X171" s="133"/>
      <c r="Y171" s="133"/>
      <c r="Z171" s="135"/>
    </row>
    <row r="172" spans="1:26">
      <c r="A172" s="133">
        <v>170</v>
      </c>
      <c r="B172" s="127">
        <f t="shared" si="2"/>
        <v>45858</v>
      </c>
      <c r="C172" s="128">
        <f>YEAR(MC_2[[#This Row],[Date]])+IF(MONTH(MC_2[[#This Row],[Date]])&gt;=4,1,0)</f>
        <v>2026</v>
      </c>
      <c r="D172" s="129">
        <f>YEAR(MC_2[[#This Row],[Date]])</f>
        <v>2025</v>
      </c>
      <c r="E172" s="126" t="s">
        <v>219</v>
      </c>
      <c r="F172" s="126" t="s">
        <v>219</v>
      </c>
      <c r="G172" s="130" t="str">
        <f>TEXT(MC_2[[#This Row],[Date]],"mmm-yy")</f>
        <v>Jul-25</v>
      </c>
      <c r="H172" s="130">
        <f>DAY(EOMONTH(MC_2[[#This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4">
        <f>SUM(MC_2[[#This Row],[ICR1]:[ICR5]])</f>
        <v>0</v>
      </c>
      <c r="T172" s="133"/>
      <c r="U172" s="133"/>
      <c r="V172" s="133"/>
      <c r="W172" s="133"/>
      <c r="X172" s="133"/>
      <c r="Y172" s="133"/>
      <c r="Z172" s="135"/>
    </row>
    <row r="173" spans="1:26">
      <c r="A173" s="133">
        <v>171</v>
      </c>
      <c r="B173" s="127">
        <f t="shared" si="2"/>
        <v>45859</v>
      </c>
      <c r="C173" s="128">
        <f>YEAR(MC_2[[#This Row],[Date]])+IF(MONTH(MC_2[[#This Row],[Date]])&gt;=4,1,0)</f>
        <v>2026</v>
      </c>
      <c r="D173" s="129">
        <f>YEAR(MC_2[[#This Row],[Date]])</f>
        <v>2025</v>
      </c>
      <c r="E173" s="126" t="s">
        <v>219</v>
      </c>
      <c r="F173" s="126" t="s">
        <v>219</v>
      </c>
      <c r="G173" s="130" t="str">
        <f>TEXT(MC_2[[#This Row],[Date]],"mmm-yy")</f>
        <v>Jul-25</v>
      </c>
      <c r="H173" s="130">
        <f>DAY(EOMONTH(MC_2[[#This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4">
        <f>SUM(MC_2[[#This Row],[ICR1]:[ICR5]])</f>
        <v>0</v>
      </c>
      <c r="T173" s="133"/>
      <c r="U173" s="133"/>
      <c r="V173" s="133"/>
      <c r="W173" s="133"/>
      <c r="X173" s="133"/>
      <c r="Y173" s="133"/>
      <c r="Z173" s="135"/>
    </row>
    <row r="174" spans="1:26">
      <c r="A174" s="133">
        <v>172</v>
      </c>
      <c r="B174" s="127">
        <f t="shared" si="2"/>
        <v>45860</v>
      </c>
      <c r="C174" s="128">
        <f>YEAR(MC_2[[#This Row],[Date]])+IF(MONTH(MC_2[[#This Row],[Date]])&gt;=4,1,0)</f>
        <v>2026</v>
      </c>
      <c r="D174" s="129">
        <f>YEAR(MC_2[[#This Row],[Date]])</f>
        <v>2025</v>
      </c>
      <c r="E174" s="126" t="s">
        <v>219</v>
      </c>
      <c r="F174" s="126" t="s">
        <v>219</v>
      </c>
      <c r="G174" s="130" t="str">
        <f>TEXT(MC_2[[#This Row],[Date]],"mmm-yy")</f>
        <v>Jul-25</v>
      </c>
      <c r="H174" s="130">
        <f>DAY(EOMONTH(MC_2[[#This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4">
        <f>SUM(MC_2[[#This Row],[ICR1]:[ICR5]])</f>
        <v>0</v>
      </c>
      <c r="T174" s="133"/>
      <c r="U174" s="133"/>
      <c r="V174" s="133"/>
      <c r="W174" s="133"/>
      <c r="X174" s="133"/>
      <c r="Y174" s="133"/>
      <c r="Z174" s="135"/>
    </row>
    <row r="175" spans="1:26">
      <c r="A175" s="133">
        <v>173</v>
      </c>
      <c r="B175" s="127">
        <f t="shared" si="2"/>
        <v>45861</v>
      </c>
      <c r="C175" s="128">
        <f>YEAR(MC_2[[#This Row],[Date]])+IF(MONTH(MC_2[[#This Row],[Date]])&gt;=4,1,0)</f>
        <v>2026</v>
      </c>
      <c r="D175" s="129">
        <f>YEAR(MC_2[[#This Row],[Date]])</f>
        <v>2025</v>
      </c>
      <c r="E175" s="126" t="s">
        <v>219</v>
      </c>
      <c r="F175" s="126" t="s">
        <v>219</v>
      </c>
      <c r="G175" s="130" t="str">
        <f>TEXT(MC_2[[#This Row],[Date]],"mmm-yy")</f>
        <v>Jul-25</v>
      </c>
      <c r="H175" s="130">
        <f>DAY(EOMONTH(MC_2[[#This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4">
        <f>SUM(MC_2[[#This Row],[ICR1]:[ICR5]])</f>
        <v>0</v>
      </c>
      <c r="T175" s="133"/>
      <c r="U175" s="133"/>
      <c r="V175" s="133"/>
      <c r="W175" s="133"/>
      <c r="X175" s="133"/>
      <c r="Y175" s="133"/>
      <c r="Z175" s="135"/>
    </row>
    <row r="176" spans="1:26">
      <c r="A176" s="133">
        <v>174</v>
      </c>
      <c r="B176" s="127">
        <f t="shared" si="2"/>
        <v>45862</v>
      </c>
      <c r="C176" s="128">
        <f>YEAR(MC_2[[#This Row],[Date]])+IF(MONTH(MC_2[[#This Row],[Date]])&gt;=4,1,0)</f>
        <v>2026</v>
      </c>
      <c r="D176" s="129">
        <f>YEAR(MC_2[[#This Row],[Date]])</f>
        <v>2025</v>
      </c>
      <c r="E176" s="126" t="s">
        <v>219</v>
      </c>
      <c r="F176" s="126" t="s">
        <v>219</v>
      </c>
      <c r="G176" s="130" t="str">
        <f>TEXT(MC_2[[#This Row],[Date]],"mmm-yy")</f>
        <v>Jul-25</v>
      </c>
      <c r="H176" s="130">
        <f>DAY(EOMONTH(MC_2[[#This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4">
        <f>SUM(MC_2[[#This Row],[ICR1]:[ICR5]])</f>
        <v>0</v>
      </c>
      <c r="T176" s="133"/>
      <c r="U176" s="133"/>
      <c r="V176" s="133"/>
      <c r="W176" s="133"/>
      <c r="X176" s="133"/>
      <c r="Y176" s="133"/>
      <c r="Z176" s="135"/>
    </row>
    <row r="177" spans="1:26">
      <c r="A177" s="133">
        <v>175</v>
      </c>
      <c r="B177" s="127">
        <f t="shared" si="2"/>
        <v>45863</v>
      </c>
      <c r="C177" s="128">
        <f>YEAR(MC_2[[#This Row],[Date]])+IF(MONTH(MC_2[[#This Row],[Date]])&gt;=4,1,0)</f>
        <v>2026</v>
      </c>
      <c r="D177" s="129">
        <f>YEAR(MC_2[[#This Row],[Date]])</f>
        <v>2025</v>
      </c>
      <c r="E177" s="126" t="s">
        <v>219</v>
      </c>
      <c r="F177" s="126" t="s">
        <v>219</v>
      </c>
      <c r="G177" s="130" t="str">
        <f>TEXT(MC_2[[#This Row],[Date]],"mmm-yy")</f>
        <v>Jul-25</v>
      </c>
      <c r="H177" s="130">
        <f>DAY(EOMONTH(MC_2[[#This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4">
        <f>SUM(MC_2[[#This Row],[ICR1]:[ICR5]])</f>
        <v>0</v>
      </c>
      <c r="T177" s="133"/>
      <c r="U177" s="133"/>
      <c r="V177" s="133"/>
      <c r="W177" s="133"/>
      <c r="X177" s="133"/>
      <c r="Y177" s="133"/>
      <c r="Z177" s="135"/>
    </row>
    <row r="178" spans="1:26">
      <c r="A178" s="133">
        <v>176</v>
      </c>
      <c r="B178" s="127">
        <f t="shared" si="2"/>
        <v>45864</v>
      </c>
      <c r="C178" s="128">
        <f>YEAR(MC_2[[#This Row],[Date]])+IF(MONTH(MC_2[[#This Row],[Date]])&gt;=4,1,0)</f>
        <v>2026</v>
      </c>
      <c r="D178" s="129">
        <f>YEAR(MC_2[[#This Row],[Date]])</f>
        <v>2025</v>
      </c>
      <c r="E178" s="126" t="s">
        <v>219</v>
      </c>
      <c r="F178" s="126" t="s">
        <v>219</v>
      </c>
      <c r="G178" s="130" t="str">
        <f>TEXT(MC_2[[#This Row],[Date]],"mmm-yy")</f>
        <v>Jul-25</v>
      </c>
      <c r="H178" s="130">
        <f>DAY(EOMONTH(MC_2[[#This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4">
        <f>SUM(MC_2[[#This Row],[ICR1]:[ICR5]])</f>
        <v>0</v>
      </c>
      <c r="T178" s="133"/>
      <c r="U178" s="133"/>
      <c r="V178" s="133"/>
      <c r="W178" s="133"/>
      <c r="X178" s="133"/>
      <c r="Y178" s="133"/>
      <c r="Z178" s="135"/>
    </row>
    <row r="179" spans="1:26">
      <c r="A179" s="133">
        <v>177</v>
      </c>
      <c r="B179" s="127">
        <f t="shared" si="2"/>
        <v>45865</v>
      </c>
      <c r="C179" s="128">
        <f>YEAR(MC_2[[#This Row],[Date]])+IF(MONTH(MC_2[[#This Row],[Date]])&gt;=4,1,0)</f>
        <v>2026</v>
      </c>
      <c r="D179" s="129">
        <f>YEAR(MC_2[[#This Row],[Date]])</f>
        <v>2025</v>
      </c>
      <c r="E179" s="126" t="s">
        <v>219</v>
      </c>
      <c r="F179" s="126" t="s">
        <v>219</v>
      </c>
      <c r="G179" s="130" t="str">
        <f>TEXT(MC_2[[#This Row],[Date]],"mmm-yy")</f>
        <v>Jul-25</v>
      </c>
      <c r="H179" s="130">
        <f>DAY(EOMONTH(MC_2[[#This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4">
        <f>SUM(MC_2[[#This Row],[ICR1]:[ICR5]])</f>
        <v>0</v>
      </c>
      <c r="T179" s="133"/>
      <c r="U179" s="133"/>
      <c r="V179" s="133"/>
      <c r="W179" s="133"/>
      <c r="X179" s="133"/>
      <c r="Y179" s="133"/>
      <c r="Z179" s="135"/>
    </row>
    <row r="180" spans="1:26">
      <c r="A180" s="133">
        <v>177</v>
      </c>
      <c r="B180" s="127">
        <f t="shared" si="2"/>
        <v>45866</v>
      </c>
      <c r="C180" s="128">
        <f>YEAR(MC_2[[#This Row],[Date]])+IF(MONTH(MC_2[[#This Row],[Date]])&gt;=4,1,0)</f>
        <v>2026</v>
      </c>
      <c r="D180" s="129">
        <f>YEAR(MC_2[[#This Row],[Date]])</f>
        <v>2025</v>
      </c>
      <c r="E180" s="126" t="s">
        <v>219</v>
      </c>
      <c r="F180" s="126" t="s">
        <v>219</v>
      </c>
      <c r="G180" s="130" t="str">
        <f>TEXT(MC_2[[#This Row],[Date]],"mmm-yy")</f>
        <v>Jul-25</v>
      </c>
      <c r="H180" s="130">
        <f>DAY(EOMONTH(MC_2[[#This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4">
        <f>SUM(MC_2[[#This Row],[ICR1]:[ICR5]])</f>
        <v>0</v>
      </c>
      <c r="T180" s="133"/>
      <c r="U180" s="133"/>
      <c r="V180" s="133"/>
      <c r="W180" s="133"/>
      <c r="X180" s="133"/>
      <c r="Y180" s="133"/>
      <c r="Z180" s="135"/>
    </row>
    <row r="181" spans="1:26">
      <c r="A181" s="133">
        <v>179</v>
      </c>
      <c r="B181" s="127">
        <f t="shared" si="2"/>
        <v>45867</v>
      </c>
      <c r="C181" s="128">
        <f>YEAR(MC_2[[#This Row],[Date]])+IF(MONTH(MC_2[[#This Row],[Date]])&gt;=4,1,0)</f>
        <v>2026</v>
      </c>
      <c r="D181" s="129">
        <f>YEAR(MC_2[[#This Row],[Date]])</f>
        <v>2025</v>
      </c>
      <c r="E181" s="126" t="s">
        <v>219</v>
      </c>
      <c r="F181" s="126" t="s">
        <v>219</v>
      </c>
      <c r="G181" s="130" t="str">
        <f>TEXT(MC_2[[#This Row],[Date]],"mmm-yy")</f>
        <v>Jul-25</v>
      </c>
      <c r="H181" s="130">
        <f>DAY(EOMONTH(MC_2[[#This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4">
        <f>SUM(MC_2[[#This Row],[ICR1]:[ICR5]])</f>
        <v>0</v>
      </c>
      <c r="T181" s="133"/>
      <c r="U181" s="133"/>
      <c r="V181" s="133"/>
      <c r="W181" s="133"/>
      <c r="X181" s="133"/>
      <c r="Y181" s="133"/>
      <c r="Z181" s="135"/>
    </row>
    <row r="182" spans="1:26">
      <c r="A182" s="133">
        <v>180</v>
      </c>
      <c r="B182" s="127">
        <f t="shared" si="2"/>
        <v>45868</v>
      </c>
      <c r="C182" s="128">
        <f>YEAR(MC_2[[#This Row],[Date]])+IF(MONTH(MC_2[[#This Row],[Date]])&gt;=4,1,0)</f>
        <v>2026</v>
      </c>
      <c r="D182" s="129">
        <f>YEAR(MC_2[[#This Row],[Date]])</f>
        <v>2025</v>
      </c>
      <c r="E182" s="126" t="s">
        <v>219</v>
      </c>
      <c r="F182" s="126" t="s">
        <v>219</v>
      </c>
      <c r="G182" s="130" t="str">
        <f>TEXT(MC_2[[#This Row],[Date]],"mmm-yy")</f>
        <v>Jul-25</v>
      </c>
      <c r="H182" s="130">
        <f>DAY(EOMONTH(MC_2[[#This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4">
        <f>SUM(MC_2[[#This Row],[ICR1]:[ICR5]])</f>
        <v>0</v>
      </c>
      <c r="T182" s="133"/>
      <c r="U182" s="133"/>
      <c r="V182" s="133"/>
      <c r="W182" s="133"/>
      <c r="X182" s="133"/>
      <c r="Y182" s="133"/>
      <c r="Z182" s="135"/>
    </row>
    <row r="183" spans="1:26">
      <c r="A183" s="133">
        <v>181</v>
      </c>
      <c r="B183" s="127">
        <f t="shared" si="2"/>
        <v>45869</v>
      </c>
      <c r="C183" s="128">
        <f>YEAR(MC_2[[#This Row],[Date]])+IF(MONTH(MC_2[[#This Row],[Date]])&gt;=4,1,0)</f>
        <v>2026</v>
      </c>
      <c r="D183" s="129">
        <f>YEAR(MC_2[[#This Row],[Date]])</f>
        <v>2025</v>
      </c>
      <c r="E183" s="126" t="s">
        <v>219</v>
      </c>
      <c r="F183" s="126" t="s">
        <v>219</v>
      </c>
      <c r="G183" s="130" t="str">
        <f>TEXT(MC_2[[#This Row],[Date]],"mmm-yy")</f>
        <v>Jul-25</v>
      </c>
      <c r="H183" s="130">
        <f>DAY(EOMONTH(MC_2[[#This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4">
        <f>SUM(MC_2[[#This Row],[ICR1]:[ICR5]])</f>
        <v>0</v>
      </c>
      <c r="T183" s="133"/>
      <c r="U183" s="133"/>
      <c r="V183" s="133"/>
      <c r="W183" s="133"/>
      <c r="X183" s="133"/>
      <c r="Y183" s="133"/>
      <c r="Z183" s="135"/>
    </row>
    <row r="184" spans="1:26">
      <c r="A184" s="133">
        <v>182</v>
      </c>
      <c r="B184" s="127">
        <f t="shared" si="2"/>
        <v>45870</v>
      </c>
      <c r="C184" s="128">
        <f>YEAR(MC_2[[#This Row],[Date]])+IF(MONTH(MC_2[[#This Row],[Date]])&gt;=4,1,0)</f>
        <v>2026</v>
      </c>
      <c r="D184" s="129">
        <f>YEAR(MC_2[[#This Row],[Date]])</f>
        <v>2025</v>
      </c>
      <c r="E184" s="126" t="s">
        <v>219</v>
      </c>
      <c r="F184" s="126" t="s">
        <v>219</v>
      </c>
      <c r="G184" s="130" t="str">
        <f>TEXT(MC_2[[#This Row],[Date]],"mmm-yy")</f>
        <v>Aug-25</v>
      </c>
      <c r="H184" s="130">
        <f>DAY(EOMONTH(MC_2[[#This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4">
        <f>SUM(MC_2[[#This Row],[ICR1]:[ICR5]])</f>
        <v>0</v>
      </c>
      <c r="T184" s="133"/>
      <c r="U184" s="133"/>
      <c r="V184" s="133"/>
      <c r="W184" s="133"/>
      <c r="X184" s="133"/>
      <c r="Y184" s="133"/>
      <c r="Z184" s="135"/>
    </row>
    <row r="185" spans="1:26">
      <c r="A185" s="133">
        <v>183</v>
      </c>
      <c r="B185" s="127">
        <f t="shared" si="2"/>
        <v>45871</v>
      </c>
      <c r="C185" s="128">
        <f>YEAR(MC_2[[#This Row],[Date]])+IF(MONTH(MC_2[[#This Row],[Date]])&gt;=4,1,0)</f>
        <v>2026</v>
      </c>
      <c r="D185" s="129">
        <f>YEAR(MC_2[[#This Row],[Date]])</f>
        <v>2025</v>
      </c>
      <c r="E185" s="126" t="s">
        <v>219</v>
      </c>
      <c r="F185" s="126" t="s">
        <v>219</v>
      </c>
      <c r="G185" s="130" t="str">
        <f>TEXT(MC_2[[#This Row],[Date]],"mmm-yy")</f>
        <v>Aug-25</v>
      </c>
      <c r="H185" s="130">
        <f>DAY(EOMONTH(MC_2[[#This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4">
        <f>SUM(MC_2[[#This Row],[ICR1]:[ICR5]])</f>
        <v>0</v>
      </c>
      <c r="T185" s="133"/>
      <c r="U185" s="133"/>
      <c r="V185" s="133"/>
      <c r="W185" s="133"/>
      <c r="X185" s="133"/>
      <c r="Y185" s="133"/>
      <c r="Z185" s="135"/>
    </row>
    <row r="186" spans="1:26">
      <c r="A186" s="133">
        <v>184</v>
      </c>
      <c r="B186" s="127">
        <f t="shared" si="2"/>
        <v>45872</v>
      </c>
      <c r="C186" s="128">
        <f>YEAR(MC_2[[#This Row],[Date]])+IF(MONTH(MC_2[[#This Row],[Date]])&gt;=4,1,0)</f>
        <v>2026</v>
      </c>
      <c r="D186" s="129">
        <f>YEAR(MC_2[[#This Row],[Date]])</f>
        <v>2025</v>
      </c>
      <c r="E186" s="126" t="s">
        <v>219</v>
      </c>
      <c r="F186" s="126" t="s">
        <v>219</v>
      </c>
      <c r="G186" s="130" t="str">
        <f>TEXT(MC_2[[#This Row],[Date]],"mmm-yy")</f>
        <v>Aug-25</v>
      </c>
      <c r="H186" s="130">
        <f>DAY(EOMONTH(MC_2[[#This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4">
        <f>SUM(MC_2[[#This Row],[ICR1]:[ICR5]])</f>
        <v>0</v>
      </c>
      <c r="T186" s="133"/>
      <c r="U186" s="133"/>
      <c r="V186" s="133"/>
      <c r="W186" s="133"/>
      <c r="X186" s="133"/>
      <c r="Y186" s="133"/>
      <c r="Z186" s="135"/>
    </row>
    <row r="187" spans="1:26">
      <c r="A187" s="133">
        <v>185</v>
      </c>
      <c r="B187" s="127">
        <f t="shared" si="2"/>
        <v>45873</v>
      </c>
      <c r="C187" s="128">
        <f>YEAR(MC_2[[#This Row],[Date]])+IF(MONTH(MC_2[[#This Row],[Date]])&gt;=4,1,0)</f>
        <v>2026</v>
      </c>
      <c r="D187" s="129">
        <f>YEAR(MC_2[[#This Row],[Date]])</f>
        <v>2025</v>
      </c>
      <c r="E187" s="126" t="s">
        <v>219</v>
      </c>
      <c r="F187" s="126" t="s">
        <v>219</v>
      </c>
      <c r="G187" s="130" t="str">
        <f>TEXT(MC_2[[#This Row],[Date]],"mmm-yy")</f>
        <v>Aug-25</v>
      </c>
      <c r="H187" s="130">
        <f>DAY(EOMONTH(MC_2[[#This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4">
        <f>SUM(MC_2[[#This Row],[ICR1]:[ICR5]])</f>
        <v>0</v>
      </c>
      <c r="T187" s="133"/>
      <c r="U187" s="133"/>
      <c r="V187" s="133"/>
      <c r="W187" s="133"/>
      <c r="X187" s="133"/>
      <c r="Y187" s="133"/>
      <c r="Z187" s="135"/>
    </row>
    <row r="188" spans="1:26">
      <c r="A188" s="133">
        <v>186</v>
      </c>
      <c r="B188" s="127">
        <f t="shared" si="2"/>
        <v>45874</v>
      </c>
      <c r="C188" s="128">
        <f>YEAR(MC_2[[#This Row],[Date]])+IF(MONTH(MC_2[[#This Row],[Date]])&gt;=4,1,0)</f>
        <v>2026</v>
      </c>
      <c r="D188" s="129">
        <f>YEAR(MC_2[[#This Row],[Date]])</f>
        <v>2025</v>
      </c>
      <c r="E188" s="126" t="s">
        <v>219</v>
      </c>
      <c r="F188" s="126" t="s">
        <v>219</v>
      </c>
      <c r="G188" s="130" t="str">
        <f>TEXT(MC_2[[#This Row],[Date]],"mmm-yy")</f>
        <v>Aug-25</v>
      </c>
      <c r="H188" s="130">
        <f>DAY(EOMONTH(MC_2[[#This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4">
        <f>SUM(MC_2[[#This Row],[ICR1]:[ICR5]])</f>
        <v>0</v>
      </c>
      <c r="T188" s="133"/>
      <c r="U188" s="133"/>
      <c r="V188" s="133"/>
      <c r="W188" s="133"/>
      <c r="X188" s="133"/>
      <c r="Y188" s="133"/>
      <c r="Z188" s="135"/>
    </row>
    <row r="189" spans="1:26">
      <c r="A189" s="133">
        <v>187</v>
      </c>
      <c r="B189" s="127">
        <f t="shared" si="2"/>
        <v>45875</v>
      </c>
      <c r="C189" s="128">
        <f>YEAR(MC_2[[#This Row],[Date]])+IF(MONTH(MC_2[[#This Row],[Date]])&gt;=4,1,0)</f>
        <v>2026</v>
      </c>
      <c r="D189" s="129">
        <f>YEAR(MC_2[[#This Row],[Date]])</f>
        <v>2025</v>
      </c>
      <c r="E189" s="126" t="s">
        <v>219</v>
      </c>
      <c r="F189" s="126" t="s">
        <v>219</v>
      </c>
      <c r="G189" s="130" t="str">
        <f>TEXT(MC_2[[#This Row],[Date]],"mmm-yy")</f>
        <v>Aug-25</v>
      </c>
      <c r="H189" s="130">
        <f>DAY(EOMONTH(MC_2[[#This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4">
        <f>SUM(MC_2[[#This Row],[ICR1]:[ICR5]])</f>
        <v>0</v>
      </c>
      <c r="T189" s="133"/>
      <c r="U189" s="133"/>
      <c r="V189" s="133"/>
      <c r="W189" s="133"/>
      <c r="X189" s="133"/>
      <c r="Y189" s="133"/>
      <c r="Z189" s="135"/>
    </row>
    <row r="190" spans="1:26">
      <c r="A190" s="133">
        <v>188</v>
      </c>
      <c r="B190" s="127">
        <f t="shared" si="2"/>
        <v>45876</v>
      </c>
      <c r="C190" s="128">
        <f>YEAR(MC_2[[#This Row],[Date]])+IF(MONTH(MC_2[[#This Row],[Date]])&gt;=4,1,0)</f>
        <v>2026</v>
      </c>
      <c r="D190" s="129">
        <f>YEAR(MC_2[[#This Row],[Date]])</f>
        <v>2025</v>
      </c>
      <c r="E190" s="126" t="s">
        <v>219</v>
      </c>
      <c r="F190" s="126" t="s">
        <v>219</v>
      </c>
      <c r="G190" s="130" t="str">
        <f>TEXT(MC_2[[#This Row],[Date]],"mmm-yy")</f>
        <v>Aug-25</v>
      </c>
      <c r="H190" s="130">
        <f>DAY(EOMONTH(MC_2[[#This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4">
        <f>SUM(MC_2[[#This Row],[ICR1]:[ICR5]])</f>
        <v>0</v>
      </c>
      <c r="T190" s="133"/>
      <c r="U190" s="133"/>
      <c r="V190" s="133"/>
      <c r="W190" s="133"/>
      <c r="X190" s="133"/>
      <c r="Y190" s="133"/>
      <c r="Z190" s="135"/>
    </row>
    <row r="191" spans="1:26">
      <c r="A191" s="133">
        <v>189</v>
      </c>
      <c r="B191" s="127">
        <f t="shared" si="2"/>
        <v>45877</v>
      </c>
      <c r="C191" s="128">
        <f>YEAR(MC_2[[#This Row],[Date]])+IF(MONTH(MC_2[[#This Row],[Date]])&gt;=4,1,0)</f>
        <v>2026</v>
      </c>
      <c r="D191" s="129">
        <f>YEAR(MC_2[[#This Row],[Date]])</f>
        <v>2025</v>
      </c>
      <c r="E191" s="126" t="s">
        <v>219</v>
      </c>
      <c r="F191" s="126" t="s">
        <v>219</v>
      </c>
      <c r="G191" s="130" t="str">
        <f>TEXT(MC_2[[#This Row],[Date]],"mmm-yy")</f>
        <v>Aug-25</v>
      </c>
      <c r="H191" s="130">
        <f>DAY(EOMONTH(MC_2[[#This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4">
        <f>SUM(MC_2[[#This Row],[ICR1]:[ICR5]])</f>
        <v>0</v>
      </c>
      <c r="T191" s="133"/>
      <c r="U191" s="133"/>
      <c r="V191" s="133"/>
      <c r="W191" s="133"/>
      <c r="X191" s="133"/>
      <c r="Y191" s="133"/>
      <c r="Z191" s="135"/>
    </row>
    <row r="192" spans="1:26">
      <c r="A192" s="133">
        <v>190</v>
      </c>
      <c r="B192" s="127">
        <f t="shared" si="2"/>
        <v>45878</v>
      </c>
      <c r="C192" s="128">
        <f>YEAR(MC_2[[#This Row],[Date]])+IF(MONTH(MC_2[[#This Row],[Date]])&gt;=4,1,0)</f>
        <v>2026</v>
      </c>
      <c r="D192" s="129">
        <f>YEAR(MC_2[[#This Row],[Date]])</f>
        <v>2025</v>
      </c>
      <c r="E192" s="126" t="s">
        <v>219</v>
      </c>
      <c r="F192" s="126" t="s">
        <v>219</v>
      </c>
      <c r="G192" s="130" t="str">
        <f>TEXT(MC_2[[#This Row],[Date]],"mmm-yy")</f>
        <v>Aug-25</v>
      </c>
      <c r="H192" s="130">
        <f>DAY(EOMONTH(MC_2[[#This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4">
        <f>SUM(MC_2[[#This Row],[ICR1]:[ICR5]])</f>
        <v>0</v>
      </c>
      <c r="T192" s="133"/>
      <c r="U192" s="133"/>
      <c r="V192" s="133"/>
      <c r="W192" s="133"/>
      <c r="X192" s="133"/>
      <c r="Y192" s="133"/>
      <c r="Z192" s="135"/>
    </row>
    <row r="193" spans="1:26">
      <c r="A193" s="133">
        <v>191</v>
      </c>
      <c r="B193" s="127">
        <f t="shared" si="2"/>
        <v>45879</v>
      </c>
      <c r="C193" s="128">
        <f>YEAR(MC_2[[#This Row],[Date]])+IF(MONTH(MC_2[[#This Row],[Date]])&gt;=4,1,0)</f>
        <v>2026</v>
      </c>
      <c r="D193" s="129">
        <f>YEAR(MC_2[[#This Row],[Date]])</f>
        <v>2025</v>
      </c>
      <c r="E193" s="126" t="s">
        <v>219</v>
      </c>
      <c r="F193" s="126" t="s">
        <v>219</v>
      </c>
      <c r="G193" s="130" t="str">
        <f>TEXT(MC_2[[#This Row],[Date]],"mmm-yy")</f>
        <v>Aug-25</v>
      </c>
      <c r="H193" s="130">
        <f>DAY(EOMONTH(MC_2[[#This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4">
        <f>SUM(MC_2[[#This Row],[ICR1]:[ICR5]])</f>
        <v>0</v>
      </c>
      <c r="T193" s="133"/>
      <c r="U193" s="133"/>
      <c r="V193" s="133"/>
      <c r="W193" s="133"/>
      <c r="X193" s="133"/>
      <c r="Y193" s="133"/>
      <c r="Z193" s="135"/>
    </row>
    <row r="194" spans="1:26">
      <c r="A194" s="133">
        <v>192</v>
      </c>
      <c r="B194" s="127">
        <f t="shared" si="2"/>
        <v>45880</v>
      </c>
      <c r="C194" s="128">
        <f>YEAR(MC_2[[#This Row],[Date]])+IF(MONTH(MC_2[[#This Row],[Date]])&gt;=4,1,0)</f>
        <v>2026</v>
      </c>
      <c r="D194" s="129">
        <f>YEAR(MC_2[[#This Row],[Date]])</f>
        <v>2025</v>
      </c>
      <c r="E194" s="126" t="s">
        <v>219</v>
      </c>
      <c r="F194" s="126" t="s">
        <v>219</v>
      </c>
      <c r="G194" s="130" t="str">
        <f>TEXT(MC_2[[#This Row],[Date]],"mmm-yy")</f>
        <v>Aug-25</v>
      </c>
      <c r="H194" s="130">
        <f>DAY(EOMONTH(MC_2[[#This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4">
        <f>SUM(MC_2[[#This Row],[ICR1]:[ICR5]])</f>
        <v>0</v>
      </c>
      <c r="T194" s="133"/>
      <c r="U194" s="133"/>
      <c r="V194" s="133"/>
      <c r="W194" s="133"/>
      <c r="X194" s="133"/>
      <c r="Y194" s="133"/>
      <c r="Z194" s="135"/>
    </row>
    <row r="195" spans="1:26">
      <c r="A195" s="133">
        <v>193</v>
      </c>
      <c r="B195" s="127">
        <f t="shared" si="2"/>
        <v>45881</v>
      </c>
      <c r="C195" s="128">
        <f>YEAR(MC_2[[#This Row],[Date]])+IF(MONTH(MC_2[[#This Row],[Date]])&gt;=4,1,0)</f>
        <v>2026</v>
      </c>
      <c r="D195" s="129">
        <f>YEAR(MC_2[[#This Row],[Date]])</f>
        <v>2025</v>
      </c>
      <c r="E195" s="126" t="s">
        <v>219</v>
      </c>
      <c r="F195" s="126" t="s">
        <v>219</v>
      </c>
      <c r="G195" s="130" t="str">
        <f>TEXT(MC_2[[#This Row],[Date]],"mmm-yy")</f>
        <v>Aug-25</v>
      </c>
      <c r="H195" s="130">
        <f>DAY(EOMONTH(MC_2[[#This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4">
        <f>SUM(MC_2[[#This Row],[ICR1]:[ICR5]])</f>
        <v>0</v>
      </c>
      <c r="T195" s="133"/>
      <c r="U195" s="133"/>
      <c r="V195" s="133"/>
      <c r="W195" s="133"/>
      <c r="X195" s="133"/>
      <c r="Y195" s="133"/>
      <c r="Z195" s="135"/>
    </row>
    <row r="196" spans="1:26">
      <c r="A196" s="133">
        <v>194</v>
      </c>
      <c r="B196" s="127">
        <f t="shared" si="2"/>
        <v>45882</v>
      </c>
      <c r="C196" s="128">
        <f>YEAR(MC_2[[#This Row],[Date]])+IF(MONTH(MC_2[[#This Row],[Date]])&gt;=4,1,0)</f>
        <v>2026</v>
      </c>
      <c r="D196" s="129">
        <f>YEAR(MC_2[[#This Row],[Date]])</f>
        <v>2025</v>
      </c>
      <c r="E196" s="126" t="s">
        <v>219</v>
      </c>
      <c r="F196" s="126" t="s">
        <v>219</v>
      </c>
      <c r="G196" s="130" t="str">
        <f>TEXT(MC_2[[#This Row],[Date]],"mmm-yy")</f>
        <v>Aug-25</v>
      </c>
      <c r="H196" s="130">
        <f>DAY(EOMONTH(MC_2[[#This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4">
        <f>SUM(MC_2[[#This Row],[ICR1]:[ICR5]])</f>
        <v>0</v>
      </c>
      <c r="T196" s="133"/>
      <c r="U196" s="133"/>
      <c r="V196" s="133"/>
      <c r="W196" s="133"/>
      <c r="X196" s="133"/>
      <c r="Y196" s="133"/>
      <c r="Z196" s="135"/>
    </row>
    <row r="197" spans="1:26">
      <c r="A197" s="133">
        <v>195</v>
      </c>
      <c r="B197" s="127">
        <f t="shared" ref="B197:B260" si="3">B196+1</f>
        <v>45883</v>
      </c>
      <c r="C197" s="128">
        <f>YEAR(MC_2[[#This Row],[Date]])+IF(MONTH(MC_2[[#This Row],[Date]])&gt;=4,1,0)</f>
        <v>2026</v>
      </c>
      <c r="D197" s="129">
        <f>YEAR(MC_2[[#This Row],[Date]])</f>
        <v>2025</v>
      </c>
      <c r="E197" s="126" t="s">
        <v>219</v>
      </c>
      <c r="F197" s="126" t="s">
        <v>219</v>
      </c>
      <c r="G197" s="130" t="str">
        <f>TEXT(MC_2[[#This Row],[Date]],"mmm-yy")</f>
        <v>Aug-25</v>
      </c>
      <c r="H197" s="130">
        <f>DAY(EOMONTH(MC_2[[#This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4">
        <f>SUM(MC_2[[#This Row],[ICR1]:[ICR5]])</f>
        <v>0</v>
      </c>
      <c r="T197" s="133"/>
      <c r="U197" s="133"/>
      <c r="V197" s="133"/>
      <c r="W197" s="133"/>
      <c r="X197" s="133"/>
      <c r="Y197" s="133"/>
      <c r="Z197" s="135"/>
    </row>
    <row r="198" spans="1:26">
      <c r="A198" s="133">
        <v>196</v>
      </c>
      <c r="B198" s="127">
        <f t="shared" si="3"/>
        <v>45884</v>
      </c>
      <c r="C198" s="128">
        <f>YEAR(MC_2[[#This Row],[Date]])+IF(MONTH(MC_2[[#This Row],[Date]])&gt;=4,1,0)</f>
        <v>2026</v>
      </c>
      <c r="D198" s="129">
        <f>YEAR(MC_2[[#This Row],[Date]])</f>
        <v>2025</v>
      </c>
      <c r="E198" s="126" t="s">
        <v>219</v>
      </c>
      <c r="F198" s="126" t="s">
        <v>219</v>
      </c>
      <c r="G198" s="130" t="str">
        <f>TEXT(MC_2[[#This Row],[Date]],"mmm-yy")</f>
        <v>Aug-25</v>
      </c>
      <c r="H198" s="130">
        <f>DAY(EOMONTH(MC_2[[#This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4">
        <f>SUM(MC_2[[#This Row],[ICR1]:[ICR5]])</f>
        <v>0</v>
      </c>
      <c r="T198" s="133"/>
      <c r="U198" s="133"/>
      <c r="V198" s="133"/>
      <c r="W198" s="133"/>
      <c r="X198" s="133"/>
      <c r="Y198" s="133"/>
      <c r="Z198" s="135"/>
    </row>
    <row r="199" spans="1:26">
      <c r="A199" s="133">
        <v>197</v>
      </c>
      <c r="B199" s="127">
        <f t="shared" si="3"/>
        <v>45885</v>
      </c>
      <c r="C199" s="128">
        <f>YEAR(MC_2[[#This Row],[Date]])+IF(MONTH(MC_2[[#This Row],[Date]])&gt;=4,1,0)</f>
        <v>2026</v>
      </c>
      <c r="D199" s="129">
        <f>YEAR(MC_2[[#This Row],[Date]])</f>
        <v>2025</v>
      </c>
      <c r="E199" s="126" t="s">
        <v>219</v>
      </c>
      <c r="F199" s="126" t="s">
        <v>219</v>
      </c>
      <c r="G199" s="130" t="str">
        <f>TEXT(MC_2[[#This Row],[Date]],"mmm-yy")</f>
        <v>Aug-25</v>
      </c>
      <c r="H199" s="130">
        <f>DAY(EOMONTH(MC_2[[#This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4">
        <f>SUM(MC_2[[#This Row],[ICR1]:[ICR5]])</f>
        <v>0</v>
      </c>
      <c r="T199" s="133"/>
      <c r="U199" s="133"/>
      <c r="V199" s="133"/>
      <c r="W199" s="133"/>
      <c r="X199" s="133"/>
      <c r="Y199" s="133"/>
      <c r="Z199" s="135"/>
    </row>
    <row r="200" spans="1:26">
      <c r="A200" s="133">
        <v>198</v>
      </c>
      <c r="B200" s="127">
        <f t="shared" si="3"/>
        <v>45886</v>
      </c>
      <c r="C200" s="128">
        <f>YEAR(MC_2[[#This Row],[Date]])+IF(MONTH(MC_2[[#This Row],[Date]])&gt;=4,1,0)</f>
        <v>2026</v>
      </c>
      <c r="D200" s="129">
        <f>YEAR(MC_2[[#This Row],[Date]])</f>
        <v>2025</v>
      </c>
      <c r="E200" s="126" t="s">
        <v>219</v>
      </c>
      <c r="F200" s="126" t="s">
        <v>219</v>
      </c>
      <c r="G200" s="130" t="str">
        <f>TEXT(MC_2[[#This Row],[Date]],"mmm-yy")</f>
        <v>Aug-25</v>
      </c>
      <c r="H200" s="130">
        <f>DAY(EOMONTH(MC_2[[#This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4">
        <f>SUM(MC_2[[#This Row],[ICR1]:[ICR5]])</f>
        <v>0</v>
      </c>
      <c r="T200" s="133"/>
      <c r="U200" s="133"/>
      <c r="V200" s="133"/>
      <c r="W200" s="133"/>
      <c r="X200" s="133"/>
      <c r="Y200" s="133"/>
      <c r="Z200" s="135"/>
    </row>
    <row r="201" spans="1:26">
      <c r="A201" s="133">
        <v>199</v>
      </c>
      <c r="B201" s="127">
        <f t="shared" si="3"/>
        <v>45887</v>
      </c>
      <c r="C201" s="128">
        <f>YEAR(MC_2[[#This Row],[Date]])+IF(MONTH(MC_2[[#This Row],[Date]])&gt;=4,1,0)</f>
        <v>2026</v>
      </c>
      <c r="D201" s="129">
        <f>YEAR(MC_2[[#This Row],[Date]])</f>
        <v>2025</v>
      </c>
      <c r="E201" s="126" t="s">
        <v>219</v>
      </c>
      <c r="F201" s="126" t="s">
        <v>219</v>
      </c>
      <c r="G201" s="130" t="str">
        <f>TEXT(MC_2[[#This Row],[Date]],"mmm-yy")</f>
        <v>Aug-25</v>
      </c>
      <c r="H201" s="130">
        <f>DAY(EOMONTH(MC_2[[#This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4">
        <f>SUM(MC_2[[#This Row],[ICR1]:[ICR5]])</f>
        <v>0</v>
      </c>
      <c r="T201" s="133"/>
      <c r="U201" s="133"/>
      <c r="V201" s="133"/>
      <c r="W201" s="133"/>
      <c r="X201" s="133"/>
      <c r="Y201" s="133"/>
      <c r="Z201" s="135"/>
    </row>
    <row r="202" spans="1:26">
      <c r="A202" s="133">
        <v>200</v>
      </c>
      <c r="B202" s="127">
        <f t="shared" si="3"/>
        <v>45888</v>
      </c>
      <c r="C202" s="128">
        <f>YEAR(MC_2[[#This Row],[Date]])+IF(MONTH(MC_2[[#This Row],[Date]])&gt;=4,1,0)</f>
        <v>2026</v>
      </c>
      <c r="D202" s="129">
        <f>YEAR(MC_2[[#This Row],[Date]])</f>
        <v>2025</v>
      </c>
      <c r="E202" s="126" t="s">
        <v>219</v>
      </c>
      <c r="F202" s="126" t="s">
        <v>219</v>
      </c>
      <c r="G202" s="130" t="str">
        <f>TEXT(MC_2[[#This Row],[Date]],"mmm-yy")</f>
        <v>Aug-25</v>
      </c>
      <c r="H202" s="130">
        <f>DAY(EOMONTH(MC_2[[#This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4">
        <f>SUM(MC_2[[#This Row],[ICR1]:[ICR5]])</f>
        <v>0</v>
      </c>
      <c r="T202" s="133"/>
      <c r="U202" s="133"/>
      <c r="V202" s="133"/>
      <c r="W202" s="133"/>
      <c r="X202" s="133"/>
      <c r="Y202" s="133"/>
      <c r="Z202" s="135"/>
    </row>
    <row r="203" spans="1:26">
      <c r="A203" s="133">
        <v>201</v>
      </c>
      <c r="B203" s="127">
        <f t="shared" si="3"/>
        <v>45889</v>
      </c>
      <c r="C203" s="128">
        <f>YEAR(MC_2[[#This Row],[Date]])+IF(MONTH(MC_2[[#This Row],[Date]])&gt;=4,1,0)</f>
        <v>2026</v>
      </c>
      <c r="D203" s="129">
        <f>YEAR(MC_2[[#This Row],[Date]])</f>
        <v>2025</v>
      </c>
      <c r="E203" s="126" t="s">
        <v>219</v>
      </c>
      <c r="F203" s="126" t="s">
        <v>219</v>
      </c>
      <c r="G203" s="130" t="str">
        <f>TEXT(MC_2[[#This Row],[Date]],"mmm-yy")</f>
        <v>Aug-25</v>
      </c>
      <c r="H203" s="130">
        <f>DAY(EOMONTH(MC_2[[#This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4">
        <f>SUM(MC_2[[#This Row],[ICR1]:[ICR5]])</f>
        <v>0</v>
      </c>
      <c r="T203" s="133"/>
      <c r="U203" s="133"/>
      <c r="V203" s="133"/>
      <c r="W203" s="133"/>
      <c r="X203" s="133"/>
      <c r="Y203" s="133"/>
      <c r="Z203" s="135"/>
    </row>
    <row r="204" spans="1:26">
      <c r="A204" s="133">
        <v>202</v>
      </c>
      <c r="B204" s="127">
        <f t="shared" si="3"/>
        <v>45890</v>
      </c>
      <c r="C204" s="128">
        <f>YEAR(MC_2[[#This Row],[Date]])+IF(MONTH(MC_2[[#This Row],[Date]])&gt;=4,1,0)</f>
        <v>2026</v>
      </c>
      <c r="D204" s="129">
        <f>YEAR(MC_2[[#This Row],[Date]])</f>
        <v>2025</v>
      </c>
      <c r="E204" s="126" t="s">
        <v>219</v>
      </c>
      <c r="F204" s="126" t="s">
        <v>219</v>
      </c>
      <c r="G204" s="130" t="str">
        <f>TEXT(MC_2[[#This Row],[Date]],"mmm-yy")</f>
        <v>Aug-25</v>
      </c>
      <c r="H204" s="130">
        <f>DAY(EOMONTH(MC_2[[#This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4">
        <f>SUM(MC_2[[#This Row],[ICR1]:[ICR5]])</f>
        <v>0</v>
      </c>
      <c r="T204" s="133"/>
      <c r="U204" s="133"/>
      <c r="V204" s="133"/>
      <c r="W204" s="133"/>
      <c r="X204" s="133"/>
      <c r="Y204" s="133"/>
      <c r="Z204" s="135"/>
    </row>
    <row r="205" spans="1:26">
      <c r="A205" s="133">
        <v>203</v>
      </c>
      <c r="B205" s="127">
        <f t="shared" si="3"/>
        <v>45891</v>
      </c>
      <c r="C205" s="128">
        <f>YEAR(MC_2[[#This Row],[Date]])+IF(MONTH(MC_2[[#This Row],[Date]])&gt;=4,1,0)</f>
        <v>2026</v>
      </c>
      <c r="D205" s="129">
        <f>YEAR(MC_2[[#This Row],[Date]])</f>
        <v>2025</v>
      </c>
      <c r="E205" s="126" t="s">
        <v>219</v>
      </c>
      <c r="F205" s="126" t="s">
        <v>219</v>
      </c>
      <c r="G205" s="130" t="str">
        <f>TEXT(MC_2[[#This Row],[Date]],"mmm-yy")</f>
        <v>Aug-25</v>
      </c>
      <c r="H205" s="130">
        <f>DAY(EOMONTH(MC_2[[#This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4">
        <f>SUM(MC_2[[#This Row],[ICR1]:[ICR5]])</f>
        <v>0</v>
      </c>
      <c r="T205" s="133"/>
      <c r="U205" s="133"/>
      <c r="V205" s="133"/>
      <c r="W205" s="133"/>
      <c r="X205" s="133"/>
      <c r="Y205" s="133"/>
      <c r="Z205" s="135"/>
    </row>
    <row r="206" spans="1:26">
      <c r="A206" s="133">
        <v>204</v>
      </c>
      <c r="B206" s="127">
        <f t="shared" si="3"/>
        <v>45892</v>
      </c>
      <c r="C206" s="128">
        <f>YEAR(MC_2[[#This Row],[Date]])+IF(MONTH(MC_2[[#This Row],[Date]])&gt;=4,1,0)</f>
        <v>2026</v>
      </c>
      <c r="D206" s="129">
        <f>YEAR(MC_2[[#This Row],[Date]])</f>
        <v>2025</v>
      </c>
      <c r="E206" s="126" t="s">
        <v>219</v>
      </c>
      <c r="F206" s="126" t="s">
        <v>219</v>
      </c>
      <c r="G206" s="130" t="str">
        <f>TEXT(MC_2[[#This Row],[Date]],"mmm-yy")</f>
        <v>Aug-25</v>
      </c>
      <c r="H206" s="130">
        <f>DAY(EOMONTH(MC_2[[#This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4">
        <f>SUM(MC_2[[#This Row],[ICR1]:[ICR5]])</f>
        <v>0</v>
      </c>
      <c r="T206" s="133"/>
      <c r="U206" s="133"/>
      <c r="V206" s="133"/>
      <c r="W206" s="133"/>
      <c r="X206" s="133"/>
      <c r="Y206" s="133"/>
      <c r="Z206" s="135"/>
    </row>
    <row r="207" spans="1:26">
      <c r="A207" s="133">
        <v>205</v>
      </c>
      <c r="B207" s="127">
        <f t="shared" si="3"/>
        <v>45893</v>
      </c>
      <c r="C207" s="128">
        <f>YEAR(MC_2[[#This Row],[Date]])+IF(MONTH(MC_2[[#This Row],[Date]])&gt;=4,1,0)</f>
        <v>2026</v>
      </c>
      <c r="D207" s="129">
        <f>YEAR(MC_2[[#This Row],[Date]])</f>
        <v>2025</v>
      </c>
      <c r="E207" s="126" t="s">
        <v>219</v>
      </c>
      <c r="F207" s="126" t="s">
        <v>219</v>
      </c>
      <c r="G207" s="130" t="str">
        <f>TEXT(MC_2[[#This Row],[Date]],"mmm-yy")</f>
        <v>Aug-25</v>
      </c>
      <c r="H207" s="130">
        <f>DAY(EOMONTH(MC_2[[#This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4">
        <f>SUM(MC_2[[#This Row],[ICR1]:[ICR5]])</f>
        <v>0</v>
      </c>
      <c r="T207" s="133"/>
      <c r="U207" s="133"/>
      <c r="V207" s="133"/>
      <c r="W207" s="133"/>
      <c r="X207" s="133"/>
      <c r="Y207" s="133"/>
      <c r="Z207" s="135"/>
    </row>
    <row r="208" spans="1:26">
      <c r="A208" s="133">
        <v>206</v>
      </c>
      <c r="B208" s="127">
        <f t="shared" si="3"/>
        <v>45894</v>
      </c>
      <c r="C208" s="128">
        <f>YEAR(MC_2[[#This Row],[Date]])+IF(MONTH(MC_2[[#This Row],[Date]])&gt;=4,1,0)</f>
        <v>2026</v>
      </c>
      <c r="D208" s="129">
        <f>YEAR(MC_2[[#This Row],[Date]])</f>
        <v>2025</v>
      </c>
      <c r="E208" s="126" t="s">
        <v>219</v>
      </c>
      <c r="F208" s="126" t="s">
        <v>219</v>
      </c>
      <c r="G208" s="130" t="str">
        <f>TEXT(MC_2[[#This Row],[Date]],"mmm-yy")</f>
        <v>Aug-25</v>
      </c>
      <c r="H208" s="130">
        <f>DAY(EOMONTH(MC_2[[#This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4">
        <f>SUM(MC_2[[#This Row],[ICR1]:[ICR5]])</f>
        <v>0</v>
      </c>
      <c r="T208" s="133"/>
      <c r="U208" s="133"/>
      <c r="V208" s="133"/>
      <c r="W208" s="133"/>
      <c r="X208" s="133"/>
      <c r="Y208" s="133"/>
      <c r="Z208" s="135"/>
    </row>
    <row r="209" spans="1:26">
      <c r="A209" s="133">
        <v>207</v>
      </c>
      <c r="B209" s="127">
        <f t="shared" si="3"/>
        <v>45895</v>
      </c>
      <c r="C209" s="128">
        <f>YEAR(MC_2[[#This Row],[Date]])+IF(MONTH(MC_2[[#This Row],[Date]])&gt;=4,1,0)</f>
        <v>2026</v>
      </c>
      <c r="D209" s="129">
        <f>YEAR(MC_2[[#This Row],[Date]])</f>
        <v>2025</v>
      </c>
      <c r="E209" s="126" t="s">
        <v>219</v>
      </c>
      <c r="F209" s="126" t="s">
        <v>219</v>
      </c>
      <c r="G209" s="130" t="str">
        <f>TEXT(MC_2[[#This Row],[Date]],"mmm-yy")</f>
        <v>Aug-25</v>
      </c>
      <c r="H209" s="130">
        <f>DAY(EOMONTH(MC_2[[#This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4">
        <f>SUM(MC_2[[#This Row],[ICR1]:[ICR5]])</f>
        <v>0</v>
      </c>
      <c r="T209" s="133"/>
      <c r="U209" s="133"/>
      <c r="V209" s="133"/>
      <c r="W209" s="133"/>
      <c r="X209" s="133"/>
      <c r="Y209" s="133"/>
      <c r="Z209" s="135"/>
    </row>
    <row r="210" spans="1:26">
      <c r="A210" s="133">
        <v>208</v>
      </c>
      <c r="B210" s="127">
        <f t="shared" si="3"/>
        <v>45896</v>
      </c>
      <c r="C210" s="128">
        <f>YEAR(MC_2[[#This Row],[Date]])+IF(MONTH(MC_2[[#This Row],[Date]])&gt;=4,1,0)</f>
        <v>2026</v>
      </c>
      <c r="D210" s="129">
        <f>YEAR(MC_2[[#This Row],[Date]])</f>
        <v>2025</v>
      </c>
      <c r="E210" s="126" t="s">
        <v>219</v>
      </c>
      <c r="F210" s="126" t="s">
        <v>219</v>
      </c>
      <c r="G210" s="130" t="str">
        <f>TEXT(MC_2[[#This Row],[Date]],"mmm-yy")</f>
        <v>Aug-25</v>
      </c>
      <c r="H210" s="130">
        <f>DAY(EOMONTH(MC_2[[#This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4">
        <f>SUM(MC_2[[#This Row],[ICR1]:[ICR5]])</f>
        <v>0</v>
      </c>
      <c r="T210" s="133"/>
      <c r="U210" s="133"/>
      <c r="V210" s="133"/>
      <c r="W210" s="133"/>
      <c r="X210" s="133"/>
      <c r="Y210" s="133"/>
      <c r="Z210" s="135"/>
    </row>
    <row r="211" spans="1:26">
      <c r="A211" s="133">
        <v>209</v>
      </c>
      <c r="B211" s="127">
        <f t="shared" si="3"/>
        <v>45897</v>
      </c>
      <c r="C211" s="128">
        <f>YEAR(MC_2[[#This Row],[Date]])+IF(MONTH(MC_2[[#This Row],[Date]])&gt;=4,1,0)</f>
        <v>2026</v>
      </c>
      <c r="D211" s="129">
        <f>YEAR(MC_2[[#This Row],[Date]])</f>
        <v>2025</v>
      </c>
      <c r="E211" s="126" t="s">
        <v>219</v>
      </c>
      <c r="F211" s="126" t="s">
        <v>219</v>
      </c>
      <c r="G211" s="130" t="str">
        <f>TEXT(MC_2[[#This Row],[Date]],"mmm-yy")</f>
        <v>Aug-25</v>
      </c>
      <c r="H211" s="130">
        <f>DAY(EOMONTH(MC_2[[#This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4">
        <f>SUM(MC_2[[#This Row],[ICR1]:[ICR5]])</f>
        <v>0</v>
      </c>
      <c r="T211" s="133"/>
      <c r="U211" s="133"/>
      <c r="V211" s="133"/>
      <c r="W211" s="133"/>
      <c r="X211" s="133"/>
      <c r="Y211" s="133"/>
      <c r="Z211" s="135"/>
    </row>
    <row r="212" spans="1:26">
      <c r="A212" s="133">
        <v>210</v>
      </c>
      <c r="B212" s="127">
        <f t="shared" si="3"/>
        <v>45898</v>
      </c>
      <c r="C212" s="128">
        <f>YEAR(MC_2[[#This Row],[Date]])+IF(MONTH(MC_2[[#This Row],[Date]])&gt;=4,1,0)</f>
        <v>2026</v>
      </c>
      <c r="D212" s="129">
        <f>YEAR(MC_2[[#This Row],[Date]])</f>
        <v>2025</v>
      </c>
      <c r="E212" s="126" t="s">
        <v>219</v>
      </c>
      <c r="F212" s="126" t="s">
        <v>219</v>
      </c>
      <c r="G212" s="130" t="str">
        <f>TEXT(MC_2[[#This Row],[Date]],"mmm-yy")</f>
        <v>Aug-25</v>
      </c>
      <c r="H212" s="130">
        <f>DAY(EOMONTH(MC_2[[#This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4">
        <f>SUM(MC_2[[#This Row],[ICR1]:[ICR5]])</f>
        <v>0</v>
      </c>
      <c r="T212" s="133"/>
      <c r="U212" s="133"/>
      <c r="V212" s="133"/>
      <c r="W212" s="133"/>
      <c r="X212" s="133"/>
      <c r="Y212" s="133"/>
      <c r="Z212" s="135"/>
    </row>
    <row r="213" spans="1:26">
      <c r="A213" s="133">
        <v>211</v>
      </c>
      <c r="B213" s="127">
        <f t="shared" si="3"/>
        <v>45899</v>
      </c>
      <c r="C213" s="128">
        <f>YEAR(MC_2[[#This Row],[Date]])+IF(MONTH(MC_2[[#This Row],[Date]])&gt;=4,1,0)</f>
        <v>2026</v>
      </c>
      <c r="D213" s="129">
        <f>YEAR(MC_2[[#This Row],[Date]])</f>
        <v>2025</v>
      </c>
      <c r="E213" s="126" t="s">
        <v>219</v>
      </c>
      <c r="F213" s="126" t="s">
        <v>219</v>
      </c>
      <c r="G213" s="130" t="str">
        <f>TEXT(MC_2[[#This Row],[Date]],"mmm-yy")</f>
        <v>Aug-25</v>
      </c>
      <c r="H213" s="130">
        <f>DAY(EOMONTH(MC_2[[#This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4">
        <f>SUM(MC_2[[#This Row],[ICR1]:[ICR5]])</f>
        <v>0</v>
      </c>
      <c r="T213" s="133"/>
      <c r="U213" s="133"/>
      <c r="V213" s="133"/>
      <c r="W213" s="133"/>
      <c r="X213" s="133"/>
      <c r="Y213" s="133"/>
      <c r="Z213" s="135"/>
    </row>
    <row r="214" spans="1:26">
      <c r="A214" s="133">
        <v>212</v>
      </c>
      <c r="B214" s="127">
        <f t="shared" si="3"/>
        <v>45900</v>
      </c>
      <c r="C214" s="128">
        <f>YEAR(MC_2[[#This Row],[Date]])+IF(MONTH(MC_2[[#This Row],[Date]])&gt;=4,1,0)</f>
        <v>2026</v>
      </c>
      <c r="D214" s="129">
        <f>YEAR(MC_2[[#This Row],[Date]])</f>
        <v>2025</v>
      </c>
      <c r="E214" s="126" t="s">
        <v>219</v>
      </c>
      <c r="F214" s="126" t="s">
        <v>219</v>
      </c>
      <c r="G214" s="130" t="str">
        <f>TEXT(MC_2[[#This Row],[Date]],"mmm-yy")</f>
        <v>Aug-25</v>
      </c>
      <c r="H214" s="130">
        <f>DAY(EOMONTH(MC_2[[#This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4">
        <f>SUM(MC_2[[#This Row],[ICR1]:[ICR5]])</f>
        <v>0</v>
      </c>
      <c r="T214" s="133"/>
      <c r="U214" s="133"/>
      <c r="V214" s="133"/>
      <c r="W214" s="133"/>
      <c r="X214" s="133"/>
      <c r="Y214" s="133"/>
      <c r="Z214" s="135"/>
    </row>
    <row r="215" spans="1:26">
      <c r="A215" s="133">
        <v>213</v>
      </c>
      <c r="B215" s="127">
        <f t="shared" si="3"/>
        <v>45901</v>
      </c>
      <c r="C215" s="128">
        <f>YEAR(MC_2[[#This Row],[Date]])+IF(MONTH(MC_2[[#This Row],[Date]])&gt;=4,1,0)</f>
        <v>2026</v>
      </c>
      <c r="D215" s="129">
        <f>YEAR(MC_2[[#This Row],[Date]])</f>
        <v>2025</v>
      </c>
      <c r="E215" s="126" t="s">
        <v>219</v>
      </c>
      <c r="F215" s="126" t="s">
        <v>219</v>
      </c>
      <c r="G215" s="130" t="str">
        <f>TEXT(MC_2[[#This Row],[Date]],"mmm-yy")</f>
        <v>Sep-25</v>
      </c>
      <c r="H215" s="130">
        <f>DAY(EOMONTH(MC_2[[#This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4">
        <f>SUM(MC_2[[#This Row],[ICR1]:[ICR5]])</f>
        <v>0</v>
      </c>
      <c r="T215" s="133"/>
      <c r="U215" s="133"/>
      <c r="V215" s="133"/>
      <c r="W215" s="133"/>
      <c r="X215" s="133"/>
      <c r="Y215" s="133"/>
      <c r="Z215" s="135"/>
    </row>
    <row r="216" spans="1:26">
      <c r="A216" s="133">
        <v>214</v>
      </c>
      <c r="B216" s="127">
        <f t="shared" si="3"/>
        <v>45902</v>
      </c>
      <c r="C216" s="128">
        <f>YEAR(MC_2[[#This Row],[Date]])+IF(MONTH(MC_2[[#This Row],[Date]])&gt;=4,1,0)</f>
        <v>2026</v>
      </c>
      <c r="D216" s="129">
        <f>YEAR(MC_2[[#This Row],[Date]])</f>
        <v>2025</v>
      </c>
      <c r="E216" s="126" t="s">
        <v>219</v>
      </c>
      <c r="F216" s="126" t="s">
        <v>219</v>
      </c>
      <c r="G216" s="130" t="str">
        <f>TEXT(MC_2[[#This Row],[Date]],"mmm-yy")</f>
        <v>Sep-25</v>
      </c>
      <c r="H216" s="130">
        <f>DAY(EOMONTH(MC_2[[#This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4">
        <f>SUM(MC_2[[#This Row],[ICR1]:[ICR5]])</f>
        <v>0</v>
      </c>
      <c r="T216" s="133"/>
      <c r="U216" s="133"/>
      <c r="V216" s="133"/>
      <c r="W216" s="133"/>
      <c r="X216" s="133"/>
      <c r="Y216" s="133"/>
      <c r="Z216" s="135"/>
    </row>
    <row r="217" spans="1:26">
      <c r="A217" s="133">
        <v>215</v>
      </c>
      <c r="B217" s="127">
        <f t="shared" si="3"/>
        <v>45903</v>
      </c>
      <c r="C217" s="128">
        <f>YEAR(MC_2[[#This Row],[Date]])+IF(MONTH(MC_2[[#This Row],[Date]])&gt;=4,1,0)</f>
        <v>2026</v>
      </c>
      <c r="D217" s="129">
        <f>YEAR(MC_2[[#This Row],[Date]])</f>
        <v>2025</v>
      </c>
      <c r="E217" s="126" t="s">
        <v>219</v>
      </c>
      <c r="F217" s="126" t="s">
        <v>219</v>
      </c>
      <c r="G217" s="130" t="str">
        <f>TEXT(MC_2[[#This Row],[Date]],"mmm-yy")</f>
        <v>Sep-25</v>
      </c>
      <c r="H217" s="130">
        <f>DAY(EOMONTH(MC_2[[#This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4">
        <f>SUM(MC_2[[#This Row],[ICR1]:[ICR5]])</f>
        <v>0</v>
      </c>
      <c r="T217" s="133"/>
      <c r="U217" s="133"/>
      <c r="V217" s="133"/>
      <c r="W217" s="133"/>
      <c r="X217" s="133"/>
      <c r="Y217" s="133"/>
      <c r="Z217" s="135"/>
    </row>
    <row r="218" spans="1:26">
      <c r="A218" s="133">
        <v>216</v>
      </c>
      <c r="B218" s="127">
        <f t="shared" si="3"/>
        <v>45904</v>
      </c>
      <c r="C218" s="128">
        <f>YEAR(MC_2[[#This Row],[Date]])+IF(MONTH(MC_2[[#This Row],[Date]])&gt;=4,1,0)</f>
        <v>2026</v>
      </c>
      <c r="D218" s="129">
        <f>YEAR(MC_2[[#This Row],[Date]])</f>
        <v>2025</v>
      </c>
      <c r="E218" s="126" t="s">
        <v>219</v>
      </c>
      <c r="F218" s="126" t="s">
        <v>219</v>
      </c>
      <c r="G218" s="130" t="str">
        <f>TEXT(MC_2[[#This Row],[Date]],"mmm-yy")</f>
        <v>Sep-25</v>
      </c>
      <c r="H218" s="130">
        <f>DAY(EOMONTH(MC_2[[#This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4">
        <f>SUM(MC_2[[#This Row],[ICR1]:[ICR5]])</f>
        <v>0</v>
      </c>
      <c r="T218" s="133"/>
      <c r="U218" s="133"/>
      <c r="V218" s="133"/>
      <c r="W218" s="133"/>
      <c r="X218" s="133"/>
      <c r="Y218" s="133"/>
      <c r="Z218" s="135"/>
    </row>
    <row r="219" spans="1:26">
      <c r="A219" s="133">
        <v>217</v>
      </c>
      <c r="B219" s="127">
        <f t="shared" si="3"/>
        <v>45905</v>
      </c>
      <c r="C219" s="128">
        <f>YEAR(MC_2[[#This Row],[Date]])+IF(MONTH(MC_2[[#This Row],[Date]])&gt;=4,1,0)</f>
        <v>2026</v>
      </c>
      <c r="D219" s="129">
        <f>YEAR(MC_2[[#This Row],[Date]])</f>
        <v>2025</v>
      </c>
      <c r="E219" s="126" t="s">
        <v>219</v>
      </c>
      <c r="F219" s="126" t="s">
        <v>219</v>
      </c>
      <c r="G219" s="130" t="str">
        <f>TEXT(MC_2[[#This Row],[Date]],"mmm-yy")</f>
        <v>Sep-25</v>
      </c>
      <c r="H219" s="130">
        <f>DAY(EOMONTH(MC_2[[#This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4">
        <f>SUM(MC_2[[#This Row],[ICR1]:[ICR5]])</f>
        <v>0</v>
      </c>
      <c r="T219" s="133"/>
      <c r="U219" s="133"/>
      <c r="V219" s="133"/>
      <c r="W219" s="133"/>
      <c r="X219" s="133"/>
      <c r="Y219" s="133"/>
      <c r="Z219" s="135"/>
    </row>
    <row r="220" spans="1:26">
      <c r="A220" s="133">
        <v>218</v>
      </c>
      <c r="B220" s="127">
        <f t="shared" si="3"/>
        <v>45906</v>
      </c>
      <c r="C220" s="128">
        <f>YEAR(MC_2[[#This Row],[Date]])+IF(MONTH(MC_2[[#This Row],[Date]])&gt;=4,1,0)</f>
        <v>2026</v>
      </c>
      <c r="D220" s="129">
        <f>YEAR(MC_2[[#This Row],[Date]])</f>
        <v>2025</v>
      </c>
      <c r="E220" s="126" t="s">
        <v>219</v>
      </c>
      <c r="F220" s="126" t="s">
        <v>219</v>
      </c>
      <c r="G220" s="130" t="str">
        <f>TEXT(MC_2[[#This Row],[Date]],"mmm-yy")</f>
        <v>Sep-25</v>
      </c>
      <c r="H220" s="130">
        <f>DAY(EOMONTH(MC_2[[#This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4">
        <f>SUM(MC_2[[#This Row],[ICR1]:[ICR5]])</f>
        <v>0</v>
      </c>
      <c r="T220" s="133"/>
      <c r="U220" s="133"/>
      <c r="V220" s="133"/>
      <c r="W220" s="133"/>
      <c r="X220" s="133"/>
      <c r="Y220" s="133"/>
      <c r="Z220" s="135"/>
    </row>
    <row r="221" spans="1:26">
      <c r="A221" s="133">
        <v>219</v>
      </c>
      <c r="B221" s="127">
        <f t="shared" si="3"/>
        <v>45907</v>
      </c>
      <c r="C221" s="128">
        <f>YEAR(MC_2[[#This Row],[Date]])+IF(MONTH(MC_2[[#This Row],[Date]])&gt;=4,1,0)</f>
        <v>2026</v>
      </c>
      <c r="D221" s="129">
        <f>YEAR(MC_2[[#This Row],[Date]])</f>
        <v>2025</v>
      </c>
      <c r="E221" s="126" t="s">
        <v>219</v>
      </c>
      <c r="F221" s="126" t="s">
        <v>219</v>
      </c>
      <c r="G221" s="130" t="str">
        <f>TEXT(MC_2[[#This Row],[Date]],"mmm-yy")</f>
        <v>Sep-25</v>
      </c>
      <c r="H221" s="130">
        <f>DAY(EOMONTH(MC_2[[#This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4">
        <f>SUM(MC_2[[#This Row],[ICR1]:[ICR5]])</f>
        <v>0</v>
      </c>
      <c r="T221" s="133"/>
      <c r="U221" s="133"/>
      <c r="V221" s="133"/>
      <c r="W221" s="133"/>
      <c r="X221" s="133"/>
      <c r="Y221" s="133"/>
      <c r="Z221" s="135"/>
    </row>
    <row r="222" spans="1:26">
      <c r="A222" s="133">
        <v>220</v>
      </c>
      <c r="B222" s="127">
        <f t="shared" si="3"/>
        <v>45908</v>
      </c>
      <c r="C222" s="128">
        <f>YEAR(MC_2[[#This Row],[Date]])+IF(MONTH(MC_2[[#This Row],[Date]])&gt;=4,1,0)</f>
        <v>2026</v>
      </c>
      <c r="D222" s="129">
        <f>YEAR(MC_2[[#This Row],[Date]])</f>
        <v>2025</v>
      </c>
      <c r="E222" s="126" t="s">
        <v>219</v>
      </c>
      <c r="F222" s="126" t="s">
        <v>219</v>
      </c>
      <c r="G222" s="130" t="str">
        <f>TEXT(MC_2[[#This Row],[Date]],"mmm-yy")</f>
        <v>Sep-25</v>
      </c>
      <c r="H222" s="130">
        <f>DAY(EOMONTH(MC_2[[#This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4">
        <f>SUM(MC_2[[#This Row],[ICR1]:[ICR5]])</f>
        <v>0</v>
      </c>
      <c r="T222" s="133"/>
      <c r="U222" s="133"/>
      <c r="V222" s="133"/>
      <c r="W222" s="133"/>
      <c r="X222" s="133"/>
      <c r="Y222" s="133"/>
      <c r="Z222" s="135"/>
    </row>
    <row r="223" spans="1:26">
      <c r="A223" s="133">
        <v>221</v>
      </c>
      <c r="B223" s="127">
        <f t="shared" si="3"/>
        <v>45909</v>
      </c>
      <c r="C223" s="128">
        <f>YEAR(MC_2[[#This Row],[Date]])+IF(MONTH(MC_2[[#This Row],[Date]])&gt;=4,1,0)</f>
        <v>2026</v>
      </c>
      <c r="D223" s="129">
        <f>YEAR(MC_2[[#This Row],[Date]])</f>
        <v>2025</v>
      </c>
      <c r="E223" s="126" t="s">
        <v>219</v>
      </c>
      <c r="F223" s="126" t="s">
        <v>219</v>
      </c>
      <c r="G223" s="130" t="str">
        <f>TEXT(MC_2[[#This Row],[Date]],"mmm-yy")</f>
        <v>Sep-25</v>
      </c>
      <c r="H223" s="130">
        <f>DAY(EOMONTH(MC_2[[#This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4">
        <f>SUM(MC_2[[#This Row],[ICR1]:[ICR5]])</f>
        <v>0</v>
      </c>
      <c r="T223" s="133"/>
      <c r="U223" s="133"/>
      <c r="V223" s="133"/>
      <c r="W223" s="133"/>
      <c r="X223" s="133"/>
      <c r="Y223" s="133"/>
      <c r="Z223" s="135"/>
    </row>
    <row r="224" spans="1:26">
      <c r="A224" s="133">
        <v>222</v>
      </c>
      <c r="B224" s="127">
        <f t="shared" si="3"/>
        <v>45910</v>
      </c>
      <c r="C224" s="128">
        <f>YEAR(MC_2[[#This Row],[Date]])+IF(MONTH(MC_2[[#This Row],[Date]])&gt;=4,1,0)</f>
        <v>2026</v>
      </c>
      <c r="D224" s="129">
        <f>YEAR(MC_2[[#This Row],[Date]])</f>
        <v>2025</v>
      </c>
      <c r="E224" s="126" t="s">
        <v>219</v>
      </c>
      <c r="F224" s="126" t="s">
        <v>219</v>
      </c>
      <c r="G224" s="130" t="str">
        <f>TEXT(MC_2[[#This Row],[Date]],"mmm-yy")</f>
        <v>Sep-25</v>
      </c>
      <c r="H224" s="130">
        <f>DAY(EOMONTH(MC_2[[#This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4">
        <f>SUM(MC_2[[#This Row],[ICR1]:[ICR5]])</f>
        <v>0</v>
      </c>
      <c r="T224" s="133"/>
      <c r="U224" s="133"/>
      <c r="V224" s="133"/>
      <c r="W224" s="133"/>
      <c r="X224" s="133"/>
      <c r="Y224" s="133"/>
      <c r="Z224" s="135"/>
    </row>
    <row r="225" spans="1:26">
      <c r="A225" s="133">
        <v>223</v>
      </c>
      <c r="B225" s="127">
        <f t="shared" si="3"/>
        <v>45911</v>
      </c>
      <c r="C225" s="128">
        <f>YEAR(MC_2[[#This Row],[Date]])+IF(MONTH(MC_2[[#This Row],[Date]])&gt;=4,1,0)</f>
        <v>2026</v>
      </c>
      <c r="D225" s="129">
        <f>YEAR(MC_2[[#This Row],[Date]])</f>
        <v>2025</v>
      </c>
      <c r="E225" s="126" t="s">
        <v>219</v>
      </c>
      <c r="F225" s="126" t="s">
        <v>219</v>
      </c>
      <c r="G225" s="130" t="str">
        <f>TEXT(MC_2[[#This Row],[Date]],"mmm-yy")</f>
        <v>Sep-25</v>
      </c>
      <c r="H225" s="130">
        <f>DAY(EOMONTH(MC_2[[#This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4">
        <f>SUM(MC_2[[#This Row],[ICR1]:[ICR5]])</f>
        <v>0</v>
      </c>
      <c r="T225" s="133"/>
      <c r="U225" s="133"/>
      <c r="V225" s="133"/>
      <c r="W225" s="133"/>
      <c r="X225" s="133"/>
      <c r="Y225" s="133"/>
      <c r="Z225" s="135"/>
    </row>
    <row r="226" spans="1:26">
      <c r="A226" s="133">
        <v>224</v>
      </c>
      <c r="B226" s="127">
        <f t="shared" si="3"/>
        <v>45912</v>
      </c>
      <c r="C226" s="128">
        <f>YEAR(MC_2[[#This Row],[Date]])+IF(MONTH(MC_2[[#This Row],[Date]])&gt;=4,1,0)</f>
        <v>2026</v>
      </c>
      <c r="D226" s="129">
        <f>YEAR(MC_2[[#This Row],[Date]])</f>
        <v>2025</v>
      </c>
      <c r="E226" s="126" t="s">
        <v>219</v>
      </c>
      <c r="F226" s="126" t="s">
        <v>219</v>
      </c>
      <c r="G226" s="130" t="str">
        <f>TEXT(MC_2[[#This Row],[Date]],"mmm-yy")</f>
        <v>Sep-25</v>
      </c>
      <c r="H226" s="130">
        <f>DAY(EOMONTH(MC_2[[#This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4">
        <f>SUM(MC_2[[#This Row],[ICR1]:[ICR5]])</f>
        <v>0</v>
      </c>
      <c r="T226" s="133"/>
      <c r="U226" s="133"/>
      <c r="V226" s="133"/>
      <c r="W226" s="133"/>
      <c r="X226" s="133"/>
      <c r="Y226" s="133"/>
      <c r="Z226" s="135"/>
    </row>
    <row r="227" spans="1:26">
      <c r="A227" s="133">
        <v>225</v>
      </c>
      <c r="B227" s="127">
        <f t="shared" si="3"/>
        <v>45913</v>
      </c>
      <c r="C227" s="128">
        <f>YEAR(MC_2[[#This Row],[Date]])+IF(MONTH(MC_2[[#This Row],[Date]])&gt;=4,1,0)</f>
        <v>2026</v>
      </c>
      <c r="D227" s="129">
        <f>YEAR(MC_2[[#This Row],[Date]])</f>
        <v>2025</v>
      </c>
      <c r="E227" s="126" t="s">
        <v>219</v>
      </c>
      <c r="F227" s="126" t="s">
        <v>219</v>
      </c>
      <c r="G227" s="130" t="str">
        <f>TEXT(MC_2[[#This Row],[Date]],"mmm-yy")</f>
        <v>Sep-25</v>
      </c>
      <c r="H227" s="130">
        <f>DAY(EOMONTH(MC_2[[#This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4">
        <f>SUM(MC_2[[#This Row],[ICR1]:[ICR5]])</f>
        <v>0</v>
      </c>
      <c r="T227" s="133"/>
      <c r="U227" s="133"/>
      <c r="V227" s="133"/>
      <c r="W227" s="133"/>
      <c r="X227" s="133"/>
      <c r="Y227" s="133"/>
      <c r="Z227" s="135"/>
    </row>
    <row r="228" spans="1:26">
      <c r="A228" s="133">
        <v>226</v>
      </c>
      <c r="B228" s="127">
        <f t="shared" si="3"/>
        <v>45914</v>
      </c>
      <c r="C228" s="128">
        <f>YEAR(MC_2[[#This Row],[Date]])+IF(MONTH(MC_2[[#This Row],[Date]])&gt;=4,1,0)</f>
        <v>2026</v>
      </c>
      <c r="D228" s="129">
        <f>YEAR(MC_2[[#This Row],[Date]])</f>
        <v>2025</v>
      </c>
      <c r="E228" s="126" t="s">
        <v>219</v>
      </c>
      <c r="F228" s="126" t="s">
        <v>219</v>
      </c>
      <c r="G228" s="130" t="str">
        <f>TEXT(MC_2[[#This Row],[Date]],"mmm-yy")</f>
        <v>Sep-25</v>
      </c>
      <c r="H228" s="130">
        <f>DAY(EOMONTH(MC_2[[#This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4">
        <f>SUM(MC_2[[#This Row],[ICR1]:[ICR5]])</f>
        <v>0</v>
      </c>
      <c r="T228" s="133"/>
      <c r="U228" s="133"/>
      <c r="V228" s="133"/>
      <c r="W228" s="133"/>
      <c r="X228" s="133"/>
      <c r="Y228" s="133"/>
      <c r="Z228" s="135"/>
    </row>
    <row r="229" spans="1:26">
      <c r="A229" s="133">
        <v>227</v>
      </c>
      <c r="B229" s="127">
        <f t="shared" si="3"/>
        <v>45915</v>
      </c>
      <c r="C229" s="128">
        <f>YEAR(MC_2[[#This Row],[Date]])+IF(MONTH(MC_2[[#This Row],[Date]])&gt;=4,1,0)</f>
        <v>2026</v>
      </c>
      <c r="D229" s="129">
        <f>YEAR(MC_2[[#This Row],[Date]])</f>
        <v>2025</v>
      </c>
      <c r="E229" s="126" t="s">
        <v>219</v>
      </c>
      <c r="F229" s="126" t="s">
        <v>219</v>
      </c>
      <c r="G229" s="130" t="str">
        <f>TEXT(MC_2[[#This Row],[Date]],"mmm-yy")</f>
        <v>Sep-25</v>
      </c>
      <c r="H229" s="130">
        <f>DAY(EOMONTH(MC_2[[#This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4">
        <f>SUM(MC_2[[#This Row],[ICR1]:[ICR5]])</f>
        <v>0</v>
      </c>
      <c r="T229" s="133"/>
      <c r="U229" s="133"/>
      <c r="V229" s="133"/>
      <c r="W229" s="133"/>
      <c r="X229" s="133"/>
      <c r="Y229" s="133"/>
      <c r="Z229" s="135"/>
    </row>
    <row r="230" spans="1:26">
      <c r="A230" s="133">
        <v>228</v>
      </c>
      <c r="B230" s="127">
        <f t="shared" si="3"/>
        <v>45916</v>
      </c>
      <c r="C230" s="128">
        <f>YEAR(MC_2[[#This Row],[Date]])+IF(MONTH(MC_2[[#This Row],[Date]])&gt;=4,1,0)</f>
        <v>2026</v>
      </c>
      <c r="D230" s="129">
        <f>YEAR(MC_2[[#This Row],[Date]])</f>
        <v>2025</v>
      </c>
      <c r="E230" s="126" t="s">
        <v>219</v>
      </c>
      <c r="F230" s="126" t="s">
        <v>219</v>
      </c>
      <c r="G230" s="130" t="str">
        <f>TEXT(MC_2[[#This Row],[Date]],"mmm-yy")</f>
        <v>Sep-25</v>
      </c>
      <c r="H230" s="130">
        <f>DAY(EOMONTH(MC_2[[#This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4">
        <f>SUM(MC_2[[#This Row],[ICR1]:[ICR5]])</f>
        <v>0</v>
      </c>
      <c r="T230" s="133"/>
      <c r="U230" s="133"/>
      <c r="V230" s="133"/>
      <c r="W230" s="133"/>
      <c r="X230" s="133"/>
      <c r="Y230" s="133"/>
      <c r="Z230" s="135"/>
    </row>
    <row r="231" spans="1:26">
      <c r="A231" s="133">
        <v>229</v>
      </c>
      <c r="B231" s="127">
        <f t="shared" si="3"/>
        <v>45917</v>
      </c>
      <c r="C231" s="128">
        <f>YEAR(MC_2[[#This Row],[Date]])+IF(MONTH(MC_2[[#This Row],[Date]])&gt;=4,1,0)</f>
        <v>2026</v>
      </c>
      <c r="D231" s="129">
        <f>YEAR(MC_2[[#This Row],[Date]])</f>
        <v>2025</v>
      </c>
      <c r="E231" s="126" t="s">
        <v>219</v>
      </c>
      <c r="F231" s="126" t="s">
        <v>219</v>
      </c>
      <c r="G231" s="130" t="str">
        <f>TEXT(MC_2[[#This Row],[Date]],"mmm-yy")</f>
        <v>Sep-25</v>
      </c>
      <c r="H231" s="130">
        <f>DAY(EOMONTH(MC_2[[#This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4">
        <f>SUM(MC_2[[#This Row],[ICR1]:[ICR5]])</f>
        <v>0</v>
      </c>
      <c r="T231" s="133"/>
      <c r="U231" s="133"/>
      <c r="V231" s="133"/>
      <c r="W231" s="133"/>
      <c r="X231" s="133"/>
      <c r="Y231" s="133"/>
      <c r="Z231" s="135"/>
    </row>
    <row r="232" spans="1:26">
      <c r="A232" s="133">
        <v>230</v>
      </c>
      <c r="B232" s="127">
        <f t="shared" si="3"/>
        <v>45918</v>
      </c>
      <c r="C232" s="128">
        <f>YEAR(MC_2[[#This Row],[Date]])+IF(MONTH(MC_2[[#This Row],[Date]])&gt;=4,1,0)</f>
        <v>2026</v>
      </c>
      <c r="D232" s="129">
        <f>YEAR(MC_2[[#This Row],[Date]])</f>
        <v>2025</v>
      </c>
      <c r="E232" s="126" t="s">
        <v>219</v>
      </c>
      <c r="F232" s="126" t="s">
        <v>219</v>
      </c>
      <c r="G232" s="130" t="str">
        <f>TEXT(MC_2[[#This Row],[Date]],"mmm-yy")</f>
        <v>Sep-25</v>
      </c>
      <c r="H232" s="130">
        <f>DAY(EOMONTH(MC_2[[#This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4">
        <f>SUM(MC_2[[#This Row],[ICR1]:[ICR5]])</f>
        <v>0</v>
      </c>
      <c r="T232" s="133"/>
      <c r="U232" s="133"/>
      <c r="V232" s="133"/>
      <c r="W232" s="133"/>
      <c r="X232" s="133"/>
      <c r="Y232" s="133"/>
      <c r="Z232" s="135"/>
    </row>
    <row r="233" spans="1:26">
      <c r="A233" s="133">
        <v>231</v>
      </c>
      <c r="B233" s="127">
        <f t="shared" si="3"/>
        <v>45919</v>
      </c>
      <c r="C233" s="128">
        <f>YEAR(MC_2[[#This Row],[Date]])+IF(MONTH(MC_2[[#This Row],[Date]])&gt;=4,1,0)</f>
        <v>2026</v>
      </c>
      <c r="D233" s="129">
        <f>YEAR(MC_2[[#This Row],[Date]])</f>
        <v>2025</v>
      </c>
      <c r="E233" s="126" t="s">
        <v>219</v>
      </c>
      <c r="F233" s="126" t="s">
        <v>219</v>
      </c>
      <c r="G233" s="130" t="str">
        <f>TEXT(MC_2[[#This Row],[Date]],"mmm-yy")</f>
        <v>Sep-25</v>
      </c>
      <c r="H233" s="130">
        <f>DAY(EOMONTH(MC_2[[#This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4">
        <f>SUM(MC_2[[#This Row],[ICR1]:[ICR5]])</f>
        <v>0</v>
      </c>
      <c r="T233" s="133"/>
      <c r="U233" s="133"/>
      <c r="V233" s="133"/>
      <c r="W233" s="133"/>
      <c r="X233" s="133"/>
      <c r="Y233" s="133"/>
      <c r="Z233" s="135"/>
    </row>
    <row r="234" spans="1:26">
      <c r="A234" s="133">
        <v>232</v>
      </c>
      <c r="B234" s="127">
        <f t="shared" si="3"/>
        <v>45920</v>
      </c>
      <c r="C234" s="128">
        <f>YEAR(MC_2[[#This Row],[Date]])+IF(MONTH(MC_2[[#This Row],[Date]])&gt;=4,1,0)</f>
        <v>2026</v>
      </c>
      <c r="D234" s="129">
        <f>YEAR(MC_2[[#This Row],[Date]])</f>
        <v>2025</v>
      </c>
      <c r="E234" s="126" t="s">
        <v>219</v>
      </c>
      <c r="F234" s="126" t="s">
        <v>219</v>
      </c>
      <c r="G234" s="130" t="str">
        <f>TEXT(MC_2[[#This Row],[Date]],"mmm-yy")</f>
        <v>Sep-25</v>
      </c>
      <c r="H234" s="130">
        <f>DAY(EOMONTH(MC_2[[#This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4">
        <f>SUM(MC_2[[#This Row],[ICR1]:[ICR5]])</f>
        <v>0</v>
      </c>
      <c r="T234" s="133"/>
      <c r="U234" s="133"/>
      <c r="V234" s="133"/>
      <c r="W234" s="133"/>
      <c r="X234" s="133"/>
      <c r="Y234" s="133"/>
      <c r="Z234" s="135"/>
    </row>
    <row r="235" spans="1:26">
      <c r="A235" s="133">
        <v>233</v>
      </c>
      <c r="B235" s="127">
        <f t="shared" si="3"/>
        <v>45921</v>
      </c>
      <c r="C235" s="128">
        <f>YEAR(MC_2[[#This Row],[Date]])+IF(MONTH(MC_2[[#This Row],[Date]])&gt;=4,1,0)</f>
        <v>2026</v>
      </c>
      <c r="D235" s="129">
        <f>YEAR(MC_2[[#This Row],[Date]])</f>
        <v>2025</v>
      </c>
      <c r="E235" s="126" t="s">
        <v>219</v>
      </c>
      <c r="F235" s="126" t="s">
        <v>219</v>
      </c>
      <c r="G235" s="130" t="str">
        <f>TEXT(MC_2[[#This Row],[Date]],"mmm-yy")</f>
        <v>Sep-25</v>
      </c>
      <c r="H235" s="130">
        <f>DAY(EOMONTH(MC_2[[#This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4">
        <f>SUM(MC_2[[#This Row],[ICR1]:[ICR5]])</f>
        <v>0</v>
      </c>
      <c r="T235" s="133"/>
      <c r="U235" s="133"/>
      <c r="V235" s="133"/>
      <c r="W235" s="133"/>
      <c r="X235" s="133"/>
      <c r="Y235" s="133"/>
      <c r="Z235" s="135"/>
    </row>
    <row r="236" spans="1:26">
      <c r="A236" s="133">
        <v>234</v>
      </c>
      <c r="B236" s="127">
        <f t="shared" si="3"/>
        <v>45922</v>
      </c>
      <c r="C236" s="128">
        <f>YEAR(MC_2[[#This Row],[Date]])+IF(MONTH(MC_2[[#This Row],[Date]])&gt;=4,1,0)</f>
        <v>2026</v>
      </c>
      <c r="D236" s="129">
        <f>YEAR(MC_2[[#This Row],[Date]])</f>
        <v>2025</v>
      </c>
      <c r="E236" s="126" t="s">
        <v>219</v>
      </c>
      <c r="F236" s="126" t="s">
        <v>219</v>
      </c>
      <c r="G236" s="130" t="str">
        <f>TEXT(MC_2[[#This Row],[Date]],"mmm-yy")</f>
        <v>Sep-25</v>
      </c>
      <c r="H236" s="130">
        <f>DAY(EOMONTH(MC_2[[#This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4">
        <f>SUM(MC_2[[#This Row],[ICR1]:[ICR5]])</f>
        <v>0</v>
      </c>
      <c r="T236" s="133"/>
      <c r="U236" s="133"/>
      <c r="V236" s="133"/>
      <c r="W236" s="133"/>
      <c r="X236" s="133"/>
      <c r="Y236" s="133"/>
      <c r="Z236" s="135"/>
    </row>
    <row r="237" spans="1:26">
      <c r="A237" s="133">
        <v>235</v>
      </c>
      <c r="B237" s="127">
        <f t="shared" si="3"/>
        <v>45923</v>
      </c>
      <c r="C237" s="128">
        <f>YEAR(MC_2[[#This Row],[Date]])+IF(MONTH(MC_2[[#This Row],[Date]])&gt;=4,1,0)</f>
        <v>2026</v>
      </c>
      <c r="D237" s="129">
        <f>YEAR(MC_2[[#This Row],[Date]])</f>
        <v>2025</v>
      </c>
      <c r="E237" s="126" t="s">
        <v>219</v>
      </c>
      <c r="F237" s="126" t="s">
        <v>219</v>
      </c>
      <c r="G237" s="130" t="str">
        <f>TEXT(MC_2[[#This Row],[Date]],"mmm-yy")</f>
        <v>Sep-25</v>
      </c>
      <c r="H237" s="130">
        <f>DAY(EOMONTH(MC_2[[#This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4">
        <f>SUM(MC_2[[#This Row],[ICR1]:[ICR5]])</f>
        <v>0</v>
      </c>
      <c r="T237" s="133"/>
      <c r="U237" s="133"/>
      <c r="V237" s="133"/>
      <c r="W237" s="133"/>
      <c r="X237" s="133"/>
      <c r="Y237" s="133"/>
      <c r="Z237" s="135"/>
    </row>
    <row r="238" spans="1:26">
      <c r="A238" s="133">
        <v>236</v>
      </c>
      <c r="B238" s="127">
        <f t="shared" si="3"/>
        <v>45924</v>
      </c>
      <c r="C238" s="128">
        <f>YEAR(MC_2[[#This Row],[Date]])+IF(MONTH(MC_2[[#This Row],[Date]])&gt;=4,1,0)</f>
        <v>2026</v>
      </c>
      <c r="D238" s="129">
        <f>YEAR(MC_2[[#This Row],[Date]])</f>
        <v>2025</v>
      </c>
      <c r="E238" s="126" t="s">
        <v>219</v>
      </c>
      <c r="F238" s="126" t="s">
        <v>219</v>
      </c>
      <c r="G238" s="130" t="str">
        <f>TEXT(MC_2[[#This Row],[Date]],"mmm-yy")</f>
        <v>Sep-25</v>
      </c>
      <c r="H238" s="130">
        <f>DAY(EOMONTH(MC_2[[#This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4">
        <f>SUM(MC_2[[#This Row],[ICR1]:[ICR5]])</f>
        <v>0</v>
      </c>
      <c r="T238" s="133"/>
      <c r="U238" s="133"/>
      <c r="V238" s="133"/>
      <c r="W238" s="133"/>
      <c r="X238" s="133"/>
      <c r="Y238" s="133"/>
      <c r="Z238" s="135"/>
    </row>
    <row r="239" spans="1:26">
      <c r="A239" s="133">
        <v>237</v>
      </c>
      <c r="B239" s="127">
        <f t="shared" si="3"/>
        <v>45925</v>
      </c>
      <c r="C239" s="128">
        <f>YEAR(MC_2[[#This Row],[Date]])+IF(MONTH(MC_2[[#This Row],[Date]])&gt;=4,1,0)</f>
        <v>2026</v>
      </c>
      <c r="D239" s="129">
        <f>YEAR(MC_2[[#This Row],[Date]])</f>
        <v>2025</v>
      </c>
      <c r="E239" s="126" t="s">
        <v>219</v>
      </c>
      <c r="F239" s="126" t="s">
        <v>219</v>
      </c>
      <c r="G239" s="130" t="str">
        <f>TEXT(MC_2[[#This Row],[Date]],"mmm-yy")</f>
        <v>Sep-25</v>
      </c>
      <c r="H239" s="130">
        <f>DAY(EOMONTH(MC_2[[#This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4">
        <f>SUM(MC_2[[#This Row],[ICR1]:[ICR5]])</f>
        <v>0</v>
      </c>
      <c r="T239" s="133"/>
      <c r="U239" s="133"/>
      <c r="V239" s="133"/>
      <c r="W239" s="133"/>
      <c r="X239" s="133"/>
      <c r="Y239" s="133"/>
      <c r="Z239" s="135"/>
    </row>
    <row r="240" spans="1:26">
      <c r="A240" s="133">
        <v>238</v>
      </c>
      <c r="B240" s="127">
        <f t="shared" si="3"/>
        <v>45926</v>
      </c>
      <c r="C240" s="128">
        <f>YEAR(MC_2[[#This Row],[Date]])+IF(MONTH(MC_2[[#This Row],[Date]])&gt;=4,1,0)</f>
        <v>2026</v>
      </c>
      <c r="D240" s="129">
        <f>YEAR(MC_2[[#This Row],[Date]])</f>
        <v>2025</v>
      </c>
      <c r="E240" s="126" t="s">
        <v>219</v>
      </c>
      <c r="F240" s="126" t="s">
        <v>219</v>
      </c>
      <c r="G240" s="130" t="str">
        <f>TEXT(MC_2[[#This Row],[Date]],"mmm-yy")</f>
        <v>Sep-25</v>
      </c>
      <c r="H240" s="130">
        <f>DAY(EOMONTH(MC_2[[#This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4">
        <f>SUM(MC_2[[#This Row],[ICR1]:[ICR5]])</f>
        <v>0</v>
      </c>
      <c r="T240" s="133"/>
      <c r="U240" s="133"/>
      <c r="V240" s="133"/>
      <c r="W240" s="133"/>
      <c r="X240" s="133"/>
      <c r="Y240" s="133"/>
      <c r="Z240" s="135"/>
    </row>
    <row r="241" spans="1:26">
      <c r="A241" s="133">
        <v>239</v>
      </c>
      <c r="B241" s="127">
        <f t="shared" si="3"/>
        <v>45927</v>
      </c>
      <c r="C241" s="128">
        <f>YEAR(MC_2[[#This Row],[Date]])+IF(MONTH(MC_2[[#This Row],[Date]])&gt;=4,1,0)</f>
        <v>2026</v>
      </c>
      <c r="D241" s="129">
        <f>YEAR(MC_2[[#This Row],[Date]])</f>
        <v>2025</v>
      </c>
      <c r="E241" s="126" t="s">
        <v>219</v>
      </c>
      <c r="F241" s="126" t="s">
        <v>219</v>
      </c>
      <c r="G241" s="130" t="str">
        <f>TEXT(MC_2[[#This Row],[Date]],"mmm-yy")</f>
        <v>Sep-25</v>
      </c>
      <c r="H241" s="130">
        <f>DAY(EOMONTH(MC_2[[#This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4">
        <f>SUM(MC_2[[#This Row],[ICR1]:[ICR5]])</f>
        <v>0</v>
      </c>
      <c r="T241" s="133"/>
      <c r="U241" s="133"/>
      <c r="V241" s="133"/>
      <c r="W241" s="133"/>
      <c r="X241" s="133"/>
      <c r="Y241" s="133"/>
      <c r="Z241" s="135"/>
    </row>
    <row r="242" spans="1:26">
      <c r="A242" s="133">
        <v>240</v>
      </c>
      <c r="B242" s="127">
        <f t="shared" si="3"/>
        <v>45928</v>
      </c>
      <c r="C242" s="128">
        <f>YEAR(MC_2[[#This Row],[Date]])+IF(MONTH(MC_2[[#This Row],[Date]])&gt;=4,1,0)</f>
        <v>2026</v>
      </c>
      <c r="D242" s="129">
        <f>YEAR(MC_2[[#This Row],[Date]])</f>
        <v>2025</v>
      </c>
      <c r="E242" s="126" t="s">
        <v>219</v>
      </c>
      <c r="F242" s="126" t="s">
        <v>219</v>
      </c>
      <c r="G242" s="130" t="str">
        <f>TEXT(MC_2[[#This Row],[Date]],"mmm-yy")</f>
        <v>Sep-25</v>
      </c>
      <c r="H242" s="130">
        <f>DAY(EOMONTH(MC_2[[#This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4">
        <f>SUM(MC_2[[#This Row],[ICR1]:[ICR5]])</f>
        <v>0</v>
      </c>
      <c r="T242" s="133"/>
      <c r="U242" s="133"/>
      <c r="V242" s="133"/>
      <c r="W242" s="133"/>
      <c r="X242" s="133"/>
      <c r="Y242" s="133"/>
      <c r="Z242" s="135"/>
    </row>
    <row r="243" spans="1:26">
      <c r="A243" s="133">
        <v>241</v>
      </c>
      <c r="B243" s="127">
        <f t="shared" si="3"/>
        <v>45929</v>
      </c>
      <c r="C243" s="128">
        <f>YEAR(MC_2[[#This Row],[Date]])+IF(MONTH(MC_2[[#This Row],[Date]])&gt;=4,1,0)</f>
        <v>2026</v>
      </c>
      <c r="D243" s="129">
        <f>YEAR(MC_2[[#This Row],[Date]])</f>
        <v>2025</v>
      </c>
      <c r="E243" s="126" t="s">
        <v>219</v>
      </c>
      <c r="F243" s="126" t="s">
        <v>219</v>
      </c>
      <c r="G243" s="130" t="str">
        <f>TEXT(MC_2[[#This Row],[Date]],"mmm-yy")</f>
        <v>Sep-25</v>
      </c>
      <c r="H243" s="130">
        <f>DAY(EOMONTH(MC_2[[#This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4">
        <f>SUM(MC_2[[#This Row],[ICR1]:[ICR5]])</f>
        <v>0</v>
      </c>
      <c r="T243" s="133"/>
      <c r="U243" s="133"/>
      <c r="V243" s="133"/>
      <c r="W243" s="133"/>
      <c r="X243" s="133"/>
      <c r="Y243" s="133"/>
      <c r="Z243" s="135"/>
    </row>
    <row r="244" spans="1:26">
      <c r="A244" s="133">
        <v>242</v>
      </c>
      <c r="B244" s="127">
        <f t="shared" si="3"/>
        <v>45930</v>
      </c>
      <c r="C244" s="128">
        <f>YEAR(MC_2[[#This Row],[Date]])+IF(MONTH(MC_2[[#This Row],[Date]])&gt;=4,1,0)</f>
        <v>2026</v>
      </c>
      <c r="D244" s="129">
        <f>YEAR(MC_2[[#This Row],[Date]])</f>
        <v>2025</v>
      </c>
      <c r="E244" s="126" t="s">
        <v>219</v>
      </c>
      <c r="F244" s="126" t="s">
        <v>219</v>
      </c>
      <c r="G244" s="130" t="str">
        <f>TEXT(MC_2[[#This Row],[Date]],"mmm-yy")</f>
        <v>Sep-25</v>
      </c>
      <c r="H244" s="130">
        <f>DAY(EOMONTH(MC_2[[#This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4">
        <f>SUM(MC_2[[#This Row],[ICR1]:[ICR5]])</f>
        <v>0</v>
      </c>
      <c r="T244" s="133"/>
      <c r="U244" s="133"/>
      <c r="V244" s="133"/>
      <c r="W244" s="133"/>
      <c r="X244" s="133"/>
      <c r="Y244" s="133"/>
      <c r="Z244" s="135"/>
    </row>
    <row r="245" spans="1:26">
      <c r="A245" s="133">
        <v>243</v>
      </c>
      <c r="B245" s="127">
        <f t="shared" si="3"/>
        <v>45931</v>
      </c>
      <c r="C245" s="128">
        <f>YEAR(MC_2[[#This Row],[Date]])+IF(MONTH(MC_2[[#This Row],[Date]])&gt;=4,1,0)</f>
        <v>2026</v>
      </c>
      <c r="D245" s="129">
        <f>YEAR(MC_2[[#This Row],[Date]])</f>
        <v>2025</v>
      </c>
      <c r="E245" s="126" t="s">
        <v>219</v>
      </c>
      <c r="F245" s="126" t="s">
        <v>219</v>
      </c>
      <c r="G245" s="130" t="str">
        <f>TEXT(MC_2[[#This Row],[Date]],"mmm-yy")</f>
        <v>Oct-25</v>
      </c>
      <c r="H245" s="130">
        <f>DAY(EOMONTH(MC_2[[#This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4">
        <f>SUM(MC_2[[#This Row],[ICR1]:[ICR5]])</f>
        <v>0</v>
      </c>
      <c r="T245" s="133"/>
      <c r="U245" s="133"/>
      <c r="V245" s="133"/>
      <c r="W245" s="133"/>
      <c r="X245" s="133"/>
      <c r="Y245" s="133"/>
      <c r="Z245" s="135"/>
    </row>
    <row r="246" spans="1:26">
      <c r="A246" s="133">
        <v>244</v>
      </c>
      <c r="B246" s="127">
        <f t="shared" si="3"/>
        <v>45932</v>
      </c>
      <c r="C246" s="128">
        <f>YEAR(MC_2[[#This Row],[Date]])+IF(MONTH(MC_2[[#This Row],[Date]])&gt;=4,1,0)</f>
        <v>2026</v>
      </c>
      <c r="D246" s="129">
        <f>YEAR(MC_2[[#This Row],[Date]])</f>
        <v>2025</v>
      </c>
      <c r="E246" s="126" t="s">
        <v>219</v>
      </c>
      <c r="F246" s="126" t="s">
        <v>219</v>
      </c>
      <c r="G246" s="130" t="str">
        <f>TEXT(MC_2[[#This Row],[Date]],"mmm-yy")</f>
        <v>Oct-25</v>
      </c>
      <c r="H246" s="130">
        <f>DAY(EOMONTH(MC_2[[#This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4">
        <f>SUM(MC_2[[#This Row],[ICR1]:[ICR5]])</f>
        <v>0</v>
      </c>
      <c r="T246" s="133"/>
      <c r="U246" s="133"/>
      <c r="V246" s="133"/>
      <c r="W246" s="133"/>
      <c r="X246" s="133"/>
      <c r="Y246" s="133"/>
      <c r="Z246" s="135"/>
    </row>
    <row r="247" spans="1:26">
      <c r="A247" s="133">
        <v>245</v>
      </c>
      <c r="B247" s="127">
        <f t="shared" si="3"/>
        <v>45933</v>
      </c>
      <c r="C247" s="128">
        <f>YEAR(MC_2[[#This Row],[Date]])+IF(MONTH(MC_2[[#This Row],[Date]])&gt;=4,1,0)</f>
        <v>2026</v>
      </c>
      <c r="D247" s="129">
        <f>YEAR(MC_2[[#This Row],[Date]])</f>
        <v>2025</v>
      </c>
      <c r="E247" s="126" t="s">
        <v>219</v>
      </c>
      <c r="F247" s="126" t="s">
        <v>219</v>
      </c>
      <c r="G247" s="130" t="str">
        <f>TEXT(MC_2[[#This Row],[Date]],"mmm-yy")</f>
        <v>Oct-25</v>
      </c>
      <c r="H247" s="130">
        <f>DAY(EOMONTH(MC_2[[#This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4">
        <f>SUM(MC_2[[#This Row],[ICR1]:[ICR5]])</f>
        <v>0</v>
      </c>
      <c r="T247" s="133"/>
      <c r="U247" s="133"/>
      <c r="V247" s="133"/>
      <c r="W247" s="133"/>
      <c r="X247" s="133"/>
      <c r="Y247" s="133"/>
      <c r="Z247" s="135"/>
    </row>
    <row r="248" spans="1:26">
      <c r="A248" s="133">
        <v>246</v>
      </c>
      <c r="B248" s="127">
        <f t="shared" si="3"/>
        <v>45934</v>
      </c>
      <c r="C248" s="128">
        <f>YEAR(MC_2[[#This Row],[Date]])+IF(MONTH(MC_2[[#This Row],[Date]])&gt;=4,1,0)</f>
        <v>2026</v>
      </c>
      <c r="D248" s="129">
        <f>YEAR(MC_2[[#This Row],[Date]])</f>
        <v>2025</v>
      </c>
      <c r="E248" s="126" t="s">
        <v>219</v>
      </c>
      <c r="F248" s="126" t="s">
        <v>219</v>
      </c>
      <c r="G248" s="130" t="str">
        <f>TEXT(MC_2[[#This Row],[Date]],"mmm-yy")</f>
        <v>Oct-25</v>
      </c>
      <c r="H248" s="130">
        <f>DAY(EOMONTH(MC_2[[#This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4">
        <f>SUM(MC_2[[#This Row],[ICR1]:[ICR5]])</f>
        <v>0</v>
      </c>
      <c r="T248" s="133"/>
      <c r="U248" s="133"/>
      <c r="V248" s="133"/>
      <c r="W248" s="133"/>
      <c r="X248" s="133"/>
      <c r="Y248" s="133"/>
      <c r="Z248" s="135"/>
    </row>
    <row r="249" spans="1:26">
      <c r="A249" s="133">
        <v>247</v>
      </c>
      <c r="B249" s="127">
        <f t="shared" si="3"/>
        <v>45935</v>
      </c>
      <c r="C249" s="128">
        <f>YEAR(MC_2[[#This Row],[Date]])+IF(MONTH(MC_2[[#This Row],[Date]])&gt;=4,1,0)</f>
        <v>2026</v>
      </c>
      <c r="D249" s="129">
        <f>YEAR(MC_2[[#This Row],[Date]])</f>
        <v>2025</v>
      </c>
      <c r="E249" s="126" t="s">
        <v>219</v>
      </c>
      <c r="F249" s="126" t="s">
        <v>219</v>
      </c>
      <c r="G249" s="130" t="str">
        <f>TEXT(MC_2[[#This Row],[Date]],"mmm-yy")</f>
        <v>Oct-25</v>
      </c>
      <c r="H249" s="130">
        <f>DAY(EOMONTH(MC_2[[#This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4">
        <f>SUM(MC_2[[#This Row],[ICR1]:[ICR5]])</f>
        <v>0</v>
      </c>
      <c r="T249" s="133"/>
      <c r="U249" s="133"/>
      <c r="V249" s="133"/>
      <c r="W249" s="133"/>
      <c r="X249" s="133"/>
      <c r="Y249" s="133"/>
      <c r="Z249" s="135"/>
    </row>
    <row r="250" spans="1:26">
      <c r="A250" s="133">
        <v>248</v>
      </c>
      <c r="B250" s="127">
        <f t="shared" si="3"/>
        <v>45936</v>
      </c>
      <c r="C250" s="128">
        <f>YEAR(MC_2[[#This Row],[Date]])+IF(MONTH(MC_2[[#This Row],[Date]])&gt;=4,1,0)</f>
        <v>2026</v>
      </c>
      <c r="D250" s="129">
        <f>YEAR(MC_2[[#This Row],[Date]])</f>
        <v>2025</v>
      </c>
      <c r="E250" s="126" t="s">
        <v>219</v>
      </c>
      <c r="F250" s="126" t="s">
        <v>219</v>
      </c>
      <c r="G250" s="130" t="str">
        <f>TEXT(MC_2[[#This Row],[Date]],"mmm-yy")</f>
        <v>Oct-25</v>
      </c>
      <c r="H250" s="130">
        <f>DAY(EOMONTH(MC_2[[#This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4">
        <f>SUM(MC_2[[#This Row],[ICR1]:[ICR5]])</f>
        <v>0</v>
      </c>
      <c r="T250" s="133"/>
      <c r="U250" s="133"/>
      <c r="V250" s="133"/>
      <c r="W250" s="133"/>
      <c r="X250" s="133"/>
      <c r="Y250" s="133"/>
      <c r="Z250" s="135"/>
    </row>
    <row r="251" spans="1:26">
      <c r="A251" s="133">
        <v>249</v>
      </c>
      <c r="B251" s="127">
        <f t="shared" si="3"/>
        <v>45937</v>
      </c>
      <c r="C251" s="128">
        <f>YEAR(MC_2[[#This Row],[Date]])+IF(MONTH(MC_2[[#This Row],[Date]])&gt;=4,1,0)</f>
        <v>2026</v>
      </c>
      <c r="D251" s="129">
        <f>YEAR(MC_2[[#This Row],[Date]])</f>
        <v>2025</v>
      </c>
      <c r="E251" s="126" t="s">
        <v>219</v>
      </c>
      <c r="F251" s="126" t="s">
        <v>219</v>
      </c>
      <c r="G251" s="130" t="str">
        <f>TEXT(MC_2[[#This Row],[Date]],"mmm-yy")</f>
        <v>Oct-25</v>
      </c>
      <c r="H251" s="130">
        <f>DAY(EOMONTH(MC_2[[#This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4">
        <f>SUM(MC_2[[#This Row],[ICR1]:[ICR5]])</f>
        <v>0</v>
      </c>
      <c r="T251" s="133"/>
      <c r="U251" s="133"/>
      <c r="V251" s="133"/>
      <c r="W251" s="133"/>
      <c r="X251" s="133"/>
      <c r="Y251" s="133"/>
      <c r="Z251" s="135"/>
    </row>
    <row r="252" spans="1:26">
      <c r="A252" s="133">
        <v>250</v>
      </c>
      <c r="B252" s="127">
        <f t="shared" si="3"/>
        <v>45938</v>
      </c>
      <c r="C252" s="128">
        <f>YEAR(MC_2[[#This Row],[Date]])+IF(MONTH(MC_2[[#This Row],[Date]])&gt;=4,1,0)</f>
        <v>2026</v>
      </c>
      <c r="D252" s="129">
        <f>YEAR(MC_2[[#This Row],[Date]])</f>
        <v>2025</v>
      </c>
      <c r="E252" s="126" t="s">
        <v>219</v>
      </c>
      <c r="F252" s="126" t="s">
        <v>219</v>
      </c>
      <c r="G252" s="130" t="str">
        <f>TEXT(MC_2[[#This Row],[Date]],"mmm-yy")</f>
        <v>Oct-25</v>
      </c>
      <c r="H252" s="130">
        <f>DAY(EOMONTH(MC_2[[#This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4">
        <f>SUM(MC_2[[#This Row],[ICR1]:[ICR5]])</f>
        <v>0</v>
      </c>
      <c r="T252" s="133"/>
      <c r="U252" s="133"/>
      <c r="V252" s="133"/>
      <c r="W252" s="133"/>
      <c r="X252" s="133"/>
      <c r="Y252" s="133"/>
      <c r="Z252" s="135"/>
    </row>
    <row r="253" spans="1:26">
      <c r="A253" s="133">
        <v>251</v>
      </c>
      <c r="B253" s="127">
        <f t="shared" si="3"/>
        <v>45939</v>
      </c>
      <c r="C253" s="128">
        <f>YEAR(MC_2[[#This Row],[Date]])+IF(MONTH(MC_2[[#This Row],[Date]])&gt;=4,1,0)</f>
        <v>2026</v>
      </c>
      <c r="D253" s="129">
        <f>YEAR(MC_2[[#This Row],[Date]])</f>
        <v>2025</v>
      </c>
      <c r="E253" s="126" t="s">
        <v>219</v>
      </c>
      <c r="F253" s="126" t="s">
        <v>219</v>
      </c>
      <c r="G253" s="130" t="str">
        <f>TEXT(MC_2[[#This Row],[Date]],"mmm-yy")</f>
        <v>Oct-25</v>
      </c>
      <c r="H253" s="130">
        <f>DAY(EOMONTH(MC_2[[#This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4">
        <f>SUM(MC_2[[#This Row],[ICR1]:[ICR5]])</f>
        <v>0</v>
      </c>
      <c r="T253" s="133"/>
      <c r="U253" s="133"/>
      <c r="V253" s="133"/>
      <c r="W253" s="133"/>
      <c r="X253" s="133"/>
      <c r="Y253" s="133"/>
      <c r="Z253" s="135"/>
    </row>
    <row r="254" spans="1:26">
      <c r="A254" s="133">
        <v>252</v>
      </c>
      <c r="B254" s="127">
        <f t="shared" si="3"/>
        <v>45940</v>
      </c>
      <c r="C254" s="128">
        <f>YEAR(MC_2[[#This Row],[Date]])+IF(MONTH(MC_2[[#This Row],[Date]])&gt;=4,1,0)</f>
        <v>2026</v>
      </c>
      <c r="D254" s="129">
        <f>YEAR(MC_2[[#This Row],[Date]])</f>
        <v>2025</v>
      </c>
      <c r="E254" s="126" t="s">
        <v>219</v>
      </c>
      <c r="F254" s="126" t="s">
        <v>219</v>
      </c>
      <c r="G254" s="130" t="str">
        <f>TEXT(MC_2[[#This Row],[Date]],"mmm-yy")</f>
        <v>Oct-25</v>
      </c>
      <c r="H254" s="130">
        <f>DAY(EOMONTH(MC_2[[#This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4">
        <f>SUM(MC_2[[#This Row],[ICR1]:[ICR5]])</f>
        <v>0</v>
      </c>
      <c r="T254" s="133"/>
      <c r="U254" s="133"/>
      <c r="V254" s="133"/>
      <c r="W254" s="133"/>
      <c r="X254" s="133"/>
      <c r="Y254" s="133"/>
      <c r="Z254" s="135"/>
    </row>
    <row r="255" spans="1:26">
      <c r="A255" s="133">
        <v>253</v>
      </c>
      <c r="B255" s="127">
        <f t="shared" si="3"/>
        <v>45941</v>
      </c>
      <c r="C255" s="128">
        <f>YEAR(MC_2[[#This Row],[Date]])+IF(MONTH(MC_2[[#This Row],[Date]])&gt;=4,1,0)</f>
        <v>2026</v>
      </c>
      <c r="D255" s="129">
        <f>YEAR(MC_2[[#This Row],[Date]])</f>
        <v>2025</v>
      </c>
      <c r="E255" s="126" t="s">
        <v>219</v>
      </c>
      <c r="F255" s="126" t="s">
        <v>219</v>
      </c>
      <c r="G255" s="130" t="str">
        <f>TEXT(MC_2[[#This Row],[Date]],"mmm-yy")</f>
        <v>Oct-25</v>
      </c>
      <c r="H255" s="130">
        <f>DAY(EOMONTH(MC_2[[#This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4">
        <f>SUM(MC_2[[#This Row],[ICR1]:[ICR5]])</f>
        <v>0</v>
      </c>
      <c r="T255" s="133"/>
      <c r="U255" s="133"/>
      <c r="V255" s="133"/>
      <c r="W255" s="133"/>
      <c r="X255" s="133"/>
      <c r="Y255" s="133"/>
      <c r="Z255" s="135"/>
    </row>
    <row r="256" spans="1:26">
      <c r="A256" s="133">
        <v>254</v>
      </c>
      <c r="B256" s="127">
        <f t="shared" si="3"/>
        <v>45942</v>
      </c>
      <c r="C256" s="128">
        <f>YEAR(MC_2[[#This Row],[Date]])+IF(MONTH(MC_2[[#This Row],[Date]])&gt;=4,1,0)</f>
        <v>2026</v>
      </c>
      <c r="D256" s="129">
        <f>YEAR(MC_2[[#This Row],[Date]])</f>
        <v>2025</v>
      </c>
      <c r="E256" s="126" t="s">
        <v>219</v>
      </c>
      <c r="F256" s="126" t="s">
        <v>219</v>
      </c>
      <c r="G256" s="130" t="str">
        <f>TEXT(MC_2[[#This Row],[Date]],"mmm-yy")</f>
        <v>Oct-25</v>
      </c>
      <c r="H256" s="130">
        <f>DAY(EOMONTH(MC_2[[#This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4">
        <f>SUM(MC_2[[#This Row],[ICR1]:[ICR5]])</f>
        <v>0</v>
      </c>
      <c r="T256" s="133"/>
      <c r="U256" s="133"/>
      <c r="V256" s="133"/>
      <c r="W256" s="133"/>
      <c r="X256" s="133"/>
      <c r="Y256" s="133"/>
      <c r="Z256" s="135"/>
    </row>
    <row r="257" spans="1:26">
      <c r="A257" s="133">
        <v>255</v>
      </c>
      <c r="B257" s="127">
        <f t="shared" si="3"/>
        <v>45943</v>
      </c>
      <c r="C257" s="128">
        <f>YEAR(MC_2[[#This Row],[Date]])+IF(MONTH(MC_2[[#This Row],[Date]])&gt;=4,1,0)</f>
        <v>2026</v>
      </c>
      <c r="D257" s="129">
        <f>YEAR(MC_2[[#This Row],[Date]])</f>
        <v>2025</v>
      </c>
      <c r="E257" s="126" t="s">
        <v>219</v>
      </c>
      <c r="F257" s="126" t="s">
        <v>219</v>
      </c>
      <c r="G257" s="130" t="str">
        <f>TEXT(MC_2[[#This Row],[Date]],"mmm-yy")</f>
        <v>Oct-25</v>
      </c>
      <c r="H257" s="130">
        <f>DAY(EOMONTH(MC_2[[#This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4">
        <f>SUM(MC_2[[#This Row],[ICR1]:[ICR5]])</f>
        <v>0</v>
      </c>
      <c r="T257" s="133"/>
      <c r="U257" s="133"/>
      <c r="V257" s="133"/>
      <c r="W257" s="133"/>
      <c r="X257" s="133"/>
      <c r="Y257" s="133"/>
      <c r="Z257" s="135"/>
    </row>
    <row r="258" spans="1:26">
      <c r="A258" s="133">
        <v>256</v>
      </c>
      <c r="B258" s="127">
        <f t="shared" si="3"/>
        <v>45944</v>
      </c>
      <c r="C258" s="128">
        <f>YEAR(MC_2[[#This Row],[Date]])+IF(MONTH(MC_2[[#This Row],[Date]])&gt;=4,1,0)</f>
        <v>2026</v>
      </c>
      <c r="D258" s="129">
        <f>YEAR(MC_2[[#This Row],[Date]])</f>
        <v>2025</v>
      </c>
      <c r="E258" s="126" t="s">
        <v>219</v>
      </c>
      <c r="F258" s="126" t="s">
        <v>219</v>
      </c>
      <c r="G258" s="130" t="str">
        <f>TEXT(MC_2[[#This Row],[Date]],"mmm-yy")</f>
        <v>Oct-25</v>
      </c>
      <c r="H258" s="130">
        <f>DAY(EOMONTH(MC_2[[#This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4">
        <f>SUM(MC_2[[#This Row],[ICR1]:[ICR5]])</f>
        <v>0</v>
      </c>
      <c r="T258" s="133"/>
      <c r="U258" s="133"/>
      <c r="V258" s="133"/>
      <c r="W258" s="133"/>
      <c r="X258" s="133"/>
      <c r="Y258" s="133"/>
      <c r="Z258" s="135"/>
    </row>
    <row r="259" spans="1:26">
      <c r="A259" s="133">
        <v>257</v>
      </c>
      <c r="B259" s="127">
        <f t="shared" si="3"/>
        <v>45945</v>
      </c>
      <c r="C259" s="128">
        <f>YEAR(MC_2[[#This Row],[Date]])+IF(MONTH(MC_2[[#This Row],[Date]])&gt;=4,1,0)</f>
        <v>2026</v>
      </c>
      <c r="D259" s="129">
        <f>YEAR(MC_2[[#This Row],[Date]])</f>
        <v>2025</v>
      </c>
      <c r="E259" s="126" t="s">
        <v>219</v>
      </c>
      <c r="F259" s="126" t="s">
        <v>219</v>
      </c>
      <c r="G259" s="130" t="str">
        <f>TEXT(MC_2[[#This Row],[Date]],"mmm-yy")</f>
        <v>Oct-25</v>
      </c>
      <c r="H259" s="130">
        <f>DAY(EOMONTH(MC_2[[#This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4">
        <f>SUM(MC_2[[#This Row],[ICR1]:[ICR5]])</f>
        <v>0</v>
      </c>
      <c r="T259" s="133"/>
      <c r="U259" s="133"/>
      <c r="V259" s="133"/>
      <c r="W259" s="133"/>
      <c r="X259" s="133"/>
      <c r="Y259" s="133"/>
      <c r="Z259" s="135"/>
    </row>
    <row r="260" spans="1:26">
      <c r="A260" s="133">
        <v>258</v>
      </c>
      <c r="B260" s="127">
        <f t="shared" si="3"/>
        <v>45946</v>
      </c>
      <c r="C260" s="128">
        <f>YEAR(MC_2[[#This Row],[Date]])+IF(MONTH(MC_2[[#This Row],[Date]])&gt;=4,1,0)</f>
        <v>2026</v>
      </c>
      <c r="D260" s="129">
        <f>YEAR(MC_2[[#This Row],[Date]])</f>
        <v>2025</v>
      </c>
      <c r="E260" s="126" t="s">
        <v>219</v>
      </c>
      <c r="F260" s="126" t="s">
        <v>219</v>
      </c>
      <c r="G260" s="130" t="str">
        <f>TEXT(MC_2[[#This Row],[Date]],"mmm-yy")</f>
        <v>Oct-25</v>
      </c>
      <c r="H260" s="130">
        <f>DAY(EOMONTH(MC_2[[#This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4">
        <f>SUM(MC_2[[#This Row],[ICR1]:[ICR5]])</f>
        <v>0</v>
      </c>
      <c r="T260" s="133"/>
      <c r="U260" s="133"/>
      <c r="V260" s="133"/>
      <c r="W260" s="133"/>
      <c r="X260" s="133"/>
      <c r="Y260" s="133"/>
      <c r="Z260" s="135"/>
    </row>
    <row r="261" spans="1:26">
      <c r="A261" s="133">
        <v>259</v>
      </c>
      <c r="B261" s="127">
        <f t="shared" ref="B261:B324" si="4">B260+1</f>
        <v>45947</v>
      </c>
      <c r="C261" s="128">
        <f>YEAR(MC_2[[#This Row],[Date]])+IF(MONTH(MC_2[[#This Row],[Date]])&gt;=4,1,0)</f>
        <v>2026</v>
      </c>
      <c r="D261" s="129">
        <f>YEAR(MC_2[[#This Row],[Date]])</f>
        <v>2025</v>
      </c>
      <c r="E261" s="126" t="s">
        <v>219</v>
      </c>
      <c r="F261" s="126" t="s">
        <v>219</v>
      </c>
      <c r="G261" s="130" t="str">
        <f>TEXT(MC_2[[#This Row],[Date]],"mmm-yy")</f>
        <v>Oct-25</v>
      </c>
      <c r="H261" s="130">
        <f>DAY(EOMONTH(MC_2[[#This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4">
        <f>SUM(MC_2[[#This Row],[ICR1]:[ICR5]])</f>
        <v>0</v>
      </c>
      <c r="T261" s="133"/>
      <c r="U261" s="133"/>
      <c r="V261" s="133"/>
      <c r="W261" s="133"/>
      <c r="X261" s="133"/>
      <c r="Y261" s="133"/>
      <c r="Z261" s="135"/>
    </row>
    <row r="262" spans="1:26">
      <c r="A262" s="133">
        <v>260</v>
      </c>
      <c r="B262" s="127">
        <f t="shared" si="4"/>
        <v>45948</v>
      </c>
      <c r="C262" s="128">
        <f>YEAR(MC_2[[#This Row],[Date]])+IF(MONTH(MC_2[[#This Row],[Date]])&gt;=4,1,0)</f>
        <v>2026</v>
      </c>
      <c r="D262" s="129">
        <f>YEAR(MC_2[[#This Row],[Date]])</f>
        <v>2025</v>
      </c>
      <c r="E262" s="126" t="s">
        <v>219</v>
      </c>
      <c r="F262" s="126" t="s">
        <v>219</v>
      </c>
      <c r="G262" s="130" t="str">
        <f>TEXT(MC_2[[#This Row],[Date]],"mmm-yy")</f>
        <v>Oct-25</v>
      </c>
      <c r="H262" s="130">
        <f>DAY(EOMONTH(MC_2[[#This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4">
        <f>SUM(MC_2[[#This Row],[ICR1]:[ICR5]])</f>
        <v>0</v>
      </c>
      <c r="T262" s="133"/>
      <c r="U262" s="133"/>
      <c r="V262" s="133"/>
      <c r="W262" s="133"/>
      <c r="X262" s="133"/>
      <c r="Y262" s="133"/>
      <c r="Z262" s="135"/>
    </row>
    <row r="263" spans="1:26">
      <c r="A263" s="133">
        <v>261</v>
      </c>
      <c r="B263" s="127">
        <f t="shared" si="4"/>
        <v>45949</v>
      </c>
      <c r="C263" s="128">
        <f>YEAR(MC_2[[#This Row],[Date]])+IF(MONTH(MC_2[[#This Row],[Date]])&gt;=4,1,0)</f>
        <v>2026</v>
      </c>
      <c r="D263" s="129">
        <f>YEAR(MC_2[[#This Row],[Date]])</f>
        <v>2025</v>
      </c>
      <c r="E263" s="126" t="s">
        <v>219</v>
      </c>
      <c r="F263" s="126" t="s">
        <v>219</v>
      </c>
      <c r="G263" s="130" t="str">
        <f>TEXT(MC_2[[#This Row],[Date]],"mmm-yy")</f>
        <v>Oct-25</v>
      </c>
      <c r="H263" s="130">
        <f>DAY(EOMONTH(MC_2[[#This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4">
        <f>SUM(MC_2[[#This Row],[ICR1]:[ICR5]])</f>
        <v>0</v>
      </c>
      <c r="T263" s="133"/>
      <c r="U263" s="133"/>
      <c r="V263" s="133"/>
      <c r="W263" s="133"/>
      <c r="X263" s="133"/>
      <c r="Y263" s="133"/>
      <c r="Z263" s="135"/>
    </row>
    <row r="264" spans="1:26">
      <c r="A264" s="133">
        <v>262</v>
      </c>
      <c r="B264" s="127">
        <f t="shared" si="4"/>
        <v>45950</v>
      </c>
      <c r="C264" s="128">
        <f>YEAR(MC_2[[#This Row],[Date]])+IF(MONTH(MC_2[[#This Row],[Date]])&gt;=4,1,0)</f>
        <v>2026</v>
      </c>
      <c r="D264" s="129">
        <f>YEAR(MC_2[[#This Row],[Date]])</f>
        <v>2025</v>
      </c>
      <c r="E264" s="126" t="s">
        <v>219</v>
      </c>
      <c r="F264" s="126" t="s">
        <v>219</v>
      </c>
      <c r="G264" s="130" t="str">
        <f>TEXT(MC_2[[#This Row],[Date]],"mmm-yy")</f>
        <v>Oct-25</v>
      </c>
      <c r="H264" s="130">
        <f>DAY(EOMONTH(MC_2[[#This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4">
        <f>SUM(MC_2[[#This Row],[ICR1]:[ICR5]])</f>
        <v>0</v>
      </c>
      <c r="T264" s="133"/>
      <c r="U264" s="133"/>
      <c r="V264" s="133"/>
      <c r="W264" s="133"/>
      <c r="X264" s="133"/>
      <c r="Y264" s="133"/>
      <c r="Z264" s="135"/>
    </row>
    <row r="265" spans="1:26">
      <c r="A265" s="133">
        <v>263</v>
      </c>
      <c r="B265" s="127">
        <f t="shared" si="4"/>
        <v>45951</v>
      </c>
      <c r="C265" s="128">
        <f>YEAR(MC_2[[#This Row],[Date]])+IF(MONTH(MC_2[[#This Row],[Date]])&gt;=4,1,0)</f>
        <v>2026</v>
      </c>
      <c r="D265" s="129">
        <f>YEAR(MC_2[[#This Row],[Date]])</f>
        <v>2025</v>
      </c>
      <c r="E265" s="126" t="s">
        <v>219</v>
      </c>
      <c r="F265" s="126" t="s">
        <v>219</v>
      </c>
      <c r="G265" s="130" t="str">
        <f>TEXT(MC_2[[#This Row],[Date]],"mmm-yy")</f>
        <v>Oct-25</v>
      </c>
      <c r="H265" s="130">
        <f>DAY(EOMONTH(MC_2[[#This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4">
        <f>SUM(MC_2[[#This Row],[ICR1]:[ICR5]])</f>
        <v>0</v>
      </c>
      <c r="T265" s="133"/>
      <c r="U265" s="133"/>
      <c r="V265" s="133"/>
      <c r="W265" s="133"/>
      <c r="X265" s="133"/>
      <c r="Y265" s="133"/>
      <c r="Z265" s="135"/>
    </row>
    <row r="266" spans="1:26">
      <c r="A266" s="133">
        <v>264</v>
      </c>
      <c r="B266" s="127">
        <f t="shared" si="4"/>
        <v>45952</v>
      </c>
      <c r="C266" s="128">
        <f>YEAR(MC_2[[#This Row],[Date]])+IF(MONTH(MC_2[[#This Row],[Date]])&gt;=4,1,0)</f>
        <v>2026</v>
      </c>
      <c r="D266" s="129">
        <f>YEAR(MC_2[[#This Row],[Date]])</f>
        <v>2025</v>
      </c>
      <c r="E266" s="126" t="s">
        <v>219</v>
      </c>
      <c r="F266" s="126" t="s">
        <v>219</v>
      </c>
      <c r="G266" s="130" t="str">
        <f>TEXT(MC_2[[#This Row],[Date]],"mmm-yy")</f>
        <v>Oct-25</v>
      </c>
      <c r="H266" s="130">
        <f>DAY(EOMONTH(MC_2[[#This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4">
        <f>SUM(MC_2[[#This Row],[ICR1]:[ICR5]])</f>
        <v>0</v>
      </c>
      <c r="T266" s="133"/>
      <c r="U266" s="133"/>
      <c r="V266" s="133"/>
      <c r="W266" s="133"/>
      <c r="X266" s="133"/>
      <c r="Y266" s="133"/>
      <c r="Z266" s="135"/>
    </row>
    <row r="267" spans="1:26">
      <c r="A267" s="133">
        <v>265</v>
      </c>
      <c r="B267" s="127">
        <f t="shared" si="4"/>
        <v>45953</v>
      </c>
      <c r="C267" s="128">
        <f>YEAR(MC_2[[#This Row],[Date]])+IF(MONTH(MC_2[[#This Row],[Date]])&gt;=4,1,0)</f>
        <v>2026</v>
      </c>
      <c r="D267" s="129">
        <f>YEAR(MC_2[[#This Row],[Date]])</f>
        <v>2025</v>
      </c>
      <c r="E267" s="126" t="s">
        <v>219</v>
      </c>
      <c r="F267" s="126" t="s">
        <v>219</v>
      </c>
      <c r="G267" s="130" t="str">
        <f>TEXT(MC_2[[#This Row],[Date]],"mmm-yy")</f>
        <v>Oct-25</v>
      </c>
      <c r="H267" s="130">
        <f>DAY(EOMONTH(MC_2[[#This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4">
        <f>SUM(MC_2[[#This Row],[ICR1]:[ICR5]])</f>
        <v>0</v>
      </c>
      <c r="T267" s="133"/>
      <c r="U267" s="133"/>
      <c r="V267" s="133"/>
      <c r="W267" s="133"/>
      <c r="X267" s="133"/>
      <c r="Y267" s="133"/>
      <c r="Z267" s="135"/>
    </row>
    <row r="268" spans="1:26">
      <c r="A268" s="133">
        <v>266</v>
      </c>
      <c r="B268" s="127">
        <f t="shared" si="4"/>
        <v>45954</v>
      </c>
      <c r="C268" s="128">
        <f>YEAR(MC_2[[#This Row],[Date]])+IF(MONTH(MC_2[[#This Row],[Date]])&gt;=4,1,0)</f>
        <v>2026</v>
      </c>
      <c r="D268" s="129">
        <f>YEAR(MC_2[[#This Row],[Date]])</f>
        <v>2025</v>
      </c>
      <c r="E268" s="126" t="s">
        <v>219</v>
      </c>
      <c r="F268" s="126" t="s">
        <v>219</v>
      </c>
      <c r="G268" s="130" t="str">
        <f>TEXT(MC_2[[#This Row],[Date]],"mmm-yy")</f>
        <v>Oct-25</v>
      </c>
      <c r="H268" s="130">
        <f>DAY(EOMONTH(MC_2[[#This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4">
        <f>SUM(MC_2[[#This Row],[ICR1]:[ICR5]])</f>
        <v>0</v>
      </c>
      <c r="T268" s="133"/>
      <c r="U268" s="133"/>
      <c r="V268" s="133"/>
      <c r="W268" s="133"/>
      <c r="X268" s="133"/>
      <c r="Y268" s="133"/>
      <c r="Z268" s="135"/>
    </row>
    <row r="269" spans="1:26">
      <c r="A269" s="133">
        <v>267</v>
      </c>
      <c r="B269" s="127">
        <f t="shared" si="4"/>
        <v>45955</v>
      </c>
      <c r="C269" s="128">
        <f>YEAR(MC_2[[#This Row],[Date]])+IF(MONTH(MC_2[[#This Row],[Date]])&gt;=4,1,0)</f>
        <v>2026</v>
      </c>
      <c r="D269" s="129">
        <f>YEAR(MC_2[[#This Row],[Date]])</f>
        <v>2025</v>
      </c>
      <c r="E269" s="126" t="s">
        <v>219</v>
      </c>
      <c r="F269" s="126" t="s">
        <v>219</v>
      </c>
      <c r="G269" s="130" t="str">
        <f>TEXT(MC_2[[#This Row],[Date]],"mmm-yy")</f>
        <v>Oct-25</v>
      </c>
      <c r="H269" s="130">
        <f>DAY(EOMONTH(MC_2[[#This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4">
        <f>SUM(MC_2[[#This Row],[ICR1]:[ICR5]])</f>
        <v>0</v>
      </c>
      <c r="T269" s="133"/>
      <c r="U269" s="133"/>
      <c r="V269" s="133"/>
      <c r="W269" s="133"/>
      <c r="X269" s="133"/>
      <c r="Y269" s="133"/>
      <c r="Z269" s="135"/>
    </row>
    <row r="270" spans="1:26">
      <c r="A270" s="133">
        <v>268</v>
      </c>
      <c r="B270" s="127">
        <f t="shared" si="4"/>
        <v>45956</v>
      </c>
      <c r="C270" s="128">
        <f>YEAR(MC_2[[#This Row],[Date]])+IF(MONTH(MC_2[[#This Row],[Date]])&gt;=4,1,0)</f>
        <v>2026</v>
      </c>
      <c r="D270" s="129">
        <f>YEAR(MC_2[[#This Row],[Date]])</f>
        <v>2025</v>
      </c>
      <c r="E270" s="126" t="s">
        <v>219</v>
      </c>
      <c r="F270" s="126" t="s">
        <v>219</v>
      </c>
      <c r="G270" s="130" t="str">
        <f>TEXT(MC_2[[#This Row],[Date]],"mmm-yy")</f>
        <v>Oct-25</v>
      </c>
      <c r="H270" s="130">
        <f>DAY(EOMONTH(MC_2[[#This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4">
        <f>SUM(MC_2[[#This Row],[ICR1]:[ICR5]])</f>
        <v>0</v>
      </c>
      <c r="T270" s="133"/>
      <c r="U270" s="133"/>
      <c r="V270" s="133"/>
      <c r="W270" s="133"/>
      <c r="X270" s="133"/>
      <c r="Y270" s="133"/>
      <c r="Z270" s="135"/>
    </row>
    <row r="271" spans="1:26">
      <c r="A271" s="133">
        <v>269</v>
      </c>
      <c r="B271" s="127">
        <f t="shared" si="4"/>
        <v>45957</v>
      </c>
      <c r="C271" s="128">
        <f>YEAR(MC_2[[#This Row],[Date]])+IF(MONTH(MC_2[[#This Row],[Date]])&gt;=4,1,0)</f>
        <v>2026</v>
      </c>
      <c r="D271" s="129">
        <f>YEAR(MC_2[[#This Row],[Date]])</f>
        <v>2025</v>
      </c>
      <c r="E271" s="126" t="s">
        <v>219</v>
      </c>
      <c r="F271" s="126" t="s">
        <v>219</v>
      </c>
      <c r="G271" s="130" t="str">
        <f>TEXT(MC_2[[#This Row],[Date]],"mmm-yy")</f>
        <v>Oct-25</v>
      </c>
      <c r="H271" s="130">
        <f>DAY(EOMONTH(MC_2[[#This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4">
        <f>SUM(MC_2[[#This Row],[ICR1]:[ICR5]])</f>
        <v>0</v>
      </c>
      <c r="T271" s="133"/>
      <c r="U271" s="133"/>
      <c r="V271" s="133"/>
      <c r="W271" s="133"/>
      <c r="X271" s="133"/>
      <c r="Y271" s="133"/>
      <c r="Z271" s="135"/>
    </row>
    <row r="272" spans="1:26">
      <c r="A272" s="133">
        <v>270</v>
      </c>
      <c r="B272" s="127">
        <f t="shared" si="4"/>
        <v>45958</v>
      </c>
      <c r="C272" s="128">
        <f>YEAR(MC_2[[#This Row],[Date]])+IF(MONTH(MC_2[[#This Row],[Date]])&gt;=4,1,0)</f>
        <v>2026</v>
      </c>
      <c r="D272" s="129">
        <f>YEAR(MC_2[[#This Row],[Date]])</f>
        <v>2025</v>
      </c>
      <c r="E272" s="126" t="s">
        <v>219</v>
      </c>
      <c r="F272" s="126" t="s">
        <v>219</v>
      </c>
      <c r="G272" s="130" t="str">
        <f>TEXT(MC_2[[#This Row],[Date]],"mmm-yy")</f>
        <v>Oct-25</v>
      </c>
      <c r="H272" s="130">
        <f>DAY(EOMONTH(MC_2[[#This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4">
        <f>SUM(MC_2[[#This Row],[ICR1]:[ICR5]])</f>
        <v>0</v>
      </c>
      <c r="T272" s="133"/>
      <c r="U272" s="133"/>
      <c r="V272" s="133"/>
      <c r="W272" s="133"/>
      <c r="X272" s="133"/>
      <c r="Y272" s="133"/>
      <c r="Z272" s="135"/>
    </row>
    <row r="273" spans="1:26">
      <c r="A273" s="133">
        <v>271</v>
      </c>
      <c r="B273" s="127">
        <f t="shared" si="4"/>
        <v>45959</v>
      </c>
      <c r="C273" s="128">
        <f>YEAR(MC_2[[#This Row],[Date]])+IF(MONTH(MC_2[[#This Row],[Date]])&gt;=4,1,0)</f>
        <v>2026</v>
      </c>
      <c r="D273" s="129">
        <f>YEAR(MC_2[[#This Row],[Date]])</f>
        <v>2025</v>
      </c>
      <c r="E273" s="126" t="s">
        <v>219</v>
      </c>
      <c r="F273" s="126" t="s">
        <v>219</v>
      </c>
      <c r="G273" s="130" t="str">
        <f>TEXT(MC_2[[#This Row],[Date]],"mmm-yy")</f>
        <v>Oct-25</v>
      </c>
      <c r="H273" s="130">
        <f>DAY(EOMONTH(MC_2[[#This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4">
        <f>SUM(MC_2[[#This Row],[ICR1]:[ICR5]])</f>
        <v>0</v>
      </c>
      <c r="T273" s="133"/>
      <c r="U273" s="133"/>
      <c r="V273" s="133"/>
      <c r="W273" s="133"/>
      <c r="X273" s="133"/>
      <c r="Y273" s="133"/>
      <c r="Z273" s="135"/>
    </row>
    <row r="274" spans="1:26">
      <c r="A274" s="133">
        <v>272</v>
      </c>
      <c r="B274" s="127">
        <f t="shared" si="4"/>
        <v>45960</v>
      </c>
      <c r="C274" s="128">
        <f>YEAR(MC_2[[#This Row],[Date]])+IF(MONTH(MC_2[[#This Row],[Date]])&gt;=4,1,0)</f>
        <v>2026</v>
      </c>
      <c r="D274" s="129">
        <f>YEAR(MC_2[[#This Row],[Date]])</f>
        <v>2025</v>
      </c>
      <c r="E274" s="126" t="s">
        <v>219</v>
      </c>
      <c r="F274" s="126" t="s">
        <v>219</v>
      </c>
      <c r="G274" s="130" t="str">
        <f>TEXT(MC_2[[#This Row],[Date]],"mmm-yy")</f>
        <v>Oct-25</v>
      </c>
      <c r="H274" s="130">
        <f>DAY(EOMONTH(MC_2[[#This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4">
        <f>SUM(MC_2[[#This Row],[ICR1]:[ICR5]])</f>
        <v>0</v>
      </c>
      <c r="T274" s="133"/>
      <c r="U274" s="133"/>
      <c r="V274" s="133"/>
      <c r="W274" s="133"/>
      <c r="X274" s="133"/>
      <c r="Y274" s="133"/>
      <c r="Z274" s="135"/>
    </row>
    <row r="275" spans="1:26">
      <c r="A275" s="133">
        <v>273</v>
      </c>
      <c r="B275" s="127">
        <f t="shared" si="4"/>
        <v>45961</v>
      </c>
      <c r="C275" s="128">
        <f>YEAR(MC_2[[#This Row],[Date]])+IF(MONTH(MC_2[[#This Row],[Date]])&gt;=4,1,0)</f>
        <v>2026</v>
      </c>
      <c r="D275" s="129">
        <f>YEAR(MC_2[[#This Row],[Date]])</f>
        <v>2025</v>
      </c>
      <c r="E275" s="126" t="s">
        <v>219</v>
      </c>
      <c r="F275" s="126" t="s">
        <v>219</v>
      </c>
      <c r="G275" s="130" t="str">
        <f>TEXT(MC_2[[#This Row],[Date]],"mmm-yy")</f>
        <v>Oct-25</v>
      </c>
      <c r="H275" s="130">
        <f>DAY(EOMONTH(MC_2[[#This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4">
        <f>SUM(MC_2[[#This Row],[ICR1]:[ICR5]])</f>
        <v>0</v>
      </c>
      <c r="T275" s="133"/>
      <c r="U275" s="133"/>
      <c r="V275" s="133"/>
      <c r="W275" s="133"/>
      <c r="X275" s="133"/>
      <c r="Y275" s="133"/>
      <c r="Z275" s="135"/>
    </row>
    <row r="276" spans="1:26">
      <c r="A276" s="133">
        <v>274</v>
      </c>
      <c r="B276" s="127">
        <f t="shared" si="4"/>
        <v>45962</v>
      </c>
      <c r="C276" s="128">
        <f>YEAR(MC_2[[#This Row],[Date]])+IF(MONTH(MC_2[[#This Row],[Date]])&gt;=4,1,0)</f>
        <v>2026</v>
      </c>
      <c r="D276" s="129">
        <f>YEAR(MC_2[[#This Row],[Date]])</f>
        <v>2025</v>
      </c>
      <c r="E276" s="126" t="s">
        <v>219</v>
      </c>
      <c r="F276" s="126" t="s">
        <v>219</v>
      </c>
      <c r="G276" s="130" t="str">
        <f>TEXT(MC_2[[#This Row],[Date]],"mmm-yy")</f>
        <v>Nov-25</v>
      </c>
      <c r="H276" s="130">
        <f>DAY(EOMONTH(MC_2[[#This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4">
        <f>SUM(MC_2[[#This Row],[ICR1]:[ICR5]])</f>
        <v>0</v>
      </c>
      <c r="T276" s="133"/>
      <c r="U276" s="133"/>
      <c r="V276" s="133"/>
      <c r="W276" s="133"/>
      <c r="X276" s="133"/>
      <c r="Y276" s="133"/>
      <c r="Z276" s="135"/>
    </row>
    <row r="277" spans="1:26">
      <c r="A277" s="133">
        <v>275</v>
      </c>
      <c r="B277" s="127">
        <f t="shared" si="4"/>
        <v>45963</v>
      </c>
      <c r="C277" s="128">
        <f>YEAR(MC_2[[#This Row],[Date]])+IF(MONTH(MC_2[[#This Row],[Date]])&gt;=4,1,0)</f>
        <v>2026</v>
      </c>
      <c r="D277" s="129">
        <f>YEAR(MC_2[[#This Row],[Date]])</f>
        <v>2025</v>
      </c>
      <c r="E277" s="126" t="s">
        <v>219</v>
      </c>
      <c r="F277" s="126" t="s">
        <v>219</v>
      </c>
      <c r="G277" s="130" t="str">
        <f>TEXT(MC_2[[#This Row],[Date]],"mmm-yy")</f>
        <v>Nov-25</v>
      </c>
      <c r="H277" s="130">
        <f>DAY(EOMONTH(MC_2[[#This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4">
        <f>SUM(MC_2[[#This Row],[ICR1]:[ICR5]])</f>
        <v>0</v>
      </c>
      <c r="T277" s="133"/>
      <c r="U277" s="133"/>
      <c r="V277" s="133"/>
      <c r="W277" s="133"/>
      <c r="X277" s="133"/>
      <c r="Y277" s="133"/>
      <c r="Z277" s="135"/>
    </row>
    <row r="278" spans="1:26">
      <c r="A278" s="133">
        <v>276</v>
      </c>
      <c r="B278" s="127">
        <f t="shared" si="4"/>
        <v>45964</v>
      </c>
      <c r="C278" s="128">
        <f>YEAR(MC_2[[#This Row],[Date]])+IF(MONTH(MC_2[[#This Row],[Date]])&gt;=4,1,0)</f>
        <v>2026</v>
      </c>
      <c r="D278" s="129">
        <f>YEAR(MC_2[[#This Row],[Date]])</f>
        <v>2025</v>
      </c>
      <c r="E278" s="126" t="s">
        <v>219</v>
      </c>
      <c r="F278" s="126" t="s">
        <v>219</v>
      </c>
      <c r="G278" s="130" t="str">
        <f>TEXT(MC_2[[#This Row],[Date]],"mmm-yy")</f>
        <v>Nov-25</v>
      </c>
      <c r="H278" s="130">
        <f>DAY(EOMONTH(MC_2[[#This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4">
        <f>SUM(MC_2[[#This Row],[ICR1]:[ICR5]])</f>
        <v>0</v>
      </c>
      <c r="T278" s="133"/>
      <c r="U278" s="133"/>
      <c r="V278" s="133"/>
      <c r="W278" s="133"/>
      <c r="X278" s="133"/>
      <c r="Y278" s="133"/>
      <c r="Z278" s="135"/>
    </row>
    <row r="279" spans="1:26">
      <c r="A279" s="133">
        <v>277</v>
      </c>
      <c r="B279" s="127">
        <f t="shared" si="4"/>
        <v>45965</v>
      </c>
      <c r="C279" s="128">
        <f>YEAR(MC_2[[#This Row],[Date]])+IF(MONTH(MC_2[[#This Row],[Date]])&gt;=4,1,0)</f>
        <v>2026</v>
      </c>
      <c r="D279" s="129">
        <f>YEAR(MC_2[[#This Row],[Date]])</f>
        <v>2025</v>
      </c>
      <c r="E279" s="126" t="s">
        <v>219</v>
      </c>
      <c r="F279" s="126" t="s">
        <v>219</v>
      </c>
      <c r="G279" s="130" t="str">
        <f>TEXT(MC_2[[#This Row],[Date]],"mmm-yy")</f>
        <v>Nov-25</v>
      </c>
      <c r="H279" s="130">
        <f>DAY(EOMONTH(MC_2[[#This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4">
        <f>SUM(MC_2[[#This Row],[ICR1]:[ICR5]])</f>
        <v>0</v>
      </c>
      <c r="T279" s="133"/>
      <c r="U279" s="133"/>
      <c r="V279" s="133"/>
      <c r="W279" s="133"/>
      <c r="X279" s="133"/>
      <c r="Y279" s="133"/>
      <c r="Z279" s="135"/>
    </row>
    <row r="280" spans="1:26">
      <c r="A280" s="133">
        <v>278</v>
      </c>
      <c r="B280" s="127">
        <f t="shared" si="4"/>
        <v>45966</v>
      </c>
      <c r="C280" s="128">
        <f>YEAR(MC_2[[#This Row],[Date]])+IF(MONTH(MC_2[[#This Row],[Date]])&gt;=4,1,0)</f>
        <v>2026</v>
      </c>
      <c r="D280" s="129">
        <f>YEAR(MC_2[[#This Row],[Date]])</f>
        <v>2025</v>
      </c>
      <c r="E280" s="126" t="s">
        <v>219</v>
      </c>
      <c r="F280" s="126" t="s">
        <v>219</v>
      </c>
      <c r="G280" s="130" t="str">
        <f>TEXT(MC_2[[#This Row],[Date]],"mmm-yy")</f>
        <v>Nov-25</v>
      </c>
      <c r="H280" s="130">
        <f>DAY(EOMONTH(MC_2[[#This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4">
        <f>SUM(MC_2[[#This Row],[ICR1]:[ICR5]])</f>
        <v>0</v>
      </c>
      <c r="T280" s="133"/>
      <c r="U280" s="133"/>
      <c r="V280" s="133"/>
      <c r="W280" s="133"/>
      <c r="X280" s="133"/>
      <c r="Y280" s="133"/>
      <c r="Z280" s="135"/>
    </row>
    <row r="281" spans="1:26">
      <c r="A281" s="133">
        <v>279</v>
      </c>
      <c r="B281" s="127">
        <f t="shared" si="4"/>
        <v>45967</v>
      </c>
      <c r="C281" s="128">
        <f>YEAR(MC_2[[#This Row],[Date]])+IF(MONTH(MC_2[[#This Row],[Date]])&gt;=4,1,0)</f>
        <v>2026</v>
      </c>
      <c r="D281" s="129">
        <f>YEAR(MC_2[[#This Row],[Date]])</f>
        <v>2025</v>
      </c>
      <c r="E281" s="126" t="s">
        <v>219</v>
      </c>
      <c r="F281" s="126" t="s">
        <v>219</v>
      </c>
      <c r="G281" s="130" t="str">
        <f>TEXT(MC_2[[#This Row],[Date]],"mmm-yy")</f>
        <v>Nov-25</v>
      </c>
      <c r="H281" s="130">
        <f>DAY(EOMONTH(MC_2[[#This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4">
        <f>SUM(MC_2[[#This Row],[ICR1]:[ICR5]])</f>
        <v>0</v>
      </c>
      <c r="T281" s="133"/>
      <c r="U281" s="133"/>
      <c r="V281" s="133"/>
      <c r="W281" s="133"/>
      <c r="X281" s="133"/>
      <c r="Y281" s="133"/>
      <c r="Z281" s="135"/>
    </row>
    <row r="282" spans="1:26">
      <c r="A282" s="133">
        <v>280</v>
      </c>
      <c r="B282" s="127">
        <f t="shared" si="4"/>
        <v>45968</v>
      </c>
      <c r="C282" s="128">
        <f>YEAR(MC_2[[#This Row],[Date]])+IF(MONTH(MC_2[[#This Row],[Date]])&gt;=4,1,0)</f>
        <v>2026</v>
      </c>
      <c r="D282" s="129">
        <f>YEAR(MC_2[[#This Row],[Date]])</f>
        <v>2025</v>
      </c>
      <c r="E282" s="126" t="s">
        <v>219</v>
      </c>
      <c r="F282" s="126" t="s">
        <v>219</v>
      </c>
      <c r="G282" s="130" t="str">
        <f>TEXT(MC_2[[#This Row],[Date]],"mmm-yy")</f>
        <v>Nov-25</v>
      </c>
      <c r="H282" s="130">
        <f>DAY(EOMONTH(MC_2[[#This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4">
        <f>SUM(MC_2[[#This Row],[ICR1]:[ICR5]])</f>
        <v>0</v>
      </c>
      <c r="T282" s="133"/>
      <c r="U282" s="133"/>
      <c r="V282" s="133"/>
      <c r="W282" s="133"/>
      <c r="X282" s="133"/>
      <c r="Y282" s="133"/>
      <c r="Z282" s="135"/>
    </row>
    <row r="283" spans="1:26">
      <c r="A283" s="133">
        <v>281</v>
      </c>
      <c r="B283" s="127">
        <f t="shared" si="4"/>
        <v>45969</v>
      </c>
      <c r="C283" s="128">
        <f>YEAR(MC_2[[#This Row],[Date]])+IF(MONTH(MC_2[[#This Row],[Date]])&gt;=4,1,0)</f>
        <v>2026</v>
      </c>
      <c r="D283" s="129">
        <f>YEAR(MC_2[[#This Row],[Date]])</f>
        <v>2025</v>
      </c>
      <c r="E283" s="126" t="s">
        <v>219</v>
      </c>
      <c r="F283" s="126" t="s">
        <v>219</v>
      </c>
      <c r="G283" s="130" t="str">
        <f>TEXT(MC_2[[#This Row],[Date]],"mmm-yy")</f>
        <v>Nov-25</v>
      </c>
      <c r="H283" s="130">
        <f>DAY(EOMONTH(MC_2[[#This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4">
        <f>SUM(MC_2[[#This Row],[ICR1]:[ICR5]])</f>
        <v>0</v>
      </c>
      <c r="T283" s="133"/>
      <c r="U283" s="133"/>
      <c r="V283" s="133"/>
      <c r="W283" s="133"/>
      <c r="X283" s="133"/>
      <c r="Y283" s="133"/>
      <c r="Z283" s="135"/>
    </row>
    <row r="284" spans="1:26">
      <c r="A284" s="133">
        <v>282</v>
      </c>
      <c r="B284" s="127">
        <f t="shared" si="4"/>
        <v>45970</v>
      </c>
      <c r="C284" s="128">
        <f>YEAR(MC_2[[#This Row],[Date]])+IF(MONTH(MC_2[[#This Row],[Date]])&gt;=4,1,0)</f>
        <v>2026</v>
      </c>
      <c r="D284" s="129">
        <f>YEAR(MC_2[[#This Row],[Date]])</f>
        <v>2025</v>
      </c>
      <c r="E284" s="126" t="s">
        <v>219</v>
      </c>
      <c r="F284" s="126" t="s">
        <v>219</v>
      </c>
      <c r="G284" s="130" t="str">
        <f>TEXT(MC_2[[#This Row],[Date]],"mmm-yy")</f>
        <v>Nov-25</v>
      </c>
      <c r="H284" s="130">
        <f>DAY(EOMONTH(MC_2[[#This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4">
        <f>SUM(MC_2[[#This Row],[ICR1]:[ICR5]])</f>
        <v>0</v>
      </c>
      <c r="T284" s="133"/>
      <c r="U284" s="133"/>
      <c r="V284" s="133"/>
      <c r="W284" s="133"/>
      <c r="X284" s="133"/>
      <c r="Y284" s="133"/>
      <c r="Z284" s="135"/>
    </row>
    <row r="285" spans="1:26">
      <c r="A285" s="133">
        <v>283</v>
      </c>
      <c r="B285" s="127">
        <f t="shared" si="4"/>
        <v>45971</v>
      </c>
      <c r="C285" s="128">
        <f>YEAR(MC_2[[#This Row],[Date]])+IF(MONTH(MC_2[[#This Row],[Date]])&gt;=4,1,0)</f>
        <v>2026</v>
      </c>
      <c r="D285" s="129">
        <f>YEAR(MC_2[[#This Row],[Date]])</f>
        <v>2025</v>
      </c>
      <c r="E285" s="126" t="s">
        <v>219</v>
      </c>
      <c r="F285" s="126" t="s">
        <v>219</v>
      </c>
      <c r="G285" s="130" t="str">
        <f>TEXT(MC_2[[#This Row],[Date]],"mmm-yy")</f>
        <v>Nov-25</v>
      </c>
      <c r="H285" s="130">
        <f>DAY(EOMONTH(MC_2[[#This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4">
        <f>SUM(MC_2[[#This Row],[ICR1]:[ICR5]])</f>
        <v>0</v>
      </c>
      <c r="T285" s="133"/>
      <c r="U285" s="133"/>
      <c r="V285" s="133"/>
      <c r="W285" s="133"/>
      <c r="X285" s="133"/>
      <c r="Y285" s="133"/>
      <c r="Z285" s="135"/>
    </row>
    <row r="286" spans="1:26">
      <c r="A286" s="133">
        <v>284</v>
      </c>
      <c r="B286" s="127">
        <f t="shared" si="4"/>
        <v>45972</v>
      </c>
      <c r="C286" s="128">
        <f>YEAR(MC_2[[#This Row],[Date]])+IF(MONTH(MC_2[[#This Row],[Date]])&gt;=4,1,0)</f>
        <v>2026</v>
      </c>
      <c r="D286" s="129">
        <f>YEAR(MC_2[[#This Row],[Date]])</f>
        <v>2025</v>
      </c>
      <c r="E286" s="126" t="s">
        <v>219</v>
      </c>
      <c r="F286" s="126" t="s">
        <v>219</v>
      </c>
      <c r="G286" s="130" t="str">
        <f>TEXT(MC_2[[#This Row],[Date]],"mmm-yy")</f>
        <v>Nov-25</v>
      </c>
      <c r="H286" s="130">
        <f>DAY(EOMONTH(MC_2[[#This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4">
        <f>SUM(MC_2[[#This Row],[ICR1]:[ICR5]])</f>
        <v>0</v>
      </c>
      <c r="T286" s="133"/>
      <c r="U286" s="133"/>
      <c r="V286" s="133"/>
      <c r="W286" s="133"/>
      <c r="X286" s="133"/>
      <c r="Y286" s="133"/>
      <c r="Z286" s="135"/>
    </row>
    <row r="287" spans="1:26">
      <c r="A287" s="133">
        <v>285</v>
      </c>
      <c r="B287" s="127">
        <f t="shared" si="4"/>
        <v>45973</v>
      </c>
      <c r="C287" s="128">
        <f>YEAR(MC_2[[#This Row],[Date]])+IF(MONTH(MC_2[[#This Row],[Date]])&gt;=4,1,0)</f>
        <v>2026</v>
      </c>
      <c r="D287" s="129">
        <f>YEAR(MC_2[[#This Row],[Date]])</f>
        <v>2025</v>
      </c>
      <c r="E287" s="126" t="s">
        <v>219</v>
      </c>
      <c r="F287" s="126" t="s">
        <v>219</v>
      </c>
      <c r="G287" s="130" t="str">
        <f>TEXT(MC_2[[#This Row],[Date]],"mmm-yy")</f>
        <v>Nov-25</v>
      </c>
      <c r="H287" s="130">
        <f>DAY(EOMONTH(MC_2[[#This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4">
        <f>SUM(MC_2[[#This Row],[ICR1]:[ICR5]])</f>
        <v>0</v>
      </c>
      <c r="T287" s="133"/>
      <c r="U287" s="133"/>
      <c r="V287" s="133"/>
      <c r="W287" s="133"/>
      <c r="X287" s="133"/>
      <c r="Y287" s="133"/>
      <c r="Z287" s="135"/>
    </row>
    <row r="288" spans="1:26">
      <c r="A288" s="133">
        <v>286</v>
      </c>
      <c r="B288" s="127">
        <f t="shared" si="4"/>
        <v>45974</v>
      </c>
      <c r="C288" s="128">
        <f>YEAR(MC_2[[#This Row],[Date]])+IF(MONTH(MC_2[[#This Row],[Date]])&gt;=4,1,0)</f>
        <v>2026</v>
      </c>
      <c r="D288" s="129">
        <f>YEAR(MC_2[[#This Row],[Date]])</f>
        <v>2025</v>
      </c>
      <c r="E288" s="126" t="s">
        <v>219</v>
      </c>
      <c r="F288" s="126" t="s">
        <v>219</v>
      </c>
      <c r="G288" s="130" t="str">
        <f>TEXT(MC_2[[#This Row],[Date]],"mmm-yy")</f>
        <v>Nov-25</v>
      </c>
      <c r="H288" s="130">
        <f>DAY(EOMONTH(MC_2[[#This Row],[Month Year]],0))</f>
        <v>30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4">
        <f>SUM(MC_2[[#This Row],[ICR1]:[ICR5]])</f>
        <v>0</v>
      </c>
      <c r="T288" s="133"/>
      <c r="U288" s="133"/>
      <c r="V288" s="133"/>
      <c r="W288" s="133"/>
      <c r="X288" s="133"/>
      <c r="Y288" s="133"/>
      <c r="Z288" s="135"/>
    </row>
    <row r="289" spans="1:26">
      <c r="A289" s="133">
        <v>287</v>
      </c>
      <c r="B289" s="127">
        <f t="shared" si="4"/>
        <v>45975</v>
      </c>
      <c r="C289" s="128">
        <f>YEAR(MC_2[[#This Row],[Date]])+IF(MONTH(MC_2[[#This Row],[Date]])&gt;=4,1,0)</f>
        <v>2026</v>
      </c>
      <c r="D289" s="129">
        <f>YEAR(MC_2[[#This Row],[Date]])</f>
        <v>2025</v>
      </c>
      <c r="E289" s="126" t="s">
        <v>219</v>
      </c>
      <c r="F289" s="126" t="s">
        <v>219</v>
      </c>
      <c r="G289" s="130" t="str">
        <f>TEXT(MC_2[[#This Row],[Date]],"mmm-yy")</f>
        <v>Nov-25</v>
      </c>
      <c r="H289" s="130">
        <f>DAY(EOMONTH(MC_2[[#This Row],[Month Year]],0))</f>
        <v>30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4">
        <f>SUM(MC_2[[#This Row],[ICR1]:[ICR5]])</f>
        <v>0</v>
      </c>
      <c r="T289" s="133"/>
      <c r="U289" s="133"/>
      <c r="V289" s="133"/>
      <c r="W289" s="133"/>
      <c r="X289" s="133"/>
      <c r="Y289" s="133"/>
      <c r="Z289" s="135"/>
    </row>
    <row r="290" spans="1:26">
      <c r="A290" s="133">
        <v>288</v>
      </c>
      <c r="B290" s="127">
        <f t="shared" si="4"/>
        <v>45976</v>
      </c>
      <c r="C290" s="128">
        <f>YEAR(MC_2[[#This Row],[Date]])+IF(MONTH(MC_2[[#This Row],[Date]])&gt;=4,1,0)</f>
        <v>2026</v>
      </c>
      <c r="D290" s="129">
        <f>YEAR(MC_2[[#This Row],[Date]])</f>
        <v>2025</v>
      </c>
      <c r="E290" s="126" t="s">
        <v>219</v>
      </c>
      <c r="F290" s="126" t="s">
        <v>219</v>
      </c>
      <c r="G290" s="130" t="str">
        <f>TEXT(MC_2[[#This Row],[Date]],"mmm-yy")</f>
        <v>Nov-25</v>
      </c>
      <c r="H290" s="130">
        <f>DAY(EOMONTH(MC_2[[#This Row],[Month Year]],0))</f>
        <v>30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4">
        <f>SUM(MC_2[[#This Row],[ICR1]:[ICR5]])</f>
        <v>0</v>
      </c>
      <c r="T290" s="133"/>
      <c r="U290" s="133"/>
      <c r="V290" s="133"/>
      <c r="W290" s="133"/>
      <c r="X290" s="133"/>
      <c r="Y290" s="133"/>
      <c r="Z290" s="135"/>
    </row>
    <row r="291" spans="1:26">
      <c r="A291" s="133">
        <v>289</v>
      </c>
      <c r="B291" s="127">
        <f t="shared" si="4"/>
        <v>45977</v>
      </c>
      <c r="C291" s="128">
        <f>YEAR(MC_2[[#This Row],[Date]])+IF(MONTH(MC_2[[#This Row],[Date]])&gt;=4,1,0)</f>
        <v>2026</v>
      </c>
      <c r="D291" s="129">
        <f>YEAR(MC_2[[#This Row],[Date]])</f>
        <v>2025</v>
      </c>
      <c r="E291" s="126" t="s">
        <v>219</v>
      </c>
      <c r="F291" s="126" t="s">
        <v>219</v>
      </c>
      <c r="G291" s="130" t="str">
        <f>TEXT(MC_2[[#This Row],[Date]],"mmm-yy")</f>
        <v>Nov-25</v>
      </c>
      <c r="H291" s="130">
        <f>DAY(EOMONTH(MC_2[[#This Row],[Month Year]],0))</f>
        <v>30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4">
        <f>SUM(MC_2[[#This Row],[ICR1]:[ICR5]])</f>
        <v>0</v>
      </c>
      <c r="T291" s="133"/>
      <c r="U291" s="133"/>
      <c r="V291" s="133"/>
      <c r="W291" s="133"/>
      <c r="X291" s="133"/>
      <c r="Y291" s="133"/>
      <c r="Z291" s="135"/>
    </row>
    <row r="292" spans="1:26">
      <c r="A292" s="133">
        <v>290</v>
      </c>
      <c r="B292" s="127">
        <f t="shared" si="4"/>
        <v>45978</v>
      </c>
      <c r="C292" s="128">
        <f>YEAR(MC_2[[#This Row],[Date]])+IF(MONTH(MC_2[[#This Row],[Date]])&gt;=4,1,0)</f>
        <v>2026</v>
      </c>
      <c r="D292" s="129">
        <f>YEAR(MC_2[[#This Row],[Date]])</f>
        <v>2025</v>
      </c>
      <c r="E292" s="126" t="s">
        <v>219</v>
      </c>
      <c r="F292" s="126" t="s">
        <v>219</v>
      </c>
      <c r="G292" s="130" t="str">
        <f>TEXT(MC_2[[#This Row],[Date]],"mmm-yy")</f>
        <v>Nov-25</v>
      </c>
      <c r="H292" s="130">
        <f>DAY(EOMONTH(MC_2[[#This Row],[Month Year]],0))</f>
        <v>30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4">
        <f>SUM(MC_2[[#This Row],[ICR1]:[ICR5]])</f>
        <v>0</v>
      </c>
      <c r="T292" s="133"/>
      <c r="U292" s="133"/>
      <c r="V292" s="133"/>
      <c r="W292" s="133"/>
      <c r="X292" s="133"/>
      <c r="Y292" s="133"/>
      <c r="Z292" s="135"/>
    </row>
    <row r="293" spans="1:26">
      <c r="A293" s="133">
        <v>291</v>
      </c>
      <c r="B293" s="127">
        <f t="shared" si="4"/>
        <v>45979</v>
      </c>
      <c r="C293" s="128">
        <f>YEAR(MC_2[[#This Row],[Date]])+IF(MONTH(MC_2[[#This Row],[Date]])&gt;=4,1,0)</f>
        <v>2026</v>
      </c>
      <c r="D293" s="129">
        <f>YEAR(MC_2[[#This Row],[Date]])</f>
        <v>2025</v>
      </c>
      <c r="E293" s="126" t="s">
        <v>219</v>
      </c>
      <c r="F293" s="126" t="s">
        <v>219</v>
      </c>
      <c r="G293" s="130" t="str">
        <f>TEXT(MC_2[[#This Row],[Date]],"mmm-yy")</f>
        <v>Nov-25</v>
      </c>
      <c r="H293" s="130">
        <f>DAY(EOMONTH(MC_2[[#This Row],[Month Year]],0))</f>
        <v>30</v>
      </c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4">
        <f>SUM(MC_2[[#This Row],[ICR1]:[ICR5]])</f>
        <v>0</v>
      </c>
      <c r="T293" s="133"/>
      <c r="U293" s="133"/>
      <c r="V293" s="133"/>
      <c r="W293" s="133"/>
      <c r="X293" s="133"/>
      <c r="Y293" s="133"/>
      <c r="Z293" s="135"/>
    </row>
    <row r="294" spans="1:26">
      <c r="A294" s="133">
        <v>292</v>
      </c>
      <c r="B294" s="127">
        <f t="shared" si="4"/>
        <v>45980</v>
      </c>
      <c r="C294" s="128">
        <f>YEAR(MC_2[[#This Row],[Date]])+IF(MONTH(MC_2[[#This Row],[Date]])&gt;=4,1,0)</f>
        <v>2026</v>
      </c>
      <c r="D294" s="129">
        <f>YEAR(MC_2[[#This Row],[Date]])</f>
        <v>2025</v>
      </c>
      <c r="E294" s="126" t="s">
        <v>219</v>
      </c>
      <c r="F294" s="126" t="s">
        <v>219</v>
      </c>
      <c r="G294" s="130" t="str">
        <f>TEXT(MC_2[[#This Row],[Date]],"mmm-yy")</f>
        <v>Nov-25</v>
      </c>
      <c r="H294" s="130">
        <f>DAY(EOMONTH(MC_2[[#This Row],[Month Year]],0))</f>
        <v>30</v>
      </c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4">
        <f>SUM(MC_2[[#This Row],[ICR1]:[ICR5]])</f>
        <v>0</v>
      </c>
      <c r="T294" s="133"/>
      <c r="U294" s="133"/>
      <c r="V294" s="133"/>
      <c r="W294" s="133"/>
      <c r="X294" s="133"/>
      <c r="Y294" s="133"/>
      <c r="Z294" s="135"/>
    </row>
    <row r="295" spans="1:26">
      <c r="A295" s="133">
        <v>293</v>
      </c>
      <c r="B295" s="127">
        <f t="shared" si="4"/>
        <v>45981</v>
      </c>
      <c r="C295" s="128">
        <f>YEAR(MC_2[[#This Row],[Date]])+IF(MONTH(MC_2[[#This Row],[Date]])&gt;=4,1,0)</f>
        <v>2026</v>
      </c>
      <c r="D295" s="129">
        <f>YEAR(MC_2[[#This Row],[Date]])</f>
        <v>2025</v>
      </c>
      <c r="E295" s="126" t="s">
        <v>219</v>
      </c>
      <c r="F295" s="126" t="s">
        <v>219</v>
      </c>
      <c r="G295" s="130" t="str">
        <f>TEXT(MC_2[[#This Row],[Date]],"mmm-yy")</f>
        <v>Nov-25</v>
      </c>
      <c r="H295" s="130">
        <f>DAY(EOMONTH(MC_2[[#This Row],[Month Year]],0))</f>
        <v>30</v>
      </c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4">
        <f>SUM(MC_2[[#This Row],[ICR1]:[ICR5]])</f>
        <v>0</v>
      </c>
      <c r="T295" s="133"/>
      <c r="U295" s="133"/>
      <c r="V295" s="133"/>
      <c r="W295" s="133"/>
      <c r="X295" s="133"/>
      <c r="Y295" s="133"/>
      <c r="Z295" s="135"/>
    </row>
    <row r="296" spans="1:26">
      <c r="A296" s="133">
        <v>294</v>
      </c>
      <c r="B296" s="127">
        <f t="shared" si="4"/>
        <v>45982</v>
      </c>
      <c r="C296" s="128">
        <f>YEAR(MC_2[[#This Row],[Date]])+IF(MONTH(MC_2[[#This Row],[Date]])&gt;=4,1,0)</f>
        <v>2026</v>
      </c>
      <c r="D296" s="129">
        <f>YEAR(MC_2[[#This Row],[Date]])</f>
        <v>2025</v>
      </c>
      <c r="E296" s="126" t="s">
        <v>219</v>
      </c>
      <c r="F296" s="126" t="s">
        <v>219</v>
      </c>
      <c r="G296" s="130" t="str">
        <f>TEXT(MC_2[[#This Row],[Date]],"mmm-yy")</f>
        <v>Nov-25</v>
      </c>
      <c r="H296" s="130">
        <f>DAY(EOMONTH(MC_2[[#This Row],[Month Year]],0))</f>
        <v>30</v>
      </c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4">
        <f>SUM(MC_2[[#This Row],[ICR1]:[ICR5]])</f>
        <v>0</v>
      </c>
      <c r="T296" s="133"/>
      <c r="U296" s="133"/>
      <c r="V296" s="133"/>
      <c r="W296" s="133"/>
      <c r="X296" s="133"/>
      <c r="Y296" s="133"/>
      <c r="Z296" s="135"/>
    </row>
    <row r="297" spans="1:26">
      <c r="A297" s="133">
        <v>295</v>
      </c>
      <c r="B297" s="127">
        <f t="shared" si="4"/>
        <v>45983</v>
      </c>
      <c r="C297" s="128">
        <f>YEAR(MC_2[[#This Row],[Date]])+IF(MONTH(MC_2[[#This Row],[Date]])&gt;=4,1,0)</f>
        <v>2026</v>
      </c>
      <c r="D297" s="129">
        <f>YEAR(MC_2[[#This Row],[Date]])</f>
        <v>2025</v>
      </c>
      <c r="E297" s="126" t="s">
        <v>219</v>
      </c>
      <c r="F297" s="126" t="s">
        <v>219</v>
      </c>
      <c r="G297" s="130" t="str">
        <f>TEXT(MC_2[[#This Row],[Date]],"mmm-yy")</f>
        <v>Nov-25</v>
      </c>
      <c r="H297" s="130">
        <f>DAY(EOMONTH(MC_2[[#This Row],[Month Year]],0))</f>
        <v>30</v>
      </c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4">
        <f>SUM(MC_2[[#This Row],[ICR1]:[ICR5]])</f>
        <v>0</v>
      </c>
      <c r="T297" s="133"/>
      <c r="U297" s="133"/>
      <c r="V297" s="133"/>
      <c r="W297" s="133"/>
      <c r="X297" s="133"/>
      <c r="Y297" s="133"/>
      <c r="Z297" s="135"/>
    </row>
    <row r="298" spans="1:26">
      <c r="A298" s="133">
        <v>296</v>
      </c>
      <c r="B298" s="127">
        <f t="shared" si="4"/>
        <v>45984</v>
      </c>
      <c r="C298" s="128">
        <f>YEAR(MC_2[[#This Row],[Date]])+IF(MONTH(MC_2[[#This Row],[Date]])&gt;=4,1,0)</f>
        <v>2026</v>
      </c>
      <c r="D298" s="129">
        <f>YEAR(MC_2[[#This Row],[Date]])</f>
        <v>2025</v>
      </c>
      <c r="E298" s="126" t="s">
        <v>219</v>
      </c>
      <c r="F298" s="126" t="s">
        <v>219</v>
      </c>
      <c r="G298" s="130" t="str">
        <f>TEXT(MC_2[[#This Row],[Date]],"mmm-yy")</f>
        <v>Nov-25</v>
      </c>
      <c r="H298" s="130">
        <f>DAY(EOMONTH(MC_2[[#This Row],[Month Year]],0))</f>
        <v>30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4">
        <f>SUM(MC_2[[#This Row],[ICR1]:[ICR5]])</f>
        <v>0</v>
      </c>
      <c r="T298" s="133"/>
      <c r="U298" s="133"/>
      <c r="V298" s="133"/>
      <c r="W298" s="133"/>
      <c r="X298" s="133"/>
      <c r="Y298" s="133"/>
      <c r="Z298" s="135"/>
    </row>
    <row r="299" spans="1:26">
      <c r="A299" s="133">
        <v>297</v>
      </c>
      <c r="B299" s="127">
        <f t="shared" si="4"/>
        <v>45985</v>
      </c>
      <c r="C299" s="128">
        <f>YEAR(MC_2[[#This Row],[Date]])+IF(MONTH(MC_2[[#This Row],[Date]])&gt;=4,1,0)</f>
        <v>2026</v>
      </c>
      <c r="D299" s="129">
        <f>YEAR(MC_2[[#This Row],[Date]])</f>
        <v>2025</v>
      </c>
      <c r="E299" s="126" t="s">
        <v>219</v>
      </c>
      <c r="F299" s="126" t="s">
        <v>219</v>
      </c>
      <c r="G299" s="130" t="str">
        <f>TEXT(MC_2[[#This Row],[Date]],"mmm-yy")</f>
        <v>Nov-25</v>
      </c>
      <c r="H299" s="130">
        <f>DAY(EOMONTH(MC_2[[#This Row],[Month Year]],0))</f>
        <v>30</v>
      </c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4">
        <f>SUM(MC_2[[#This Row],[ICR1]:[ICR5]])</f>
        <v>0</v>
      </c>
      <c r="T299" s="133"/>
      <c r="U299" s="133"/>
      <c r="V299" s="133"/>
      <c r="W299" s="133"/>
      <c r="X299" s="133"/>
      <c r="Y299" s="133"/>
      <c r="Z299" s="135"/>
    </row>
    <row r="300" spans="1:26">
      <c r="A300" s="133">
        <v>298</v>
      </c>
      <c r="B300" s="127">
        <f t="shared" si="4"/>
        <v>45986</v>
      </c>
      <c r="C300" s="128">
        <f>YEAR(MC_2[[#This Row],[Date]])+IF(MONTH(MC_2[[#This Row],[Date]])&gt;=4,1,0)</f>
        <v>2026</v>
      </c>
      <c r="D300" s="129">
        <f>YEAR(MC_2[[#This Row],[Date]])</f>
        <v>2025</v>
      </c>
      <c r="E300" s="126" t="s">
        <v>219</v>
      </c>
      <c r="F300" s="126" t="s">
        <v>219</v>
      </c>
      <c r="G300" s="130" t="str">
        <f>TEXT(MC_2[[#This Row],[Date]],"mmm-yy")</f>
        <v>Nov-25</v>
      </c>
      <c r="H300" s="130">
        <f>DAY(EOMONTH(MC_2[[#This Row],[Month Year]],0))</f>
        <v>30</v>
      </c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4">
        <f>SUM(MC_2[[#This Row],[ICR1]:[ICR5]])</f>
        <v>0</v>
      </c>
      <c r="T300" s="133"/>
      <c r="U300" s="133"/>
      <c r="V300" s="133"/>
      <c r="W300" s="133"/>
      <c r="X300" s="133"/>
      <c r="Y300" s="133"/>
      <c r="Z300" s="135"/>
    </row>
    <row r="301" spans="1:26">
      <c r="A301" s="133">
        <v>299</v>
      </c>
      <c r="B301" s="127">
        <f t="shared" si="4"/>
        <v>45987</v>
      </c>
      <c r="C301" s="128">
        <f>YEAR(MC_2[[#This Row],[Date]])+IF(MONTH(MC_2[[#This Row],[Date]])&gt;=4,1,0)</f>
        <v>2026</v>
      </c>
      <c r="D301" s="129">
        <f>YEAR(MC_2[[#This Row],[Date]])</f>
        <v>2025</v>
      </c>
      <c r="E301" s="126" t="s">
        <v>219</v>
      </c>
      <c r="F301" s="126" t="s">
        <v>219</v>
      </c>
      <c r="G301" s="130" t="str">
        <f>TEXT(MC_2[[#This Row],[Date]],"mmm-yy")</f>
        <v>Nov-25</v>
      </c>
      <c r="H301" s="130">
        <f>DAY(EOMONTH(MC_2[[#This Row],[Month Year]],0))</f>
        <v>30</v>
      </c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4">
        <f>SUM(MC_2[[#This Row],[ICR1]:[ICR5]])</f>
        <v>0</v>
      </c>
      <c r="T301" s="133"/>
      <c r="U301" s="133"/>
      <c r="V301" s="133"/>
      <c r="W301" s="133"/>
      <c r="X301" s="133"/>
      <c r="Y301" s="133"/>
      <c r="Z301" s="135"/>
    </row>
    <row r="302" spans="1:26">
      <c r="A302" s="133">
        <v>300</v>
      </c>
      <c r="B302" s="127">
        <f t="shared" si="4"/>
        <v>45988</v>
      </c>
      <c r="C302" s="128">
        <f>YEAR(MC_2[[#This Row],[Date]])+IF(MONTH(MC_2[[#This Row],[Date]])&gt;=4,1,0)</f>
        <v>2026</v>
      </c>
      <c r="D302" s="129">
        <f>YEAR(MC_2[[#This Row],[Date]])</f>
        <v>2025</v>
      </c>
      <c r="E302" s="126" t="s">
        <v>219</v>
      </c>
      <c r="F302" s="126" t="s">
        <v>219</v>
      </c>
      <c r="G302" s="130" t="str">
        <f>TEXT(MC_2[[#This Row],[Date]],"mmm-yy")</f>
        <v>Nov-25</v>
      </c>
      <c r="H302" s="130">
        <f>DAY(EOMONTH(MC_2[[#This Row],[Month Year]],0))</f>
        <v>30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4">
        <f>SUM(MC_2[[#This Row],[ICR1]:[ICR5]])</f>
        <v>0</v>
      </c>
      <c r="T302" s="133"/>
      <c r="U302" s="133"/>
      <c r="V302" s="133"/>
      <c r="W302" s="133"/>
      <c r="X302" s="133"/>
      <c r="Y302" s="133"/>
      <c r="Z302" s="135"/>
    </row>
    <row r="303" spans="1:26">
      <c r="A303" s="133">
        <v>301</v>
      </c>
      <c r="B303" s="127">
        <f t="shared" si="4"/>
        <v>45989</v>
      </c>
      <c r="C303" s="128">
        <f>YEAR(MC_2[[#This Row],[Date]])+IF(MONTH(MC_2[[#This Row],[Date]])&gt;=4,1,0)</f>
        <v>2026</v>
      </c>
      <c r="D303" s="129">
        <f>YEAR(MC_2[[#This Row],[Date]])</f>
        <v>2025</v>
      </c>
      <c r="E303" s="126" t="s">
        <v>219</v>
      </c>
      <c r="F303" s="126" t="s">
        <v>219</v>
      </c>
      <c r="G303" s="130" t="str">
        <f>TEXT(MC_2[[#This Row],[Date]],"mmm-yy")</f>
        <v>Nov-25</v>
      </c>
      <c r="H303" s="130">
        <f>DAY(EOMONTH(MC_2[[#This Row],[Month Year]],0))</f>
        <v>30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4">
        <f>SUM(MC_2[[#This Row],[ICR1]:[ICR5]])</f>
        <v>0</v>
      </c>
      <c r="T303" s="133"/>
      <c r="U303" s="133"/>
      <c r="V303" s="133"/>
      <c r="W303" s="133"/>
      <c r="X303" s="133"/>
      <c r="Y303" s="133"/>
      <c r="Z303" s="135"/>
    </row>
    <row r="304" spans="1:26">
      <c r="A304" s="133">
        <v>302</v>
      </c>
      <c r="B304" s="127">
        <f t="shared" si="4"/>
        <v>45990</v>
      </c>
      <c r="C304" s="128">
        <f>YEAR(MC_2[[#This Row],[Date]])+IF(MONTH(MC_2[[#This Row],[Date]])&gt;=4,1,0)</f>
        <v>2026</v>
      </c>
      <c r="D304" s="129">
        <f>YEAR(MC_2[[#This Row],[Date]])</f>
        <v>2025</v>
      </c>
      <c r="E304" s="126" t="s">
        <v>219</v>
      </c>
      <c r="F304" s="126" t="s">
        <v>219</v>
      </c>
      <c r="G304" s="130" t="str">
        <f>TEXT(MC_2[[#This Row],[Date]],"mmm-yy")</f>
        <v>Nov-25</v>
      </c>
      <c r="H304" s="130">
        <f>DAY(EOMONTH(MC_2[[#This Row],[Month Year]],0))</f>
        <v>30</v>
      </c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4">
        <f>SUM(MC_2[[#This Row],[ICR1]:[ICR5]])</f>
        <v>0</v>
      </c>
      <c r="T304" s="133"/>
      <c r="U304" s="133"/>
      <c r="V304" s="133"/>
      <c r="W304" s="133"/>
      <c r="X304" s="133"/>
      <c r="Y304" s="133"/>
      <c r="Z304" s="135"/>
    </row>
    <row r="305" spans="1:26">
      <c r="A305" s="133">
        <v>303</v>
      </c>
      <c r="B305" s="127">
        <f t="shared" si="4"/>
        <v>45991</v>
      </c>
      <c r="C305" s="128">
        <f>YEAR(MC_2[[#This Row],[Date]])+IF(MONTH(MC_2[[#This Row],[Date]])&gt;=4,1,0)</f>
        <v>2026</v>
      </c>
      <c r="D305" s="129">
        <f>YEAR(MC_2[[#This Row],[Date]])</f>
        <v>2025</v>
      </c>
      <c r="E305" s="126" t="s">
        <v>219</v>
      </c>
      <c r="F305" s="126" t="s">
        <v>219</v>
      </c>
      <c r="G305" s="130" t="str">
        <f>TEXT(MC_2[[#This Row],[Date]],"mmm-yy")</f>
        <v>Nov-25</v>
      </c>
      <c r="H305" s="130">
        <f>DAY(EOMONTH(MC_2[[#This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4">
        <f>SUM(MC_2[[#This Row],[ICR1]:[ICR5]])</f>
        <v>0</v>
      </c>
      <c r="T305" s="133"/>
      <c r="U305" s="133"/>
      <c r="V305" s="133"/>
      <c r="W305" s="133"/>
      <c r="X305" s="133"/>
      <c r="Y305" s="133"/>
      <c r="Z305" s="135"/>
    </row>
    <row r="306" spans="1:26">
      <c r="A306" s="133">
        <v>304</v>
      </c>
      <c r="B306" s="127">
        <f t="shared" si="4"/>
        <v>45992</v>
      </c>
      <c r="C306" s="128">
        <f>YEAR(MC_2[[#This Row],[Date]])+IF(MONTH(MC_2[[#This Row],[Date]])&gt;=4,1,0)</f>
        <v>2026</v>
      </c>
      <c r="D306" s="129">
        <f>YEAR(MC_2[[#This Row],[Date]])</f>
        <v>2025</v>
      </c>
      <c r="E306" s="126" t="s">
        <v>219</v>
      </c>
      <c r="F306" s="126" t="s">
        <v>219</v>
      </c>
      <c r="G306" s="130" t="str">
        <f>TEXT(MC_2[[#This Row],[Date]],"mmm-yy")</f>
        <v>Dec-25</v>
      </c>
      <c r="H306" s="130">
        <f>DAY(EOMONTH(MC_2[[#This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4">
        <f>SUM(MC_2[[#This Row],[ICR1]:[ICR5]])</f>
        <v>0</v>
      </c>
      <c r="T306" s="133"/>
      <c r="U306" s="133"/>
      <c r="V306" s="133"/>
      <c r="W306" s="133"/>
      <c r="X306" s="133"/>
      <c r="Y306" s="133"/>
      <c r="Z306" s="135"/>
    </row>
    <row r="307" spans="1:26">
      <c r="A307" s="133">
        <v>305</v>
      </c>
      <c r="B307" s="127">
        <f t="shared" si="4"/>
        <v>45993</v>
      </c>
      <c r="C307" s="128">
        <f>YEAR(MC_2[[#This Row],[Date]])+IF(MONTH(MC_2[[#This Row],[Date]])&gt;=4,1,0)</f>
        <v>2026</v>
      </c>
      <c r="D307" s="129">
        <f>YEAR(MC_2[[#This Row],[Date]])</f>
        <v>2025</v>
      </c>
      <c r="E307" s="126" t="s">
        <v>219</v>
      </c>
      <c r="F307" s="126" t="s">
        <v>219</v>
      </c>
      <c r="G307" s="130" t="str">
        <f>TEXT(MC_2[[#This Row],[Date]],"mmm-yy")</f>
        <v>Dec-25</v>
      </c>
      <c r="H307" s="130">
        <f>DAY(EOMONTH(MC_2[[#This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4">
        <f>SUM(MC_2[[#This Row],[ICR1]:[ICR5]])</f>
        <v>0</v>
      </c>
      <c r="T307" s="133"/>
      <c r="U307" s="133"/>
      <c r="V307" s="133"/>
      <c r="W307" s="133"/>
      <c r="X307" s="133"/>
      <c r="Y307" s="133"/>
      <c r="Z307" s="135"/>
    </row>
    <row r="308" spans="1:26">
      <c r="A308" s="133">
        <v>306</v>
      </c>
      <c r="B308" s="127">
        <f t="shared" si="4"/>
        <v>45994</v>
      </c>
      <c r="C308" s="128">
        <f>YEAR(MC_2[[#This Row],[Date]])+IF(MONTH(MC_2[[#This Row],[Date]])&gt;=4,1,0)</f>
        <v>2026</v>
      </c>
      <c r="D308" s="129">
        <f>YEAR(MC_2[[#This Row],[Date]])</f>
        <v>2025</v>
      </c>
      <c r="E308" s="126" t="s">
        <v>219</v>
      </c>
      <c r="F308" s="126" t="s">
        <v>219</v>
      </c>
      <c r="G308" s="130" t="str">
        <f>TEXT(MC_2[[#This Row],[Date]],"mmm-yy")</f>
        <v>Dec-25</v>
      </c>
      <c r="H308" s="130">
        <f>DAY(EOMONTH(MC_2[[#This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4">
        <f>SUM(MC_2[[#This Row],[ICR1]:[ICR5]])</f>
        <v>0</v>
      </c>
      <c r="T308" s="133"/>
      <c r="U308" s="133"/>
      <c r="V308" s="133"/>
      <c r="W308" s="133"/>
      <c r="X308" s="133"/>
      <c r="Y308" s="133"/>
      <c r="Z308" s="135"/>
    </row>
    <row r="309" spans="1:26">
      <c r="A309" s="133">
        <v>307</v>
      </c>
      <c r="B309" s="127">
        <f t="shared" si="4"/>
        <v>45995</v>
      </c>
      <c r="C309" s="128">
        <f>YEAR(MC_2[[#This Row],[Date]])+IF(MONTH(MC_2[[#This Row],[Date]])&gt;=4,1,0)</f>
        <v>2026</v>
      </c>
      <c r="D309" s="129">
        <f>YEAR(MC_2[[#This Row],[Date]])</f>
        <v>2025</v>
      </c>
      <c r="E309" s="126" t="s">
        <v>219</v>
      </c>
      <c r="F309" s="126" t="s">
        <v>219</v>
      </c>
      <c r="G309" s="130" t="str">
        <f>TEXT(MC_2[[#This Row],[Date]],"mmm-yy")</f>
        <v>Dec-25</v>
      </c>
      <c r="H309" s="130">
        <f>DAY(EOMONTH(MC_2[[#This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4">
        <f>SUM(MC_2[[#This Row],[ICR1]:[ICR5]])</f>
        <v>0</v>
      </c>
      <c r="T309" s="133"/>
      <c r="U309" s="133"/>
      <c r="V309" s="133"/>
      <c r="W309" s="133"/>
      <c r="X309" s="133"/>
      <c r="Y309" s="133"/>
      <c r="Z309" s="135"/>
    </row>
    <row r="310" spans="1:26">
      <c r="A310" s="133">
        <v>308</v>
      </c>
      <c r="B310" s="127">
        <f t="shared" si="4"/>
        <v>45996</v>
      </c>
      <c r="C310" s="128">
        <f>YEAR(MC_2[[#This Row],[Date]])+IF(MONTH(MC_2[[#This Row],[Date]])&gt;=4,1,0)</f>
        <v>2026</v>
      </c>
      <c r="D310" s="129">
        <f>YEAR(MC_2[[#This Row],[Date]])</f>
        <v>2025</v>
      </c>
      <c r="E310" s="126" t="s">
        <v>219</v>
      </c>
      <c r="F310" s="126" t="s">
        <v>219</v>
      </c>
      <c r="G310" s="130" t="str">
        <f>TEXT(MC_2[[#This Row],[Date]],"mmm-yy")</f>
        <v>Dec-25</v>
      </c>
      <c r="H310" s="130">
        <f>DAY(EOMONTH(MC_2[[#This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4">
        <f>SUM(MC_2[[#This Row],[ICR1]:[ICR5]])</f>
        <v>0</v>
      </c>
      <c r="T310" s="133"/>
      <c r="U310" s="133"/>
      <c r="V310" s="133"/>
      <c r="W310" s="133"/>
      <c r="X310" s="133"/>
      <c r="Y310" s="133"/>
      <c r="Z310" s="135"/>
    </row>
    <row r="311" spans="1:26">
      <c r="A311" s="133">
        <v>309</v>
      </c>
      <c r="B311" s="127">
        <f t="shared" si="4"/>
        <v>45997</v>
      </c>
      <c r="C311" s="128">
        <f>YEAR(MC_2[[#This Row],[Date]])+IF(MONTH(MC_2[[#This Row],[Date]])&gt;=4,1,0)</f>
        <v>2026</v>
      </c>
      <c r="D311" s="129">
        <f>YEAR(MC_2[[#This Row],[Date]])</f>
        <v>2025</v>
      </c>
      <c r="E311" s="126" t="s">
        <v>219</v>
      </c>
      <c r="F311" s="126" t="s">
        <v>219</v>
      </c>
      <c r="G311" s="130" t="str">
        <f>TEXT(MC_2[[#This Row],[Date]],"mmm-yy")</f>
        <v>Dec-25</v>
      </c>
      <c r="H311" s="130">
        <f>DAY(EOMONTH(MC_2[[#This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4">
        <f>SUM(MC_2[[#This Row],[ICR1]:[ICR5]])</f>
        <v>0</v>
      </c>
      <c r="T311" s="133"/>
      <c r="U311" s="133"/>
      <c r="V311" s="133"/>
      <c r="W311" s="133"/>
      <c r="X311" s="133"/>
      <c r="Y311" s="133"/>
      <c r="Z311" s="135"/>
    </row>
    <row r="312" spans="1:26">
      <c r="A312" s="133">
        <v>310</v>
      </c>
      <c r="B312" s="127">
        <f t="shared" si="4"/>
        <v>45998</v>
      </c>
      <c r="C312" s="128">
        <f>YEAR(MC_2[[#This Row],[Date]])+IF(MONTH(MC_2[[#This Row],[Date]])&gt;=4,1,0)</f>
        <v>2026</v>
      </c>
      <c r="D312" s="129">
        <f>YEAR(MC_2[[#This Row],[Date]])</f>
        <v>2025</v>
      </c>
      <c r="E312" s="126" t="s">
        <v>219</v>
      </c>
      <c r="F312" s="126" t="s">
        <v>219</v>
      </c>
      <c r="G312" s="130" t="str">
        <f>TEXT(MC_2[[#This Row],[Date]],"mmm-yy")</f>
        <v>Dec-25</v>
      </c>
      <c r="H312" s="130">
        <f>DAY(EOMONTH(MC_2[[#This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4">
        <f>SUM(MC_2[[#This Row],[ICR1]:[ICR5]])</f>
        <v>0</v>
      </c>
      <c r="T312" s="133"/>
      <c r="U312" s="133"/>
      <c r="V312" s="133"/>
      <c r="W312" s="133"/>
      <c r="X312" s="133"/>
      <c r="Y312" s="133"/>
      <c r="Z312" s="135"/>
    </row>
    <row r="313" spans="1:26">
      <c r="A313" s="133">
        <v>311</v>
      </c>
      <c r="B313" s="127">
        <f t="shared" si="4"/>
        <v>45999</v>
      </c>
      <c r="C313" s="128">
        <f>YEAR(MC_2[[#This Row],[Date]])+IF(MONTH(MC_2[[#This Row],[Date]])&gt;=4,1,0)</f>
        <v>2026</v>
      </c>
      <c r="D313" s="129">
        <f>YEAR(MC_2[[#This Row],[Date]])</f>
        <v>2025</v>
      </c>
      <c r="E313" s="126" t="s">
        <v>219</v>
      </c>
      <c r="F313" s="126" t="s">
        <v>219</v>
      </c>
      <c r="G313" s="130" t="str">
        <f>TEXT(MC_2[[#This Row],[Date]],"mmm-yy")</f>
        <v>Dec-25</v>
      </c>
      <c r="H313" s="130">
        <f>DAY(EOMONTH(MC_2[[#This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4">
        <f>SUM(MC_2[[#This Row],[ICR1]:[ICR5]])</f>
        <v>0</v>
      </c>
      <c r="T313" s="133"/>
      <c r="U313" s="133"/>
      <c r="V313" s="133"/>
      <c r="W313" s="133"/>
      <c r="X313" s="133"/>
      <c r="Y313" s="133"/>
      <c r="Z313" s="135"/>
    </row>
    <row r="314" spans="1:26">
      <c r="A314" s="133">
        <v>312</v>
      </c>
      <c r="B314" s="127">
        <f t="shared" si="4"/>
        <v>46000</v>
      </c>
      <c r="C314" s="128">
        <f>YEAR(MC_2[[#This Row],[Date]])+IF(MONTH(MC_2[[#This Row],[Date]])&gt;=4,1,0)</f>
        <v>2026</v>
      </c>
      <c r="D314" s="129">
        <f>YEAR(MC_2[[#This Row],[Date]])</f>
        <v>2025</v>
      </c>
      <c r="E314" s="126" t="s">
        <v>219</v>
      </c>
      <c r="F314" s="126" t="s">
        <v>219</v>
      </c>
      <c r="G314" s="130" t="str">
        <f>TEXT(MC_2[[#This Row],[Date]],"mmm-yy")</f>
        <v>Dec-25</v>
      </c>
      <c r="H314" s="130">
        <f>DAY(EOMONTH(MC_2[[#This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4">
        <f>SUM(MC_2[[#This Row],[ICR1]:[ICR5]])</f>
        <v>0</v>
      </c>
      <c r="T314" s="133"/>
      <c r="U314" s="133"/>
      <c r="V314" s="133"/>
      <c r="W314" s="133"/>
      <c r="X314" s="133"/>
      <c r="Y314" s="133"/>
      <c r="Z314" s="135"/>
    </row>
    <row r="315" spans="1:26">
      <c r="A315" s="133">
        <v>313</v>
      </c>
      <c r="B315" s="127">
        <f t="shared" si="4"/>
        <v>46001</v>
      </c>
      <c r="C315" s="128">
        <f>YEAR(MC_2[[#This Row],[Date]])+IF(MONTH(MC_2[[#This Row],[Date]])&gt;=4,1,0)</f>
        <v>2026</v>
      </c>
      <c r="D315" s="129">
        <f>YEAR(MC_2[[#This Row],[Date]])</f>
        <v>2025</v>
      </c>
      <c r="E315" s="126" t="s">
        <v>219</v>
      </c>
      <c r="F315" s="126" t="s">
        <v>219</v>
      </c>
      <c r="G315" s="130" t="str">
        <f>TEXT(MC_2[[#This Row],[Date]],"mmm-yy")</f>
        <v>Dec-25</v>
      </c>
      <c r="H315" s="130">
        <f>DAY(EOMONTH(MC_2[[#This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4">
        <f>SUM(MC_2[[#This Row],[ICR1]:[ICR5]])</f>
        <v>0</v>
      </c>
      <c r="T315" s="133"/>
      <c r="U315" s="133"/>
      <c r="V315" s="133"/>
      <c r="W315" s="133"/>
      <c r="X315" s="133"/>
      <c r="Y315" s="133"/>
      <c r="Z315" s="135"/>
    </row>
    <row r="316" spans="1:26">
      <c r="A316" s="133">
        <v>314</v>
      </c>
      <c r="B316" s="127">
        <f t="shared" si="4"/>
        <v>46002</v>
      </c>
      <c r="C316" s="128">
        <f>YEAR(MC_2[[#This Row],[Date]])+IF(MONTH(MC_2[[#This Row],[Date]])&gt;=4,1,0)</f>
        <v>2026</v>
      </c>
      <c r="D316" s="129">
        <f>YEAR(MC_2[[#This Row],[Date]])</f>
        <v>2025</v>
      </c>
      <c r="E316" s="126" t="s">
        <v>219</v>
      </c>
      <c r="F316" s="126" t="s">
        <v>219</v>
      </c>
      <c r="G316" s="130" t="str">
        <f>TEXT(MC_2[[#This Row],[Date]],"mmm-yy")</f>
        <v>Dec-25</v>
      </c>
      <c r="H316" s="130">
        <f>DAY(EOMONTH(MC_2[[#This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4">
        <f>SUM(MC_2[[#This Row],[ICR1]:[ICR5]])</f>
        <v>0</v>
      </c>
      <c r="T316" s="133"/>
      <c r="U316" s="133"/>
      <c r="V316" s="133"/>
      <c r="W316" s="133"/>
      <c r="X316" s="133"/>
      <c r="Y316" s="133"/>
      <c r="Z316" s="135"/>
    </row>
    <row r="317" spans="1:26">
      <c r="A317" s="133">
        <v>315</v>
      </c>
      <c r="B317" s="127">
        <f t="shared" si="4"/>
        <v>46003</v>
      </c>
      <c r="C317" s="128">
        <f>YEAR(MC_2[[#This Row],[Date]])+IF(MONTH(MC_2[[#This Row],[Date]])&gt;=4,1,0)</f>
        <v>2026</v>
      </c>
      <c r="D317" s="129">
        <f>YEAR(MC_2[[#This Row],[Date]])</f>
        <v>2025</v>
      </c>
      <c r="E317" s="126" t="s">
        <v>219</v>
      </c>
      <c r="F317" s="126" t="s">
        <v>219</v>
      </c>
      <c r="G317" s="130" t="str">
        <f>TEXT(MC_2[[#This Row],[Date]],"mmm-yy")</f>
        <v>Dec-25</v>
      </c>
      <c r="H317" s="130">
        <f>DAY(EOMONTH(MC_2[[#This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4">
        <f>SUM(MC_2[[#This Row],[ICR1]:[ICR5]])</f>
        <v>0</v>
      </c>
      <c r="T317" s="133"/>
      <c r="U317" s="133"/>
      <c r="V317" s="133"/>
      <c r="W317" s="133"/>
      <c r="X317" s="133"/>
      <c r="Y317" s="133"/>
      <c r="Z317" s="135"/>
    </row>
    <row r="318" spans="1:26">
      <c r="A318" s="133">
        <v>316</v>
      </c>
      <c r="B318" s="127">
        <f t="shared" si="4"/>
        <v>46004</v>
      </c>
      <c r="C318" s="128">
        <f>YEAR(MC_2[[#This Row],[Date]])+IF(MONTH(MC_2[[#This Row],[Date]])&gt;=4,1,0)</f>
        <v>2026</v>
      </c>
      <c r="D318" s="129">
        <f>YEAR(MC_2[[#This Row],[Date]])</f>
        <v>2025</v>
      </c>
      <c r="E318" s="126" t="s">
        <v>219</v>
      </c>
      <c r="F318" s="126" t="s">
        <v>219</v>
      </c>
      <c r="G318" s="130" t="str">
        <f>TEXT(MC_2[[#This Row],[Date]],"mmm-yy")</f>
        <v>Dec-25</v>
      </c>
      <c r="H318" s="130">
        <f>DAY(EOMONTH(MC_2[[#This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4">
        <f>SUM(MC_2[[#This Row],[ICR1]:[ICR5]])</f>
        <v>0</v>
      </c>
      <c r="T318" s="133"/>
      <c r="U318" s="133"/>
      <c r="V318" s="133"/>
      <c r="W318" s="133"/>
      <c r="X318" s="133"/>
      <c r="Y318" s="133"/>
      <c r="Z318" s="135"/>
    </row>
    <row r="319" spans="1:26">
      <c r="A319" s="133">
        <v>317</v>
      </c>
      <c r="B319" s="127">
        <f t="shared" si="4"/>
        <v>46005</v>
      </c>
      <c r="C319" s="128">
        <f>YEAR(MC_2[[#This Row],[Date]])+IF(MONTH(MC_2[[#This Row],[Date]])&gt;=4,1,0)</f>
        <v>2026</v>
      </c>
      <c r="D319" s="129">
        <f>YEAR(MC_2[[#This Row],[Date]])</f>
        <v>2025</v>
      </c>
      <c r="E319" s="126" t="s">
        <v>219</v>
      </c>
      <c r="F319" s="126" t="s">
        <v>219</v>
      </c>
      <c r="G319" s="130" t="str">
        <f>TEXT(MC_2[[#This Row],[Date]],"mmm-yy")</f>
        <v>Dec-25</v>
      </c>
      <c r="H319" s="130">
        <f>DAY(EOMONTH(MC_2[[#This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4">
        <f>SUM(MC_2[[#This Row],[ICR1]:[ICR5]])</f>
        <v>0</v>
      </c>
      <c r="T319" s="133"/>
      <c r="U319" s="133"/>
      <c r="V319" s="133"/>
      <c r="W319" s="133"/>
      <c r="X319" s="133"/>
      <c r="Y319" s="133"/>
      <c r="Z319" s="135"/>
    </row>
    <row r="320" spans="1:26">
      <c r="A320" s="133">
        <v>318</v>
      </c>
      <c r="B320" s="127">
        <f t="shared" si="4"/>
        <v>46006</v>
      </c>
      <c r="C320" s="128">
        <f>YEAR(MC_2[[#This Row],[Date]])+IF(MONTH(MC_2[[#This Row],[Date]])&gt;=4,1,0)</f>
        <v>2026</v>
      </c>
      <c r="D320" s="129">
        <f>YEAR(MC_2[[#This Row],[Date]])</f>
        <v>2025</v>
      </c>
      <c r="E320" s="126" t="s">
        <v>219</v>
      </c>
      <c r="F320" s="126" t="s">
        <v>219</v>
      </c>
      <c r="G320" s="130" t="str">
        <f>TEXT(MC_2[[#This Row],[Date]],"mmm-yy")</f>
        <v>Dec-25</v>
      </c>
      <c r="H320" s="130">
        <f>DAY(EOMONTH(MC_2[[#This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4">
        <f>SUM(MC_2[[#This Row],[ICR1]:[ICR5]])</f>
        <v>0</v>
      </c>
      <c r="T320" s="133"/>
      <c r="U320" s="133"/>
      <c r="V320" s="133"/>
      <c r="W320" s="133"/>
      <c r="X320" s="133"/>
      <c r="Y320" s="133"/>
      <c r="Z320" s="135"/>
    </row>
    <row r="321" spans="1:26">
      <c r="A321" s="133">
        <v>319</v>
      </c>
      <c r="B321" s="127">
        <f t="shared" si="4"/>
        <v>46007</v>
      </c>
      <c r="C321" s="128">
        <f>YEAR(MC_2[[#This Row],[Date]])+IF(MONTH(MC_2[[#This Row],[Date]])&gt;=4,1,0)</f>
        <v>2026</v>
      </c>
      <c r="D321" s="129">
        <f>YEAR(MC_2[[#This Row],[Date]])</f>
        <v>2025</v>
      </c>
      <c r="E321" s="126" t="s">
        <v>219</v>
      </c>
      <c r="F321" s="126" t="s">
        <v>219</v>
      </c>
      <c r="G321" s="130" t="str">
        <f>TEXT(MC_2[[#This Row],[Date]],"mmm-yy")</f>
        <v>Dec-25</v>
      </c>
      <c r="H321" s="130">
        <f>DAY(EOMONTH(MC_2[[#This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4">
        <f>SUM(MC_2[[#This Row],[ICR1]:[ICR5]])</f>
        <v>0</v>
      </c>
      <c r="T321" s="133"/>
      <c r="U321" s="133"/>
      <c r="V321" s="133"/>
      <c r="W321" s="133"/>
      <c r="X321" s="133"/>
      <c r="Y321" s="133"/>
      <c r="Z321" s="135"/>
    </row>
    <row r="322" spans="1:26">
      <c r="A322" s="133">
        <v>320</v>
      </c>
      <c r="B322" s="127">
        <f t="shared" si="4"/>
        <v>46008</v>
      </c>
      <c r="C322" s="128">
        <f>YEAR(MC_2[[#This Row],[Date]])+IF(MONTH(MC_2[[#This Row],[Date]])&gt;=4,1,0)</f>
        <v>2026</v>
      </c>
      <c r="D322" s="129">
        <f>YEAR(MC_2[[#This Row],[Date]])</f>
        <v>2025</v>
      </c>
      <c r="E322" s="126" t="s">
        <v>219</v>
      </c>
      <c r="F322" s="126" t="s">
        <v>219</v>
      </c>
      <c r="G322" s="130" t="str">
        <f>TEXT(MC_2[[#This Row],[Date]],"mmm-yy")</f>
        <v>Dec-25</v>
      </c>
      <c r="H322" s="130">
        <f>DAY(EOMONTH(MC_2[[#This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4">
        <f>SUM(MC_2[[#This Row],[ICR1]:[ICR5]])</f>
        <v>0</v>
      </c>
      <c r="T322" s="133"/>
      <c r="U322" s="133"/>
      <c r="V322" s="133"/>
      <c r="W322" s="133"/>
      <c r="X322" s="133"/>
      <c r="Y322" s="133"/>
      <c r="Z322" s="135"/>
    </row>
    <row r="323" spans="1:26">
      <c r="A323" s="133">
        <v>321</v>
      </c>
      <c r="B323" s="127">
        <f t="shared" si="4"/>
        <v>46009</v>
      </c>
      <c r="C323" s="128">
        <f>YEAR(MC_2[[#This Row],[Date]])+IF(MONTH(MC_2[[#This Row],[Date]])&gt;=4,1,0)</f>
        <v>2026</v>
      </c>
      <c r="D323" s="129">
        <f>YEAR(MC_2[[#This Row],[Date]])</f>
        <v>2025</v>
      </c>
      <c r="E323" s="126" t="s">
        <v>219</v>
      </c>
      <c r="F323" s="126" t="s">
        <v>219</v>
      </c>
      <c r="G323" s="130" t="str">
        <f>TEXT(MC_2[[#This Row],[Date]],"mmm-yy")</f>
        <v>Dec-25</v>
      </c>
      <c r="H323" s="130">
        <f>DAY(EOMONTH(MC_2[[#This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4">
        <f>SUM(MC_2[[#This Row],[ICR1]:[ICR5]])</f>
        <v>0</v>
      </c>
      <c r="T323" s="133"/>
      <c r="U323" s="133"/>
      <c r="V323" s="133"/>
      <c r="W323" s="133"/>
      <c r="X323" s="133"/>
      <c r="Y323" s="133"/>
      <c r="Z323" s="135"/>
    </row>
    <row r="324" spans="1:26">
      <c r="A324" s="133">
        <v>322</v>
      </c>
      <c r="B324" s="127">
        <f t="shared" si="4"/>
        <v>46010</v>
      </c>
      <c r="C324" s="128">
        <f>YEAR(MC_2[[#This Row],[Date]])+IF(MONTH(MC_2[[#This Row],[Date]])&gt;=4,1,0)</f>
        <v>2026</v>
      </c>
      <c r="D324" s="129">
        <f>YEAR(MC_2[[#This Row],[Date]])</f>
        <v>2025</v>
      </c>
      <c r="E324" s="126" t="s">
        <v>219</v>
      </c>
      <c r="F324" s="126" t="s">
        <v>219</v>
      </c>
      <c r="G324" s="130" t="str">
        <f>TEXT(MC_2[[#This Row],[Date]],"mmm-yy")</f>
        <v>Dec-25</v>
      </c>
      <c r="H324" s="130">
        <f>DAY(EOMONTH(MC_2[[#This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4">
        <f>SUM(MC_2[[#This Row],[ICR1]:[ICR5]])</f>
        <v>0</v>
      </c>
      <c r="T324" s="133"/>
      <c r="U324" s="133"/>
      <c r="V324" s="133"/>
      <c r="W324" s="133"/>
      <c r="X324" s="133"/>
      <c r="Y324" s="133"/>
      <c r="Z324" s="135"/>
    </row>
    <row r="325" spans="1:26">
      <c r="A325" s="133">
        <v>323</v>
      </c>
      <c r="B325" s="127">
        <f t="shared" ref="B325:B388" si="5">B324+1</f>
        <v>46011</v>
      </c>
      <c r="C325" s="128">
        <f>YEAR(MC_2[[#This Row],[Date]])+IF(MONTH(MC_2[[#This Row],[Date]])&gt;=4,1,0)</f>
        <v>2026</v>
      </c>
      <c r="D325" s="129">
        <f>YEAR(MC_2[[#This Row],[Date]])</f>
        <v>2025</v>
      </c>
      <c r="E325" s="126" t="s">
        <v>219</v>
      </c>
      <c r="F325" s="126" t="s">
        <v>219</v>
      </c>
      <c r="G325" s="130" t="str">
        <f>TEXT(MC_2[[#This Row],[Date]],"mmm-yy")</f>
        <v>Dec-25</v>
      </c>
      <c r="H325" s="130">
        <f>DAY(EOMONTH(MC_2[[#This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4">
        <f>SUM(MC_2[[#This Row],[ICR1]:[ICR5]])</f>
        <v>0</v>
      </c>
      <c r="T325" s="133"/>
      <c r="U325" s="133"/>
      <c r="V325" s="133"/>
      <c r="W325" s="133"/>
      <c r="X325" s="133"/>
      <c r="Y325" s="133"/>
      <c r="Z325" s="135"/>
    </row>
    <row r="326" spans="1:26">
      <c r="A326" s="133">
        <v>324</v>
      </c>
      <c r="B326" s="127">
        <f t="shared" si="5"/>
        <v>46012</v>
      </c>
      <c r="C326" s="128">
        <f>YEAR(MC_2[[#This Row],[Date]])+IF(MONTH(MC_2[[#This Row],[Date]])&gt;=4,1,0)</f>
        <v>2026</v>
      </c>
      <c r="D326" s="129">
        <f>YEAR(MC_2[[#This Row],[Date]])</f>
        <v>2025</v>
      </c>
      <c r="E326" s="126" t="s">
        <v>219</v>
      </c>
      <c r="F326" s="126" t="s">
        <v>219</v>
      </c>
      <c r="G326" s="130" t="str">
        <f>TEXT(MC_2[[#This Row],[Date]],"mmm-yy")</f>
        <v>Dec-25</v>
      </c>
      <c r="H326" s="130">
        <f>DAY(EOMONTH(MC_2[[#This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4">
        <f>SUM(MC_2[[#This Row],[ICR1]:[ICR5]])</f>
        <v>0</v>
      </c>
      <c r="T326" s="133"/>
      <c r="U326" s="133"/>
      <c r="V326" s="133"/>
      <c r="W326" s="133"/>
      <c r="X326" s="133"/>
      <c r="Y326" s="133"/>
      <c r="Z326" s="135"/>
    </row>
    <row r="327" spans="1:26">
      <c r="A327" s="133">
        <v>325</v>
      </c>
      <c r="B327" s="127">
        <f t="shared" si="5"/>
        <v>46013</v>
      </c>
      <c r="C327" s="128">
        <f>YEAR(MC_2[[#This Row],[Date]])+IF(MONTH(MC_2[[#This Row],[Date]])&gt;=4,1,0)</f>
        <v>2026</v>
      </c>
      <c r="D327" s="129">
        <f>YEAR(MC_2[[#This Row],[Date]])</f>
        <v>2025</v>
      </c>
      <c r="E327" s="126" t="s">
        <v>219</v>
      </c>
      <c r="F327" s="126" t="s">
        <v>219</v>
      </c>
      <c r="G327" s="130" t="str">
        <f>TEXT(MC_2[[#This Row],[Date]],"mmm-yy")</f>
        <v>Dec-25</v>
      </c>
      <c r="H327" s="130">
        <f>DAY(EOMONTH(MC_2[[#This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4">
        <f>SUM(MC_2[[#This Row],[ICR1]:[ICR5]])</f>
        <v>0</v>
      </c>
      <c r="T327" s="133"/>
      <c r="U327" s="133"/>
      <c r="V327" s="133"/>
      <c r="W327" s="133"/>
      <c r="X327" s="133"/>
      <c r="Y327" s="133"/>
      <c r="Z327" s="135"/>
    </row>
    <row r="328" spans="1:26">
      <c r="A328" s="133">
        <v>326</v>
      </c>
      <c r="B328" s="127">
        <f t="shared" si="5"/>
        <v>46014</v>
      </c>
      <c r="C328" s="128">
        <f>YEAR(MC_2[[#This Row],[Date]])+IF(MONTH(MC_2[[#This Row],[Date]])&gt;=4,1,0)</f>
        <v>2026</v>
      </c>
      <c r="D328" s="129">
        <f>YEAR(MC_2[[#This Row],[Date]])</f>
        <v>2025</v>
      </c>
      <c r="E328" s="126" t="s">
        <v>219</v>
      </c>
      <c r="F328" s="126" t="s">
        <v>219</v>
      </c>
      <c r="G328" s="130" t="str">
        <f>TEXT(MC_2[[#This Row],[Date]],"mmm-yy")</f>
        <v>Dec-25</v>
      </c>
      <c r="H328" s="130">
        <f>DAY(EOMONTH(MC_2[[#This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4">
        <f>SUM(MC_2[[#This Row],[ICR1]:[ICR5]])</f>
        <v>0</v>
      </c>
      <c r="T328" s="133"/>
      <c r="U328" s="133"/>
      <c r="V328" s="133"/>
      <c r="W328" s="133"/>
      <c r="X328" s="133"/>
      <c r="Y328" s="133"/>
      <c r="Z328" s="135"/>
    </row>
    <row r="329" spans="1:26">
      <c r="A329" s="133">
        <v>327</v>
      </c>
      <c r="B329" s="127">
        <f t="shared" si="5"/>
        <v>46015</v>
      </c>
      <c r="C329" s="128">
        <f>YEAR(MC_2[[#This Row],[Date]])+IF(MONTH(MC_2[[#This Row],[Date]])&gt;=4,1,0)</f>
        <v>2026</v>
      </c>
      <c r="D329" s="129">
        <f>YEAR(MC_2[[#This Row],[Date]])</f>
        <v>2025</v>
      </c>
      <c r="E329" s="126" t="s">
        <v>219</v>
      </c>
      <c r="F329" s="126" t="s">
        <v>219</v>
      </c>
      <c r="G329" s="130" t="str">
        <f>TEXT(MC_2[[#This Row],[Date]],"mmm-yy")</f>
        <v>Dec-25</v>
      </c>
      <c r="H329" s="130">
        <f>DAY(EOMONTH(MC_2[[#This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4">
        <f>SUM(MC_2[[#This Row],[ICR1]:[ICR5]])</f>
        <v>0</v>
      </c>
      <c r="T329" s="133"/>
      <c r="U329" s="133"/>
      <c r="V329" s="133"/>
      <c r="W329" s="133"/>
      <c r="X329" s="133"/>
      <c r="Y329" s="133"/>
      <c r="Z329" s="135"/>
    </row>
    <row r="330" spans="1:26">
      <c r="A330" s="133">
        <v>328</v>
      </c>
      <c r="B330" s="127">
        <f t="shared" si="5"/>
        <v>46016</v>
      </c>
      <c r="C330" s="128">
        <f>YEAR(MC_2[[#This Row],[Date]])+IF(MONTH(MC_2[[#This Row],[Date]])&gt;=4,1,0)</f>
        <v>2026</v>
      </c>
      <c r="D330" s="129">
        <f>YEAR(MC_2[[#This Row],[Date]])</f>
        <v>2025</v>
      </c>
      <c r="E330" s="126" t="s">
        <v>219</v>
      </c>
      <c r="F330" s="126" t="s">
        <v>219</v>
      </c>
      <c r="G330" s="130" t="str">
        <f>TEXT(MC_2[[#This Row],[Date]],"mmm-yy")</f>
        <v>Dec-25</v>
      </c>
      <c r="H330" s="130">
        <f>DAY(EOMONTH(MC_2[[#This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4">
        <f>SUM(MC_2[[#This Row],[ICR1]:[ICR5]])</f>
        <v>0</v>
      </c>
      <c r="T330" s="133"/>
      <c r="U330" s="133"/>
      <c r="V330" s="133"/>
      <c r="W330" s="133"/>
      <c r="X330" s="133"/>
      <c r="Y330" s="133"/>
      <c r="Z330" s="135"/>
    </row>
    <row r="331" spans="1:26">
      <c r="A331" s="133">
        <v>329</v>
      </c>
      <c r="B331" s="127">
        <f t="shared" si="5"/>
        <v>46017</v>
      </c>
      <c r="C331" s="128">
        <f>YEAR(MC_2[[#This Row],[Date]])+IF(MONTH(MC_2[[#This Row],[Date]])&gt;=4,1,0)</f>
        <v>2026</v>
      </c>
      <c r="D331" s="129">
        <f>YEAR(MC_2[[#This Row],[Date]])</f>
        <v>2025</v>
      </c>
      <c r="E331" s="126" t="s">
        <v>219</v>
      </c>
      <c r="F331" s="126" t="s">
        <v>219</v>
      </c>
      <c r="G331" s="130" t="str">
        <f>TEXT(MC_2[[#This Row],[Date]],"mmm-yy")</f>
        <v>Dec-25</v>
      </c>
      <c r="H331" s="130">
        <f>DAY(EOMONTH(MC_2[[#This Row],[Month Year]],0))</f>
        <v>31</v>
      </c>
      <c r="I331" s="133">
        <v>2</v>
      </c>
      <c r="J331" s="133">
        <v>2</v>
      </c>
      <c r="K331" s="133">
        <v>464</v>
      </c>
      <c r="L331" s="133">
        <v>0</v>
      </c>
      <c r="M331" s="133">
        <v>0</v>
      </c>
      <c r="N331" s="133">
        <v>0</v>
      </c>
      <c r="O331" s="133">
        <v>0</v>
      </c>
      <c r="P331" s="133"/>
      <c r="Q331" s="133"/>
      <c r="R331" s="133"/>
      <c r="S331" s="4">
        <f>SUM(MC_2[[#This Row],[ICR1]:[ICR5]])</f>
        <v>464</v>
      </c>
      <c r="T331" s="133"/>
      <c r="U331" s="133"/>
      <c r="V331" s="134">
        <v>0.625</v>
      </c>
      <c r="W331" s="134">
        <v>0.75</v>
      </c>
      <c r="X331" s="133" t="s">
        <v>421</v>
      </c>
      <c r="Y331" s="133"/>
      <c r="Z331" s="135"/>
    </row>
    <row r="332" spans="1:26">
      <c r="A332" s="133">
        <v>330</v>
      </c>
      <c r="B332" s="127">
        <f t="shared" si="5"/>
        <v>46018</v>
      </c>
      <c r="C332" s="128">
        <f>YEAR(MC_2[[#This Row],[Date]])+IF(MONTH(MC_2[[#This Row],[Date]])&gt;=4,1,0)</f>
        <v>2026</v>
      </c>
      <c r="D332" s="129">
        <f>YEAR(MC_2[[#This Row],[Date]])</f>
        <v>2025</v>
      </c>
      <c r="E332" s="126" t="s">
        <v>219</v>
      </c>
      <c r="F332" s="126" t="s">
        <v>219</v>
      </c>
      <c r="G332" s="130" t="str">
        <f>TEXT(MC_2[[#This Row],[Date]],"mmm-yy")</f>
        <v>Dec-25</v>
      </c>
      <c r="H332" s="130">
        <f>DAY(EOMONTH(MC_2[[#This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4">
        <f>SUM(MC_2[[#This Row],[ICR1]:[ICR5]])</f>
        <v>0</v>
      </c>
      <c r="T332" s="133"/>
      <c r="U332" s="133"/>
      <c r="V332" s="133"/>
      <c r="W332" s="133"/>
      <c r="X332" s="133"/>
      <c r="Y332" s="133"/>
      <c r="Z332" s="135"/>
    </row>
    <row r="333" spans="1:26">
      <c r="A333" s="133">
        <v>331</v>
      </c>
      <c r="B333" s="127">
        <f t="shared" si="5"/>
        <v>46019</v>
      </c>
      <c r="C333" s="128">
        <f>YEAR(MC_2[[#This Row],[Date]])+IF(MONTH(MC_2[[#This Row],[Date]])&gt;=4,1,0)</f>
        <v>2026</v>
      </c>
      <c r="D333" s="129">
        <f>YEAR(MC_2[[#This Row],[Date]])</f>
        <v>2025</v>
      </c>
      <c r="E333" s="126" t="s">
        <v>219</v>
      </c>
      <c r="F333" s="126" t="s">
        <v>219</v>
      </c>
      <c r="G333" s="130" t="str">
        <f>TEXT(MC_2[[#This Row],[Date]],"mmm-yy")</f>
        <v>Dec-25</v>
      </c>
      <c r="H333" s="130">
        <f>DAY(EOMONTH(MC_2[[#This Row],[Month Year]],0))</f>
        <v>31</v>
      </c>
      <c r="I333" s="133">
        <v>2</v>
      </c>
      <c r="J333" s="133">
        <v>5</v>
      </c>
      <c r="K333" s="133">
        <v>2088</v>
      </c>
      <c r="L333" s="133">
        <v>0</v>
      </c>
      <c r="M333" s="133">
        <v>0</v>
      </c>
      <c r="N333" s="133">
        <v>0</v>
      </c>
      <c r="O333" s="133">
        <v>0</v>
      </c>
      <c r="P333" s="133"/>
      <c r="Q333" s="133"/>
      <c r="R333" s="133"/>
      <c r="S333" s="4">
        <f>SUM(MC_2[[#This Row],[ICR1]:[ICR5]])</f>
        <v>2088</v>
      </c>
      <c r="T333" s="134">
        <v>0.16666666666666666</v>
      </c>
      <c r="U333" s="134">
        <v>0.45833333333333331</v>
      </c>
      <c r="V333" s="133"/>
      <c r="W333" s="133"/>
      <c r="X333" s="133" t="s">
        <v>421</v>
      </c>
      <c r="Y333" s="133"/>
      <c r="Z333" s="135"/>
    </row>
    <row r="334" spans="1:26">
      <c r="A334" s="133">
        <v>332</v>
      </c>
      <c r="B334" s="127">
        <f t="shared" si="5"/>
        <v>46020</v>
      </c>
      <c r="C334" s="128">
        <f>YEAR(MC_2[[#This Row],[Date]])+IF(MONTH(MC_2[[#This Row],[Date]])&gt;=4,1,0)</f>
        <v>2026</v>
      </c>
      <c r="D334" s="129">
        <f>YEAR(MC_2[[#This Row],[Date]])</f>
        <v>2025</v>
      </c>
      <c r="E334" s="126" t="s">
        <v>219</v>
      </c>
      <c r="F334" s="126" t="s">
        <v>219</v>
      </c>
      <c r="G334" s="130" t="str">
        <f>TEXT(MC_2[[#This Row],[Date]],"mmm-yy")</f>
        <v>Dec-25</v>
      </c>
      <c r="H334" s="130">
        <f>DAY(EOMONTH(MC_2[[#This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4">
        <f>SUM(MC_2[[#This Row],[ICR1]:[ICR5]])</f>
        <v>0</v>
      </c>
      <c r="T334" s="133"/>
      <c r="U334" s="133"/>
      <c r="V334" s="133"/>
      <c r="W334" s="133"/>
      <c r="X334" s="133"/>
      <c r="Y334" s="133"/>
      <c r="Z334" s="135"/>
    </row>
    <row r="335" spans="1:26">
      <c r="A335" s="133">
        <v>333</v>
      </c>
      <c r="B335" s="127">
        <f t="shared" si="5"/>
        <v>46021</v>
      </c>
      <c r="C335" s="128">
        <f>YEAR(MC_2[[#This Row],[Date]])+IF(MONTH(MC_2[[#This Row],[Date]])&gt;=4,1,0)</f>
        <v>2026</v>
      </c>
      <c r="D335" s="129">
        <f>YEAR(MC_2[[#This Row],[Date]])</f>
        <v>2025</v>
      </c>
      <c r="E335" s="126" t="s">
        <v>219</v>
      </c>
      <c r="F335" s="126" t="s">
        <v>219</v>
      </c>
      <c r="G335" s="130" t="str">
        <f>TEXT(MC_2[[#This Row],[Date]],"mmm-yy")</f>
        <v>Dec-25</v>
      </c>
      <c r="H335" s="130">
        <f>DAY(EOMONTH(MC_2[[#This Row],[Month Year]],0))</f>
        <v>31</v>
      </c>
      <c r="I335" s="133">
        <v>2</v>
      </c>
      <c r="J335" s="133">
        <v>5</v>
      </c>
      <c r="K335" s="133">
        <v>2088</v>
      </c>
      <c r="L335" s="133">
        <v>0</v>
      </c>
      <c r="M335" s="133">
        <v>0</v>
      </c>
      <c r="N335" s="133">
        <v>0</v>
      </c>
      <c r="O335" s="133">
        <v>0</v>
      </c>
      <c r="P335" s="133"/>
      <c r="Q335" s="133"/>
      <c r="R335" s="133"/>
      <c r="S335" s="4">
        <f>SUM(MC_2[[#This Row],[ICR1]:[ICR5]])</f>
        <v>2088</v>
      </c>
      <c r="T335" s="134">
        <v>0.16666666666666666</v>
      </c>
      <c r="U335" s="134">
        <v>0.45833333333333331</v>
      </c>
      <c r="V335" s="133"/>
      <c r="W335" s="133"/>
      <c r="X335" s="133" t="s">
        <v>421</v>
      </c>
      <c r="Y335" s="133"/>
      <c r="Z335" s="135"/>
    </row>
    <row r="336" spans="1:26">
      <c r="A336" s="133">
        <v>334</v>
      </c>
      <c r="B336" s="127">
        <f t="shared" si="5"/>
        <v>46022</v>
      </c>
      <c r="C336" s="128">
        <f>YEAR(MC_2[[#This Row],[Date]])+IF(MONTH(MC_2[[#This Row],[Date]])&gt;=4,1,0)</f>
        <v>2026</v>
      </c>
      <c r="D336" s="129">
        <f>YEAR(MC_2[[#This Row],[Date]])</f>
        <v>2025</v>
      </c>
      <c r="E336" s="126" t="s">
        <v>219</v>
      </c>
      <c r="F336" s="126" t="s">
        <v>219</v>
      </c>
      <c r="G336" s="130" t="str">
        <f>TEXT(MC_2[[#This Row],[Date]],"mmm-yy")</f>
        <v>Dec-25</v>
      </c>
      <c r="H336" s="130">
        <f>DAY(EOMONTH(MC_2[[#This Row],[Month Year]],0))</f>
        <v>31</v>
      </c>
      <c r="I336" s="133">
        <v>2</v>
      </c>
      <c r="J336" s="133">
        <v>5</v>
      </c>
      <c r="K336" s="133">
        <v>1392</v>
      </c>
      <c r="L336" s="133">
        <v>0</v>
      </c>
      <c r="M336" s="133">
        <v>0</v>
      </c>
      <c r="N336" s="133">
        <v>0</v>
      </c>
      <c r="O336" s="133">
        <v>0</v>
      </c>
      <c r="P336" s="133"/>
      <c r="Q336" s="133"/>
      <c r="R336" s="133"/>
      <c r="S336" s="4">
        <f>SUM(MC_2[[#This Row],[ICR1]:[ICR5]])</f>
        <v>1392</v>
      </c>
      <c r="T336" s="133"/>
      <c r="U336" s="133"/>
      <c r="V336" s="134">
        <v>0.625</v>
      </c>
      <c r="W336" s="134">
        <v>0.75</v>
      </c>
      <c r="X336" s="133" t="s">
        <v>421</v>
      </c>
      <c r="Y336" s="133"/>
      <c r="Z336" s="135"/>
    </row>
    <row r="337" spans="1:26">
      <c r="A337" s="133">
        <v>335</v>
      </c>
      <c r="B337" s="127">
        <f t="shared" si="5"/>
        <v>46023</v>
      </c>
      <c r="C337" s="128">
        <f>YEAR(MC_2[[#This Row],[Date]])+IF(MONTH(MC_2[[#This Row],[Date]])&gt;=4,1,0)</f>
        <v>2026</v>
      </c>
      <c r="D337" s="129">
        <f>YEAR(MC_2[[#This Row],[Date]])</f>
        <v>2026</v>
      </c>
      <c r="E337" s="126" t="s">
        <v>219</v>
      </c>
      <c r="F337" s="126" t="s">
        <v>219</v>
      </c>
      <c r="G337" s="130" t="str">
        <f>TEXT(MC_2[[#This Row],[Date]],"mmm-yy")</f>
        <v>Jan-26</v>
      </c>
      <c r="H337" s="130">
        <f>DAY(EOMONTH(MC_2[[#This Row],[Month Year]],0))</f>
        <v>31</v>
      </c>
      <c r="I337" s="133">
        <v>2</v>
      </c>
      <c r="J337" s="133">
        <v>5</v>
      </c>
      <c r="K337" s="133">
        <v>0</v>
      </c>
      <c r="L337" s="133">
        <v>0</v>
      </c>
      <c r="M337" s="133">
        <v>754</v>
      </c>
      <c r="N337" s="133">
        <v>0</v>
      </c>
      <c r="O337" s="133">
        <v>0</v>
      </c>
      <c r="P337" s="133">
        <v>2436</v>
      </c>
      <c r="Q337" s="133"/>
      <c r="R337" s="133"/>
      <c r="S337" s="4">
        <f>SUM(MC_2[[#This Row],[ICR1]:[ICR6]])</f>
        <v>3190</v>
      </c>
      <c r="T337" s="134">
        <v>0.25</v>
      </c>
      <c r="U337" s="134">
        <v>0.54166666666666663</v>
      </c>
      <c r="V337" s="134">
        <v>0.58333333333333337</v>
      </c>
      <c r="W337" s="134">
        <v>0.625</v>
      </c>
      <c r="X337" s="133" t="s">
        <v>421</v>
      </c>
      <c r="Y337" s="133"/>
      <c r="Z337" s="135"/>
    </row>
    <row r="338" spans="1:26">
      <c r="A338" s="133">
        <v>336</v>
      </c>
      <c r="B338" s="127">
        <f t="shared" si="5"/>
        <v>46024</v>
      </c>
      <c r="C338" s="128">
        <f>YEAR(MC_2[[#This Row],[Date]])+IF(MONTH(MC_2[[#This Row],[Date]])&gt;=4,1,0)</f>
        <v>2026</v>
      </c>
      <c r="D338" s="129">
        <f>YEAR(MC_2[[#This Row],[Date]])</f>
        <v>2026</v>
      </c>
      <c r="E338" s="126" t="s">
        <v>219</v>
      </c>
      <c r="F338" s="126" t="s">
        <v>219</v>
      </c>
      <c r="G338" s="130" t="str">
        <f>TEXT(MC_2[[#This Row],[Date]],"mmm-yy")</f>
        <v>Jan-26</v>
      </c>
      <c r="H338" s="130">
        <f>DAY(EOMONTH(MC_2[[#This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4">
        <f>SUM(MC_2[[#This Row],[ICR1]:[ICR5]])</f>
        <v>0</v>
      </c>
      <c r="T338" s="134"/>
      <c r="U338" s="134"/>
      <c r="V338" s="134"/>
      <c r="W338" s="134"/>
      <c r="X338" s="133"/>
      <c r="Y338" s="133"/>
      <c r="Z338" s="135"/>
    </row>
    <row r="339" spans="1:26">
      <c r="A339" s="133">
        <v>337</v>
      </c>
      <c r="B339" s="127">
        <f t="shared" si="5"/>
        <v>46025</v>
      </c>
      <c r="C339" s="128">
        <f>YEAR(MC_2[[#This Row],[Date]])+IF(MONTH(MC_2[[#This Row],[Date]])&gt;=4,1,0)</f>
        <v>2026</v>
      </c>
      <c r="D339" s="129">
        <f>YEAR(MC_2[[#This Row],[Date]])</f>
        <v>2026</v>
      </c>
      <c r="E339" s="126" t="s">
        <v>219</v>
      </c>
      <c r="F339" s="126" t="s">
        <v>219</v>
      </c>
      <c r="G339" s="130" t="str">
        <f>TEXT(MC_2[[#This Row],[Date]],"mmm-yy")</f>
        <v>Jan-26</v>
      </c>
      <c r="H339" s="130">
        <f>DAY(EOMONTH(MC_2[[#This Row],[Month Year]],0))</f>
        <v>31</v>
      </c>
      <c r="I339" s="133">
        <v>2</v>
      </c>
      <c r="J339" s="133">
        <v>5</v>
      </c>
      <c r="K339" s="133">
        <v>0</v>
      </c>
      <c r="L339" s="133">
        <v>0</v>
      </c>
      <c r="M339" s="133">
        <v>3016</v>
      </c>
      <c r="N339" s="133">
        <v>0</v>
      </c>
      <c r="O339" s="133">
        <v>0</v>
      </c>
      <c r="P339" s="133">
        <v>0</v>
      </c>
      <c r="Q339" s="133"/>
      <c r="R339" s="133"/>
      <c r="S339" s="4">
        <f>SUM(MC_2[[#This Row],[ICR1]:[ICR5]])</f>
        <v>3016</v>
      </c>
      <c r="T339" s="134">
        <v>0.25</v>
      </c>
      <c r="U339" s="134">
        <v>0.54166666666666663</v>
      </c>
      <c r="V339" s="134">
        <v>0.58333333333333337</v>
      </c>
      <c r="W339" s="134">
        <v>0.625</v>
      </c>
      <c r="X339" s="133" t="s">
        <v>421</v>
      </c>
      <c r="Y339" s="133"/>
      <c r="Z339" s="135"/>
    </row>
    <row r="340" spans="1:26">
      <c r="A340" s="133">
        <v>338</v>
      </c>
      <c r="B340" s="127">
        <f t="shared" si="5"/>
        <v>46026</v>
      </c>
      <c r="C340" s="128">
        <f>YEAR(MC_2[[#This Row],[Date]])+IF(MONTH(MC_2[[#This Row],[Date]])&gt;=4,1,0)</f>
        <v>2026</v>
      </c>
      <c r="D340" s="129">
        <f>YEAR(MC_2[[#This Row],[Date]])</f>
        <v>2026</v>
      </c>
      <c r="E340" s="126" t="s">
        <v>219</v>
      </c>
      <c r="F340" s="126" t="s">
        <v>219</v>
      </c>
      <c r="G340" s="130" t="str">
        <f>TEXT(MC_2[[#This Row],[Date]],"mmm-yy")</f>
        <v>Jan-26</v>
      </c>
      <c r="H340" s="130">
        <f>DAY(EOMONTH(MC_2[[#This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4">
        <f>SUM(MC_2[[#This Row],[ICR1]:[ICR5]])</f>
        <v>0</v>
      </c>
      <c r="T340" s="133"/>
      <c r="U340" s="133"/>
      <c r="V340" s="133"/>
      <c r="W340" s="133"/>
      <c r="X340" s="133"/>
      <c r="Y340" s="133"/>
      <c r="Z340" s="135"/>
    </row>
    <row r="341" spans="1:26">
      <c r="A341" s="133">
        <v>339</v>
      </c>
      <c r="B341" s="127">
        <f t="shared" si="5"/>
        <v>46027</v>
      </c>
      <c r="C341" s="128">
        <f>YEAR(MC_2[[#This Row],[Date]])+IF(MONTH(MC_2[[#This Row],[Date]])&gt;=4,1,0)</f>
        <v>2026</v>
      </c>
      <c r="D341" s="129">
        <f>YEAR(MC_2[[#This Row],[Date]])</f>
        <v>2026</v>
      </c>
      <c r="E341" s="126" t="s">
        <v>219</v>
      </c>
      <c r="F341" s="126" t="s">
        <v>219</v>
      </c>
      <c r="G341" s="130" t="str">
        <f>TEXT(MC_2[[#This Row],[Date]],"mmm-yy")</f>
        <v>Jan-26</v>
      </c>
      <c r="H341" s="130">
        <f>DAY(EOMONTH(MC_2[[#This Row],[Month Year]],0))</f>
        <v>31</v>
      </c>
      <c r="I341" s="133">
        <v>2</v>
      </c>
      <c r="J341" s="133">
        <v>5</v>
      </c>
      <c r="K341" s="133">
        <v>0</v>
      </c>
      <c r="L341" s="133">
        <v>0</v>
      </c>
      <c r="M341" s="133">
        <v>464</v>
      </c>
      <c r="N341" s="133">
        <v>0</v>
      </c>
      <c r="O341" s="133">
        <v>0</v>
      </c>
      <c r="P341" s="133">
        <v>0</v>
      </c>
      <c r="Q341" s="133"/>
      <c r="R341" s="133"/>
      <c r="S341" s="4">
        <f>SUM(MC_2[[#This Row],[ICR1]:[ICR5]])</f>
        <v>464</v>
      </c>
      <c r="T341" s="133"/>
      <c r="U341" s="133"/>
      <c r="V341" s="134">
        <v>0.70833333333333337</v>
      </c>
      <c r="W341" s="134">
        <v>0.75</v>
      </c>
      <c r="X341" s="133" t="s">
        <v>421</v>
      </c>
      <c r="Y341" s="133"/>
      <c r="Z341" s="135"/>
    </row>
    <row r="342" spans="1:26">
      <c r="A342" s="133">
        <v>340</v>
      </c>
      <c r="B342" s="127">
        <f t="shared" si="5"/>
        <v>46028</v>
      </c>
      <c r="C342" s="128">
        <f>YEAR(MC_2[[#This Row],[Date]])+IF(MONTH(MC_2[[#This Row],[Date]])&gt;=4,1,0)</f>
        <v>2026</v>
      </c>
      <c r="D342" s="129">
        <f>YEAR(MC_2[[#This Row],[Date]])</f>
        <v>2026</v>
      </c>
      <c r="E342" s="126" t="s">
        <v>219</v>
      </c>
      <c r="F342" s="126" t="s">
        <v>219</v>
      </c>
      <c r="G342" s="130" t="str">
        <f>TEXT(MC_2[[#This Row],[Date]],"mmm-yy")</f>
        <v>Jan-26</v>
      </c>
      <c r="H342" s="130">
        <f>DAY(EOMONTH(MC_2[[#This Row],[Month Year]],0))</f>
        <v>31</v>
      </c>
      <c r="I342" s="133">
        <v>2</v>
      </c>
      <c r="J342" s="133">
        <v>5</v>
      </c>
      <c r="K342" s="133">
        <v>0</v>
      </c>
      <c r="L342" s="133">
        <v>0</v>
      </c>
      <c r="M342" s="133">
        <v>2987</v>
      </c>
      <c r="N342" s="133">
        <v>0</v>
      </c>
      <c r="O342" s="133">
        <v>0</v>
      </c>
      <c r="P342" s="133">
        <v>0</v>
      </c>
      <c r="Q342" s="133"/>
      <c r="R342" s="133"/>
      <c r="S342" s="4">
        <f>SUM(MC_2[[#This Row],[ICR1]:[ICR5]])</f>
        <v>2987</v>
      </c>
      <c r="T342" s="134">
        <v>0.16666666666666666</v>
      </c>
      <c r="U342" s="134">
        <v>0.45833333333333331</v>
      </c>
      <c r="V342" s="133"/>
      <c r="W342" s="133"/>
      <c r="X342" s="133" t="s">
        <v>421</v>
      </c>
      <c r="Y342" s="133"/>
      <c r="Z342" s="135"/>
    </row>
    <row r="343" spans="1:26">
      <c r="A343" s="133">
        <v>341</v>
      </c>
      <c r="B343" s="127">
        <f t="shared" si="5"/>
        <v>46029</v>
      </c>
      <c r="C343" s="128">
        <f>YEAR(MC_2[[#This Row],[Date]])+IF(MONTH(MC_2[[#This Row],[Date]])&gt;=4,1,0)</f>
        <v>2026</v>
      </c>
      <c r="D343" s="129">
        <f>YEAR(MC_2[[#This Row],[Date]])</f>
        <v>2026</v>
      </c>
      <c r="E343" s="126" t="s">
        <v>219</v>
      </c>
      <c r="F343" s="126" t="s">
        <v>219</v>
      </c>
      <c r="G343" s="130" t="str">
        <f>TEXT(MC_2[[#This Row],[Date]],"mmm-yy")</f>
        <v>Jan-26</v>
      </c>
      <c r="H343" s="130">
        <f>DAY(EOMONTH(MC_2[[#This Row],[Month Year]],0))</f>
        <v>31</v>
      </c>
      <c r="I343" s="133">
        <v>2</v>
      </c>
      <c r="J343" s="133">
        <v>5</v>
      </c>
      <c r="K343" s="133">
        <v>0</v>
      </c>
      <c r="L343" s="133">
        <v>0</v>
      </c>
      <c r="M343" s="133">
        <v>0</v>
      </c>
      <c r="N343" s="133">
        <v>0</v>
      </c>
      <c r="O343" s="133">
        <v>0</v>
      </c>
      <c r="P343" s="133">
        <v>3248</v>
      </c>
      <c r="Q343" s="133"/>
      <c r="R343" s="133"/>
      <c r="S343" s="4">
        <f>SUM(MC_2[[#This Row],[ICR1]:[ICR6]])</f>
        <v>3248</v>
      </c>
      <c r="T343" s="134">
        <v>0.25</v>
      </c>
      <c r="U343" s="134">
        <v>0.58333333333333337</v>
      </c>
      <c r="V343" s="133"/>
      <c r="W343" s="133"/>
      <c r="X343" s="133" t="s">
        <v>421</v>
      </c>
      <c r="Y343" s="133"/>
      <c r="Z343" s="135"/>
    </row>
    <row r="344" spans="1:26">
      <c r="A344" s="133">
        <v>342</v>
      </c>
      <c r="B344" s="127">
        <f t="shared" si="5"/>
        <v>46030</v>
      </c>
      <c r="C344" s="128">
        <f>YEAR(MC_2[[#This Row],[Date]])+IF(MONTH(MC_2[[#This Row],[Date]])&gt;=4,1,0)</f>
        <v>2026</v>
      </c>
      <c r="D344" s="129">
        <f>YEAR(MC_2[[#This Row],[Date]])</f>
        <v>2026</v>
      </c>
      <c r="E344" s="126" t="s">
        <v>219</v>
      </c>
      <c r="F344" s="126" t="s">
        <v>219</v>
      </c>
      <c r="G344" s="130" t="str">
        <f>TEXT(MC_2[[#This Row],[Date]],"mmm-yy")</f>
        <v>Jan-26</v>
      </c>
      <c r="H344" s="130">
        <f>DAY(EOMONTH(MC_2[[#This Row],[Month Year]],0))</f>
        <v>31</v>
      </c>
      <c r="I344" s="133">
        <v>2</v>
      </c>
      <c r="J344" s="133">
        <v>7</v>
      </c>
      <c r="K344" s="133">
        <v>0</v>
      </c>
      <c r="L344" s="133">
        <v>0</v>
      </c>
      <c r="M344" s="133">
        <v>0</v>
      </c>
      <c r="N344" s="133">
        <v>0</v>
      </c>
      <c r="O344" s="133">
        <v>0</v>
      </c>
      <c r="P344" s="133">
        <v>2523</v>
      </c>
      <c r="Q344" s="133"/>
      <c r="R344" s="133"/>
      <c r="S344" s="4">
        <f>SUM(MC_2[[#This Row],[ICR1]:[ICR6]])</f>
        <v>2523</v>
      </c>
      <c r="T344" s="134">
        <v>0.25</v>
      </c>
      <c r="U344" s="134">
        <v>0.58333333333333337</v>
      </c>
      <c r="V344" s="133"/>
      <c r="W344" s="133"/>
      <c r="X344" s="133" t="s">
        <v>421</v>
      </c>
      <c r="Y344" s="133"/>
      <c r="Z344" s="135"/>
    </row>
    <row r="345" spans="1:26">
      <c r="A345" s="133">
        <v>343</v>
      </c>
      <c r="B345" s="127">
        <f t="shared" si="5"/>
        <v>46031</v>
      </c>
      <c r="C345" s="128">
        <f>YEAR(MC_2[[#This Row],[Date]])+IF(MONTH(MC_2[[#This Row],[Date]])&gt;=4,1,0)</f>
        <v>2026</v>
      </c>
      <c r="D345" s="129">
        <f>YEAR(MC_2[[#This Row],[Date]])</f>
        <v>2026</v>
      </c>
      <c r="E345" s="126" t="s">
        <v>219</v>
      </c>
      <c r="F345" s="126" t="s">
        <v>219</v>
      </c>
      <c r="G345" s="130" t="str">
        <f>TEXT(MC_2[[#This Row],[Date]],"mmm-yy")</f>
        <v>Jan-26</v>
      </c>
      <c r="H345" s="130">
        <f>DAY(EOMONTH(MC_2[[#This Row],[Month Year]],0))</f>
        <v>31</v>
      </c>
      <c r="I345" s="133">
        <v>2</v>
      </c>
      <c r="J345" s="133">
        <v>7</v>
      </c>
      <c r="K345" s="133">
        <v>0</v>
      </c>
      <c r="L345" s="133">
        <v>0</v>
      </c>
      <c r="M345" s="133">
        <v>0</v>
      </c>
      <c r="N345" s="133">
        <v>0</v>
      </c>
      <c r="O345" s="133">
        <v>0</v>
      </c>
      <c r="P345" s="133">
        <v>2407</v>
      </c>
      <c r="Q345" s="133"/>
      <c r="R345" s="133"/>
      <c r="S345" s="4">
        <f>SUM(MC_2[[#This Row],[ICR1]:[ICR6]])</f>
        <v>2407</v>
      </c>
      <c r="T345" s="134">
        <v>0.25</v>
      </c>
      <c r="U345" s="134">
        <v>0.58333333333333337</v>
      </c>
      <c r="V345" s="133"/>
      <c r="W345" s="133"/>
      <c r="X345" s="133" t="s">
        <v>421</v>
      </c>
      <c r="Y345" s="133"/>
      <c r="Z345" s="135"/>
    </row>
    <row r="346" spans="1:26">
      <c r="A346" s="133">
        <v>344</v>
      </c>
      <c r="B346" s="127">
        <f t="shared" si="5"/>
        <v>46032</v>
      </c>
      <c r="C346" s="128">
        <f>YEAR(MC_2[[#This Row],[Date]])+IF(MONTH(MC_2[[#This Row],[Date]])&gt;=4,1,0)</f>
        <v>2026</v>
      </c>
      <c r="D346" s="129">
        <f>YEAR(MC_2[[#This Row],[Date]])</f>
        <v>2026</v>
      </c>
      <c r="E346" s="126" t="s">
        <v>219</v>
      </c>
      <c r="F346" s="126" t="s">
        <v>219</v>
      </c>
      <c r="G346" s="130" t="str">
        <f>TEXT(MC_2[[#This Row],[Date]],"mmm-yy")</f>
        <v>Jan-26</v>
      </c>
      <c r="H346" s="130">
        <f>DAY(EOMONTH(MC_2[[#This Row],[Month Year]],0))</f>
        <v>31</v>
      </c>
      <c r="I346" s="133">
        <v>2</v>
      </c>
      <c r="J346" s="133">
        <v>7</v>
      </c>
      <c r="K346" s="133">
        <v>0</v>
      </c>
      <c r="L346" s="133">
        <v>0</v>
      </c>
      <c r="M346" s="133">
        <v>0</v>
      </c>
      <c r="N346" s="133">
        <v>0</v>
      </c>
      <c r="O346" s="133">
        <v>2320</v>
      </c>
      <c r="P346" s="133">
        <v>0</v>
      </c>
      <c r="Q346" s="133"/>
      <c r="R346" s="133"/>
      <c r="S346" s="4">
        <f>SUM(MC_2[[#This Row],[ICR1]:[ICR6]])</f>
        <v>2320</v>
      </c>
      <c r="T346" s="134">
        <v>0.25</v>
      </c>
      <c r="U346" s="134">
        <v>0.58333333333333337</v>
      </c>
      <c r="V346" s="133"/>
      <c r="W346" s="133"/>
      <c r="X346" s="133" t="s">
        <v>421</v>
      </c>
      <c r="Y346" s="133"/>
      <c r="Z346" s="135"/>
    </row>
    <row r="347" spans="1:26">
      <c r="A347" s="133">
        <v>345</v>
      </c>
      <c r="B347" s="127">
        <f t="shared" si="5"/>
        <v>46033</v>
      </c>
      <c r="C347" s="128">
        <f>YEAR(MC_2[[#This Row],[Date]])+IF(MONTH(MC_2[[#This Row],[Date]])&gt;=4,1,0)</f>
        <v>2026</v>
      </c>
      <c r="D347" s="129">
        <f>YEAR(MC_2[[#This Row],[Date]])</f>
        <v>2026</v>
      </c>
      <c r="E347" s="126" t="s">
        <v>219</v>
      </c>
      <c r="F347" s="126" t="s">
        <v>219</v>
      </c>
      <c r="G347" s="130" t="str">
        <f>TEXT(MC_2[[#This Row],[Date]],"mmm-yy")</f>
        <v>Jan-26</v>
      </c>
      <c r="H347" s="130">
        <f>DAY(EOMONTH(MC_2[[#This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4">
        <f>SUM(MC_2[[#This Row],[ICR1]:[ICR6]])</f>
        <v>0</v>
      </c>
      <c r="T347" s="133"/>
      <c r="U347" s="133"/>
      <c r="V347" s="133"/>
      <c r="W347" s="133"/>
      <c r="X347" s="133"/>
      <c r="Y347" s="133"/>
      <c r="Z347" s="135"/>
    </row>
    <row r="348" spans="1:26">
      <c r="A348" s="133">
        <v>346</v>
      </c>
      <c r="B348" s="127">
        <f t="shared" si="5"/>
        <v>46034</v>
      </c>
      <c r="C348" s="128">
        <f>YEAR(MC_2[[#This Row],[Date]])+IF(MONTH(MC_2[[#This Row],[Date]])&gt;=4,1,0)</f>
        <v>2026</v>
      </c>
      <c r="D348" s="129">
        <f>YEAR(MC_2[[#This Row],[Date]])</f>
        <v>2026</v>
      </c>
      <c r="E348" s="126" t="s">
        <v>219</v>
      </c>
      <c r="F348" s="126" t="s">
        <v>219</v>
      </c>
      <c r="G348" s="130" t="str">
        <f>TEXT(MC_2[[#This Row],[Date]],"mmm-yy")</f>
        <v>Jan-26</v>
      </c>
      <c r="H348" s="130">
        <f>DAY(EOMONTH(MC_2[[#This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4">
        <f>SUM(MC_2[[#This Row],[ICR1]:[ICR6]])</f>
        <v>0</v>
      </c>
      <c r="T348" s="133"/>
      <c r="U348" s="133"/>
      <c r="V348" s="133"/>
      <c r="W348" s="133"/>
      <c r="X348" s="133"/>
      <c r="Y348" s="133"/>
      <c r="Z348" s="135"/>
    </row>
    <row r="349" spans="1:26">
      <c r="A349" s="133">
        <v>347</v>
      </c>
      <c r="B349" s="127">
        <f t="shared" si="5"/>
        <v>46035</v>
      </c>
      <c r="C349" s="128">
        <f>YEAR(MC_2[[#This Row],[Date]])+IF(MONTH(MC_2[[#This Row],[Date]])&gt;=4,1,0)</f>
        <v>2026</v>
      </c>
      <c r="D349" s="129">
        <f>YEAR(MC_2[[#This Row],[Date]])</f>
        <v>2026</v>
      </c>
      <c r="E349" s="126" t="s">
        <v>219</v>
      </c>
      <c r="F349" s="126" t="s">
        <v>219</v>
      </c>
      <c r="G349" s="130" t="str">
        <f>TEXT(MC_2[[#This Row],[Date]],"mmm-yy")</f>
        <v>Jan-26</v>
      </c>
      <c r="H349" s="130">
        <f>DAY(EOMONTH(MC_2[[#This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4">
        <f>SUM(MC_2[[#This Row],[ICR1]:[ICR6]])</f>
        <v>0</v>
      </c>
      <c r="T349" s="133"/>
      <c r="U349" s="133"/>
      <c r="V349" s="133"/>
      <c r="W349" s="133"/>
      <c r="X349" s="133"/>
      <c r="Y349" s="133"/>
      <c r="Z349" s="135"/>
    </row>
    <row r="350" spans="1:26">
      <c r="A350" s="133">
        <v>348</v>
      </c>
      <c r="B350" s="127">
        <f t="shared" si="5"/>
        <v>46036</v>
      </c>
      <c r="C350" s="128">
        <f>YEAR(MC_2[[#This Row],[Date]])+IF(MONTH(MC_2[[#This Row],[Date]])&gt;=4,1,0)</f>
        <v>2026</v>
      </c>
      <c r="D350" s="129">
        <f>YEAR(MC_2[[#This Row],[Date]])</f>
        <v>2026</v>
      </c>
      <c r="E350" s="126" t="s">
        <v>219</v>
      </c>
      <c r="F350" s="126" t="s">
        <v>219</v>
      </c>
      <c r="G350" s="130" t="str">
        <f>TEXT(MC_2[[#This Row],[Date]],"mmm-yy")</f>
        <v>Jan-26</v>
      </c>
      <c r="H350" s="130">
        <f>DAY(EOMONTH(MC_2[[#This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4">
        <f>SUM(MC_2[[#This Row],[ICR1]:[ICR6]])</f>
        <v>0</v>
      </c>
      <c r="T350" s="133"/>
      <c r="U350" s="133"/>
      <c r="V350" s="133"/>
      <c r="W350" s="133"/>
      <c r="X350" s="133"/>
      <c r="Y350" s="133"/>
      <c r="Z350" s="135"/>
    </row>
    <row r="351" spans="1:26">
      <c r="A351" s="133">
        <v>349</v>
      </c>
      <c r="B351" s="127">
        <f t="shared" si="5"/>
        <v>46037</v>
      </c>
      <c r="C351" s="128">
        <f>YEAR(MC_2[[#This Row],[Date]])+IF(MONTH(MC_2[[#This Row],[Date]])&gt;=4,1,0)</f>
        <v>2026</v>
      </c>
      <c r="D351" s="129">
        <f>YEAR(MC_2[[#This Row],[Date]])</f>
        <v>2026</v>
      </c>
      <c r="E351" s="126" t="s">
        <v>219</v>
      </c>
      <c r="F351" s="126" t="s">
        <v>219</v>
      </c>
      <c r="G351" s="130" t="str">
        <f>TEXT(MC_2[[#This Row],[Date]],"mmm-yy")</f>
        <v>Jan-26</v>
      </c>
      <c r="H351" s="130">
        <f>DAY(EOMONTH(MC_2[[#This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4">
        <f>SUM(MC_2[[#This Row],[ICR1]:[ICR6]])</f>
        <v>0</v>
      </c>
      <c r="T351" s="133"/>
      <c r="U351" s="133"/>
      <c r="V351" s="133"/>
      <c r="W351" s="133"/>
      <c r="X351" s="133"/>
      <c r="Y351" s="133"/>
      <c r="Z351" s="135"/>
    </row>
    <row r="352" spans="1:26">
      <c r="A352" s="133">
        <v>350</v>
      </c>
      <c r="B352" s="127">
        <f t="shared" si="5"/>
        <v>46038</v>
      </c>
      <c r="C352" s="128">
        <f>YEAR(MC_2[[#This Row],[Date]])+IF(MONTH(MC_2[[#This Row],[Date]])&gt;=4,1,0)</f>
        <v>2026</v>
      </c>
      <c r="D352" s="129">
        <f>YEAR(MC_2[[#This Row],[Date]])</f>
        <v>2026</v>
      </c>
      <c r="E352" s="126" t="s">
        <v>219</v>
      </c>
      <c r="F352" s="126" t="s">
        <v>219</v>
      </c>
      <c r="G352" s="130" t="str">
        <f>TEXT(MC_2[[#This Row],[Date]],"mmm-yy")</f>
        <v>Jan-26</v>
      </c>
      <c r="H352" s="130">
        <f>DAY(EOMONTH(MC_2[[#This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4">
        <f>SUM(MC_2[[#This Row],[ICR1]:[ICR6]])</f>
        <v>0</v>
      </c>
      <c r="T352" s="133"/>
      <c r="U352" s="133"/>
      <c r="V352" s="133"/>
      <c r="W352" s="133"/>
      <c r="X352" s="133"/>
      <c r="Y352" s="133"/>
      <c r="Z352" s="135"/>
    </row>
    <row r="353" spans="1:26">
      <c r="A353" s="133">
        <v>351</v>
      </c>
      <c r="B353" s="127">
        <f t="shared" si="5"/>
        <v>46039</v>
      </c>
      <c r="C353" s="128">
        <f>YEAR(MC_2[[#This Row],[Date]])+IF(MONTH(MC_2[[#This Row],[Date]])&gt;=4,1,0)</f>
        <v>2026</v>
      </c>
      <c r="D353" s="129">
        <f>YEAR(MC_2[[#This Row],[Date]])</f>
        <v>2026</v>
      </c>
      <c r="E353" s="126" t="s">
        <v>219</v>
      </c>
      <c r="F353" s="126" t="s">
        <v>219</v>
      </c>
      <c r="G353" s="130" t="str">
        <f>TEXT(MC_2[[#This Row],[Date]],"mmm-yy")</f>
        <v>Jan-26</v>
      </c>
      <c r="H353" s="130">
        <f>DAY(EOMONTH(MC_2[[#This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4">
        <f>SUM(MC_2[[#This Row],[ICR1]:[ICR6]])</f>
        <v>0</v>
      </c>
      <c r="T353" s="133"/>
      <c r="U353" s="133"/>
      <c r="V353" s="133"/>
      <c r="W353" s="133"/>
      <c r="X353" s="133"/>
      <c r="Y353" s="133"/>
      <c r="Z353" s="135"/>
    </row>
    <row r="354" spans="1:26">
      <c r="A354" s="133">
        <v>352</v>
      </c>
      <c r="B354" s="127">
        <f t="shared" si="5"/>
        <v>46040</v>
      </c>
      <c r="C354" s="128">
        <f>YEAR(MC_2[[#This Row],[Date]])+IF(MONTH(MC_2[[#This Row],[Date]])&gt;=4,1,0)</f>
        <v>2026</v>
      </c>
      <c r="D354" s="129">
        <f>YEAR(MC_2[[#This Row],[Date]])</f>
        <v>2026</v>
      </c>
      <c r="E354" s="126" t="s">
        <v>219</v>
      </c>
      <c r="F354" s="126" t="s">
        <v>219</v>
      </c>
      <c r="G354" s="130" t="str">
        <f>TEXT(MC_2[[#This Row],[Date]],"mmm-yy")</f>
        <v>Jan-26</v>
      </c>
      <c r="H354" s="130">
        <f>DAY(EOMONTH(MC_2[[#This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4">
        <f>SUM(MC_2[[#This Row],[ICR1]:[ICR6]])</f>
        <v>0</v>
      </c>
      <c r="T354" s="133"/>
      <c r="U354" s="133"/>
      <c r="V354" s="133"/>
      <c r="W354" s="133"/>
      <c r="X354" s="133"/>
      <c r="Y354" s="133"/>
      <c r="Z354" s="135"/>
    </row>
    <row r="355" spans="1:26">
      <c r="A355" s="133">
        <v>353</v>
      </c>
      <c r="B355" s="127">
        <f t="shared" si="5"/>
        <v>46041</v>
      </c>
      <c r="C355" s="128">
        <f>YEAR(MC_2[[#This Row],[Date]])+IF(MONTH(MC_2[[#This Row],[Date]])&gt;=4,1,0)</f>
        <v>2026</v>
      </c>
      <c r="D355" s="129">
        <f>YEAR(MC_2[[#This Row],[Date]])</f>
        <v>2026</v>
      </c>
      <c r="E355" s="126" t="s">
        <v>219</v>
      </c>
      <c r="F355" s="126" t="s">
        <v>219</v>
      </c>
      <c r="G355" s="130" t="str">
        <f>TEXT(MC_2[[#This Row],[Date]],"mmm-yy")</f>
        <v>Jan-26</v>
      </c>
      <c r="H355" s="130">
        <f>DAY(EOMONTH(MC_2[[#This Row],[Month Year]],0))</f>
        <v>31</v>
      </c>
      <c r="I355" s="133">
        <v>2</v>
      </c>
      <c r="J355" s="133">
        <v>7</v>
      </c>
      <c r="K355" s="133">
        <v>0</v>
      </c>
      <c r="L355" s="133">
        <v>0</v>
      </c>
      <c r="M355" s="133">
        <v>1595</v>
      </c>
      <c r="N355" s="133">
        <v>0</v>
      </c>
      <c r="O355" s="133">
        <v>0</v>
      </c>
      <c r="P355" s="133">
        <v>0</v>
      </c>
      <c r="Q355" s="133"/>
      <c r="R355" s="133"/>
      <c r="S355" s="4">
        <f>SUM(MC_2[[#This Row],[ICR1]:[ICR6]])</f>
        <v>1595</v>
      </c>
      <c r="T355" s="133"/>
      <c r="U355" s="133"/>
      <c r="V355" s="134">
        <v>0.5</v>
      </c>
      <c r="W355" s="134">
        <v>0.75</v>
      </c>
      <c r="X355" s="133" t="s">
        <v>421</v>
      </c>
      <c r="Y355" s="133"/>
      <c r="Z355" s="135"/>
    </row>
    <row r="356" spans="1:26">
      <c r="A356" s="133">
        <v>354</v>
      </c>
      <c r="B356" s="127">
        <f t="shared" si="5"/>
        <v>46042</v>
      </c>
      <c r="C356" s="128">
        <f>YEAR(MC_2[[#This Row],[Date]])+IF(MONTH(MC_2[[#This Row],[Date]])&gt;=4,1,0)</f>
        <v>2026</v>
      </c>
      <c r="D356" s="129">
        <f>YEAR(MC_2[[#This Row],[Date]])</f>
        <v>2026</v>
      </c>
      <c r="E356" s="126" t="s">
        <v>219</v>
      </c>
      <c r="F356" s="126" t="s">
        <v>219</v>
      </c>
      <c r="G356" s="130" t="str">
        <f>TEXT(MC_2[[#This Row],[Date]],"mmm-yy")</f>
        <v>Jan-26</v>
      </c>
      <c r="H356" s="130">
        <f>DAY(EOMONTH(MC_2[[#This Row],[Month Year]],0))</f>
        <v>31</v>
      </c>
      <c r="I356" s="133">
        <v>2</v>
      </c>
      <c r="J356" s="133">
        <v>7</v>
      </c>
      <c r="K356" s="133">
        <v>0</v>
      </c>
      <c r="L356" s="133">
        <v>0</v>
      </c>
      <c r="M356" s="133">
        <v>1856</v>
      </c>
      <c r="N356" s="133">
        <v>0</v>
      </c>
      <c r="O356" s="133">
        <v>0</v>
      </c>
      <c r="P356" s="133">
        <v>0</v>
      </c>
      <c r="Q356" s="133"/>
      <c r="R356" s="133"/>
      <c r="S356" s="4">
        <f>SUM(MC_2[[#This Row],[ICR1]:[ICR6]])</f>
        <v>1856</v>
      </c>
      <c r="T356" s="134">
        <v>0.33333333333333331</v>
      </c>
      <c r="U356" s="134">
        <v>0.5</v>
      </c>
      <c r="V356" s="134">
        <v>0.5</v>
      </c>
      <c r="W356" s="134">
        <v>0.75</v>
      </c>
      <c r="X356" s="133" t="s">
        <v>421</v>
      </c>
      <c r="Y356" s="133"/>
      <c r="Z356" s="135"/>
    </row>
    <row r="357" spans="1:26">
      <c r="A357" s="133">
        <v>355</v>
      </c>
      <c r="B357" s="127">
        <f t="shared" si="5"/>
        <v>46043</v>
      </c>
      <c r="C357" s="128">
        <f>YEAR(MC_2[[#This Row],[Date]])+IF(MONTH(MC_2[[#This Row],[Date]])&gt;=4,1,0)</f>
        <v>2026</v>
      </c>
      <c r="D357" s="129">
        <f>YEAR(MC_2[[#This Row],[Date]])</f>
        <v>2026</v>
      </c>
      <c r="E357" s="126" t="s">
        <v>219</v>
      </c>
      <c r="F357" s="126" t="s">
        <v>219</v>
      </c>
      <c r="G357" s="130" t="str">
        <f>TEXT(MC_2[[#This Row],[Date]],"mmm-yy")</f>
        <v>Jan-26</v>
      </c>
      <c r="H357" s="130">
        <f>DAY(EOMONTH(MC_2[[#This Row],[Month Year]],0))</f>
        <v>31</v>
      </c>
      <c r="I357" s="133">
        <v>2</v>
      </c>
      <c r="J357" s="133">
        <v>7</v>
      </c>
      <c r="K357" s="133">
        <v>0</v>
      </c>
      <c r="L357" s="133">
        <v>0</v>
      </c>
      <c r="M357" s="133">
        <v>2262</v>
      </c>
      <c r="N357" s="133">
        <v>0</v>
      </c>
      <c r="O357" s="133">
        <v>0</v>
      </c>
      <c r="P357" s="133">
        <v>0</v>
      </c>
      <c r="Q357" s="133"/>
      <c r="R357" s="133"/>
      <c r="S357" s="4">
        <f>SUM(MC_2[[#This Row],[ICR1]:[ICR6]])</f>
        <v>2262</v>
      </c>
      <c r="T357" s="134">
        <v>0.41666666666666669</v>
      </c>
      <c r="U357" s="134">
        <v>0.58333333333333337</v>
      </c>
      <c r="V357" s="134">
        <v>0.58333333333333337</v>
      </c>
      <c r="W357" s="134">
        <v>0.75</v>
      </c>
      <c r="X357" s="133" t="s">
        <v>421</v>
      </c>
      <c r="Y357" s="133"/>
      <c r="Z357" s="135"/>
    </row>
    <row r="358" spans="1:26">
      <c r="A358" s="133">
        <v>356</v>
      </c>
      <c r="B358" s="127">
        <f t="shared" si="5"/>
        <v>46044</v>
      </c>
      <c r="C358" s="128">
        <f>YEAR(MC_2[[#This Row],[Date]])+IF(MONTH(MC_2[[#This Row],[Date]])&gt;=4,1,0)</f>
        <v>2026</v>
      </c>
      <c r="D358" s="129">
        <f>YEAR(MC_2[[#This Row],[Date]])</f>
        <v>2026</v>
      </c>
      <c r="E358" s="126" t="s">
        <v>219</v>
      </c>
      <c r="F358" s="126" t="s">
        <v>219</v>
      </c>
      <c r="G358" s="130" t="str">
        <f>TEXT(MC_2[[#This Row],[Date]],"mmm-yy")</f>
        <v>Jan-26</v>
      </c>
      <c r="H358" s="130">
        <f>DAY(EOMONTH(MC_2[[#This Row],[Month Year]],0))</f>
        <v>31</v>
      </c>
      <c r="I358" s="133">
        <v>2</v>
      </c>
      <c r="J358" s="133">
        <v>7</v>
      </c>
      <c r="K358" s="133">
        <v>0</v>
      </c>
      <c r="L358" s="133">
        <v>1218</v>
      </c>
      <c r="M358" s="133">
        <v>1827</v>
      </c>
      <c r="N358" s="133">
        <v>0</v>
      </c>
      <c r="O358" s="133">
        <v>0</v>
      </c>
      <c r="P358" s="133">
        <v>0</v>
      </c>
      <c r="Q358" s="133"/>
      <c r="R358" s="133"/>
      <c r="S358" s="4">
        <f>SUM(MC_2[[#This Row],[ICR1]:[ICR6]])</f>
        <v>3045</v>
      </c>
      <c r="T358" s="134">
        <v>0.25</v>
      </c>
      <c r="U358" s="134">
        <v>0.58333333333333337</v>
      </c>
      <c r="V358" s="133"/>
      <c r="W358" s="133"/>
      <c r="X358" s="133" t="s">
        <v>421</v>
      </c>
      <c r="Y358" s="133"/>
      <c r="Z358" s="135"/>
    </row>
    <row r="359" spans="1:26">
      <c r="A359" s="133">
        <v>357</v>
      </c>
      <c r="B359" s="127">
        <f t="shared" si="5"/>
        <v>46045</v>
      </c>
      <c r="C359" s="128">
        <f>YEAR(MC_2[[#This Row],[Date]])+IF(MONTH(MC_2[[#This Row],[Date]])&gt;=4,1,0)</f>
        <v>2026</v>
      </c>
      <c r="D359" s="129">
        <f>YEAR(MC_2[[#This Row],[Date]])</f>
        <v>2026</v>
      </c>
      <c r="E359" s="126" t="s">
        <v>219</v>
      </c>
      <c r="F359" s="126" t="s">
        <v>219</v>
      </c>
      <c r="G359" s="130" t="str">
        <f>TEXT(MC_2[[#This Row],[Date]],"mmm-yy")</f>
        <v>Jan-26</v>
      </c>
      <c r="H359" s="130">
        <f>DAY(EOMONTH(MC_2[[#This Row],[Month Year]],0))</f>
        <v>31</v>
      </c>
      <c r="I359" s="133">
        <v>2</v>
      </c>
      <c r="J359" s="133">
        <v>5</v>
      </c>
      <c r="K359" s="133">
        <v>0</v>
      </c>
      <c r="L359" s="133">
        <v>2407</v>
      </c>
      <c r="M359" s="133">
        <v>870</v>
      </c>
      <c r="N359" s="133">
        <v>0</v>
      </c>
      <c r="O359" s="133">
        <v>0</v>
      </c>
      <c r="P359" s="133">
        <v>0</v>
      </c>
      <c r="Q359" s="133"/>
      <c r="R359" s="133"/>
      <c r="S359" s="4">
        <f>SUM(MC_2[[#This Row],[ICR1]:[ICR6]])</f>
        <v>3277</v>
      </c>
      <c r="T359" s="134">
        <v>0.29166666666666669</v>
      </c>
      <c r="U359" s="134">
        <v>0.54166666666666663</v>
      </c>
      <c r="V359" s="134">
        <v>0.58333333333333337</v>
      </c>
      <c r="W359" s="134">
        <v>0.70833333333333337</v>
      </c>
      <c r="X359" s="133" t="s">
        <v>421</v>
      </c>
      <c r="Y359" s="133"/>
      <c r="Z359" s="135"/>
    </row>
    <row r="360" spans="1:26">
      <c r="A360" s="133">
        <v>358</v>
      </c>
      <c r="B360" s="127">
        <f t="shared" si="5"/>
        <v>46046</v>
      </c>
      <c r="C360" s="128">
        <f>YEAR(MC_2[[#This Row],[Date]])+IF(MONTH(MC_2[[#This Row],[Date]])&gt;=4,1,0)</f>
        <v>2026</v>
      </c>
      <c r="D360" s="129">
        <f>YEAR(MC_2[[#This Row],[Date]])</f>
        <v>2026</v>
      </c>
      <c r="E360" s="126" t="s">
        <v>219</v>
      </c>
      <c r="F360" s="126" t="s">
        <v>219</v>
      </c>
      <c r="G360" s="130" t="str">
        <f>TEXT(MC_2[[#This Row],[Date]],"mmm-yy")</f>
        <v>Jan-26</v>
      </c>
      <c r="H360" s="130">
        <f>DAY(EOMONTH(MC_2[[#This Row],[Month Year]],0))</f>
        <v>31</v>
      </c>
      <c r="I360" s="133">
        <v>2</v>
      </c>
      <c r="J360" s="133">
        <v>5</v>
      </c>
      <c r="K360" s="133">
        <v>0</v>
      </c>
      <c r="L360" s="133">
        <v>464</v>
      </c>
      <c r="M360" s="133">
        <v>0</v>
      </c>
      <c r="N360" s="133">
        <v>0</v>
      </c>
      <c r="O360" s="133">
        <v>3480</v>
      </c>
      <c r="P360" s="133">
        <v>0</v>
      </c>
      <c r="Q360" s="133"/>
      <c r="R360" s="133"/>
      <c r="S360" s="4">
        <f>SUM(MC_2[[#This Row],[ICR1]:[ICR6]])</f>
        <v>3944</v>
      </c>
      <c r="T360" s="134">
        <v>0.29166666666666669</v>
      </c>
      <c r="U360" s="134">
        <v>0.54166666666666663</v>
      </c>
      <c r="V360" s="134">
        <v>0.58333333333333337</v>
      </c>
      <c r="W360" s="134">
        <v>0.70833333333333337</v>
      </c>
      <c r="X360" s="133" t="s">
        <v>421</v>
      </c>
      <c r="Y360" s="133"/>
      <c r="Z360" s="135"/>
    </row>
    <row r="361" spans="1:26">
      <c r="A361" s="133">
        <v>359</v>
      </c>
      <c r="B361" s="127">
        <f t="shared" si="5"/>
        <v>46047</v>
      </c>
      <c r="C361" s="128">
        <f>YEAR(MC_2[[#This Row],[Date]])+IF(MONTH(MC_2[[#This Row],[Date]])&gt;=4,1,0)</f>
        <v>2026</v>
      </c>
      <c r="D361" s="129">
        <f>YEAR(MC_2[[#This Row],[Date]])</f>
        <v>2026</v>
      </c>
      <c r="E361" s="126" t="s">
        <v>219</v>
      </c>
      <c r="F361" s="126" t="s">
        <v>219</v>
      </c>
      <c r="G361" s="130" t="str">
        <f>TEXT(MC_2[[#This Row],[Date]],"mmm-yy")</f>
        <v>Jan-26</v>
      </c>
      <c r="H361" s="130">
        <f>DAY(EOMONTH(MC_2[[#This Row],[Month Year]],0))</f>
        <v>31</v>
      </c>
      <c r="I361" s="133">
        <v>2</v>
      </c>
      <c r="J361" s="133">
        <v>5</v>
      </c>
      <c r="K361" s="133">
        <v>0</v>
      </c>
      <c r="L361" s="133">
        <v>0</v>
      </c>
      <c r="M361" s="133">
        <v>0</v>
      </c>
      <c r="N361" s="133">
        <v>1392</v>
      </c>
      <c r="O361" s="133">
        <v>754</v>
      </c>
      <c r="P361" s="133">
        <v>0</v>
      </c>
      <c r="Q361" s="133"/>
      <c r="R361" s="133"/>
      <c r="S361" s="4">
        <f>SUM(MC_2[[#This Row],[ICR1]:[ICR6]])</f>
        <v>2146</v>
      </c>
      <c r="T361" s="134">
        <v>0.25</v>
      </c>
      <c r="U361" s="134">
        <v>0.58333333333333337</v>
      </c>
      <c r="V361" s="133"/>
      <c r="W361" s="133"/>
      <c r="X361" s="133" t="s">
        <v>421</v>
      </c>
      <c r="Y361" s="133"/>
      <c r="Z361" s="135"/>
    </row>
    <row r="362" spans="1:26">
      <c r="A362" s="133">
        <v>360</v>
      </c>
      <c r="B362" s="127">
        <f t="shared" si="5"/>
        <v>46048</v>
      </c>
      <c r="C362" s="128">
        <f>YEAR(MC_2[[#This Row],[Date]])+IF(MONTH(MC_2[[#This Row],[Date]])&gt;=4,1,0)</f>
        <v>2026</v>
      </c>
      <c r="D362" s="129">
        <f>YEAR(MC_2[[#This Row],[Date]])</f>
        <v>2026</v>
      </c>
      <c r="E362" s="126" t="s">
        <v>219</v>
      </c>
      <c r="F362" s="126" t="s">
        <v>219</v>
      </c>
      <c r="G362" s="130" t="str">
        <f>TEXT(MC_2[[#This Row],[Date]],"mmm-yy")</f>
        <v>Jan-26</v>
      </c>
      <c r="H362" s="130">
        <f>DAY(EOMONTH(MC_2[[#This Row],[Month Year]],0))</f>
        <v>31</v>
      </c>
      <c r="I362" s="133">
        <v>2</v>
      </c>
      <c r="J362" s="133">
        <v>5</v>
      </c>
      <c r="K362" s="133">
        <v>0</v>
      </c>
      <c r="L362" s="133">
        <v>0</v>
      </c>
      <c r="M362" s="133">
        <v>0</v>
      </c>
      <c r="N362" s="133">
        <v>2146</v>
      </c>
      <c r="O362" s="133">
        <v>957</v>
      </c>
      <c r="P362" s="133">
        <v>0</v>
      </c>
      <c r="Q362" s="133"/>
      <c r="R362" s="133"/>
      <c r="S362" s="4">
        <f>SUM(MC_2[[#This Row],[ICR1]:[ICR6]])</f>
        <v>3103</v>
      </c>
      <c r="T362" s="134">
        <v>0.25</v>
      </c>
      <c r="U362" s="134">
        <v>0.58333333333333337</v>
      </c>
      <c r="V362" s="133"/>
      <c r="W362" s="133"/>
      <c r="X362" s="133" t="s">
        <v>421</v>
      </c>
      <c r="Y362" s="133"/>
      <c r="Z362" s="135"/>
    </row>
    <row r="363" spans="1:26">
      <c r="A363" s="133">
        <v>361</v>
      </c>
      <c r="B363" s="127">
        <f t="shared" si="5"/>
        <v>46049</v>
      </c>
      <c r="C363" s="128">
        <f>YEAR(MC_2[[#This Row],[Date]])+IF(MONTH(MC_2[[#This Row],[Date]])&gt;=4,1,0)</f>
        <v>2026</v>
      </c>
      <c r="D363" s="129">
        <f>YEAR(MC_2[[#This Row],[Date]])</f>
        <v>2026</v>
      </c>
      <c r="E363" s="126" t="s">
        <v>219</v>
      </c>
      <c r="F363" s="126" t="s">
        <v>219</v>
      </c>
      <c r="G363" s="130" t="str">
        <f>TEXT(MC_2[[#This Row],[Date]],"mmm-yy")</f>
        <v>Jan-26</v>
      </c>
      <c r="H363" s="130">
        <f>DAY(EOMONTH(MC_2[[#This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4">
        <f>SUM(MC_2[[#This Row],[ICR1]:[ICR6]])</f>
        <v>0</v>
      </c>
      <c r="T363" s="134">
        <v>0.25</v>
      </c>
      <c r="U363" s="134">
        <v>0.58333333333333337</v>
      </c>
      <c r="V363" s="133"/>
      <c r="W363" s="133"/>
      <c r="X363" s="133" t="s">
        <v>421</v>
      </c>
      <c r="Y363" s="133"/>
      <c r="Z363" s="135"/>
    </row>
    <row r="364" spans="1:26">
      <c r="A364" s="133">
        <v>362</v>
      </c>
      <c r="B364" s="127">
        <f t="shared" si="5"/>
        <v>46050</v>
      </c>
      <c r="C364" s="128">
        <f>YEAR(MC_2[[#This Row],[Date]])+IF(MONTH(MC_2[[#This Row],[Date]])&gt;=4,1,0)</f>
        <v>2026</v>
      </c>
      <c r="D364" s="129">
        <f>YEAR(MC_2[[#This Row],[Date]])</f>
        <v>2026</v>
      </c>
      <c r="E364" s="126" t="s">
        <v>219</v>
      </c>
      <c r="F364" s="126" t="s">
        <v>219</v>
      </c>
      <c r="G364" s="130" t="str">
        <f>TEXT(MC_2[[#This Row],[Date]],"mmm-yy")</f>
        <v>Jan-26</v>
      </c>
      <c r="H364" s="130">
        <f>DAY(EOMONTH(MC_2[[#This Row],[Month Year]],0))</f>
        <v>31</v>
      </c>
      <c r="I364" s="133">
        <v>2</v>
      </c>
      <c r="J364" s="133">
        <v>5</v>
      </c>
      <c r="K364" s="133">
        <v>1798</v>
      </c>
      <c r="L364" s="133">
        <v>522</v>
      </c>
      <c r="M364" s="133">
        <v>0</v>
      </c>
      <c r="N364" s="133">
        <v>812</v>
      </c>
      <c r="O364" s="133">
        <v>0</v>
      </c>
      <c r="P364" s="133">
        <v>0</v>
      </c>
      <c r="Q364" s="133"/>
      <c r="R364" s="133"/>
      <c r="S364" s="4">
        <f>SUM(MC_2[[#This Row],[ICR1]:[ICR6]])</f>
        <v>3132</v>
      </c>
      <c r="T364" s="134">
        <v>0.25</v>
      </c>
      <c r="U364" s="134">
        <v>0.58333333333333337</v>
      </c>
      <c r="V364" s="133"/>
      <c r="W364" s="133"/>
      <c r="X364" s="133" t="s">
        <v>421</v>
      </c>
      <c r="Y364" s="133"/>
      <c r="Z364" s="135"/>
    </row>
    <row r="365" spans="1:26">
      <c r="A365" s="133">
        <v>363</v>
      </c>
      <c r="B365" s="127">
        <f t="shared" si="5"/>
        <v>46051</v>
      </c>
      <c r="C365" s="128">
        <f>YEAR(MC_2[[#This Row],[Date]])+IF(MONTH(MC_2[[#This Row],[Date]])&gt;=4,1,0)</f>
        <v>2026</v>
      </c>
      <c r="D365" s="129">
        <f>YEAR(MC_2[[#This Row],[Date]])</f>
        <v>2026</v>
      </c>
      <c r="E365" s="126" t="s">
        <v>219</v>
      </c>
      <c r="F365" s="126" t="s">
        <v>219</v>
      </c>
      <c r="G365" s="130" t="str">
        <f>TEXT(MC_2[[#This Row],[Date]],"mmm-yy")</f>
        <v>Jan-26</v>
      </c>
      <c r="H365" s="130">
        <f>DAY(EOMONTH(MC_2[[#This Row],[Month Year]],0))</f>
        <v>31</v>
      </c>
      <c r="I365" s="133">
        <v>2</v>
      </c>
      <c r="J365" s="133">
        <v>5</v>
      </c>
      <c r="K365" s="133">
        <v>0</v>
      </c>
      <c r="L365" s="133">
        <v>3306</v>
      </c>
      <c r="M365" s="133">
        <v>0</v>
      </c>
      <c r="N365" s="133">
        <v>1740</v>
      </c>
      <c r="O365" s="133">
        <v>0</v>
      </c>
      <c r="P365" s="133">
        <v>0</v>
      </c>
      <c r="Q365" s="133"/>
      <c r="R365" s="133"/>
      <c r="S365" s="4">
        <f>SUM(MC_2[[#This Row],[ICR1]:[ICR6]])</f>
        <v>5046</v>
      </c>
      <c r="T365" s="134">
        <v>0.25</v>
      </c>
      <c r="U365" s="134">
        <v>0.54166666666666663</v>
      </c>
      <c r="V365" s="134">
        <v>0.58333333333333337</v>
      </c>
      <c r="W365" s="134">
        <v>0.70833333333333337</v>
      </c>
      <c r="X365" s="133" t="s">
        <v>421</v>
      </c>
      <c r="Y365" s="133"/>
      <c r="Z365" s="135"/>
    </row>
    <row r="366" spans="1:26">
      <c r="A366" s="133">
        <v>364</v>
      </c>
      <c r="B366" s="127">
        <f t="shared" si="5"/>
        <v>46052</v>
      </c>
      <c r="C366" s="128">
        <f>YEAR(MC_2[[#This Row],[Date]])+IF(MONTH(MC_2[[#This Row],[Date]])&gt;=4,1,0)</f>
        <v>2026</v>
      </c>
      <c r="D366" s="129">
        <f>YEAR(MC_2[[#This Row],[Date]])</f>
        <v>2026</v>
      </c>
      <c r="E366" s="126" t="s">
        <v>219</v>
      </c>
      <c r="F366" s="126" t="s">
        <v>219</v>
      </c>
      <c r="G366" s="130" t="str">
        <f>TEXT(MC_2[[#This Row],[Date]],"mmm-yy")</f>
        <v>Jan-26</v>
      </c>
      <c r="H366" s="130">
        <f>DAY(EOMONTH(MC_2[[#This Row],[Month Year]],0))</f>
        <v>31</v>
      </c>
      <c r="I366" s="133">
        <v>2</v>
      </c>
      <c r="J366" s="133">
        <v>5</v>
      </c>
      <c r="K366" s="133">
        <v>0</v>
      </c>
      <c r="L366" s="133">
        <v>0</v>
      </c>
      <c r="M366" s="133">
        <v>0</v>
      </c>
      <c r="N366" s="133">
        <v>2378</v>
      </c>
      <c r="O366" s="133">
        <v>0</v>
      </c>
      <c r="P366" s="133">
        <v>0</v>
      </c>
      <c r="Q366" s="133">
        <v>0</v>
      </c>
      <c r="R366" s="133">
        <v>1798</v>
      </c>
      <c r="S366" s="4">
        <f>SUM(MC_2[[#This Row],[ICR1]:[ICR8]])</f>
        <v>4176</v>
      </c>
      <c r="T366" s="134">
        <v>0.25</v>
      </c>
      <c r="U366" s="134">
        <v>0.54166666666666663</v>
      </c>
      <c r="V366" s="134">
        <v>0.58333333333333337</v>
      </c>
      <c r="W366" s="134">
        <v>0.70833333333333337</v>
      </c>
      <c r="X366" s="133" t="s">
        <v>421</v>
      </c>
      <c r="Y366" s="133"/>
      <c r="Z366" s="135"/>
    </row>
    <row r="367" spans="1:26">
      <c r="A367" s="133">
        <v>365</v>
      </c>
      <c r="B367" s="127">
        <f t="shared" si="5"/>
        <v>46053</v>
      </c>
      <c r="C367" s="128">
        <f>YEAR(MC_2[[#This Row],[Date]])+IF(MONTH(MC_2[[#This Row],[Date]])&gt;=4,1,0)</f>
        <v>2026</v>
      </c>
      <c r="D367" s="129">
        <f>YEAR(MC_2[[#This Row],[Date]])</f>
        <v>2026</v>
      </c>
      <c r="E367" s="126" t="s">
        <v>219</v>
      </c>
      <c r="F367" s="126" t="s">
        <v>219</v>
      </c>
      <c r="G367" s="130" t="str">
        <f>TEXT(MC_2[[#This Row],[Date]],"mmm-yy")</f>
        <v>Jan-26</v>
      </c>
      <c r="H367" s="130">
        <f>DAY(EOMONTH(MC_2[[#This Row],[Month Year]],0))</f>
        <v>31</v>
      </c>
      <c r="I367" s="133">
        <v>2</v>
      </c>
      <c r="J367" s="133">
        <v>15</v>
      </c>
      <c r="K367" s="133">
        <v>3828</v>
      </c>
      <c r="L367" s="133">
        <v>0</v>
      </c>
      <c r="M367" s="133">
        <v>0</v>
      </c>
      <c r="N367" s="133">
        <v>0</v>
      </c>
      <c r="O367" s="133">
        <v>0</v>
      </c>
      <c r="P367" s="133">
        <v>0</v>
      </c>
      <c r="Q367" s="133">
        <v>0</v>
      </c>
      <c r="R367" s="133">
        <v>2842</v>
      </c>
      <c r="S367" s="4">
        <f>SUM(MC_2[[#This Row],[ICR1]:[ICR8]])</f>
        <v>6670</v>
      </c>
      <c r="T367" s="134">
        <v>0.25</v>
      </c>
      <c r="U367" s="134">
        <v>0.54166666666666663</v>
      </c>
      <c r="V367" s="134">
        <v>0.58333333333333337</v>
      </c>
      <c r="W367" s="134">
        <v>0.70833333333333337</v>
      </c>
      <c r="X367" s="133" t="s">
        <v>421</v>
      </c>
      <c r="Y367" s="133"/>
      <c r="Z367" s="135"/>
    </row>
    <row r="368" spans="1:26">
      <c r="A368" s="133">
        <v>366</v>
      </c>
      <c r="B368" s="127">
        <f t="shared" si="5"/>
        <v>46054</v>
      </c>
      <c r="C368" s="128">
        <f>YEAR(MC_2[[#This Row],[Date]])+IF(MONTH(MC_2[[#This Row],[Date]])&gt;=4,1,0)</f>
        <v>2026</v>
      </c>
      <c r="D368" s="129">
        <f>YEAR(MC_2[[#This Row],[Date]])</f>
        <v>2026</v>
      </c>
      <c r="E368" s="126" t="s">
        <v>219</v>
      </c>
      <c r="F368" s="126" t="s">
        <v>219</v>
      </c>
      <c r="G368" s="130" t="str">
        <f>TEXT(MC_2[[#This Row],[Date]],"mmm-yy")</f>
        <v>Feb-26</v>
      </c>
      <c r="H368" s="130">
        <f>DAY(EOMONTH(MC_2[[#This Row],[Month Year]],0))</f>
        <v>28</v>
      </c>
      <c r="I368" s="133">
        <v>2</v>
      </c>
      <c r="J368" s="133">
        <v>15</v>
      </c>
      <c r="K368" s="133">
        <v>3480</v>
      </c>
      <c r="L368" s="133">
        <v>0</v>
      </c>
      <c r="M368" s="133">
        <v>0</v>
      </c>
      <c r="N368" s="133">
        <v>0</v>
      </c>
      <c r="O368" s="133">
        <v>0</v>
      </c>
      <c r="P368" s="133">
        <v>0</v>
      </c>
      <c r="Q368" s="133">
        <v>0</v>
      </c>
      <c r="R368" s="133">
        <v>5713</v>
      </c>
      <c r="S368" s="4">
        <f>SUM(MC_2[[#This Row],[ICR1]:[ICR8]])</f>
        <v>9193</v>
      </c>
      <c r="T368" s="134">
        <v>0.25</v>
      </c>
      <c r="U368" s="134">
        <v>0.54166666666666663</v>
      </c>
      <c r="V368" s="134">
        <v>0.58333333333333337</v>
      </c>
      <c r="W368" s="134">
        <v>0.70833333333333337</v>
      </c>
      <c r="X368" s="133" t="s">
        <v>421</v>
      </c>
      <c r="Y368" s="133"/>
      <c r="Z368" s="135"/>
    </row>
    <row r="369" spans="1:26">
      <c r="A369" s="133">
        <v>367</v>
      </c>
      <c r="B369" s="127">
        <f t="shared" si="5"/>
        <v>46055</v>
      </c>
      <c r="C369" s="128">
        <f>YEAR(MC_2[[#This Row],[Date]])+IF(MONTH(MC_2[[#This Row],[Date]])&gt;=4,1,0)</f>
        <v>2026</v>
      </c>
      <c r="D369" s="129">
        <f>YEAR(MC_2[[#This Row],[Date]])</f>
        <v>2026</v>
      </c>
      <c r="E369" s="126" t="s">
        <v>219</v>
      </c>
      <c r="F369" s="126" t="s">
        <v>219</v>
      </c>
      <c r="G369" s="130" t="str">
        <f>TEXT(MC_2[[#This Row],[Date]],"mmm-yy")</f>
        <v>Feb-26</v>
      </c>
      <c r="H369" s="130">
        <f>DAY(EOMONTH(MC_2[[#This Row],[Month Year]],0))</f>
        <v>28</v>
      </c>
      <c r="I369" s="133">
        <v>2</v>
      </c>
      <c r="J369" s="133">
        <v>15</v>
      </c>
      <c r="K369" s="133">
        <v>406</v>
      </c>
      <c r="L369" s="133">
        <v>3132</v>
      </c>
      <c r="M369" s="133">
        <v>0</v>
      </c>
      <c r="N369" s="133">
        <v>0</v>
      </c>
      <c r="O369" s="133">
        <v>0</v>
      </c>
      <c r="P369" s="133">
        <v>0</v>
      </c>
      <c r="Q369" s="133">
        <v>0</v>
      </c>
      <c r="R369" s="133">
        <v>2320</v>
      </c>
      <c r="S369" s="4">
        <f>SUM(MC_2[[#This Row],[ICR1]:[ICR8]])</f>
        <v>5858</v>
      </c>
      <c r="T369" s="134">
        <v>0.25</v>
      </c>
      <c r="U369" s="134">
        <v>0.54166666666666663</v>
      </c>
      <c r="V369" s="134">
        <v>0.58333333333333337</v>
      </c>
      <c r="W369" s="134">
        <v>0.70833333333333337</v>
      </c>
      <c r="X369" s="133" t="s">
        <v>421</v>
      </c>
      <c r="Y369" s="133"/>
      <c r="Z369" s="135"/>
    </row>
    <row r="370" spans="1:26">
      <c r="A370" s="133">
        <v>368</v>
      </c>
      <c r="B370" s="127">
        <f t="shared" si="5"/>
        <v>46056</v>
      </c>
      <c r="C370" s="238">
        <f>YEAR(MC_2[[#This Row],[Date]])+IF(MONTH(MC_2[[#This Row],[Date]])&gt;=4,1,0)</f>
        <v>2026</v>
      </c>
      <c r="D370" s="130">
        <f>YEAR(MC_2[[#This Row],[Date]])</f>
        <v>2026</v>
      </c>
      <c r="E370" s="126" t="s">
        <v>219</v>
      </c>
      <c r="F370" s="126" t="s">
        <v>219</v>
      </c>
      <c r="G370" s="4" t="str">
        <f>TEXT(MC_2[[#This Row],[Date]],"mmm-yy")</f>
        <v>Feb-26</v>
      </c>
      <c r="H370" s="4">
        <f>DAY(EOMONTH(MC_2[[#This Row],[Month Year]],0))</f>
        <v>28</v>
      </c>
      <c r="I370" s="133">
        <v>2</v>
      </c>
      <c r="J370" s="133">
        <v>15</v>
      </c>
      <c r="K370" s="133">
        <v>0</v>
      </c>
      <c r="L370" s="133">
        <v>2233</v>
      </c>
      <c r="M370" s="133">
        <v>4727</v>
      </c>
      <c r="N370" s="133">
        <v>0</v>
      </c>
      <c r="O370" s="133">
        <v>0</v>
      </c>
      <c r="P370" s="133">
        <v>0</v>
      </c>
      <c r="Q370" s="133">
        <v>0</v>
      </c>
      <c r="R370" s="133">
        <v>0</v>
      </c>
      <c r="S370" s="4">
        <f>SUM(MC_2[[#This Row],[ICR1]:[ICR8]])</f>
        <v>6960</v>
      </c>
      <c r="T370" s="134">
        <v>0.25</v>
      </c>
      <c r="U370" s="134">
        <v>0.54166666666666663</v>
      </c>
      <c r="V370" s="134">
        <v>0.58333333333333337</v>
      </c>
      <c r="W370" s="134">
        <v>0.70833333333333337</v>
      </c>
      <c r="X370" s="133" t="s">
        <v>421</v>
      </c>
      <c r="Y370" s="133"/>
      <c r="Z370" s="133"/>
    </row>
    <row r="371" spans="1:26">
      <c r="A371" s="133">
        <v>369</v>
      </c>
      <c r="B371" s="127">
        <f t="shared" si="5"/>
        <v>46057</v>
      </c>
      <c r="C371" s="238">
        <f>YEAR(MC_2[[#This Row],[Date]])+IF(MONTH(MC_2[[#This Row],[Date]])&gt;=4,1,0)</f>
        <v>2026</v>
      </c>
      <c r="D371" s="130">
        <f>YEAR(MC_2[[#This Row],[Date]])</f>
        <v>2026</v>
      </c>
      <c r="E371" s="126" t="s">
        <v>219</v>
      </c>
      <c r="F371" s="126" t="s">
        <v>219</v>
      </c>
      <c r="G371" s="4" t="str">
        <f>TEXT(MC_2[[#This Row],[Date]],"mmm-yy")</f>
        <v>Feb-26</v>
      </c>
      <c r="H371" s="4">
        <f>DAY(EOMONTH(MC_2[[#This Row],[Month Year]],0))</f>
        <v>28</v>
      </c>
      <c r="I371" s="133">
        <v>2</v>
      </c>
      <c r="J371" s="133">
        <v>15</v>
      </c>
      <c r="K371" s="133">
        <v>0</v>
      </c>
      <c r="L371" s="133">
        <v>3306</v>
      </c>
      <c r="M371" s="133">
        <v>5104</v>
      </c>
      <c r="N371" s="133">
        <v>0</v>
      </c>
      <c r="O371" s="133">
        <v>0</v>
      </c>
      <c r="P371" s="133">
        <v>0</v>
      </c>
      <c r="Q371" s="133">
        <v>0</v>
      </c>
      <c r="R371" s="133">
        <v>0</v>
      </c>
      <c r="S371" s="4">
        <f>SUM(MC_2[[#This Row],[ICR1]:[ICR8]])</f>
        <v>8410</v>
      </c>
      <c r="T371" s="134">
        <v>0.25</v>
      </c>
      <c r="U371" s="134">
        <v>0.54166666666666663</v>
      </c>
      <c r="V371" s="134">
        <v>0.58333333333333337</v>
      </c>
      <c r="W371" s="134">
        <v>0.70833333333333337</v>
      </c>
      <c r="X371" s="133" t="s">
        <v>421</v>
      </c>
      <c r="Y371" s="133"/>
      <c r="Z371" s="133"/>
    </row>
    <row r="372" spans="1:26">
      <c r="A372" s="133">
        <v>370</v>
      </c>
      <c r="B372" s="127">
        <f t="shared" si="5"/>
        <v>46058</v>
      </c>
      <c r="C372" s="238">
        <f>YEAR(MC_2[[#This Row],[Date]])+IF(MONTH(MC_2[[#This Row],[Date]])&gt;=4,1,0)</f>
        <v>2026</v>
      </c>
      <c r="D372" s="130">
        <f>YEAR(MC_2[[#This Row],[Date]])</f>
        <v>2026</v>
      </c>
      <c r="E372" s="126" t="s">
        <v>219</v>
      </c>
      <c r="F372" s="126" t="s">
        <v>219</v>
      </c>
      <c r="G372" s="4" t="str">
        <f>TEXT(MC_2[[#This Row],[Date]],"mmm-yy")</f>
        <v>Feb-26</v>
      </c>
      <c r="H372" s="4">
        <f>DAY(EOMONTH(MC_2[[#This Row],[Month Year]],0))</f>
        <v>28</v>
      </c>
      <c r="I372" s="133">
        <v>2</v>
      </c>
      <c r="J372" s="133">
        <v>15</v>
      </c>
      <c r="K372" s="133">
        <v>2436</v>
      </c>
      <c r="L372" s="133">
        <v>3074</v>
      </c>
      <c r="M372" s="133">
        <v>1566</v>
      </c>
      <c r="N372" s="133">
        <v>3306</v>
      </c>
      <c r="O372" s="133">
        <v>0</v>
      </c>
      <c r="P372" s="133">
        <v>0</v>
      </c>
      <c r="Q372" s="133">
        <v>0</v>
      </c>
      <c r="R372" s="133">
        <v>0</v>
      </c>
      <c r="S372" s="4">
        <f>SUM(MC_2[[#This Row],[ICR1]:[ICR8]])</f>
        <v>10382</v>
      </c>
      <c r="T372" s="134">
        <v>0.25</v>
      </c>
      <c r="U372" s="134">
        <v>0.54166666666666663</v>
      </c>
      <c r="V372" s="134">
        <v>0.58333333333333337</v>
      </c>
      <c r="W372" s="134">
        <v>0.70833333333333337</v>
      </c>
      <c r="X372" s="133" t="s">
        <v>421</v>
      </c>
      <c r="Y372" s="133"/>
      <c r="Z372" s="133"/>
    </row>
    <row r="373" spans="1:26">
      <c r="A373" s="133">
        <v>371</v>
      </c>
      <c r="B373" s="127">
        <f t="shared" si="5"/>
        <v>46059</v>
      </c>
      <c r="C373" s="238">
        <f>YEAR(MC_2[[#This Row],[Date]])+IF(MONTH(MC_2[[#This Row],[Date]])&gt;=4,1,0)</f>
        <v>2026</v>
      </c>
      <c r="D373" s="130">
        <f>YEAR(MC_2[[#This Row],[Date]])</f>
        <v>2026</v>
      </c>
      <c r="E373" s="126" t="s">
        <v>219</v>
      </c>
      <c r="F373" s="126" t="s">
        <v>219</v>
      </c>
      <c r="G373" s="4" t="str">
        <f>TEXT(MC_2[[#This Row],[Date]],"mmm-yy")</f>
        <v>Feb-26</v>
      </c>
      <c r="H373" s="4">
        <f>DAY(EOMONTH(MC_2[[#This Row],[Month Year]],0))</f>
        <v>28</v>
      </c>
      <c r="I373" s="133">
        <v>2</v>
      </c>
      <c r="J373" s="133">
        <v>15</v>
      </c>
      <c r="K373" s="133">
        <v>0</v>
      </c>
      <c r="L373" s="133">
        <v>3074</v>
      </c>
      <c r="M373" s="133">
        <v>0</v>
      </c>
      <c r="N373" s="133">
        <v>928</v>
      </c>
      <c r="O373" s="133">
        <v>0</v>
      </c>
      <c r="P373" s="133">
        <v>0</v>
      </c>
      <c r="Q373" s="133">
        <v>0</v>
      </c>
      <c r="R373" s="133">
        <v>696</v>
      </c>
      <c r="S373" s="4">
        <f>SUM(MC_2[[#This Row],[ICR1]:[ICR8]])</f>
        <v>4698</v>
      </c>
      <c r="T373" s="134">
        <v>0.25</v>
      </c>
      <c r="U373" s="134">
        <v>0.54166666666666663</v>
      </c>
      <c r="V373" s="134">
        <v>0.58333333333333337</v>
      </c>
      <c r="W373" s="134">
        <v>0.70833333333333337</v>
      </c>
      <c r="X373" s="133" t="s">
        <v>421</v>
      </c>
      <c r="Y373" s="133"/>
      <c r="Z373" s="133"/>
    </row>
    <row r="374" spans="1:26">
      <c r="A374" s="133">
        <v>372</v>
      </c>
      <c r="B374" s="127">
        <f t="shared" si="5"/>
        <v>46060</v>
      </c>
      <c r="C374" s="238">
        <f>YEAR(MC_2[[#This Row],[Date]])+IF(MONTH(MC_2[[#This Row],[Date]])&gt;=4,1,0)</f>
        <v>2026</v>
      </c>
      <c r="D374" s="130">
        <f>YEAR(MC_2[[#This Row],[Date]])</f>
        <v>2026</v>
      </c>
      <c r="E374" s="126" t="s">
        <v>219</v>
      </c>
      <c r="F374" s="126" t="s">
        <v>219</v>
      </c>
      <c r="G374" s="4" t="str">
        <f>TEXT(MC_2[[#This Row],[Date]],"mmm-yy")</f>
        <v>Feb-26</v>
      </c>
      <c r="H374" s="4">
        <f>DAY(EOMONTH(MC_2[[#This Row],[Month Year]],0))</f>
        <v>28</v>
      </c>
      <c r="I374" s="133">
        <v>2</v>
      </c>
      <c r="J374" s="133">
        <v>15</v>
      </c>
      <c r="K374" s="133">
        <v>0</v>
      </c>
      <c r="L374" s="133">
        <v>0</v>
      </c>
      <c r="M374" s="133">
        <v>0</v>
      </c>
      <c r="N374" s="133">
        <v>2320</v>
      </c>
      <c r="O374" s="133">
        <v>1334</v>
      </c>
      <c r="P374" s="133">
        <v>0</v>
      </c>
      <c r="Q374" s="133">
        <v>0</v>
      </c>
      <c r="R374" s="133">
        <v>2610</v>
      </c>
      <c r="S374" s="4">
        <f>SUM(MC_2[[#This Row],[ICR1]:[ICR8]])</f>
        <v>6264</v>
      </c>
      <c r="T374" s="134">
        <v>0.25</v>
      </c>
      <c r="U374" s="134">
        <v>0.54166666666666663</v>
      </c>
      <c r="V374" s="134">
        <v>0.58333333333333337</v>
      </c>
      <c r="W374" s="134">
        <v>0.70833333333333337</v>
      </c>
      <c r="X374" s="133" t="s">
        <v>421</v>
      </c>
      <c r="Y374" s="133"/>
      <c r="Z374" s="133"/>
    </row>
    <row r="375" spans="1:26">
      <c r="A375" s="133">
        <v>373</v>
      </c>
      <c r="B375" s="127">
        <f t="shared" si="5"/>
        <v>46061</v>
      </c>
      <c r="C375" s="238">
        <f>YEAR(MC_2[[#This Row],[Date]])+IF(MONTH(MC_2[[#This Row],[Date]])&gt;=4,1,0)</f>
        <v>2026</v>
      </c>
      <c r="D375" s="130">
        <f>YEAR(MC_2[[#This Row],[Date]])</f>
        <v>2026</v>
      </c>
      <c r="E375" s="126" t="s">
        <v>219</v>
      </c>
      <c r="F375" s="126" t="s">
        <v>219</v>
      </c>
      <c r="G375" s="4" t="str">
        <f>TEXT(MC_2[[#This Row],[Date]],"mmm-yy")</f>
        <v>Feb-26</v>
      </c>
      <c r="H375" s="4">
        <f>DAY(EOMONTH(MC_2[[#This Row],[Month Year]],0))</f>
        <v>28</v>
      </c>
      <c r="I375" s="133">
        <v>2</v>
      </c>
      <c r="J375" s="133">
        <v>5</v>
      </c>
      <c r="K375" s="133">
        <v>0</v>
      </c>
      <c r="L375" s="133">
        <v>0</v>
      </c>
      <c r="M375" s="133">
        <v>0</v>
      </c>
      <c r="N375" s="133">
        <v>0</v>
      </c>
      <c r="O375" s="133">
        <v>0</v>
      </c>
      <c r="P375" s="133">
        <v>0</v>
      </c>
      <c r="Q375" s="133">
        <v>0</v>
      </c>
      <c r="R375" s="133">
        <v>3480</v>
      </c>
      <c r="S375" s="4">
        <f>SUM(MC_2[[#This Row],[ICR1]:[ICR8]])</f>
        <v>3480</v>
      </c>
      <c r="T375" s="134">
        <v>0.25</v>
      </c>
      <c r="U375" s="134">
        <v>0.54166666666666663</v>
      </c>
      <c r="V375" s="134">
        <v>0.58333333333333337</v>
      </c>
      <c r="W375" s="134">
        <v>0.70833333333333337</v>
      </c>
      <c r="X375" s="133" t="s">
        <v>421</v>
      </c>
      <c r="Y375" s="133"/>
      <c r="Z375" s="133"/>
    </row>
    <row r="376" spans="1:26">
      <c r="A376" s="133">
        <v>374</v>
      </c>
      <c r="B376" s="127">
        <f t="shared" si="5"/>
        <v>46062</v>
      </c>
      <c r="C376" s="238">
        <f>YEAR(MC_2[[#This Row],[Date]])+IF(MONTH(MC_2[[#This Row],[Date]])&gt;=4,1,0)</f>
        <v>2026</v>
      </c>
      <c r="D376" s="130">
        <f>YEAR(MC_2[[#This Row],[Date]])</f>
        <v>2026</v>
      </c>
      <c r="E376" s="126" t="s">
        <v>219</v>
      </c>
      <c r="F376" s="126" t="s">
        <v>219</v>
      </c>
      <c r="G376" s="4" t="str">
        <f>TEXT(MC_2[[#This Row],[Date]],"mmm-yy")</f>
        <v>Feb-26</v>
      </c>
      <c r="H376" s="4">
        <f>DAY(EOMONTH(MC_2[[#This Row],[Month Year]],0))</f>
        <v>28</v>
      </c>
      <c r="I376" s="133">
        <v>2</v>
      </c>
      <c r="J376" s="133">
        <v>5</v>
      </c>
      <c r="K376" s="133">
        <v>0</v>
      </c>
      <c r="L376" s="133">
        <v>0</v>
      </c>
      <c r="M376" s="133">
        <v>0</v>
      </c>
      <c r="N376" s="133">
        <v>0</v>
      </c>
      <c r="O376" s="133">
        <v>0</v>
      </c>
      <c r="P376" s="133">
        <v>0</v>
      </c>
      <c r="Q376" s="133">
        <v>0</v>
      </c>
      <c r="R376" s="133">
        <v>3944</v>
      </c>
      <c r="S376" s="4">
        <f>SUM(MC_2[[#This Row],[ICR1]:[ICR8]])</f>
        <v>3944</v>
      </c>
      <c r="T376" s="134">
        <v>0.25</v>
      </c>
      <c r="U376" s="134">
        <v>0.54166666666666663</v>
      </c>
      <c r="V376" s="134">
        <v>0.58333333333333337</v>
      </c>
      <c r="W376" s="134">
        <v>0.70833333333333337</v>
      </c>
      <c r="X376" s="133" t="s">
        <v>421</v>
      </c>
      <c r="Y376" s="133"/>
      <c r="Z376" s="133"/>
    </row>
    <row r="377" spans="1:26">
      <c r="A377" s="133">
        <v>375</v>
      </c>
      <c r="B377" s="127">
        <f t="shared" si="5"/>
        <v>46063</v>
      </c>
      <c r="C377" s="238">
        <f>YEAR(MC_2[[#This Row],[Date]])+IF(MONTH(MC_2[[#This Row],[Date]])&gt;=4,1,0)</f>
        <v>2026</v>
      </c>
      <c r="D377" s="130">
        <f>YEAR(MC_2[[#This Row],[Date]])</f>
        <v>2026</v>
      </c>
      <c r="E377" s="126" t="s">
        <v>219</v>
      </c>
      <c r="F377" s="126" t="s">
        <v>219</v>
      </c>
      <c r="G377" s="4" t="str">
        <f>TEXT(MC_2[[#This Row],[Date]],"mmm-yy")</f>
        <v>Feb-26</v>
      </c>
      <c r="H377" s="4">
        <f>DAY(EOMONTH(MC_2[[#This Row],[Month Year]],0))</f>
        <v>28</v>
      </c>
      <c r="I377" s="133">
        <v>2</v>
      </c>
      <c r="J377" s="133">
        <v>5</v>
      </c>
      <c r="K377" s="133">
        <v>0</v>
      </c>
      <c r="L377" s="133">
        <v>0</v>
      </c>
      <c r="M377" s="133">
        <v>0</v>
      </c>
      <c r="N377" s="133">
        <v>1624</v>
      </c>
      <c r="O377" s="133">
        <v>812</v>
      </c>
      <c r="P377" s="133">
        <v>0</v>
      </c>
      <c r="Q377" s="133">
        <v>0</v>
      </c>
      <c r="R377" s="133">
        <v>0</v>
      </c>
      <c r="S377" s="4">
        <f>SUM(MC_2[[#This Row],[ICR1]:[ICR8]])</f>
        <v>2436</v>
      </c>
      <c r="T377" s="134">
        <v>0.375</v>
      </c>
      <c r="U377" s="134">
        <v>0.54166666666666663</v>
      </c>
      <c r="V377" s="134">
        <v>0.58333333333333337</v>
      </c>
      <c r="W377" s="134">
        <v>0.70833333333333337</v>
      </c>
      <c r="X377" s="133" t="s">
        <v>421</v>
      </c>
      <c r="Y377" s="133"/>
      <c r="Z377" s="133"/>
    </row>
    <row r="378" spans="1:26">
      <c r="A378" s="133">
        <v>376</v>
      </c>
      <c r="B378" s="127">
        <f t="shared" si="5"/>
        <v>46064</v>
      </c>
      <c r="C378" s="238">
        <f>YEAR(MC_2[[#This Row],[Date]])+IF(MONTH(MC_2[[#This Row],[Date]])&gt;=4,1,0)</f>
        <v>2026</v>
      </c>
      <c r="D378" s="130">
        <f>YEAR(MC_2[[#This Row],[Date]])</f>
        <v>2026</v>
      </c>
      <c r="E378" s="126" t="s">
        <v>219</v>
      </c>
      <c r="F378" s="126" t="s">
        <v>219</v>
      </c>
      <c r="G378" s="4" t="str">
        <f>TEXT(MC_2[[#This Row],[Date]],"mmm-yy")</f>
        <v>Feb-26</v>
      </c>
      <c r="H378" s="4">
        <f>DAY(EOMONTH(MC_2[[#This Row],[Month Year]],0))</f>
        <v>28</v>
      </c>
      <c r="I378" s="133">
        <v>2</v>
      </c>
      <c r="J378" s="133">
        <v>13</v>
      </c>
      <c r="K378" s="133">
        <v>0</v>
      </c>
      <c r="L378" s="133">
        <v>0</v>
      </c>
      <c r="M378" s="133">
        <v>0</v>
      </c>
      <c r="N378" s="133">
        <v>0</v>
      </c>
      <c r="O378" s="133">
        <v>1566</v>
      </c>
      <c r="P378" s="133">
        <v>1044</v>
      </c>
      <c r="Q378" s="133">
        <v>0</v>
      </c>
      <c r="R378" s="133">
        <v>3828</v>
      </c>
      <c r="S378" s="4">
        <f>SUM(MC_2[[#This Row],[ICR1]:[ICR8]])</f>
        <v>6438</v>
      </c>
      <c r="T378" s="134">
        <v>0.375</v>
      </c>
      <c r="U378" s="134">
        <v>0.54166666666666663</v>
      </c>
      <c r="V378" s="134">
        <v>0.58333333333333337</v>
      </c>
      <c r="W378" s="134">
        <v>0.70833333333333337</v>
      </c>
      <c r="X378" s="133" t="s">
        <v>421</v>
      </c>
      <c r="Y378" s="133"/>
      <c r="Z378" s="133"/>
    </row>
    <row r="379" spans="1:26">
      <c r="A379" s="133">
        <v>377</v>
      </c>
      <c r="B379" s="127">
        <f t="shared" si="5"/>
        <v>46065</v>
      </c>
      <c r="C379" s="238">
        <f>YEAR(MC_2[[#This Row],[Date]])+IF(MONTH(MC_2[[#This Row],[Date]])&gt;=4,1,0)</f>
        <v>2026</v>
      </c>
      <c r="D379" s="130">
        <f>YEAR(MC_2[[#This Row],[Date]])</f>
        <v>2026</v>
      </c>
      <c r="E379" s="126" t="s">
        <v>219</v>
      </c>
      <c r="F379" s="126" t="s">
        <v>219</v>
      </c>
      <c r="G379" s="4" t="str">
        <f>TEXT(MC_2[[#This Row],[Date]],"mmm-yy")</f>
        <v>Feb-26</v>
      </c>
      <c r="H379" s="4">
        <f>DAY(EOMONTH(MC_2[[#This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4">
        <f>SUM(MC_2[[#This Row],[ICR1]:[ICR8]])</f>
        <v>0</v>
      </c>
      <c r="T379" s="133"/>
      <c r="U379" s="133"/>
      <c r="V379" s="133"/>
      <c r="W379" s="133"/>
      <c r="X379" s="133"/>
      <c r="Y379" s="133"/>
      <c r="Z379" s="133"/>
    </row>
    <row r="380" spans="1:26">
      <c r="A380" s="133">
        <v>378</v>
      </c>
      <c r="B380" s="127">
        <f t="shared" si="5"/>
        <v>46066</v>
      </c>
      <c r="C380" s="238">
        <f>YEAR(MC_2[[#This Row],[Date]])+IF(MONTH(MC_2[[#This Row],[Date]])&gt;=4,1,0)</f>
        <v>2026</v>
      </c>
      <c r="D380" s="130">
        <f>YEAR(MC_2[[#This Row],[Date]])</f>
        <v>2026</v>
      </c>
      <c r="E380" s="126" t="s">
        <v>219</v>
      </c>
      <c r="F380" s="126" t="s">
        <v>219</v>
      </c>
      <c r="G380" s="4" t="str">
        <f>TEXT(MC_2[[#This Row],[Date]],"mmm-yy")</f>
        <v>Feb-26</v>
      </c>
      <c r="H380" s="4">
        <f>DAY(EOMONTH(MC_2[[#This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4">
        <f>SUM(MC_2[[#This Row],[ICR1]:[ICR8]])</f>
        <v>0</v>
      </c>
      <c r="T380" s="133"/>
      <c r="U380" s="133"/>
      <c r="V380" s="133"/>
      <c r="W380" s="133"/>
      <c r="X380" s="133"/>
      <c r="Y380" s="133"/>
      <c r="Z380" s="133"/>
    </row>
    <row r="381" spans="1:26">
      <c r="A381" s="133">
        <v>379</v>
      </c>
      <c r="B381" s="127">
        <f t="shared" si="5"/>
        <v>46067</v>
      </c>
      <c r="C381" s="238">
        <f>YEAR(MC_2[[#This Row],[Date]])+IF(MONTH(MC_2[[#This Row],[Date]])&gt;=4,1,0)</f>
        <v>2026</v>
      </c>
      <c r="D381" s="130">
        <f>YEAR(MC_2[[#This Row],[Date]])</f>
        <v>2026</v>
      </c>
      <c r="E381" s="126" t="s">
        <v>219</v>
      </c>
      <c r="F381" s="126" t="s">
        <v>219</v>
      </c>
      <c r="G381" s="4" t="str">
        <f>TEXT(MC_2[[#This Row],[Date]],"mmm-yy")</f>
        <v>Feb-26</v>
      </c>
      <c r="H381" s="4">
        <f>DAY(EOMONTH(MC_2[[#This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4">
        <f>SUM(MC_2[[#This Row],[ICR1]:[ICR5]])</f>
        <v>0</v>
      </c>
      <c r="T381" s="133"/>
      <c r="U381" s="133"/>
      <c r="V381" s="133"/>
      <c r="W381" s="133"/>
      <c r="X381" s="133"/>
      <c r="Y381" s="133"/>
      <c r="Z381" s="133"/>
    </row>
    <row r="382" spans="1:26">
      <c r="A382" s="133">
        <v>380</v>
      </c>
      <c r="B382" s="127">
        <f t="shared" si="5"/>
        <v>46068</v>
      </c>
      <c r="C382" s="238">
        <f>YEAR(MC_2[[#This Row],[Date]])+IF(MONTH(MC_2[[#This Row],[Date]])&gt;=4,1,0)</f>
        <v>2026</v>
      </c>
      <c r="D382" s="130">
        <f>YEAR(MC_2[[#This Row],[Date]])</f>
        <v>2026</v>
      </c>
      <c r="E382" s="126" t="s">
        <v>219</v>
      </c>
      <c r="F382" s="126" t="s">
        <v>219</v>
      </c>
      <c r="G382" s="4" t="str">
        <f>TEXT(MC_2[[#This Row],[Date]],"mmm-yy")</f>
        <v>Feb-26</v>
      </c>
      <c r="H382" s="4">
        <f>DAY(EOMONTH(MC_2[[#This Row],[Month Year]],0))</f>
        <v>28</v>
      </c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4">
        <f>SUM(MC_2[[#This Row],[ICR1]:[ICR5]])</f>
        <v>0</v>
      </c>
      <c r="T382" s="133"/>
      <c r="U382" s="133"/>
      <c r="V382" s="133"/>
      <c r="W382" s="133"/>
      <c r="X382" s="133"/>
      <c r="Y382" s="133"/>
      <c r="Z382" s="133"/>
    </row>
    <row r="383" spans="1:26">
      <c r="A383" s="133">
        <v>381</v>
      </c>
      <c r="B383" s="127">
        <f t="shared" si="5"/>
        <v>46069</v>
      </c>
      <c r="C383" s="238">
        <f>YEAR(MC_2[[#This Row],[Date]])+IF(MONTH(MC_2[[#This Row],[Date]])&gt;=4,1,0)</f>
        <v>2026</v>
      </c>
      <c r="D383" s="130">
        <f>YEAR(MC_2[[#This Row],[Date]])</f>
        <v>2026</v>
      </c>
      <c r="E383" s="126" t="s">
        <v>219</v>
      </c>
      <c r="F383" s="126" t="s">
        <v>219</v>
      </c>
      <c r="G383" s="4" t="str">
        <f>TEXT(MC_2[[#This Row],[Date]],"mmm-yy")</f>
        <v>Feb-26</v>
      </c>
      <c r="H383" s="4">
        <f>DAY(EOMONTH(MC_2[[#This Row],[Month Year]],0))</f>
        <v>28</v>
      </c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4">
        <f>SUM(MC_2[[#This Row],[ICR1]:[ICR5]])</f>
        <v>0</v>
      </c>
      <c r="T383" s="133"/>
      <c r="U383" s="133"/>
      <c r="V383" s="133"/>
      <c r="W383" s="133"/>
      <c r="X383" s="133"/>
      <c r="Y383" s="133"/>
      <c r="Z383" s="133"/>
    </row>
    <row r="384" spans="1:26">
      <c r="A384" s="133">
        <v>382</v>
      </c>
      <c r="B384" s="127">
        <f t="shared" si="5"/>
        <v>46070</v>
      </c>
      <c r="C384" s="238">
        <f>YEAR(MC_2[[#This Row],[Date]])+IF(MONTH(MC_2[[#This Row],[Date]])&gt;=4,1,0)</f>
        <v>2026</v>
      </c>
      <c r="D384" s="130">
        <f>YEAR(MC_2[[#This Row],[Date]])</f>
        <v>2026</v>
      </c>
      <c r="E384" s="126" t="s">
        <v>219</v>
      </c>
      <c r="F384" s="126" t="s">
        <v>219</v>
      </c>
      <c r="G384" s="4" t="str">
        <f>TEXT(MC_2[[#This Row],[Date]],"mmm-yy")</f>
        <v>Feb-26</v>
      </c>
      <c r="H384" s="4">
        <f>DAY(EOMONTH(MC_2[[#This Row],[Month Year]],0))</f>
        <v>28</v>
      </c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4">
        <f>SUM(MC_2[[#This Row],[ICR1]:[ICR5]])</f>
        <v>0</v>
      </c>
      <c r="T384" s="133"/>
      <c r="U384" s="133"/>
      <c r="V384" s="133"/>
      <c r="W384" s="133"/>
      <c r="X384" s="133"/>
      <c r="Y384" s="133"/>
      <c r="Z384" s="133"/>
    </row>
    <row r="385" spans="1:26">
      <c r="A385" s="133">
        <v>383</v>
      </c>
      <c r="B385" s="127">
        <f t="shared" si="5"/>
        <v>46071</v>
      </c>
      <c r="C385" s="238">
        <f>YEAR(MC_2[[#This Row],[Date]])+IF(MONTH(MC_2[[#This Row],[Date]])&gt;=4,1,0)</f>
        <v>2026</v>
      </c>
      <c r="D385" s="130">
        <f>YEAR(MC_2[[#This Row],[Date]])</f>
        <v>2026</v>
      </c>
      <c r="E385" s="126" t="s">
        <v>219</v>
      </c>
      <c r="F385" s="126" t="s">
        <v>219</v>
      </c>
      <c r="G385" s="4" t="str">
        <f>TEXT(MC_2[[#This Row],[Date]],"mmm-yy")</f>
        <v>Feb-26</v>
      </c>
      <c r="H385" s="4">
        <f>DAY(EOMONTH(MC_2[[#This Row],[Month Year]],0))</f>
        <v>28</v>
      </c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4">
        <f>SUM(MC_2[[#This Row],[ICR1]:[ICR5]])</f>
        <v>0</v>
      </c>
      <c r="T385" s="133"/>
      <c r="U385" s="133"/>
      <c r="V385" s="133"/>
      <c r="W385" s="133"/>
      <c r="X385" s="133"/>
      <c r="Y385" s="133"/>
      <c r="Z385" s="133"/>
    </row>
    <row r="386" spans="1:26">
      <c r="A386" s="133">
        <v>384</v>
      </c>
      <c r="B386" s="127">
        <f t="shared" si="5"/>
        <v>46072</v>
      </c>
      <c r="C386" s="238">
        <f>YEAR(MC_2[[#This Row],[Date]])+IF(MONTH(MC_2[[#This Row],[Date]])&gt;=4,1,0)</f>
        <v>2026</v>
      </c>
      <c r="D386" s="130">
        <f>YEAR(MC_2[[#This Row],[Date]])</f>
        <v>2026</v>
      </c>
      <c r="E386" s="126" t="s">
        <v>219</v>
      </c>
      <c r="F386" s="126" t="s">
        <v>219</v>
      </c>
      <c r="G386" s="4" t="str">
        <f>TEXT(MC_2[[#This Row],[Date]],"mmm-yy")</f>
        <v>Feb-26</v>
      </c>
      <c r="H386" s="4">
        <f>DAY(EOMONTH(MC_2[[#This Row],[Month Year]],0))</f>
        <v>28</v>
      </c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4">
        <f>SUM(MC_2[[#This Row],[ICR1]:[ICR5]])</f>
        <v>0</v>
      </c>
      <c r="T386" s="133"/>
      <c r="U386" s="133"/>
      <c r="V386" s="133"/>
      <c r="W386" s="133"/>
      <c r="X386" s="133"/>
      <c r="Y386" s="133"/>
      <c r="Z386" s="133"/>
    </row>
    <row r="387" spans="1:26">
      <c r="A387" s="133">
        <v>385</v>
      </c>
      <c r="B387" s="127">
        <f t="shared" si="5"/>
        <v>46073</v>
      </c>
      <c r="C387" s="238">
        <f>YEAR(MC_2[[#This Row],[Date]])+IF(MONTH(MC_2[[#This Row],[Date]])&gt;=4,1,0)</f>
        <v>2026</v>
      </c>
      <c r="D387" s="130">
        <f>YEAR(MC_2[[#This Row],[Date]])</f>
        <v>2026</v>
      </c>
      <c r="E387" s="126" t="s">
        <v>219</v>
      </c>
      <c r="F387" s="126" t="s">
        <v>219</v>
      </c>
      <c r="G387" s="4" t="str">
        <f>TEXT(MC_2[[#This Row],[Date]],"mmm-yy")</f>
        <v>Feb-26</v>
      </c>
      <c r="H387" s="4">
        <f>DAY(EOMONTH(MC_2[[#This Row],[Month Year]],0))</f>
        <v>28</v>
      </c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4">
        <f>SUM(MC_2[[#This Row],[ICR1]:[ICR5]])</f>
        <v>0</v>
      </c>
      <c r="T387" s="133"/>
      <c r="U387" s="133"/>
      <c r="V387" s="133"/>
      <c r="W387" s="133"/>
      <c r="X387" s="133"/>
      <c r="Y387" s="133"/>
      <c r="Z387" s="133"/>
    </row>
    <row r="388" spans="1:26">
      <c r="A388" s="133">
        <v>386</v>
      </c>
      <c r="B388" s="127">
        <f t="shared" si="5"/>
        <v>46074</v>
      </c>
      <c r="C388" s="238">
        <f>YEAR(MC_2[[#This Row],[Date]])+IF(MONTH(MC_2[[#This Row],[Date]])&gt;=4,1,0)</f>
        <v>2026</v>
      </c>
      <c r="D388" s="130">
        <f>YEAR(MC_2[[#This Row],[Date]])</f>
        <v>2026</v>
      </c>
      <c r="E388" s="126" t="s">
        <v>219</v>
      </c>
      <c r="F388" s="126" t="s">
        <v>219</v>
      </c>
      <c r="G388" s="4" t="str">
        <f>TEXT(MC_2[[#This Row],[Date]],"mmm-yy")</f>
        <v>Feb-26</v>
      </c>
      <c r="H388" s="4">
        <f>DAY(EOMONTH(MC_2[[#This Row],[Month Year]],0))</f>
        <v>28</v>
      </c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4">
        <f>SUM(MC_2[[#This Row],[ICR1]:[ICR5]])</f>
        <v>0</v>
      </c>
      <c r="T388" s="133"/>
      <c r="U388" s="133"/>
      <c r="V388" s="133"/>
      <c r="W388" s="133"/>
      <c r="X388" s="133"/>
      <c r="Y388" s="133"/>
      <c r="Z388" s="133"/>
    </row>
    <row r="389" spans="1:26">
      <c r="A389" s="133">
        <v>387</v>
      </c>
      <c r="B389" s="127">
        <f t="shared" ref="B389:B390" si="6">B388+1</f>
        <v>46075</v>
      </c>
      <c r="C389" s="238">
        <f>YEAR(MC_2[[#This Row],[Date]])+IF(MONTH(MC_2[[#This Row],[Date]])&gt;=4,1,0)</f>
        <v>2026</v>
      </c>
      <c r="D389" s="130">
        <f>YEAR(MC_2[[#This Row],[Date]])</f>
        <v>2026</v>
      </c>
      <c r="E389" s="126" t="s">
        <v>219</v>
      </c>
      <c r="F389" s="126" t="s">
        <v>219</v>
      </c>
      <c r="G389" s="4" t="str">
        <f>TEXT(MC_2[[#This Row],[Date]],"mmm-yy")</f>
        <v>Feb-26</v>
      </c>
      <c r="H389" s="4">
        <f>DAY(EOMONTH(MC_2[[#This Row],[Month Year]],0))</f>
        <v>28</v>
      </c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4">
        <f>SUM(MC_2[[#This Row],[ICR1]:[ICR5]])</f>
        <v>0</v>
      </c>
      <c r="T389" s="133"/>
      <c r="U389" s="133"/>
      <c r="V389" s="133"/>
      <c r="W389" s="133"/>
      <c r="X389" s="133"/>
      <c r="Y389" s="133"/>
      <c r="Z389" s="133"/>
    </row>
    <row r="390" spans="1:26">
      <c r="A390" s="133">
        <v>388</v>
      </c>
      <c r="B390" s="127">
        <f t="shared" si="6"/>
        <v>46076</v>
      </c>
      <c r="C390" s="238">
        <f>YEAR(MC_2[[#This Row],[Date]])+IF(MONTH(MC_2[[#This Row],[Date]])&gt;=4,1,0)</f>
        <v>2026</v>
      </c>
      <c r="D390" s="130">
        <f>YEAR(MC_2[[#This Row],[Date]])</f>
        <v>2026</v>
      </c>
      <c r="E390" s="126" t="s">
        <v>219</v>
      </c>
      <c r="F390" s="126" t="s">
        <v>219</v>
      </c>
      <c r="G390" s="4" t="str">
        <f>TEXT(MC_2[[#This Row],[Date]],"mmm-yy")</f>
        <v>Feb-26</v>
      </c>
      <c r="H390" s="4">
        <f>DAY(EOMONTH(MC_2[[#This Row],[Month Year]],0))</f>
        <v>28</v>
      </c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4">
        <f>SUM(MC_2[[#This Row],[ICR1]:[ICR5]])</f>
        <v>0</v>
      </c>
      <c r="T390" s="133"/>
      <c r="U390" s="133"/>
      <c r="V390" s="133"/>
      <c r="W390" s="133"/>
      <c r="X390" s="133"/>
      <c r="Y390" s="133"/>
      <c r="Z390" s="133"/>
    </row>
  </sheetData>
  <phoneticPr fontId="65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422</v>
      </c>
      <c r="T2" s="124" t="s">
        <v>406</v>
      </c>
      <c r="U2" s="124" t="s">
        <v>407</v>
      </c>
      <c r="V2" s="124" t="s">
        <v>408</v>
      </c>
      <c r="W2" s="124" t="s">
        <v>423</v>
      </c>
      <c r="X2" s="124" t="s">
        <v>424</v>
      </c>
      <c r="Y2" s="124" t="s">
        <v>425</v>
      </c>
      <c r="Z2" s="124" t="s">
        <v>426</v>
      </c>
      <c r="AA2" s="124" t="s">
        <v>416</v>
      </c>
    </row>
    <row r="3" spans="1:27">
      <c r="A3" s="126">
        <v>1</v>
      </c>
      <c r="B3" s="127">
        <v>45383</v>
      </c>
      <c r="C3" s="128">
        <f>YEAR(GC[[#This Row],[Date]])+IF(MONTH(GC[[#This Row],[Date]])&gt;=4,1,0)</f>
        <v>2025</v>
      </c>
      <c r="D3" s="129">
        <f>YEAR(GC[[#This Row],[Date]])</f>
        <v>2024</v>
      </c>
      <c r="E3" s="126" t="s">
        <v>218</v>
      </c>
      <c r="F3" s="126" t="s">
        <v>218</v>
      </c>
      <c r="G3" s="130" t="str">
        <f>TEXT(GC[[#This Row],[Date]],"mmm-yy")</f>
        <v>Apr-24</v>
      </c>
      <c r="H3" s="130">
        <f>DAY(EOMONTH(GC[[#This Row],[Month Year]],0))</f>
        <v>30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4">
        <f>SUM(GC[[#This Row],[ICR1]:[ICR14]])</f>
        <v>0</v>
      </c>
      <c r="Z3" s="126"/>
      <c r="AA3" s="132"/>
    </row>
    <row r="4" spans="1:27">
      <c r="A4" s="133">
        <v>2</v>
      </c>
      <c r="B4" s="127">
        <f>B3+1</f>
        <v>45384</v>
      </c>
      <c r="C4" s="128">
        <f>YEAR(GC[[#This Row],[Date]])+IF(MONTH(GC[[#This Row],[Date]])&gt;=4,1,0)</f>
        <v>2025</v>
      </c>
      <c r="D4" s="129">
        <f>YEAR(GC[[#This Row],[Date]])</f>
        <v>2024</v>
      </c>
      <c r="E4" s="126" t="s">
        <v>218</v>
      </c>
      <c r="F4" s="126" t="s">
        <v>218</v>
      </c>
      <c r="G4" s="130" t="str">
        <f>TEXT(GC[[#This Row],[Date]],"mmm-yy")</f>
        <v>Apr-24</v>
      </c>
      <c r="H4" s="130">
        <f>DAY(EOMONTH(GC[[#This Row],[Month Year]],0))</f>
        <v>30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26"/>
      <c r="T4" s="126"/>
      <c r="U4" s="126"/>
      <c r="V4" s="126"/>
      <c r="W4" s="126"/>
      <c r="X4" s="126"/>
      <c r="Y4" s="4">
        <f>SUM(GC[[#This Row],[ICR1]:[ICR14]])</f>
        <v>0</v>
      </c>
      <c r="Z4" s="133"/>
      <c r="AA4" s="132"/>
    </row>
    <row r="5" spans="1:27">
      <c r="A5" s="133">
        <v>3</v>
      </c>
      <c r="B5" s="127">
        <f t="shared" ref="B5:B68" si="0">B4+1</f>
        <v>45385</v>
      </c>
      <c r="C5" s="128">
        <f>YEAR(GC[[#This Row],[Date]])+IF(MONTH(GC[[#This Row],[Date]])&gt;=4,1,0)</f>
        <v>2025</v>
      </c>
      <c r="D5" s="129">
        <f>YEAR(GC[[#This Row],[Date]])</f>
        <v>2024</v>
      </c>
      <c r="E5" s="126" t="s">
        <v>218</v>
      </c>
      <c r="F5" s="126" t="s">
        <v>218</v>
      </c>
      <c r="G5" s="130" t="str">
        <f>TEXT(GC[[#This Row],[Date]],"mmm-yy")</f>
        <v>Apr-24</v>
      </c>
      <c r="H5" s="130">
        <f>DAY(EOMONTH(GC[[#This Row],[Month Year]],0))</f>
        <v>30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26"/>
      <c r="T5" s="126"/>
      <c r="U5" s="126"/>
      <c r="V5" s="126"/>
      <c r="W5" s="126"/>
      <c r="X5" s="126"/>
      <c r="Y5" s="4">
        <f>SUM(GC[[#This Row],[ICR1]:[ICR14]])</f>
        <v>0</v>
      </c>
      <c r="Z5" s="133"/>
      <c r="AA5" s="133"/>
    </row>
    <row r="6" spans="1:27">
      <c r="A6" s="133">
        <v>4</v>
      </c>
      <c r="B6" s="127">
        <f t="shared" si="0"/>
        <v>45386</v>
      </c>
      <c r="C6" s="128">
        <f>YEAR(GC[[#This Row],[Date]])+IF(MONTH(GC[[#This Row],[Date]])&gt;=4,1,0)</f>
        <v>2025</v>
      </c>
      <c r="D6" s="129">
        <f>YEAR(GC[[#This Row],[Date]])</f>
        <v>2024</v>
      </c>
      <c r="E6" s="126" t="s">
        <v>218</v>
      </c>
      <c r="F6" s="126" t="s">
        <v>218</v>
      </c>
      <c r="G6" s="130" t="str">
        <f>TEXT(GC[[#This Row],[Date]],"mmm-yy")</f>
        <v>Apr-24</v>
      </c>
      <c r="H6" s="130">
        <f>DAY(EOMONTH(GC[[#This Row],[Month Year]],0))</f>
        <v>30</v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26"/>
      <c r="T6" s="126"/>
      <c r="U6" s="126"/>
      <c r="V6" s="126"/>
      <c r="W6" s="126"/>
      <c r="X6" s="126"/>
      <c r="Y6" s="4">
        <f>SUM(GC[[#This Row],[ICR1]:[ICR14]])</f>
        <v>0</v>
      </c>
      <c r="Z6" s="133"/>
      <c r="AA6" s="133"/>
    </row>
    <row r="7" spans="1:27">
      <c r="A7" s="133">
        <v>5</v>
      </c>
      <c r="B7" s="127">
        <f t="shared" si="0"/>
        <v>45387</v>
      </c>
      <c r="C7" s="128">
        <f>YEAR(GC[[#This Row],[Date]])+IF(MONTH(GC[[#This Row],[Date]])&gt;=4,1,0)</f>
        <v>2025</v>
      </c>
      <c r="D7" s="129">
        <f>YEAR(GC[[#This Row],[Date]])</f>
        <v>2024</v>
      </c>
      <c r="E7" s="126" t="s">
        <v>218</v>
      </c>
      <c r="F7" s="126" t="s">
        <v>218</v>
      </c>
      <c r="G7" s="130" t="str">
        <f>TEXT(GC[[#This Row],[Date]],"mmm-yy")</f>
        <v>Apr-24</v>
      </c>
      <c r="H7" s="130">
        <f>DAY(EOMONTH(GC[[#This Row],[Month Year]],0))</f>
        <v>30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26"/>
      <c r="T7" s="126"/>
      <c r="U7" s="126"/>
      <c r="V7" s="126"/>
      <c r="W7" s="126"/>
      <c r="X7" s="126"/>
      <c r="Y7" s="4">
        <f>SUM(GC[[#This Row],[ICR1]:[ICR14]])</f>
        <v>0</v>
      </c>
      <c r="Z7" s="133"/>
      <c r="AA7" s="133"/>
    </row>
    <row r="8" spans="1:27">
      <c r="A8" s="133">
        <v>6</v>
      </c>
      <c r="B8" s="127">
        <f t="shared" si="0"/>
        <v>45388</v>
      </c>
      <c r="C8" s="128">
        <f>YEAR(GC[[#This Row],[Date]])+IF(MONTH(GC[[#This Row],[Date]])&gt;=4,1,0)</f>
        <v>2025</v>
      </c>
      <c r="D8" s="129">
        <f>YEAR(GC[[#This Row],[Date]])</f>
        <v>2024</v>
      </c>
      <c r="E8" s="126" t="s">
        <v>218</v>
      </c>
      <c r="F8" s="126" t="s">
        <v>218</v>
      </c>
      <c r="G8" s="130" t="str">
        <f>TEXT(GC[[#This Row],[Date]],"mmm-yy")</f>
        <v>Apr-24</v>
      </c>
      <c r="H8" s="130">
        <f>DAY(EOMONTH(GC[[#This Row],[Month Year]],0))</f>
        <v>30</v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26"/>
      <c r="T8" s="126"/>
      <c r="U8" s="126"/>
      <c r="V8" s="126"/>
      <c r="W8" s="126"/>
      <c r="X8" s="126"/>
      <c r="Y8" s="4">
        <f>SUM(GC[[#This Row],[ICR1]:[ICR14]])</f>
        <v>0</v>
      </c>
      <c r="Z8" s="133"/>
      <c r="AA8" s="133"/>
    </row>
    <row r="9" spans="1:27">
      <c r="A9" s="133">
        <v>7</v>
      </c>
      <c r="B9" s="127">
        <f t="shared" si="0"/>
        <v>45389</v>
      </c>
      <c r="C9" s="128">
        <f>YEAR(GC[[#This Row],[Date]])+IF(MONTH(GC[[#This Row],[Date]])&gt;=4,1,0)</f>
        <v>2025</v>
      </c>
      <c r="D9" s="129">
        <f>YEAR(GC[[#This Row],[Date]])</f>
        <v>2024</v>
      </c>
      <c r="E9" s="126" t="s">
        <v>218</v>
      </c>
      <c r="F9" s="126" t="s">
        <v>218</v>
      </c>
      <c r="G9" s="130" t="str">
        <f>TEXT(GC[[#This Row],[Date]],"mmm-yy")</f>
        <v>Apr-24</v>
      </c>
      <c r="H9" s="130">
        <f>DAY(EOMONTH(GC[[#This Row],[Month Year]],0))</f>
        <v>30</v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26"/>
      <c r="T9" s="126"/>
      <c r="U9" s="126"/>
      <c r="V9" s="126"/>
      <c r="W9" s="126"/>
      <c r="X9" s="126"/>
      <c r="Y9" s="4">
        <f>SUM(GC[[#This Row],[ICR1]:[ICR14]])</f>
        <v>0</v>
      </c>
      <c r="Z9" s="133"/>
      <c r="AA9" s="133"/>
    </row>
    <row r="10" spans="1:27">
      <c r="A10" s="133">
        <v>8</v>
      </c>
      <c r="B10" s="127">
        <f t="shared" si="0"/>
        <v>45390</v>
      </c>
      <c r="C10" s="128">
        <f>YEAR(GC[[#This Row],[Date]])+IF(MONTH(GC[[#This Row],[Date]])&gt;=4,1,0)</f>
        <v>2025</v>
      </c>
      <c r="D10" s="129">
        <f>YEAR(GC[[#This Row],[Date]])</f>
        <v>2024</v>
      </c>
      <c r="E10" s="126" t="s">
        <v>218</v>
      </c>
      <c r="F10" s="126" t="s">
        <v>218</v>
      </c>
      <c r="G10" s="130" t="str">
        <f>TEXT(GC[[#This Row],[Date]],"mmm-yy")</f>
        <v>Apr-24</v>
      </c>
      <c r="H10" s="130">
        <f>DAY(EOMONTH(GC[[#This Row],[Month Year]],0))</f>
        <v>30</v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26"/>
      <c r="T10" s="126"/>
      <c r="U10" s="126"/>
      <c r="V10" s="126"/>
      <c r="W10" s="126"/>
      <c r="X10" s="126"/>
      <c r="Y10" s="4">
        <f>SUM(GC[[#This Row],[ICR1]:[ICR14]])</f>
        <v>0</v>
      </c>
      <c r="Z10" s="133"/>
      <c r="AA10" s="133"/>
    </row>
    <row r="11" spans="1:27">
      <c r="A11" s="133">
        <v>9</v>
      </c>
      <c r="B11" s="127">
        <f t="shared" si="0"/>
        <v>45391</v>
      </c>
      <c r="C11" s="128">
        <f>YEAR(GC[[#This Row],[Date]])+IF(MONTH(GC[[#This Row],[Date]])&gt;=4,1,0)</f>
        <v>2025</v>
      </c>
      <c r="D11" s="129">
        <f>YEAR(GC[[#This Row],[Date]])</f>
        <v>2024</v>
      </c>
      <c r="E11" s="126" t="s">
        <v>218</v>
      </c>
      <c r="F11" s="126" t="s">
        <v>218</v>
      </c>
      <c r="G11" s="130" t="str">
        <f>TEXT(GC[[#This Row],[Date]],"mmm-yy")</f>
        <v>Apr-24</v>
      </c>
      <c r="H11" s="130">
        <f>DAY(EOMONTH(GC[[#This Row],[Month Year]],0))</f>
        <v>30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26"/>
      <c r="T11" s="126"/>
      <c r="U11" s="126"/>
      <c r="V11" s="126"/>
      <c r="W11" s="126"/>
      <c r="X11" s="126"/>
      <c r="Y11" s="4">
        <f>SUM(GC[[#This Row],[ICR1]:[ICR14]])</f>
        <v>0</v>
      </c>
      <c r="Z11" s="133"/>
      <c r="AA11" s="133"/>
    </row>
    <row r="12" spans="1:27">
      <c r="A12" s="133">
        <v>10</v>
      </c>
      <c r="B12" s="127">
        <f t="shared" si="0"/>
        <v>45392</v>
      </c>
      <c r="C12" s="128">
        <f>YEAR(GC[[#This Row],[Date]])+IF(MONTH(GC[[#This Row],[Date]])&gt;=4,1,0)</f>
        <v>2025</v>
      </c>
      <c r="D12" s="129">
        <f>YEAR(GC[[#This Row],[Date]])</f>
        <v>2024</v>
      </c>
      <c r="E12" s="126" t="s">
        <v>218</v>
      </c>
      <c r="F12" s="126" t="s">
        <v>218</v>
      </c>
      <c r="G12" s="130" t="str">
        <f>TEXT(GC[[#This Row],[Date]],"mmm-yy")</f>
        <v>Apr-24</v>
      </c>
      <c r="H12" s="130">
        <f>DAY(EOMONTH(GC[[#This Row],[Month Year]],0))</f>
        <v>30</v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26"/>
      <c r="T12" s="126"/>
      <c r="U12" s="126"/>
      <c r="V12" s="126"/>
      <c r="W12" s="126"/>
      <c r="X12" s="126"/>
      <c r="Y12" s="4">
        <f>SUM(GC[[#This Row],[ICR1]:[ICR14]])</f>
        <v>0</v>
      </c>
      <c r="Z12" s="133"/>
      <c r="AA12" s="133"/>
    </row>
    <row r="13" spans="1:27">
      <c r="A13" s="133">
        <v>11</v>
      </c>
      <c r="B13" s="127">
        <f t="shared" si="0"/>
        <v>45393</v>
      </c>
      <c r="C13" s="128">
        <f>YEAR(GC[[#This Row],[Date]])+IF(MONTH(GC[[#This Row],[Date]])&gt;=4,1,0)</f>
        <v>2025</v>
      </c>
      <c r="D13" s="129">
        <f>YEAR(GC[[#This Row],[Date]])</f>
        <v>2024</v>
      </c>
      <c r="E13" s="126" t="s">
        <v>218</v>
      </c>
      <c r="F13" s="126" t="s">
        <v>218</v>
      </c>
      <c r="G13" s="130" t="str">
        <f>TEXT(GC[[#This Row],[Date]],"mmm-yy")</f>
        <v>Apr-24</v>
      </c>
      <c r="H13" s="130">
        <f>DAY(EOMONTH(GC[[#This Row],[Month Year]],0))</f>
        <v>30</v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26"/>
      <c r="T13" s="126"/>
      <c r="U13" s="126"/>
      <c r="V13" s="126"/>
      <c r="W13" s="126"/>
      <c r="X13" s="126"/>
      <c r="Y13" s="4">
        <f>SUM(GC[[#This Row],[ICR1]:[ICR14]])</f>
        <v>0</v>
      </c>
      <c r="Z13" s="133"/>
      <c r="AA13" s="133"/>
    </row>
    <row r="14" spans="1:27">
      <c r="A14" s="133">
        <v>12</v>
      </c>
      <c r="B14" s="127">
        <f t="shared" si="0"/>
        <v>45394</v>
      </c>
      <c r="C14" s="128">
        <f>YEAR(GC[[#This Row],[Date]])+IF(MONTH(GC[[#This Row],[Date]])&gt;=4,1,0)</f>
        <v>2025</v>
      </c>
      <c r="D14" s="129">
        <f>YEAR(GC[[#This Row],[Date]])</f>
        <v>2024</v>
      </c>
      <c r="E14" s="126" t="s">
        <v>218</v>
      </c>
      <c r="F14" s="126" t="s">
        <v>218</v>
      </c>
      <c r="G14" s="130" t="str">
        <f>TEXT(GC[[#This Row],[Date]],"mmm-yy")</f>
        <v>Apr-24</v>
      </c>
      <c r="H14" s="130">
        <f>DAY(EOMONTH(GC[[#This Row],[Month Year]],0))</f>
        <v>30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26"/>
      <c r="T14" s="126"/>
      <c r="U14" s="126"/>
      <c r="V14" s="126"/>
      <c r="W14" s="126"/>
      <c r="X14" s="126"/>
      <c r="Y14" s="4">
        <f>SUM(GC[[#This Row],[ICR1]:[ICR14]])</f>
        <v>0</v>
      </c>
      <c r="Z14" s="133"/>
      <c r="AA14" s="133"/>
    </row>
    <row r="15" spans="1:27">
      <c r="A15" s="133">
        <v>13</v>
      </c>
      <c r="B15" s="127">
        <f t="shared" si="0"/>
        <v>45395</v>
      </c>
      <c r="C15" s="128">
        <f>YEAR(GC[[#This Row],[Date]])+IF(MONTH(GC[[#This Row],[Date]])&gt;=4,1,0)</f>
        <v>2025</v>
      </c>
      <c r="D15" s="129">
        <f>YEAR(GC[[#This Row],[Date]])</f>
        <v>2024</v>
      </c>
      <c r="E15" s="126" t="s">
        <v>218</v>
      </c>
      <c r="F15" s="126" t="s">
        <v>218</v>
      </c>
      <c r="G15" s="130" t="str">
        <f>TEXT(GC[[#This Row],[Date]],"mmm-yy")</f>
        <v>Apr-24</v>
      </c>
      <c r="H15" s="130">
        <f>DAY(EOMONTH(GC[[#This Row],[Month Year]],0))</f>
        <v>30</v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26"/>
      <c r="T15" s="126"/>
      <c r="U15" s="126"/>
      <c r="V15" s="126"/>
      <c r="W15" s="126"/>
      <c r="X15" s="126"/>
      <c r="Y15" s="4">
        <f>SUM(GC[[#This Row],[ICR1]:[ICR14]])</f>
        <v>0</v>
      </c>
      <c r="Z15" s="133"/>
      <c r="AA15" s="133"/>
    </row>
    <row r="16" spans="1:27">
      <c r="A16" s="133">
        <v>14</v>
      </c>
      <c r="B16" s="127">
        <f t="shared" si="0"/>
        <v>45396</v>
      </c>
      <c r="C16" s="128">
        <f>YEAR(GC[[#This Row],[Date]])+IF(MONTH(GC[[#This Row],[Date]])&gt;=4,1,0)</f>
        <v>2025</v>
      </c>
      <c r="D16" s="129">
        <f>YEAR(GC[[#This Row],[Date]])</f>
        <v>2024</v>
      </c>
      <c r="E16" s="126" t="s">
        <v>218</v>
      </c>
      <c r="F16" s="126" t="s">
        <v>218</v>
      </c>
      <c r="G16" s="130" t="str">
        <f>TEXT(GC[[#This Row],[Date]],"mmm-yy")</f>
        <v>Apr-24</v>
      </c>
      <c r="H16" s="130">
        <f>DAY(EOMONTH(GC[[#This Row],[Month Year]],0))</f>
        <v>30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26"/>
      <c r="T16" s="126"/>
      <c r="U16" s="126"/>
      <c r="V16" s="126"/>
      <c r="W16" s="126"/>
      <c r="X16" s="126"/>
      <c r="Y16" s="4">
        <f>SUM(GC[[#This Row],[ICR1]:[ICR14]])</f>
        <v>0</v>
      </c>
      <c r="Z16" s="133"/>
      <c r="AA16" s="133"/>
    </row>
    <row r="17" spans="1:27">
      <c r="A17" s="133">
        <v>15</v>
      </c>
      <c r="B17" s="127">
        <f t="shared" si="0"/>
        <v>45397</v>
      </c>
      <c r="C17" s="128">
        <f>YEAR(GC[[#This Row],[Date]])+IF(MONTH(GC[[#This Row],[Date]])&gt;=4,1,0)</f>
        <v>2025</v>
      </c>
      <c r="D17" s="129">
        <f>YEAR(GC[[#This Row],[Date]])</f>
        <v>2024</v>
      </c>
      <c r="E17" s="126" t="s">
        <v>218</v>
      </c>
      <c r="F17" s="126" t="s">
        <v>218</v>
      </c>
      <c r="G17" s="130" t="str">
        <f>TEXT(GC[[#This Row],[Date]],"mmm-yy")</f>
        <v>Apr-24</v>
      </c>
      <c r="H17" s="130">
        <f>DAY(EOMONTH(GC[[#This Row],[Month Year]],0))</f>
        <v>30</v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26"/>
      <c r="T17" s="126"/>
      <c r="U17" s="126"/>
      <c r="V17" s="126"/>
      <c r="W17" s="126"/>
      <c r="X17" s="126"/>
      <c r="Y17" s="4">
        <f>SUM(GC[[#This Row],[ICR1]:[ICR14]])</f>
        <v>0</v>
      </c>
      <c r="Z17" s="133"/>
      <c r="AA17" s="133"/>
    </row>
    <row r="18" spans="1:27">
      <c r="A18" s="133">
        <v>16</v>
      </c>
      <c r="B18" s="127">
        <f t="shared" si="0"/>
        <v>45398</v>
      </c>
      <c r="C18" s="128">
        <f>YEAR(GC[[#This Row],[Date]])+IF(MONTH(GC[[#This Row],[Date]])&gt;=4,1,0)</f>
        <v>2025</v>
      </c>
      <c r="D18" s="129">
        <f>YEAR(GC[[#This Row],[Date]])</f>
        <v>2024</v>
      </c>
      <c r="E18" s="126" t="s">
        <v>218</v>
      </c>
      <c r="F18" s="126" t="s">
        <v>218</v>
      </c>
      <c r="G18" s="130" t="str">
        <f>TEXT(GC[[#This Row],[Date]],"mmm-yy")</f>
        <v>Apr-24</v>
      </c>
      <c r="H18" s="130">
        <f>DAY(EOMONTH(GC[[#This Row],[Month Year]],0))</f>
        <v>30</v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26"/>
      <c r="T18" s="126"/>
      <c r="U18" s="126"/>
      <c r="V18" s="126"/>
      <c r="W18" s="126"/>
      <c r="X18" s="126"/>
      <c r="Y18" s="4">
        <f>SUM(GC[[#This Row],[ICR1]:[ICR14]])</f>
        <v>0</v>
      </c>
      <c r="Z18" s="133"/>
      <c r="AA18" s="133"/>
    </row>
    <row r="19" spans="1:27">
      <c r="A19" s="133">
        <v>17</v>
      </c>
      <c r="B19" s="127">
        <f t="shared" si="0"/>
        <v>45399</v>
      </c>
      <c r="C19" s="128">
        <f>YEAR(GC[[#This Row],[Date]])+IF(MONTH(GC[[#This Row],[Date]])&gt;=4,1,0)</f>
        <v>2025</v>
      </c>
      <c r="D19" s="129">
        <f>YEAR(GC[[#This Row],[Date]])</f>
        <v>2024</v>
      </c>
      <c r="E19" s="126" t="s">
        <v>218</v>
      </c>
      <c r="F19" s="126" t="s">
        <v>218</v>
      </c>
      <c r="G19" s="130" t="str">
        <f>TEXT(GC[[#This Row],[Date]],"mmm-yy")</f>
        <v>Apr-24</v>
      </c>
      <c r="H19" s="130">
        <f>DAY(EOMONTH(GC[[#This Row],[Month Year]],0))</f>
        <v>30</v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26"/>
      <c r="T19" s="126"/>
      <c r="U19" s="126"/>
      <c r="V19" s="126"/>
      <c r="W19" s="126"/>
      <c r="X19" s="126"/>
      <c r="Y19" s="4">
        <f>SUM(GC[[#This Row],[ICR1]:[ICR14]])</f>
        <v>0</v>
      </c>
      <c r="Z19" s="133"/>
      <c r="AA19" s="133"/>
    </row>
    <row r="20" spans="1:27">
      <c r="A20" s="133">
        <v>18</v>
      </c>
      <c r="B20" s="127">
        <f t="shared" si="0"/>
        <v>45400</v>
      </c>
      <c r="C20" s="128">
        <f>YEAR(GC[[#This Row],[Date]])+IF(MONTH(GC[[#This Row],[Date]])&gt;=4,1,0)</f>
        <v>2025</v>
      </c>
      <c r="D20" s="129">
        <f>YEAR(GC[[#This Row],[Date]])</f>
        <v>2024</v>
      </c>
      <c r="E20" s="126" t="s">
        <v>218</v>
      </c>
      <c r="F20" s="126" t="s">
        <v>218</v>
      </c>
      <c r="G20" s="130" t="str">
        <f>TEXT(GC[[#This Row],[Date]],"mmm-yy")</f>
        <v>Apr-24</v>
      </c>
      <c r="H20" s="130">
        <f>DAY(EOMONTH(GC[[#This Row],[Month Year]],0))</f>
        <v>30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26"/>
      <c r="T20" s="126"/>
      <c r="U20" s="126"/>
      <c r="V20" s="126"/>
      <c r="W20" s="126"/>
      <c r="X20" s="126"/>
      <c r="Y20" s="4">
        <f>SUM(GC[[#This Row],[ICR1]:[ICR14]])</f>
        <v>0</v>
      </c>
      <c r="Z20" s="133"/>
      <c r="AA20" s="133"/>
    </row>
    <row r="21" spans="1:27">
      <c r="A21" s="133">
        <v>19</v>
      </c>
      <c r="B21" s="127">
        <f t="shared" si="0"/>
        <v>45401</v>
      </c>
      <c r="C21" s="128">
        <f>YEAR(GC[[#This Row],[Date]])+IF(MONTH(GC[[#This Row],[Date]])&gt;=4,1,0)</f>
        <v>2025</v>
      </c>
      <c r="D21" s="129">
        <f>YEAR(GC[[#This Row],[Date]])</f>
        <v>2024</v>
      </c>
      <c r="E21" s="126" t="s">
        <v>218</v>
      </c>
      <c r="F21" s="126" t="s">
        <v>218</v>
      </c>
      <c r="G21" s="130" t="str">
        <f>TEXT(GC[[#This Row],[Date]],"mmm-yy")</f>
        <v>Apr-24</v>
      </c>
      <c r="H21" s="130">
        <f>DAY(EOMONTH(GC[[#This Row],[Month Year]],0))</f>
        <v>30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26"/>
      <c r="T21" s="126"/>
      <c r="U21" s="126"/>
      <c r="V21" s="126"/>
      <c r="W21" s="126"/>
      <c r="X21" s="126"/>
      <c r="Y21" s="4">
        <f>SUM(GC[[#This Row],[ICR1]:[ICR14]])</f>
        <v>0</v>
      </c>
      <c r="Z21" s="133"/>
      <c r="AA21" s="133"/>
    </row>
    <row r="22" spans="1:27">
      <c r="A22" s="133">
        <v>20</v>
      </c>
      <c r="B22" s="127">
        <f t="shared" si="0"/>
        <v>45402</v>
      </c>
      <c r="C22" s="128">
        <f>YEAR(GC[[#This Row],[Date]])+IF(MONTH(GC[[#This Row],[Date]])&gt;=4,1,0)</f>
        <v>2025</v>
      </c>
      <c r="D22" s="129">
        <f>YEAR(GC[[#This Row],[Date]])</f>
        <v>2024</v>
      </c>
      <c r="E22" s="126" t="s">
        <v>218</v>
      </c>
      <c r="F22" s="126" t="s">
        <v>218</v>
      </c>
      <c r="G22" s="130" t="str">
        <f>TEXT(GC[[#This Row],[Date]],"mmm-yy")</f>
        <v>Apr-24</v>
      </c>
      <c r="H22" s="130">
        <f>DAY(EOMONTH(GC[[#This Row],[Month Year]],0))</f>
        <v>30</v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26"/>
      <c r="T22" s="126"/>
      <c r="U22" s="126"/>
      <c r="V22" s="126"/>
      <c r="W22" s="126"/>
      <c r="X22" s="126"/>
      <c r="Y22" s="4">
        <f>SUM(GC[[#This Row],[ICR1]:[ICR14]])</f>
        <v>0</v>
      </c>
      <c r="Z22" s="133"/>
      <c r="AA22" s="133"/>
    </row>
    <row r="23" spans="1:27">
      <c r="A23" s="133">
        <v>21</v>
      </c>
      <c r="B23" s="127">
        <f t="shared" si="0"/>
        <v>45403</v>
      </c>
      <c r="C23" s="128">
        <f>YEAR(GC[[#This Row],[Date]])+IF(MONTH(GC[[#This Row],[Date]])&gt;=4,1,0)</f>
        <v>2025</v>
      </c>
      <c r="D23" s="129">
        <f>YEAR(GC[[#This Row],[Date]])</f>
        <v>2024</v>
      </c>
      <c r="E23" s="126" t="s">
        <v>218</v>
      </c>
      <c r="F23" s="126" t="s">
        <v>218</v>
      </c>
      <c r="G23" s="130" t="str">
        <f>TEXT(GC[[#This Row],[Date]],"mmm-yy")</f>
        <v>Apr-24</v>
      </c>
      <c r="H23" s="130">
        <f>DAY(EOMONTH(GC[[#This Row],[Month Year]],0))</f>
        <v>30</v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26"/>
      <c r="T23" s="126"/>
      <c r="U23" s="126"/>
      <c r="V23" s="126"/>
      <c r="W23" s="126"/>
      <c r="X23" s="126"/>
      <c r="Y23" s="4">
        <f>SUM(GC[[#This Row],[ICR1]:[ICR14]])</f>
        <v>0</v>
      </c>
      <c r="Z23" s="133"/>
      <c r="AA23" s="133"/>
    </row>
    <row r="24" spans="1:27">
      <c r="A24" s="133">
        <v>22</v>
      </c>
      <c r="B24" s="127">
        <f t="shared" si="0"/>
        <v>45404</v>
      </c>
      <c r="C24" s="128">
        <f>YEAR(GC[[#This Row],[Date]])+IF(MONTH(GC[[#This Row],[Date]])&gt;=4,1,0)</f>
        <v>2025</v>
      </c>
      <c r="D24" s="129">
        <f>YEAR(GC[[#This Row],[Date]])</f>
        <v>2024</v>
      </c>
      <c r="E24" s="126" t="s">
        <v>218</v>
      </c>
      <c r="F24" s="126" t="s">
        <v>218</v>
      </c>
      <c r="G24" s="130" t="str">
        <f>TEXT(GC[[#This Row],[Date]],"mmm-yy")</f>
        <v>Apr-24</v>
      </c>
      <c r="H24" s="130">
        <f>DAY(EOMONTH(GC[[#This Row],[Month Year]],0))</f>
        <v>30</v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26"/>
      <c r="T24" s="126"/>
      <c r="U24" s="126"/>
      <c r="V24" s="126"/>
      <c r="W24" s="126"/>
      <c r="X24" s="126"/>
      <c r="Y24" s="4">
        <f>SUM(GC[[#This Row],[ICR1]:[ICR14]])</f>
        <v>0</v>
      </c>
      <c r="Z24" s="133"/>
      <c r="AA24" s="133"/>
    </row>
    <row r="25" spans="1:27">
      <c r="A25" s="133">
        <v>23</v>
      </c>
      <c r="B25" s="127">
        <f t="shared" si="0"/>
        <v>45405</v>
      </c>
      <c r="C25" s="128">
        <f>YEAR(GC[[#This Row],[Date]])+IF(MONTH(GC[[#This Row],[Date]])&gt;=4,1,0)</f>
        <v>2025</v>
      </c>
      <c r="D25" s="129">
        <f>YEAR(GC[[#This Row],[Date]])</f>
        <v>2024</v>
      </c>
      <c r="E25" s="126" t="s">
        <v>218</v>
      </c>
      <c r="F25" s="126" t="s">
        <v>218</v>
      </c>
      <c r="G25" s="130" t="str">
        <f>TEXT(GC[[#This Row],[Date]],"mmm-yy")</f>
        <v>Apr-24</v>
      </c>
      <c r="H25" s="130">
        <f>DAY(EOMONTH(GC[[#This Row],[Month Year]],0))</f>
        <v>30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26"/>
      <c r="T25" s="126"/>
      <c r="U25" s="126"/>
      <c r="V25" s="126"/>
      <c r="W25" s="126"/>
      <c r="X25" s="126"/>
      <c r="Y25" s="4">
        <f>SUM(GC[[#This Row],[ICR1]:[ICR14]])</f>
        <v>0</v>
      </c>
      <c r="Z25" s="133"/>
      <c r="AA25" s="133"/>
    </row>
    <row r="26" spans="1:27">
      <c r="A26" s="133">
        <v>24</v>
      </c>
      <c r="B26" s="127">
        <f t="shared" si="0"/>
        <v>45406</v>
      </c>
      <c r="C26" s="128">
        <f>YEAR(GC[[#This Row],[Date]])+IF(MONTH(GC[[#This Row],[Date]])&gt;=4,1,0)</f>
        <v>2025</v>
      </c>
      <c r="D26" s="129">
        <f>YEAR(GC[[#This Row],[Date]])</f>
        <v>2024</v>
      </c>
      <c r="E26" s="126" t="s">
        <v>218</v>
      </c>
      <c r="F26" s="126" t="s">
        <v>218</v>
      </c>
      <c r="G26" s="130" t="str">
        <f>TEXT(GC[[#This Row],[Date]],"mmm-yy")</f>
        <v>Apr-24</v>
      </c>
      <c r="H26" s="130">
        <f>DAY(EOMONTH(GC[[#This Row],[Month Year]],0))</f>
        <v>30</v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26"/>
      <c r="T26" s="126"/>
      <c r="U26" s="126"/>
      <c r="V26" s="126"/>
      <c r="W26" s="126"/>
      <c r="X26" s="126"/>
      <c r="Y26" s="4">
        <f>SUM(GC[[#This Row],[ICR1]:[ICR14]])</f>
        <v>0</v>
      </c>
      <c r="Z26" s="133"/>
      <c r="AA26" s="133"/>
    </row>
    <row r="27" spans="1:27">
      <c r="A27" s="133">
        <v>25</v>
      </c>
      <c r="B27" s="127">
        <f t="shared" si="0"/>
        <v>45407</v>
      </c>
      <c r="C27" s="128">
        <f>YEAR(GC[[#This Row],[Date]])+IF(MONTH(GC[[#This Row],[Date]])&gt;=4,1,0)</f>
        <v>2025</v>
      </c>
      <c r="D27" s="129">
        <f>YEAR(GC[[#This Row],[Date]])</f>
        <v>2024</v>
      </c>
      <c r="E27" s="126" t="s">
        <v>218</v>
      </c>
      <c r="F27" s="126" t="s">
        <v>218</v>
      </c>
      <c r="G27" s="130" t="str">
        <f>TEXT(GC[[#This Row],[Date]],"mmm-yy")</f>
        <v>Apr-24</v>
      </c>
      <c r="H27" s="130">
        <f>DAY(EOMONTH(GC[[#This Row],[Month Year]],0))</f>
        <v>30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26"/>
      <c r="T27" s="126"/>
      <c r="U27" s="126"/>
      <c r="V27" s="126"/>
      <c r="W27" s="126"/>
      <c r="X27" s="126"/>
      <c r="Y27" s="4">
        <f>SUM(GC[[#This Row],[ICR1]:[ICR14]])</f>
        <v>0</v>
      </c>
      <c r="Z27" s="133"/>
      <c r="AA27" s="133"/>
    </row>
    <row r="28" spans="1:27">
      <c r="A28" s="133">
        <v>26</v>
      </c>
      <c r="B28" s="127">
        <f t="shared" si="0"/>
        <v>45408</v>
      </c>
      <c r="C28" s="128">
        <f>YEAR(GC[[#This Row],[Date]])+IF(MONTH(GC[[#This Row],[Date]])&gt;=4,1,0)</f>
        <v>2025</v>
      </c>
      <c r="D28" s="129">
        <f>YEAR(GC[[#This Row],[Date]])</f>
        <v>2024</v>
      </c>
      <c r="E28" s="126" t="s">
        <v>218</v>
      </c>
      <c r="F28" s="126" t="s">
        <v>218</v>
      </c>
      <c r="G28" s="130" t="str">
        <f>TEXT(GC[[#This Row],[Date]],"mmm-yy")</f>
        <v>Apr-24</v>
      </c>
      <c r="H28" s="130">
        <f>DAY(EOMONTH(GC[[#This Row],[Month Year]],0))</f>
        <v>30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26"/>
      <c r="T28" s="126"/>
      <c r="U28" s="126"/>
      <c r="V28" s="126"/>
      <c r="W28" s="126"/>
      <c r="X28" s="126"/>
      <c r="Y28" s="4">
        <f>SUM(GC[[#This Row],[ICR1]:[ICR14]])</f>
        <v>0</v>
      </c>
      <c r="Z28" s="133"/>
      <c r="AA28" s="133"/>
    </row>
    <row r="29" spans="1:27">
      <c r="A29" s="133">
        <v>27</v>
      </c>
      <c r="B29" s="127">
        <f t="shared" si="0"/>
        <v>45409</v>
      </c>
      <c r="C29" s="128">
        <f>YEAR(GC[[#This Row],[Date]])+IF(MONTH(GC[[#This Row],[Date]])&gt;=4,1,0)</f>
        <v>2025</v>
      </c>
      <c r="D29" s="129">
        <f>YEAR(GC[[#This Row],[Date]])</f>
        <v>2024</v>
      </c>
      <c r="E29" s="126" t="s">
        <v>218</v>
      </c>
      <c r="F29" s="126" t="s">
        <v>218</v>
      </c>
      <c r="G29" s="130" t="str">
        <f>TEXT(GC[[#This Row],[Date]],"mmm-yy")</f>
        <v>Apr-24</v>
      </c>
      <c r="H29" s="130">
        <f>DAY(EOMONTH(GC[[#This Row],[Month Year]],0))</f>
        <v>30</v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26"/>
      <c r="T29" s="126"/>
      <c r="U29" s="126"/>
      <c r="V29" s="126"/>
      <c r="W29" s="126"/>
      <c r="X29" s="126"/>
      <c r="Y29" s="4">
        <f>SUM(GC[[#This Row],[ICR1]:[ICR14]])</f>
        <v>0</v>
      </c>
      <c r="Z29" s="133"/>
      <c r="AA29" s="133"/>
    </row>
    <row r="30" spans="1:27">
      <c r="A30" s="133">
        <v>28</v>
      </c>
      <c r="B30" s="127">
        <f t="shared" si="0"/>
        <v>45410</v>
      </c>
      <c r="C30" s="128">
        <f>YEAR(GC[[#This Row],[Date]])+IF(MONTH(GC[[#This Row],[Date]])&gt;=4,1,0)</f>
        <v>2025</v>
      </c>
      <c r="D30" s="129">
        <f>YEAR(GC[[#This Row],[Date]])</f>
        <v>2024</v>
      </c>
      <c r="E30" s="126" t="s">
        <v>218</v>
      </c>
      <c r="F30" s="126" t="s">
        <v>218</v>
      </c>
      <c r="G30" s="130" t="str">
        <f>TEXT(GC[[#This Row],[Date]],"mmm-yy")</f>
        <v>Apr-24</v>
      </c>
      <c r="H30" s="130">
        <f>DAY(EOMONTH(GC[[#This Row],[Month Year]],0))</f>
        <v>30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26"/>
      <c r="T30" s="126"/>
      <c r="U30" s="126"/>
      <c r="V30" s="126"/>
      <c r="W30" s="126"/>
      <c r="X30" s="126"/>
      <c r="Y30" s="4">
        <f>SUM(GC[[#This Row],[ICR1]:[ICR14]])</f>
        <v>0</v>
      </c>
      <c r="Z30" s="133"/>
      <c r="AA30" s="133"/>
    </row>
    <row r="31" spans="1:27">
      <c r="A31" s="133">
        <v>29</v>
      </c>
      <c r="B31" s="127">
        <f t="shared" si="0"/>
        <v>45411</v>
      </c>
      <c r="C31" s="128">
        <f>YEAR(GC[[#This Row],[Date]])+IF(MONTH(GC[[#This Row],[Date]])&gt;=4,1,0)</f>
        <v>2025</v>
      </c>
      <c r="D31" s="129">
        <f>YEAR(GC[[#This Row],[Date]])</f>
        <v>2024</v>
      </c>
      <c r="E31" s="126" t="s">
        <v>218</v>
      </c>
      <c r="F31" s="126" t="s">
        <v>218</v>
      </c>
      <c r="G31" s="130" t="str">
        <f>TEXT(GC[[#This Row],[Date]],"mmm-yy")</f>
        <v>Apr-24</v>
      </c>
      <c r="H31" s="130">
        <f>DAY(EOMONTH(GC[[#This Row],[Month Year]],0))</f>
        <v>30</v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26"/>
      <c r="T31" s="126"/>
      <c r="U31" s="126"/>
      <c r="V31" s="126"/>
      <c r="W31" s="126"/>
      <c r="X31" s="126"/>
      <c r="Y31" s="4">
        <f>SUM(GC[[#This Row],[ICR1]:[ICR14]])</f>
        <v>0</v>
      </c>
      <c r="Z31" s="133"/>
      <c r="AA31" s="133"/>
    </row>
    <row r="32" spans="1:27">
      <c r="A32" s="133">
        <v>30</v>
      </c>
      <c r="B32" s="127">
        <f t="shared" si="0"/>
        <v>45412</v>
      </c>
      <c r="C32" s="128">
        <f>YEAR(GC[[#This Row],[Date]])+IF(MONTH(GC[[#This Row],[Date]])&gt;=4,1,0)</f>
        <v>2025</v>
      </c>
      <c r="D32" s="129">
        <f>YEAR(GC[[#This Row],[Date]])</f>
        <v>2024</v>
      </c>
      <c r="E32" s="126" t="s">
        <v>218</v>
      </c>
      <c r="F32" s="126" t="s">
        <v>218</v>
      </c>
      <c r="G32" s="130" t="str">
        <f>TEXT(GC[[#This Row],[Date]],"mmm-yy")</f>
        <v>Apr-24</v>
      </c>
      <c r="H32" s="130">
        <f>DAY(EOMONTH(GC[[#This Row],[Month Year]],0))</f>
        <v>30</v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26"/>
      <c r="T32" s="126"/>
      <c r="U32" s="126"/>
      <c r="V32" s="126"/>
      <c r="W32" s="126"/>
      <c r="X32" s="126"/>
      <c r="Y32" s="4">
        <f>SUM(GC[[#This Row],[ICR1]:[ICR14]])</f>
        <v>0</v>
      </c>
      <c r="Z32" s="133"/>
      <c r="AA32" s="133"/>
    </row>
    <row r="33" spans="1:27">
      <c r="A33" s="133">
        <v>31</v>
      </c>
      <c r="B33" s="127">
        <f t="shared" si="0"/>
        <v>45413</v>
      </c>
      <c r="C33" s="128">
        <f>YEAR(GC[[#This Row],[Date]])+IF(MONTH(GC[[#This Row],[Date]])&gt;=4,1,0)</f>
        <v>2025</v>
      </c>
      <c r="D33" s="129">
        <f>YEAR(GC[[#This Row],[Date]])</f>
        <v>2024</v>
      </c>
      <c r="E33" s="126" t="s">
        <v>218</v>
      </c>
      <c r="F33" s="126" t="s">
        <v>218</v>
      </c>
      <c r="G33" s="130" t="str">
        <f>TEXT(GC[[#This Row],[Date]],"mmm-yy")</f>
        <v>May-24</v>
      </c>
      <c r="H33" s="130">
        <f>DAY(EOMONTH(GC[[#This Row],[Month Year]],0))</f>
        <v>31</v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26"/>
      <c r="T33" s="126"/>
      <c r="U33" s="126"/>
      <c r="V33" s="126"/>
      <c r="W33" s="126"/>
      <c r="X33" s="126"/>
      <c r="Y33" s="4">
        <f>SUM(GC[[#This Row],[ICR1]:[ICR14]])</f>
        <v>0</v>
      </c>
      <c r="Z33" s="133"/>
      <c r="AA33" s="133"/>
    </row>
    <row r="34" spans="1:27">
      <c r="A34" s="133">
        <v>32</v>
      </c>
      <c r="B34" s="127">
        <f t="shared" si="0"/>
        <v>45414</v>
      </c>
      <c r="C34" s="128">
        <f>YEAR(GC[[#This Row],[Date]])+IF(MONTH(GC[[#This Row],[Date]])&gt;=4,1,0)</f>
        <v>2025</v>
      </c>
      <c r="D34" s="129">
        <f>YEAR(GC[[#This Row],[Date]])</f>
        <v>2024</v>
      </c>
      <c r="E34" s="126" t="s">
        <v>218</v>
      </c>
      <c r="F34" s="126" t="s">
        <v>218</v>
      </c>
      <c r="G34" s="130" t="str">
        <f>TEXT(GC[[#This Row],[Date]],"mmm-yy")</f>
        <v>May-24</v>
      </c>
      <c r="H34" s="130">
        <f>DAY(EOMONTH(GC[[#This Row],[Month Year]],0))</f>
        <v>31</v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26"/>
      <c r="T34" s="126"/>
      <c r="U34" s="126"/>
      <c r="V34" s="126"/>
      <c r="W34" s="126"/>
      <c r="X34" s="126"/>
      <c r="Y34" s="4">
        <f>SUM(GC[[#This Row],[ICR1]:[ICR14]])</f>
        <v>0</v>
      </c>
      <c r="Z34" s="133"/>
      <c r="AA34" s="133"/>
    </row>
    <row r="35" spans="1:27">
      <c r="A35" s="133">
        <v>33</v>
      </c>
      <c r="B35" s="127">
        <f t="shared" si="0"/>
        <v>45415</v>
      </c>
      <c r="C35" s="128">
        <f>YEAR(GC[[#This Row],[Date]])+IF(MONTH(GC[[#This Row],[Date]])&gt;=4,1,0)</f>
        <v>2025</v>
      </c>
      <c r="D35" s="129">
        <f>YEAR(GC[[#This Row],[Date]])</f>
        <v>2024</v>
      </c>
      <c r="E35" s="126" t="s">
        <v>218</v>
      </c>
      <c r="F35" s="126" t="s">
        <v>218</v>
      </c>
      <c r="G35" s="130" t="str">
        <f>TEXT(GC[[#This Row],[Date]],"mmm-yy")</f>
        <v>May-24</v>
      </c>
      <c r="H35" s="130">
        <f>DAY(EOMONTH(GC[[#This Row],[Month Year]],0))</f>
        <v>31</v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26"/>
      <c r="T35" s="126"/>
      <c r="U35" s="126"/>
      <c r="V35" s="126"/>
      <c r="W35" s="126"/>
      <c r="X35" s="126"/>
      <c r="Y35" s="4">
        <f>SUM(GC[[#This Row],[ICR1]:[ICR14]])</f>
        <v>0</v>
      </c>
      <c r="Z35" s="133"/>
      <c r="AA35" s="133"/>
    </row>
    <row r="36" spans="1:27">
      <c r="A36" s="133">
        <v>34</v>
      </c>
      <c r="B36" s="127">
        <f t="shared" si="0"/>
        <v>45416</v>
      </c>
      <c r="C36" s="128">
        <f>YEAR(GC[[#This Row],[Date]])+IF(MONTH(GC[[#This Row],[Date]])&gt;=4,1,0)</f>
        <v>2025</v>
      </c>
      <c r="D36" s="129">
        <f>YEAR(GC[[#This Row],[Date]])</f>
        <v>2024</v>
      </c>
      <c r="E36" s="126" t="s">
        <v>218</v>
      </c>
      <c r="F36" s="126" t="s">
        <v>218</v>
      </c>
      <c r="G36" s="130" t="str">
        <f>TEXT(GC[[#This Row],[Date]],"mmm-yy")</f>
        <v>May-24</v>
      </c>
      <c r="H36" s="130">
        <f>DAY(EOMONTH(GC[[#This Row],[Month Year]],0))</f>
        <v>31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26"/>
      <c r="T36" s="126"/>
      <c r="U36" s="126"/>
      <c r="V36" s="126"/>
      <c r="W36" s="126"/>
      <c r="X36" s="126"/>
      <c r="Y36" s="4">
        <f>SUM(GC[[#This Row],[ICR1]:[ICR14]])</f>
        <v>0</v>
      </c>
      <c r="Z36" s="133"/>
      <c r="AA36" s="133"/>
    </row>
    <row r="37" spans="1:27">
      <c r="A37" s="133">
        <v>35</v>
      </c>
      <c r="B37" s="127">
        <f t="shared" si="0"/>
        <v>45417</v>
      </c>
      <c r="C37" s="128">
        <f>YEAR(GC[[#This Row],[Date]])+IF(MONTH(GC[[#This Row],[Date]])&gt;=4,1,0)</f>
        <v>2025</v>
      </c>
      <c r="D37" s="129">
        <f>YEAR(GC[[#This Row],[Date]])</f>
        <v>2024</v>
      </c>
      <c r="E37" s="126" t="s">
        <v>218</v>
      </c>
      <c r="F37" s="126" t="s">
        <v>218</v>
      </c>
      <c r="G37" s="130" t="str">
        <f>TEXT(GC[[#This Row],[Date]],"mmm-yy")</f>
        <v>May-24</v>
      </c>
      <c r="H37" s="130">
        <f>DAY(EOMONTH(GC[[#This Row],[Month Year]],0))</f>
        <v>31</v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26"/>
      <c r="T37" s="126"/>
      <c r="U37" s="126"/>
      <c r="V37" s="126"/>
      <c r="W37" s="126"/>
      <c r="X37" s="126"/>
      <c r="Y37" s="4">
        <f>SUM(GC[[#This Row],[ICR1]:[ICR14]])</f>
        <v>0</v>
      </c>
      <c r="Z37" s="133"/>
      <c r="AA37" s="133"/>
    </row>
    <row r="38" spans="1:27">
      <c r="A38" s="133">
        <v>36</v>
      </c>
      <c r="B38" s="127">
        <f t="shared" si="0"/>
        <v>45418</v>
      </c>
      <c r="C38" s="128">
        <f>YEAR(GC[[#This Row],[Date]])+IF(MONTH(GC[[#This Row],[Date]])&gt;=4,1,0)</f>
        <v>2025</v>
      </c>
      <c r="D38" s="129">
        <f>YEAR(GC[[#This Row],[Date]])</f>
        <v>2024</v>
      </c>
      <c r="E38" s="126" t="s">
        <v>218</v>
      </c>
      <c r="F38" s="126" t="s">
        <v>218</v>
      </c>
      <c r="G38" s="130" t="str">
        <f>TEXT(GC[[#This Row],[Date]],"mmm-yy")</f>
        <v>May-24</v>
      </c>
      <c r="H38" s="130">
        <f>DAY(EOMONTH(GC[[#This Row],[Month Year]],0))</f>
        <v>31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26"/>
      <c r="T38" s="126"/>
      <c r="U38" s="126"/>
      <c r="V38" s="126"/>
      <c r="W38" s="126"/>
      <c r="X38" s="126"/>
      <c r="Y38" s="4">
        <f>SUM(GC[[#This Row],[ICR1]:[ICR14]])</f>
        <v>0</v>
      </c>
      <c r="Z38" s="133"/>
      <c r="AA38" s="133"/>
    </row>
    <row r="39" spans="1:27">
      <c r="A39" s="133">
        <v>37</v>
      </c>
      <c r="B39" s="127">
        <f t="shared" si="0"/>
        <v>45419</v>
      </c>
      <c r="C39" s="128">
        <f>YEAR(GC[[#This Row],[Date]])+IF(MONTH(GC[[#This Row],[Date]])&gt;=4,1,0)</f>
        <v>2025</v>
      </c>
      <c r="D39" s="129">
        <f>YEAR(GC[[#This Row],[Date]])</f>
        <v>2024</v>
      </c>
      <c r="E39" s="126" t="s">
        <v>218</v>
      </c>
      <c r="F39" s="126" t="s">
        <v>218</v>
      </c>
      <c r="G39" s="130" t="str">
        <f>TEXT(GC[[#This Row],[Date]],"mmm-yy")</f>
        <v>May-24</v>
      </c>
      <c r="H39" s="130">
        <f>DAY(EOMONTH(GC[[#This Row],[Month Year]],0))</f>
        <v>31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26"/>
      <c r="T39" s="126"/>
      <c r="U39" s="126"/>
      <c r="V39" s="126"/>
      <c r="W39" s="126"/>
      <c r="X39" s="126"/>
      <c r="Y39" s="4">
        <f>SUM(GC[[#This Row],[ICR1]:[ICR14]])</f>
        <v>0</v>
      </c>
      <c r="Z39" s="133"/>
      <c r="AA39" s="133"/>
    </row>
    <row r="40" spans="1:27">
      <c r="A40" s="133">
        <v>38</v>
      </c>
      <c r="B40" s="127">
        <f t="shared" si="0"/>
        <v>45420</v>
      </c>
      <c r="C40" s="128">
        <f>YEAR(GC[[#This Row],[Date]])+IF(MONTH(GC[[#This Row],[Date]])&gt;=4,1,0)</f>
        <v>2025</v>
      </c>
      <c r="D40" s="129">
        <f>YEAR(GC[[#This Row],[Date]])</f>
        <v>2024</v>
      </c>
      <c r="E40" s="126" t="s">
        <v>218</v>
      </c>
      <c r="F40" s="126" t="s">
        <v>218</v>
      </c>
      <c r="G40" s="130" t="str">
        <f>TEXT(GC[[#This Row],[Date]],"mmm-yy")</f>
        <v>May-24</v>
      </c>
      <c r="H40" s="130">
        <f>DAY(EOMONTH(GC[[#This Row],[Month Year]],0))</f>
        <v>31</v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26"/>
      <c r="T40" s="126"/>
      <c r="U40" s="126"/>
      <c r="V40" s="126"/>
      <c r="W40" s="126"/>
      <c r="X40" s="126"/>
      <c r="Y40" s="4">
        <f>SUM(GC[[#This Row],[ICR1]:[ICR14]])</f>
        <v>0</v>
      </c>
      <c r="Z40" s="133"/>
      <c r="AA40" s="133"/>
    </row>
    <row r="41" spans="1:27">
      <c r="A41" s="133">
        <v>39</v>
      </c>
      <c r="B41" s="127">
        <f t="shared" si="0"/>
        <v>45421</v>
      </c>
      <c r="C41" s="128">
        <f>YEAR(GC[[#This Row],[Date]])+IF(MONTH(GC[[#This Row],[Date]])&gt;=4,1,0)</f>
        <v>2025</v>
      </c>
      <c r="D41" s="129">
        <f>YEAR(GC[[#This Row],[Date]])</f>
        <v>2024</v>
      </c>
      <c r="E41" s="126" t="s">
        <v>218</v>
      </c>
      <c r="F41" s="126" t="s">
        <v>218</v>
      </c>
      <c r="G41" s="130" t="str">
        <f>TEXT(GC[[#This Row],[Date]],"mmm-yy")</f>
        <v>May-24</v>
      </c>
      <c r="H41" s="130">
        <f>DAY(EOMONTH(GC[[#This Row],[Month Year]],0))</f>
        <v>31</v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26"/>
      <c r="T41" s="126"/>
      <c r="U41" s="126"/>
      <c r="V41" s="126"/>
      <c r="W41" s="126"/>
      <c r="X41" s="126"/>
      <c r="Y41" s="4">
        <f>SUM(GC[[#This Row],[ICR1]:[ICR14]])</f>
        <v>0</v>
      </c>
      <c r="Z41" s="133"/>
      <c r="AA41" s="133"/>
    </row>
    <row r="42" spans="1:27">
      <c r="A42" s="133">
        <v>40</v>
      </c>
      <c r="B42" s="127">
        <f t="shared" si="0"/>
        <v>45422</v>
      </c>
      <c r="C42" s="128">
        <f>YEAR(GC[[#This Row],[Date]])+IF(MONTH(GC[[#This Row],[Date]])&gt;=4,1,0)</f>
        <v>2025</v>
      </c>
      <c r="D42" s="129">
        <f>YEAR(GC[[#This Row],[Date]])</f>
        <v>2024</v>
      </c>
      <c r="E42" s="126" t="s">
        <v>218</v>
      </c>
      <c r="F42" s="126" t="s">
        <v>218</v>
      </c>
      <c r="G42" s="130" t="str">
        <f>TEXT(GC[[#This Row],[Date]],"mmm-yy")</f>
        <v>May-24</v>
      </c>
      <c r="H42" s="130">
        <f>DAY(EOMONTH(GC[[#This Row],[Month Year]],0))</f>
        <v>31</v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26"/>
      <c r="T42" s="126"/>
      <c r="U42" s="126"/>
      <c r="V42" s="126"/>
      <c r="W42" s="126"/>
      <c r="X42" s="126"/>
      <c r="Y42" s="4">
        <f>SUM(GC[[#This Row],[ICR1]:[ICR14]])</f>
        <v>0</v>
      </c>
      <c r="Z42" s="133"/>
      <c r="AA42" s="133"/>
    </row>
    <row r="43" spans="1:27">
      <c r="A43" s="133">
        <v>41</v>
      </c>
      <c r="B43" s="127">
        <f t="shared" si="0"/>
        <v>45423</v>
      </c>
      <c r="C43" s="128">
        <f>YEAR(GC[[#This Row],[Date]])+IF(MONTH(GC[[#This Row],[Date]])&gt;=4,1,0)</f>
        <v>2025</v>
      </c>
      <c r="D43" s="129">
        <f>YEAR(GC[[#This Row],[Date]])</f>
        <v>2024</v>
      </c>
      <c r="E43" s="126" t="s">
        <v>218</v>
      </c>
      <c r="F43" s="126" t="s">
        <v>218</v>
      </c>
      <c r="G43" s="130" t="str">
        <f>TEXT(GC[[#This Row],[Date]],"mmm-yy")</f>
        <v>May-24</v>
      </c>
      <c r="H43" s="130">
        <f>DAY(EOMONTH(GC[[#This Row],[Month Year]],0))</f>
        <v>31</v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26"/>
      <c r="T43" s="126"/>
      <c r="U43" s="126"/>
      <c r="V43" s="126"/>
      <c r="W43" s="126"/>
      <c r="X43" s="126"/>
      <c r="Y43" s="4">
        <f>SUM(GC[[#This Row],[ICR1]:[ICR14]])</f>
        <v>0</v>
      </c>
      <c r="Z43" s="133"/>
      <c r="AA43" s="133"/>
    </row>
    <row r="44" spans="1:27">
      <c r="A44" s="133">
        <v>42</v>
      </c>
      <c r="B44" s="127">
        <f t="shared" si="0"/>
        <v>45424</v>
      </c>
      <c r="C44" s="128">
        <f>YEAR(GC[[#This Row],[Date]])+IF(MONTH(GC[[#This Row],[Date]])&gt;=4,1,0)</f>
        <v>2025</v>
      </c>
      <c r="D44" s="129">
        <f>YEAR(GC[[#This Row],[Date]])</f>
        <v>2024</v>
      </c>
      <c r="E44" s="126" t="s">
        <v>218</v>
      </c>
      <c r="F44" s="126" t="s">
        <v>218</v>
      </c>
      <c r="G44" s="130" t="str">
        <f>TEXT(GC[[#This Row],[Date]],"mmm-yy")</f>
        <v>May-24</v>
      </c>
      <c r="H44" s="130">
        <f>DAY(EOMONTH(GC[[#This Row],[Month Year]],0))</f>
        <v>31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26"/>
      <c r="T44" s="126"/>
      <c r="U44" s="126"/>
      <c r="V44" s="126"/>
      <c r="W44" s="126"/>
      <c r="X44" s="126"/>
      <c r="Y44" s="4">
        <f>SUM(GC[[#This Row],[ICR1]:[ICR14]])</f>
        <v>0</v>
      </c>
      <c r="Z44" s="133"/>
      <c r="AA44" s="133"/>
    </row>
    <row r="45" spans="1:27">
      <c r="A45" s="133">
        <v>43</v>
      </c>
      <c r="B45" s="127">
        <f t="shared" si="0"/>
        <v>45425</v>
      </c>
      <c r="C45" s="128">
        <f>YEAR(GC[[#This Row],[Date]])+IF(MONTH(GC[[#This Row],[Date]])&gt;=4,1,0)</f>
        <v>2025</v>
      </c>
      <c r="D45" s="129">
        <f>YEAR(GC[[#This Row],[Date]])</f>
        <v>2024</v>
      </c>
      <c r="E45" s="126" t="s">
        <v>218</v>
      </c>
      <c r="F45" s="126" t="s">
        <v>218</v>
      </c>
      <c r="G45" s="130" t="str">
        <f>TEXT(GC[[#This Row],[Date]],"mmm-yy")</f>
        <v>May-24</v>
      </c>
      <c r="H45" s="130">
        <f>DAY(EOMONTH(GC[[#This Row],[Month Year]],0))</f>
        <v>31</v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26"/>
      <c r="T45" s="126"/>
      <c r="U45" s="126"/>
      <c r="V45" s="126"/>
      <c r="W45" s="126"/>
      <c r="X45" s="126"/>
      <c r="Y45" s="4">
        <f>SUM(GC[[#This Row],[ICR1]:[ICR14]])</f>
        <v>0</v>
      </c>
      <c r="Z45" s="133"/>
      <c r="AA45" s="133"/>
    </row>
    <row r="46" spans="1:27">
      <c r="A46" s="133">
        <v>44</v>
      </c>
      <c r="B46" s="127">
        <f t="shared" si="0"/>
        <v>45426</v>
      </c>
      <c r="C46" s="128">
        <f>YEAR(GC[[#This Row],[Date]])+IF(MONTH(GC[[#This Row],[Date]])&gt;=4,1,0)</f>
        <v>2025</v>
      </c>
      <c r="D46" s="129">
        <f>YEAR(GC[[#This Row],[Date]])</f>
        <v>2024</v>
      </c>
      <c r="E46" s="126" t="s">
        <v>218</v>
      </c>
      <c r="F46" s="126" t="s">
        <v>218</v>
      </c>
      <c r="G46" s="130" t="str">
        <f>TEXT(GC[[#This Row],[Date]],"mmm-yy")</f>
        <v>May-24</v>
      </c>
      <c r="H46" s="130">
        <f>DAY(EOMONTH(GC[[#This Row],[Month Year]],0))</f>
        <v>31</v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26"/>
      <c r="T46" s="126"/>
      <c r="U46" s="126"/>
      <c r="V46" s="126"/>
      <c r="W46" s="126"/>
      <c r="X46" s="126"/>
      <c r="Y46" s="4">
        <f>SUM(GC[[#This Row],[ICR1]:[ICR14]])</f>
        <v>0</v>
      </c>
      <c r="Z46" s="133"/>
      <c r="AA46" s="133"/>
    </row>
    <row r="47" spans="1:27">
      <c r="A47" s="133">
        <v>45</v>
      </c>
      <c r="B47" s="127">
        <f t="shared" si="0"/>
        <v>45427</v>
      </c>
      <c r="C47" s="128">
        <f>YEAR(GC[[#This Row],[Date]])+IF(MONTH(GC[[#This Row],[Date]])&gt;=4,1,0)</f>
        <v>2025</v>
      </c>
      <c r="D47" s="129">
        <f>YEAR(GC[[#This Row],[Date]])</f>
        <v>2024</v>
      </c>
      <c r="E47" s="126" t="s">
        <v>218</v>
      </c>
      <c r="F47" s="126" t="s">
        <v>218</v>
      </c>
      <c r="G47" s="130" t="str">
        <f>TEXT(GC[[#This Row],[Date]],"mmm-yy")</f>
        <v>May-24</v>
      </c>
      <c r="H47" s="130">
        <f>DAY(EOMONTH(GC[[#This Row],[Month Year]],0))</f>
        <v>31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26"/>
      <c r="T47" s="126"/>
      <c r="U47" s="126"/>
      <c r="V47" s="126"/>
      <c r="W47" s="126"/>
      <c r="X47" s="126"/>
      <c r="Y47" s="4">
        <f>SUM(GC[[#This Row],[ICR1]:[ICR14]])</f>
        <v>0</v>
      </c>
      <c r="Z47" s="133"/>
      <c r="AA47" s="133"/>
    </row>
    <row r="48" spans="1:27">
      <c r="A48" s="133">
        <v>46</v>
      </c>
      <c r="B48" s="127">
        <f t="shared" si="0"/>
        <v>45428</v>
      </c>
      <c r="C48" s="128">
        <f>YEAR(GC[[#This Row],[Date]])+IF(MONTH(GC[[#This Row],[Date]])&gt;=4,1,0)</f>
        <v>2025</v>
      </c>
      <c r="D48" s="129">
        <f>YEAR(GC[[#This Row],[Date]])</f>
        <v>2024</v>
      </c>
      <c r="E48" s="126" t="s">
        <v>218</v>
      </c>
      <c r="F48" s="126" t="s">
        <v>218</v>
      </c>
      <c r="G48" s="130" t="str">
        <f>TEXT(GC[[#This Row],[Date]],"mmm-yy")</f>
        <v>May-24</v>
      </c>
      <c r="H48" s="130">
        <f>DAY(EOMONTH(GC[[#This Row],[Month Year]],0))</f>
        <v>31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26"/>
      <c r="T48" s="126"/>
      <c r="U48" s="126"/>
      <c r="V48" s="126"/>
      <c r="W48" s="126"/>
      <c r="X48" s="126"/>
      <c r="Y48" s="4">
        <f>SUM(GC[[#This Row],[ICR1]:[ICR14]])</f>
        <v>0</v>
      </c>
      <c r="Z48" s="133"/>
      <c r="AA48" s="133"/>
    </row>
    <row r="49" spans="1:27">
      <c r="A49" s="133">
        <v>47</v>
      </c>
      <c r="B49" s="127">
        <f t="shared" si="0"/>
        <v>45429</v>
      </c>
      <c r="C49" s="128">
        <f>YEAR(GC[[#This Row],[Date]])+IF(MONTH(GC[[#This Row],[Date]])&gt;=4,1,0)</f>
        <v>2025</v>
      </c>
      <c r="D49" s="129">
        <f>YEAR(GC[[#This Row],[Date]])</f>
        <v>2024</v>
      </c>
      <c r="E49" s="126" t="s">
        <v>218</v>
      </c>
      <c r="F49" s="126" t="s">
        <v>218</v>
      </c>
      <c r="G49" s="130" t="str">
        <f>TEXT(GC[[#This Row],[Date]],"mmm-yy")</f>
        <v>May-24</v>
      </c>
      <c r="H49" s="130">
        <f>DAY(EOMONTH(GC[[#This Row],[Month Year]],0))</f>
        <v>31</v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26"/>
      <c r="T49" s="126"/>
      <c r="U49" s="126"/>
      <c r="V49" s="126"/>
      <c r="W49" s="126"/>
      <c r="X49" s="126"/>
      <c r="Y49" s="4">
        <f>SUM(GC[[#This Row],[ICR1]:[ICR14]])</f>
        <v>0</v>
      </c>
      <c r="Z49" s="133"/>
      <c r="AA49" s="133"/>
    </row>
    <row r="50" spans="1:27">
      <c r="A50" s="133">
        <v>48</v>
      </c>
      <c r="B50" s="127">
        <f t="shared" si="0"/>
        <v>45430</v>
      </c>
      <c r="C50" s="128">
        <f>YEAR(GC[[#This Row],[Date]])+IF(MONTH(GC[[#This Row],[Date]])&gt;=4,1,0)</f>
        <v>2025</v>
      </c>
      <c r="D50" s="129">
        <f>YEAR(GC[[#This Row],[Date]])</f>
        <v>2024</v>
      </c>
      <c r="E50" s="126" t="s">
        <v>218</v>
      </c>
      <c r="F50" s="126" t="s">
        <v>218</v>
      </c>
      <c r="G50" s="130" t="str">
        <f>TEXT(GC[[#This Row],[Date]],"mmm-yy")</f>
        <v>May-24</v>
      </c>
      <c r="H50" s="130">
        <f>DAY(EOMONTH(GC[[#This Row],[Month Year]],0))</f>
        <v>31</v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26"/>
      <c r="T50" s="126"/>
      <c r="U50" s="126"/>
      <c r="V50" s="126"/>
      <c r="W50" s="126"/>
      <c r="X50" s="126"/>
      <c r="Y50" s="4">
        <f>SUM(GC[[#This Row],[ICR1]:[ICR14]])</f>
        <v>0</v>
      </c>
      <c r="Z50" s="133"/>
      <c r="AA50" s="133"/>
    </row>
    <row r="51" spans="1:27">
      <c r="A51" s="133">
        <v>49</v>
      </c>
      <c r="B51" s="127">
        <f t="shared" si="0"/>
        <v>45431</v>
      </c>
      <c r="C51" s="128">
        <f>YEAR(GC[[#This Row],[Date]])+IF(MONTH(GC[[#This Row],[Date]])&gt;=4,1,0)</f>
        <v>2025</v>
      </c>
      <c r="D51" s="129">
        <f>YEAR(GC[[#This Row],[Date]])</f>
        <v>2024</v>
      </c>
      <c r="E51" s="126" t="s">
        <v>218</v>
      </c>
      <c r="F51" s="126" t="s">
        <v>218</v>
      </c>
      <c r="G51" s="130" t="str">
        <f>TEXT(GC[[#This Row],[Date]],"mmm-yy")</f>
        <v>May-24</v>
      </c>
      <c r="H51" s="130">
        <f>DAY(EOMONTH(GC[[#This Row],[Month Year]],0))</f>
        <v>31</v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26"/>
      <c r="T51" s="126"/>
      <c r="U51" s="126"/>
      <c r="V51" s="126"/>
      <c r="W51" s="126"/>
      <c r="X51" s="126"/>
      <c r="Y51" s="4">
        <f>SUM(GC[[#This Row],[ICR1]:[ICR14]])</f>
        <v>0</v>
      </c>
      <c r="Z51" s="133"/>
      <c r="AA51" s="133"/>
    </row>
    <row r="52" spans="1:27">
      <c r="A52" s="133">
        <v>50</v>
      </c>
      <c r="B52" s="127">
        <f t="shared" si="0"/>
        <v>45432</v>
      </c>
      <c r="C52" s="128">
        <f>YEAR(GC[[#This Row],[Date]])+IF(MONTH(GC[[#This Row],[Date]])&gt;=4,1,0)</f>
        <v>2025</v>
      </c>
      <c r="D52" s="129">
        <f>YEAR(GC[[#This Row],[Date]])</f>
        <v>2024</v>
      </c>
      <c r="E52" s="126" t="s">
        <v>218</v>
      </c>
      <c r="F52" s="126" t="s">
        <v>218</v>
      </c>
      <c r="G52" s="130" t="str">
        <f>TEXT(GC[[#This Row],[Date]],"mmm-yy")</f>
        <v>May-24</v>
      </c>
      <c r="H52" s="130">
        <f>DAY(EOMONTH(GC[[#This Row],[Month Year]],0))</f>
        <v>31</v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26"/>
      <c r="T52" s="126"/>
      <c r="U52" s="126"/>
      <c r="V52" s="126"/>
      <c r="W52" s="126"/>
      <c r="X52" s="126"/>
      <c r="Y52" s="4">
        <f>SUM(GC[[#This Row],[ICR1]:[ICR14]])</f>
        <v>0</v>
      </c>
      <c r="Z52" s="133"/>
      <c r="AA52" s="133"/>
    </row>
    <row r="53" spans="1:27">
      <c r="A53" s="133">
        <v>51</v>
      </c>
      <c r="B53" s="127">
        <f t="shared" si="0"/>
        <v>45433</v>
      </c>
      <c r="C53" s="128">
        <f>YEAR(GC[[#This Row],[Date]])+IF(MONTH(GC[[#This Row],[Date]])&gt;=4,1,0)</f>
        <v>2025</v>
      </c>
      <c r="D53" s="129">
        <f>YEAR(GC[[#This Row],[Date]])</f>
        <v>2024</v>
      </c>
      <c r="E53" s="126" t="s">
        <v>218</v>
      </c>
      <c r="F53" s="126" t="s">
        <v>218</v>
      </c>
      <c r="G53" s="130" t="str">
        <f>TEXT(GC[[#This Row],[Date]],"mmm-yy")</f>
        <v>May-24</v>
      </c>
      <c r="H53" s="130">
        <f>DAY(EOMONTH(GC[[#This Row],[Month Year]],0))</f>
        <v>31</v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26"/>
      <c r="T53" s="126"/>
      <c r="U53" s="126"/>
      <c r="V53" s="126"/>
      <c r="W53" s="126"/>
      <c r="X53" s="126"/>
      <c r="Y53" s="4">
        <f>SUM(GC[[#This Row],[ICR1]:[ICR14]])</f>
        <v>0</v>
      </c>
      <c r="Z53" s="133"/>
      <c r="AA53" s="133"/>
    </row>
    <row r="54" spans="1:27">
      <c r="A54" s="133">
        <v>52</v>
      </c>
      <c r="B54" s="127">
        <f t="shared" si="0"/>
        <v>45434</v>
      </c>
      <c r="C54" s="128">
        <f>YEAR(GC[[#This Row],[Date]])+IF(MONTH(GC[[#This Row],[Date]])&gt;=4,1,0)</f>
        <v>2025</v>
      </c>
      <c r="D54" s="129">
        <f>YEAR(GC[[#This Row],[Date]])</f>
        <v>2024</v>
      </c>
      <c r="E54" s="126" t="s">
        <v>218</v>
      </c>
      <c r="F54" s="126" t="s">
        <v>218</v>
      </c>
      <c r="G54" s="130" t="str">
        <f>TEXT(GC[[#This Row],[Date]],"mmm-yy")</f>
        <v>May-24</v>
      </c>
      <c r="H54" s="130">
        <f>DAY(EOMONTH(GC[[#This Row],[Month Year]],0))</f>
        <v>31</v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26"/>
      <c r="T54" s="126"/>
      <c r="U54" s="126"/>
      <c r="V54" s="126"/>
      <c r="W54" s="126"/>
      <c r="X54" s="126"/>
      <c r="Y54" s="4">
        <f>SUM(GC[[#This Row],[ICR1]:[ICR14]])</f>
        <v>0</v>
      </c>
      <c r="Z54" s="133"/>
      <c r="AA54" s="133"/>
    </row>
    <row r="55" spans="1:27">
      <c r="A55" s="133">
        <v>53</v>
      </c>
      <c r="B55" s="127">
        <f t="shared" si="0"/>
        <v>45435</v>
      </c>
      <c r="C55" s="128">
        <f>YEAR(GC[[#This Row],[Date]])+IF(MONTH(GC[[#This Row],[Date]])&gt;=4,1,0)</f>
        <v>2025</v>
      </c>
      <c r="D55" s="129">
        <f>YEAR(GC[[#This Row],[Date]])</f>
        <v>2024</v>
      </c>
      <c r="E55" s="126" t="s">
        <v>218</v>
      </c>
      <c r="F55" s="126" t="s">
        <v>218</v>
      </c>
      <c r="G55" s="130" t="str">
        <f>TEXT(GC[[#This Row],[Date]],"mmm-yy")</f>
        <v>May-24</v>
      </c>
      <c r="H55" s="130">
        <f>DAY(EOMONTH(GC[[#This Row],[Month Year]],0))</f>
        <v>31</v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26"/>
      <c r="T55" s="126"/>
      <c r="U55" s="126"/>
      <c r="V55" s="126"/>
      <c r="W55" s="126"/>
      <c r="X55" s="126"/>
      <c r="Y55" s="4">
        <f>SUM(GC[[#This Row],[ICR1]:[ICR14]])</f>
        <v>0</v>
      </c>
      <c r="Z55" s="133"/>
      <c r="AA55" s="133"/>
    </row>
    <row r="56" spans="1:27">
      <c r="A56" s="133">
        <v>54</v>
      </c>
      <c r="B56" s="127">
        <f t="shared" si="0"/>
        <v>45436</v>
      </c>
      <c r="C56" s="128">
        <f>YEAR(GC[[#This Row],[Date]])+IF(MONTH(GC[[#This Row],[Date]])&gt;=4,1,0)</f>
        <v>2025</v>
      </c>
      <c r="D56" s="129">
        <f>YEAR(GC[[#This Row],[Date]])</f>
        <v>2024</v>
      </c>
      <c r="E56" s="126" t="s">
        <v>218</v>
      </c>
      <c r="F56" s="126" t="s">
        <v>218</v>
      </c>
      <c r="G56" s="130" t="str">
        <f>TEXT(GC[[#This Row],[Date]],"mmm-yy")</f>
        <v>May-24</v>
      </c>
      <c r="H56" s="130">
        <f>DAY(EOMONTH(GC[[#This Row],[Month Year]],0))</f>
        <v>31</v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26"/>
      <c r="T56" s="126"/>
      <c r="U56" s="126"/>
      <c r="V56" s="126"/>
      <c r="W56" s="126"/>
      <c r="X56" s="126"/>
      <c r="Y56" s="4">
        <f>SUM(GC[[#This Row],[ICR1]:[ICR14]])</f>
        <v>0</v>
      </c>
      <c r="Z56" s="133"/>
      <c r="AA56" s="133"/>
    </row>
    <row r="57" spans="1:27">
      <c r="A57" s="133">
        <v>55</v>
      </c>
      <c r="B57" s="127">
        <f t="shared" si="0"/>
        <v>45437</v>
      </c>
      <c r="C57" s="128">
        <f>YEAR(GC[[#This Row],[Date]])+IF(MONTH(GC[[#This Row],[Date]])&gt;=4,1,0)</f>
        <v>2025</v>
      </c>
      <c r="D57" s="129">
        <f>YEAR(GC[[#This Row],[Date]])</f>
        <v>2024</v>
      </c>
      <c r="E57" s="126" t="s">
        <v>218</v>
      </c>
      <c r="F57" s="126" t="s">
        <v>218</v>
      </c>
      <c r="G57" s="130" t="str">
        <f>TEXT(GC[[#This Row],[Date]],"mmm-yy")</f>
        <v>May-24</v>
      </c>
      <c r="H57" s="130">
        <f>DAY(EOMONTH(GC[[#This Row],[Month Year]],0))</f>
        <v>31</v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26"/>
      <c r="T57" s="126"/>
      <c r="U57" s="126"/>
      <c r="V57" s="126"/>
      <c r="W57" s="126"/>
      <c r="X57" s="126"/>
      <c r="Y57" s="4">
        <f>SUM(GC[[#This Row],[ICR1]:[ICR14]])</f>
        <v>0</v>
      </c>
      <c r="Z57" s="133"/>
      <c r="AA57" s="133"/>
    </row>
    <row r="58" spans="1:27">
      <c r="A58" s="133">
        <v>56</v>
      </c>
      <c r="B58" s="127">
        <f t="shared" si="0"/>
        <v>45438</v>
      </c>
      <c r="C58" s="128">
        <f>YEAR(GC[[#This Row],[Date]])+IF(MONTH(GC[[#This Row],[Date]])&gt;=4,1,0)</f>
        <v>2025</v>
      </c>
      <c r="D58" s="129">
        <f>YEAR(GC[[#This Row],[Date]])</f>
        <v>2024</v>
      </c>
      <c r="E58" s="126" t="s">
        <v>218</v>
      </c>
      <c r="F58" s="126" t="s">
        <v>218</v>
      </c>
      <c r="G58" s="130" t="str">
        <f>TEXT(GC[[#This Row],[Date]],"mmm-yy")</f>
        <v>May-24</v>
      </c>
      <c r="H58" s="130">
        <f>DAY(EOMONTH(GC[[#This Row],[Month Year]],0))</f>
        <v>31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26"/>
      <c r="T58" s="126"/>
      <c r="U58" s="126"/>
      <c r="V58" s="126"/>
      <c r="W58" s="126"/>
      <c r="X58" s="126"/>
      <c r="Y58" s="4">
        <f>SUM(GC[[#This Row],[ICR1]:[ICR14]])</f>
        <v>0</v>
      </c>
      <c r="Z58" s="133"/>
      <c r="AA58" s="133"/>
    </row>
    <row r="59" spans="1:27">
      <c r="A59" s="133">
        <v>57</v>
      </c>
      <c r="B59" s="127">
        <f t="shared" si="0"/>
        <v>45439</v>
      </c>
      <c r="C59" s="128">
        <f>YEAR(GC[[#This Row],[Date]])+IF(MONTH(GC[[#This Row],[Date]])&gt;=4,1,0)</f>
        <v>2025</v>
      </c>
      <c r="D59" s="129">
        <f>YEAR(GC[[#This Row],[Date]])</f>
        <v>2024</v>
      </c>
      <c r="E59" s="126" t="s">
        <v>218</v>
      </c>
      <c r="F59" s="126" t="s">
        <v>218</v>
      </c>
      <c r="G59" s="130" t="str">
        <f>TEXT(GC[[#This Row],[Date]],"mmm-yy")</f>
        <v>May-24</v>
      </c>
      <c r="H59" s="130">
        <f>DAY(EOMONTH(GC[[#This Row],[Month Year]],0))</f>
        <v>31</v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26"/>
      <c r="T59" s="126"/>
      <c r="U59" s="126"/>
      <c r="V59" s="126"/>
      <c r="W59" s="126"/>
      <c r="X59" s="126"/>
      <c r="Y59" s="4">
        <f>SUM(GC[[#This Row],[ICR1]:[ICR14]])</f>
        <v>0</v>
      </c>
      <c r="Z59" s="133"/>
      <c r="AA59" s="133"/>
    </row>
    <row r="60" spans="1:27">
      <c r="A60" s="133">
        <v>58</v>
      </c>
      <c r="B60" s="127">
        <f t="shared" si="0"/>
        <v>45440</v>
      </c>
      <c r="C60" s="128">
        <f>YEAR(GC[[#This Row],[Date]])+IF(MONTH(GC[[#This Row],[Date]])&gt;=4,1,0)</f>
        <v>2025</v>
      </c>
      <c r="D60" s="129">
        <f>YEAR(GC[[#This Row],[Date]])</f>
        <v>2024</v>
      </c>
      <c r="E60" s="126" t="s">
        <v>218</v>
      </c>
      <c r="F60" s="126" t="s">
        <v>218</v>
      </c>
      <c r="G60" s="130" t="str">
        <f>TEXT(GC[[#This Row],[Date]],"mmm-yy")</f>
        <v>May-24</v>
      </c>
      <c r="H60" s="130">
        <f>DAY(EOMONTH(GC[[#This Row],[Month Year]],0))</f>
        <v>31</v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26"/>
      <c r="T60" s="126"/>
      <c r="U60" s="126"/>
      <c r="V60" s="126"/>
      <c r="W60" s="126"/>
      <c r="X60" s="126"/>
      <c r="Y60" s="4">
        <f>SUM(GC[[#This Row],[ICR1]:[ICR14]])</f>
        <v>0</v>
      </c>
      <c r="Z60" s="133"/>
      <c r="AA60" s="133"/>
    </row>
    <row r="61" spans="1:27">
      <c r="A61" s="133">
        <v>59</v>
      </c>
      <c r="B61" s="127">
        <f t="shared" si="0"/>
        <v>45441</v>
      </c>
      <c r="C61" s="128">
        <f>YEAR(GC[[#This Row],[Date]])+IF(MONTH(GC[[#This Row],[Date]])&gt;=4,1,0)</f>
        <v>2025</v>
      </c>
      <c r="D61" s="129">
        <f>YEAR(GC[[#This Row],[Date]])</f>
        <v>2024</v>
      </c>
      <c r="E61" s="126" t="s">
        <v>218</v>
      </c>
      <c r="F61" s="126" t="s">
        <v>218</v>
      </c>
      <c r="G61" s="130" t="str">
        <f>TEXT(GC[[#This Row],[Date]],"mmm-yy")</f>
        <v>May-24</v>
      </c>
      <c r="H61" s="130">
        <f>DAY(EOMONTH(GC[[#This Row],[Month Year]],0))</f>
        <v>31</v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26"/>
      <c r="T61" s="126"/>
      <c r="U61" s="126"/>
      <c r="V61" s="126"/>
      <c r="W61" s="126"/>
      <c r="X61" s="126"/>
      <c r="Y61" s="4">
        <f>SUM(GC[[#This Row],[ICR1]:[ICR14]])</f>
        <v>0</v>
      </c>
      <c r="Z61" s="133"/>
      <c r="AA61" s="133"/>
    </row>
    <row r="62" spans="1:27">
      <c r="A62" s="133">
        <v>60</v>
      </c>
      <c r="B62" s="127">
        <f t="shared" si="0"/>
        <v>45442</v>
      </c>
      <c r="C62" s="128">
        <f>YEAR(GC[[#This Row],[Date]])+IF(MONTH(GC[[#This Row],[Date]])&gt;=4,1,0)</f>
        <v>2025</v>
      </c>
      <c r="D62" s="129">
        <f>YEAR(GC[[#This Row],[Date]])</f>
        <v>2024</v>
      </c>
      <c r="E62" s="126" t="s">
        <v>218</v>
      </c>
      <c r="F62" s="126" t="s">
        <v>218</v>
      </c>
      <c r="G62" s="130" t="str">
        <f>TEXT(GC[[#This Row],[Date]],"mmm-yy")</f>
        <v>May-24</v>
      </c>
      <c r="H62" s="130">
        <f>DAY(EOMONTH(GC[[#This Row],[Month Year]],0))</f>
        <v>31</v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26"/>
      <c r="T62" s="126"/>
      <c r="U62" s="126"/>
      <c r="V62" s="126"/>
      <c r="W62" s="126"/>
      <c r="X62" s="126"/>
      <c r="Y62" s="4">
        <f>SUM(GC[[#This Row],[ICR1]:[ICR14]])</f>
        <v>0</v>
      </c>
      <c r="Z62" s="133"/>
      <c r="AA62" s="133"/>
    </row>
    <row r="63" spans="1:27">
      <c r="A63" s="133">
        <v>61</v>
      </c>
      <c r="B63" s="127">
        <f t="shared" si="0"/>
        <v>45443</v>
      </c>
      <c r="C63" s="128">
        <f>YEAR(GC[[#This Row],[Date]])+IF(MONTH(GC[[#This Row],[Date]])&gt;=4,1,0)</f>
        <v>2025</v>
      </c>
      <c r="D63" s="129">
        <f>YEAR(GC[[#This Row],[Date]])</f>
        <v>2024</v>
      </c>
      <c r="E63" s="126" t="s">
        <v>218</v>
      </c>
      <c r="F63" s="126" t="s">
        <v>218</v>
      </c>
      <c r="G63" s="130" t="str">
        <f>TEXT(GC[[#This Row],[Date]],"mmm-yy")</f>
        <v>May-24</v>
      </c>
      <c r="H63" s="130">
        <f>DAY(EOMONTH(GC[[#This Row],[Month Year]],0))</f>
        <v>31</v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26"/>
      <c r="T63" s="126"/>
      <c r="U63" s="126"/>
      <c r="V63" s="126"/>
      <c r="W63" s="126"/>
      <c r="X63" s="126"/>
      <c r="Y63" s="4">
        <f>SUM(GC[[#This Row],[ICR1]:[ICR14]])</f>
        <v>0</v>
      </c>
      <c r="Z63" s="133"/>
      <c r="AA63" s="133"/>
    </row>
    <row r="64" spans="1:27">
      <c r="A64" s="133">
        <v>62</v>
      </c>
      <c r="B64" s="127">
        <f t="shared" si="0"/>
        <v>45444</v>
      </c>
      <c r="C64" s="128">
        <f>YEAR(GC[[#This Row],[Date]])+IF(MONTH(GC[[#This Row],[Date]])&gt;=4,1,0)</f>
        <v>2025</v>
      </c>
      <c r="D64" s="129">
        <f>YEAR(GC[[#This Row],[Date]])</f>
        <v>2024</v>
      </c>
      <c r="E64" s="126" t="s">
        <v>218</v>
      </c>
      <c r="F64" s="126" t="s">
        <v>218</v>
      </c>
      <c r="G64" s="130" t="str">
        <f>TEXT(GC[[#This Row],[Date]],"mmm-yy")</f>
        <v>Jun-24</v>
      </c>
      <c r="H64" s="130">
        <f>DAY(EOMONTH(GC[[#This Row],[Month Year]],0))</f>
        <v>30</v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26"/>
      <c r="T64" s="126"/>
      <c r="U64" s="126"/>
      <c r="V64" s="126"/>
      <c r="W64" s="126"/>
      <c r="X64" s="126"/>
      <c r="Y64" s="4">
        <f>SUM(GC[[#This Row],[ICR1]:[ICR14]])</f>
        <v>0</v>
      </c>
      <c r="Z64" s="133"/>
      <c r="AA64" s="133"/>
    </row>
    <row r="65" spans="1:27">
      <c r="A65" s="133">
        <v>63</v>
      </c>
      <c r="B65" s="127">
        <f t="shared" si="0"/>
        <v>45445</v>
      </c>
      <c r="C65" s="128">
        <f>YEAR(GC[[#This Row],[Date]])+IF(MONTH(GC[[#This Row],[Date]])&gt;=4,1,0)</f>
        <v>2025</v>
      </c>
      <c r="D65" s="129">
        <f>YEAR(GC[[#This Row],[Date]])</f>
        <v>2024</v>
      </c>
      <c r="E65" s="126" t="s">
        <v>218</v>
      </c>
      <c r="F65" s="126" t="s">
        <v>218</v>
      </c>
      <c r="G65" s="130" t="str">
        <f>TEXT(GC[[#This Row],[Date]],"mmm-yy")</f>
        <v>Jun-24</v>
      </c>
      <c r="H65" s="130">
        <f>DAY(EOMONTH(GC[[#This Row],[Month Year]],0))</f>
        <v>30</v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26"/>
      <c r="T65" s="126"/>
      <c r="U65" s="126"/>
      <c r="V65" s="126"/>
      <c r="W65" s="126"/>
      <c r="X65" s="126"/>
      <c r="Y65" s="4">
        <f>SUM(GC[[#This Row],[ICR1]:[ICR14]])</f>
        <v>0</v>
      </c>
      <c r="Z65" s="133"/>
      <c r="AA65" s="133"/>
    </row>
    <row r="66" spans="1:27">
      <c r="A66" s="133">
        <v>64</v>
      </c>
      <c r="B66" s="127">
        <f t="shared" si="0"/>
        <v>45446</v>
      </c>
      <c r="C66" s="128">
        <f>YEAR(GC[[#This Row],[Date]])+IF(MONTH(GC[[#This Row],[Date]])&gt;=4,1,0)</f>
        <v>2025</v>
      </c>
      <c r="D66" s="129">
        <f>YEAR(GC[[#This Row],[Date]])</f>
        <v>2024</v>
      </c>
      <c r="E66" s="126" t="s">
        <v>218</v>
      </c>
      <c r="F66" s="126" t="s">
        <v>218</v>
      </c>
      <c r="G66" s="130" t="str">
        <f>TEXT(GC[[#This Row],[Date]],"mmm-yy")</f>
        <v>Jun-24</v>
      </c>
      <c r="H66" s="130">
        <f>DAY(EOMONTH(GC[[#This Row],[Month Year]],0))</f>
        <v>30</v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26"/>
      <c r="T66" s="126"/>
      <c r="U66" s="126"/>
      <c r="V66" s="126"/>
      <c r="W66" s="126"/>
      <c r="X66" s="126"/>
      <c r="Y66" s="4">
        <f>SUM(GC[[#This Row],[ICR1]:[ICR14]])</f>
        <v>0</v>
      </c>
      <c r="Z66" s="133"/>
      <c r="AA66" s="133"/>
    </row>
    <row r="67" spans="1:27">
      <c r="A67" s="133">
        <v>65</v>
      </c>
      <c r="B67" s="127">
        <f t="shared" si="0"/>
        <v>45447</v>
      </c>
      <c r="C67" s="128">
        <f>YEAR(GC[[#This Row],[Date]])+IF(MONTH(GC[[#This Row],[Date]])&gt;=4,1,0)</f>
        <v>2025</v>
      </c>
      <c r="D67" s="129">
        <f>YEAR(GC[[#This Row],[Date]])</f>
        <v>2024</v>
      </c>
      <c r="E67" s="126" t="s">
        <v>218</v>
      </c>
      <c r="F67" s="126" t="s">
        <v>218</v>
      </c>
      <c r="G67" s="130" t="str">
        <f>TEXT(GC[[#This Row],[Date]],"mmm-yy")</f>
        <v>Jun-24</v>
      </c>
      <c r="H67" s="130">
        <f>DAY(EOMONTH(GC[[#This Row],[Month Year]],0))</f>
        <v>30</v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26"/>
      <c r="T67" s="126"/>
      <c r="U67" s="126"/>
      <c r="V67" s="126"/>
      <c r="W67" s="126"/>
      <c r="X67" s="126"/>
      <c r="Y67" s="4">
        <f>SUM(GC[[#This Row],[ICR1]:[ICR14]])</f>
        <v>0</v>
      </c>
      <c r="Z67" s="133"/>
      <c r="AA67" s="133"/>
    </row>
    <row r="68" spans="1:27">
      <c r="A68" s="133">
        <v>66</v>
      </c>
      <c r="B68" s="127">
        <f t="shared" si="0"/>
        <v>45448</v>
      </c>
      <c r="C68" s="128">
        <f>YEAR(GC[[#This Row],[Date]])+IF(MONTH(GC[[#This Row],[Date]])&gt;=4,1,0)</f>
        <v>2025</v>
      </c>
      <c r="D68" s="129">
        <f>YEAR(GC[[#This Row],[Date]])</f>
        <v>2024</v>
      </c>
      <c r="E68" s="126" t="s">
        <v>218</v>
      </c>
      <c r="F68" s="126" t="s">
        <v>218</v>
      </c>
      <c r="G68" s="130" t="str">
        <f>TEXT(GC[[#This Row],[Date]],"mmm-yy")</f>
        <v>Jun-24</v>
      </c>
      <c r="H68" s="130">
        <f>DAY(EOMONTH(GC[[#This Row],[Month Year]],0))</f>
        <v>30</v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26"/>
      <c r="T68" s="126"/>
      <c r="U68" s="126"/>
      <c r="V68" s="126"/>
      <c r="W68" s="126"/>
      <c r="X68" s="126"/>
      <c r="Y68" s="4">
        <f>SUM(GC[[#This Row],[ICR1]:[ICR14]])</f>
        <v>0</v>
      </c>
      <c r="Z68" s="133"/>
      <c r="AA68" s="133"/>
    </row>
    <row r="69" spans="1:27">
      <c r="A69" s="133">
        <v>67</v>
      </c>
      <c r="B69" s="127">
        <f t="shared" ref="B69:B132" si="1">B68+1</f>
        <v>45449</v>
      </c>
      <c r="C69" s="128">
        <f>YEAR(GC[[#This Row],[Date]])+IF(MONTH(GC[[#This Row],[Date]])&gt;=4,1,0)</f>
        <v>2025</v>
      </c>
      <c r="D69" s="129">
        <f>YEAR(GC[[#This Row],[Date]])</f>
        <v>2024</v>
      </c>
      <c r="E69" s="126" t="s">
        <v>218</v>
      </c>
      <c r="F69" s="126" t="s">
        <v>218</v>
      </c>
      <c r="G69" s="130" t="str">
        <f>TEXT(GC[[#This Row],[Date]],"mmm-yy")</f>
        <v>Jun-24</v>
      </c>
      <c r="H69" s="130">
        <f>DAY(EOMONTH(GC[[#This Row],[Month Year]],0))</f>
        <v>30</v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26"/>
      <c r="T69" s="126"/>
      <c r="U69" s="126"/>
      <c r="V69" s="126"/>
      <c r="W69" s="126"/>
      <c r="X69" s="126"/>
      <c r="Y69" s="4">
        <f>SUM(GC[[#This Row],[ICR1]:[ICR14]])</f>
        <v>0</v>
      </c>
      <c r="Z69" s="133"/>
      <c r="AA69" s="133"/>
    </row>
    <row r="70" spans="1:27">
      <c r="A70" s="133">
        <v>68</v>
      </c>
      <c r="B70" s="127">
        <f t="shared" si="1"/>
        <v>45450</v>
      </c>
      <c r="C70" s="128">
        <f>YEAR(GC[[#This Row],[Date]])+IF(MONTH(GC[[#This Row],[Date]])&gt;=4,1,0)</f>
        <v>2025</v>
      </c>
      <c r="D70" s="129">
        <f>YEAR(GC[[#This Row],[Date]])</f>
        <v>2024</v>
      </c>
      <c r="E70" s="126" t="s">
        <v>218</v>
      </c>
      <c r="F70" s="126" t="s">
        <v>218</v>
      </c>
      <c r="G70" s="130" t="str">
        <f>TEXT(GC[[#This Row],[Date]],"mmm-yy")</f>
        <v>Jun-24</v>
      </c>
      <c r="H70" s="130">
        <f>DAY(EOMONTH(GC[[#This Row],[Month Year]],0))</f>
        <v>30</v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26"/>
      <c r="T70" s="126"/>
      <c r="U70" s="126"/>
      <c r="V70" s="126"/>
      <c r="W70" s="126"/>
      <c r="X70" s="126"/>
      <c r="Y70" s="4">
        <f>SUM(GC[[#This Row],[ICR1]:[ICR14]])</f>
        <v>0</v>
      </c>
      <c r="Z70" s="133"/>
      <c r="AA70" s="133"/>
    </row>
    <row r="71" spans="1:27">
      <c r="A71" s="133">
        <v>69</v>
      </c>
      <c r="B71" s="127">
        <f t="shared" si="1"/>
        <v>45451</v>
      </c>
      <c r="C71" s="128">
        <f>YEAR(GC[[#This Row],[Date]])+IF(MONTH(GC[[#This Row],[Date]])&gt;=4,1,0)</f>
        <v>2025</v>
      </c>
      <c r="D71" s="129">
        <f>YEAR(GC[[#This Row],[Date]])</f>
        <v>2024</v>
      </c>
      <c r="E71" s="126" t="s">
        <v>218</v>
      </c>
      <c r="F71" s="126" t="s">
        <v>218</v>
      </c>
      <c r="G71" s="130" t="str">
        <f>TEXT(GC[[#This Row],[Date]],"mmm-yy")</f>
        <v>Jun-24</v>
      </c>
      <c r="H71" s="130">
        <f>DAY(EOMONTH(GC[[#This Row],[Month Year]],0))</f>
        <v>30</v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26"/>
      <c r="T71" s="126"/>
      <c r="U71" s="126"/>
      <c r="V71" s="126"/>
      <c r="W71" s="126"/>
      <c r="X71" s="126"/>
      <c r="Y71" s="4">
        <f>SUM(GC[[#This Row],[ICR1]:[ICR14]])</f>
        <v>0</v>
      </c>
      <c r="Z71" s="133"/>
      <c r="AA71" s="133"/>
    </row>
    <row r="72" spans="1:27">
      <c r="A72" s="133">
        <v>70</v>
      </c>
      <c r="B72" s="127">
        <f t="shared" si="1"/>
        <v>45452</v>
      </c>
      <c r="C72" s="128">
        <f>YEAR(GC[[#This Row],[Date]])+IF(MONTH(GC[[#This Row],[Date]])&gt;=4,1,0)</f>
        <v>2025</v>
      </c>
      <c r="D72" s="129">
        <f>YEAR(GC[[#This Row],[Date]])</f>
        <v>2024</v>
      </c>
      <c r="E72" s="126" t="s">
        <v>218</v>
      </c>
      <c r="F72" s="126" t="s">
        <v>218</v>
      </c>
      <c r="G72" s="130" t="str">
        <f>TEXT(GC[[#This Row],[Date]],"mmm-yy")</f>
        <v>Jun-24</v>
      </c>
      <c r="H72" s="130">
        <f>DAY(EOMONTH(GC[[#This Row],[Month Year]],0))</f>
        <v>30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26"/>
      <c r="T72" s="126"/>
      <c r="U72" s="126"/>
      <c r="V72" s="126"/>
      <c r="W72" s="126"/>
      <c r="X72" s="126"/>
      <c r="Y72" s="4">
        <f>SUM(GC[[#This Row],[ICR1]:[ICR14]])</f>
        <v>0</v>
      </c>
      <c r="Z72" s="133"/>
      <c r="AA72" s="133"/>
    </row>
    <row r="73" spans="1:27">
      <c r="A73" s="133">
        <v>71</v>
      </c>
      <c r="B73" s="127">
        <f t="shared" si="1"/>
        <v>45453</v>
      </c>
      <c r="C73" s="128">
        <f>YEAR(GC[[#This Row],[Date]])+IF(MONTH(GC[[#This Row],[Date]])&gt;=4,1,0)</f>
        <v>2025</v>
      </c>
      <c r="D73" s="129">
        <f>YEAR(GC[[#This Row],[Date]])</f>
        <v>2024</v>
      </c>
      <c r="E73" s="126" t="s">
        <v>218</v>
      </c>
      <c r="F73" s="126" t="s">
        <v>218</v>
      </c>
      <c r="G73" s="130" t="str">
        <f>TEXT(GC[[#This Row],[Date]],"mmm-yy")</f>
        <v>Jun-24</v>
      </c>
      <c r="H73" s="130">
        <f>DAY(EOMONTH(GC[[#This Row],[Month Year]],0))</f>
        <v>30</v>
      </c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26"/>
      <c r="T73" s="126"/>
      <c r="U73" s="126"/>
      <c r="V73" s="126"/>
      <c r="W73" s="126"/>
      <c r="X73" s="126"/>
      <c r="Y73" s="4">
        <f>SUM(GC[[#This Row],[ICR1]:[ICR14]])</f>
        <v>0</v>
      </c>
      <c r="Z73" s="133"/>
      <c r="AA73" s="133"/>
    </row>
    <row r="74" spans="1:27">
      <c r="A74" s="133">
        <v>72</v>
      </c>
      <c r="B74" s="127">
        <f t="shared" si="1"/>
        <v>45454</v>
      </c>
      <c r="C74" s="128">
        <f>YEAR(GC[[#This Row],[Date]])+IF(MONTH(GC[[#This Row],[Date]])&gt;=4,1,0)</f>
        <v>2025</v>
      </c>
      <c r="D74" s="129">
        <f>YEAR(GC[[#This Row],[Date]])</f>
        <v>2024</v>
      </c>
      <c r="E74" s="126" t="s">
        <v>218</v>
      </c>
      <c r="F74" s="126" t="s">
        <v>218</v>
      </c>
      <c r="G74" s="130" t="str">
        <f>TEXT(GC[[#This Row],[Date]],"mmm-yy")</f>
        <v>Jun-24</v>
      </c>
      <c r="H74" s="130">
        <f>DAY(EOMONTH(GC[[#This Row],[Month Year]],0))</f>
        <v>30</v>
      </c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26"/>
      <c r="T74" s="126"/>
      <c r="U74" s="126"/>
      <c r="V74" s="126"/>
      <c r="W74" s="126"/>
      <c r="X74" s="126"/>
      <c r="Y74" s="4">
        <f>SUM(GC[[#This Row],[ICR1]:[ICR14]])</f>
        <v>0</v>
      </c>
      <c r="Z74" s="133"/>
      <c r="AA74" s="133"/>
    </row>
    <row r="75" spans="1:27">
      <c r="A75" s="133">
        <v>73</v>
      </c>
      <c r="B75" s="127">
        <f t="shared" si="1"/>
        <v>45455</v>
      </c>
      <c r="C75" s="128">
        <f>YEAR(GC[[#This Row],[Date]])+IF(MONTH(GC[[#This Row],[Date]])&gt;=4,1,0)</f>
        <v>2025</v>
      </c>
      <c r="D75" s="129">
        <f>YEAR(GC[[#This Row],[Date]])</f>
        <v>2024</v>
      </c>
      <c r="E75" s="126" t="s">
        <v>218</v>
      </c>
      <c r="F75" s="126" t="s">
        <v>218</v>
      </c>
      <c r="G75" s="130" t="str">
        <f>TEXT(GC[[#This Row],[Date]],"mmm-yy")</f>
        <v>Jun-24</v>
      </c>
      <c r="H75" s="130">
        <f>DAY(EOMONTH(GC[[#This Row],[Month Year]],0))</f>
        <v>30</v>
      </c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26"/>
      <c r="T75" s="126"/>
      <c r="U75" s="126"/>
      <c r="V75" s="126"/>
      <c r="W75" s="126"/>
      <c r="X75" s="126"/>
      <c r="Y75" s="4">
        <f>SUM(GC[[#This Row],[ICR1]:[ICR14]])</f>
        <v>0</v>
      </c>
      <c r="Z75" s="133"/>
      <c r="AA75" s="133"/>
    </row>
    <row r="76" spans="1:27">
      <c r="A76" s="133">
        <v>74</v>
      </c>
      <c r="B76" s="127">
        <f t="shared" si="1"/>
        <v>45456</v>
      </c>
      <c r="C76" s="128">
        <f>YEAR(GC[[#This Row],[Date]])+IF(MONTH(GC[[#This Row],[Date]])&gt;=4,1,0)</f>
        <v>2025</v>
      </c>
      <c r="D76" s="129">
        <f>YEAR(GC[[#This Row],[Date]])</f>
        <v>2024</v>
      </c>
      <c r="E76" s="126" t="s">
        <v>218</v>
      </c>
      <c r="F76" s="126" t="s">
        <v>218</v>
      </c>
      <c r="G76" s="130" t="str">
        <f>TEXT(GC[[#This Row],[Date]],"mmm-yy")</f>
        <v>Jun-24</v>
      </c>
      <c r="H76" s="130">
        <f>DAY(EOMONTH(GC[[#This Row],[Month Year]],0))</f>
        <v>30</v>
      </c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26"/>
      <c r="T76" s="126"/>
      <c r="U76" s="126"/>
      <c r="V76" s="126"/>
      <c r="W76" s="126"/>
      <c r="X76" s="126"/>
      <c r="Y76" s="4">
        <f>SUM(GC[[#This Row],[ICR1]:[ICR14]])</f>
        <v>0</v>
      </c>
      <c r="Z76" s="133"/>
      <c r="AA76" s="133"/>
    </row>
    <row r="77" spans="1:27">
      <c r="A77" s="133">
        <v>75</v>
      </c>
      <c r="B77" s="127">
        <f t="shared" si="1"/>
        <v>45457</v>
      </c>
      <c r="C77" s="128">
        <f>YEAR(GC[[#This Row],[Date]])+IF(MONTH(GC[[#This Row],[Date]])&gt;=4,1,0)</f>
        <v>2025</v>
      </c>
      <c r="D77" s="129">
        <f>YEAR(GC[[#This Row],[Date]])</f>
        <v>2024</v>
      </c>
      <c r="E77" s="126" t="s">
        <v>218</v>
      </c>
      <c r="F77" s="126" t="s">
        <v>218</v>
      </c>
      <c r="G77" s="130" t="str">
        <f>TEXT(GC[[#This Row],[Date]],"mmm-yy")</f>
        <v>Jun-24</v>
      </c>
      <c r="H77" s="130">
        <f>DAY(EOMONTH(GC[[#This Row],[Month Year]],0))</f>
        <v>30</v>
      </c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26"/>
      <c r="T77" s="126"/>
      <c r="U77" s="126"/>
      <c r="V77" s="126"/>
      <c r="W77" s="126"/>
      <c r="X77" s="126"/>
      <c r="Y77" s="4">
        <f>SUM(GC[[#This Row],[ICR1]:[ICR14]])</f>
        <v>0</v>
      </c>
      <c r="Z77" s="133"/>
      <c r="AA77" s="133"/>
    </row>
    <row r="78" spans="1:27">
      <c r="A78" s="133">
        <v>76</v>
      </c>
      <c r="B78" s="127">
        <f t="shared" si="1"/>
        <v>45458</v>
      </c>
      <c r="C78" s="128">
        <f>YEAR(GC[[#This Row],[Date]])+IF(MONTH(GC[[#This Row],[Date]])&gt;=4,1,0)</f>
        <v>2025</v>
      </c>
      <c r="D78" s="129">
        <f>YEAR(GC[[#This Row],[Date]])</f>
        <v>2024</v>
      </c>
      <c r="E78" s="126" t="s">
        <v>218</v>
      </c>
      <c r="F78" s="126" t="s">
        <v>218</v>
      </c>
      <c r="G78" s="130" t="str">
        <f>TEXT(GC[[#This Row],[Date]],"mmm-yy")</f>
        <v>Jun-24</v>
      </c>
      <c r="H78" s="130">
        <f>DAY(EOMONTH(GC[[#This Row],[Month Year]],0))</f>
        <v>30</v>
      </c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26"/>
      <c r="T78" s="126"/>
      <c r="U78" s="126"/>
      <c r="V78" s="126"/>
      <c r="W78" s="126"/>
      <c r="X78" s="126"/>
      <c r="Y78" s="4">
        <f>SUM(GC[[#This Row],[ICR1]:[ICR14]])</f>
        <v>0</v>
      </c>
      <c r="Z78" s="133"/>
      <c r="AA78" s="133"/>
    </row>
    <row r="79" spans="1:27">
      <c r="A79" s="133">
        <v>77</v>
      </c>
      <c r="B79" s="127">
        <f t="shared" si="1"/>
        <v>45459</v>
      </c>
      <c r="C79" s="128">
        <f>YEAR(GC[[#This Row],[Date]])+IF(MONTH(GC[[#This Row],[Date]])&gt;=4,1,0)</f>
        <v>2025</v>
      </c>
      <c r="D79" s="129">
        <f>YEAR(GC[[#This Row],[Date]])</f>
        <v>2024</v>
      </c>
      <c r="E79" s="126" t="s">
        <v>218</v>
      </c>
      <c r="F79" s="126" t="s">
        <v>218</v>
      </c>
      <c r="G79" s="130" t="str">
        <f>TEXT(GC[[#This Row],[Date]],"mmm-yy")</f>
        <v>Jun-24</v>
      </c>
      <c r="H79" s="130">
        <f>DAY(EOMONTH(GC[[#This Row],[Month Year]],0))</f>
        <v>30</v>
      </c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26"/>
      <c r="T79" s="126"/>
      <c r="U79" s="126"/>
      <c r="V79" s="126"/>
      <c r="W79" s="126"/>
      <c r="X79" s="126"/>
      <c r="Y79" s="4">
        <f>SUM(GC[[#This Row],[ICR1]:[ICR14]])</f>
        <v>0</v>
      </c>
      <c r="Z79" s="133"/>
      <c r="AA79" s="133"/>
    </row>
    <row r="80" spans="1:27">
      <c r="A80" s="133">
        <v>78</v>
      </c>
      <c r="B80" s="127">
        <f t="shared" si="1"/>
        <v>45460</v>
      </c>
      <c r="C80" s="128">
        <f>YEAR(GC[[#This Row],[Date]])+IF(MONTH(GC[[#This Row],[Date]])&gt;=4,1,0)</f>
        <v>2025</v>
      </c>
      <c r="D80" s="129">
        <f>YEAR(GC[[#This Row],[Date]])</f>
        <v>2024</v>
      </c>
      <c r="E80" s="126" t="s">
        <v>218</v>
      </c>
      <c r="F80" s="126" t="s">
        <v>218</v>
      </c>
      <c r="G80" s="130" t="str">
        <f>TEXT(GC[[#This Row],[Date]],"mmm-yy")</f>
        <v>Jun-24</v>
      </c>
      <c r="H80" s="130">
        <f>DAY(EOMONTH(GC[[#This Row],[Month Year]],0))</f>
        <v>30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26"/>
      <c r="T80" s="126"/>
      <c r="U80" s="126"/>
      <c r="V80" s="126"/>
      <c r="W80" s="126"/>
      <c r="X80" s="126"/>
      <c r="Y80" s="4">
        <f>SUM(GC[[#This Row],[ICR1]:[ICR14]])</f>
        <v>0</v>
      </c>
      <c r="Z80" s="133"/>
      <c r="AA80" s="133"/>
    </row>
    <row r="81" spans="1:27">
      <c r="A81" s="133">
        <v>79</v>
      </c>
      <c r="B81" s="127">
        <f t="shared" si="1"/>
        <v>45461</v>
      </c>
      <c r="C81" s="128">
        <f>YEAR(GC[[#This Row],[Date]])+IF(MONTH(GC[[#This Row],[Date]])&gt;=4,1,0)</f>
        <v>2025</v>
      </c>
      <c r="D81" s="129">
        <f>YEAR(GC[[#This Row],[Date]])</f>
        <v>2024</v>
      </c>
      <c r="E81" s="126" t="s">
        <v>218</v>
      </c>
      <c r="F81" s="126" t="s">
        <v>218</v>
      </c>
      <c r="G81" s="130" t="str">
        <f>TEXT(GC[[#This Row],[Date]],"mmm-yy")</f>
        <v>Jun-24</v>
      </c>
      <c r="H81" s="130">
        <f>DAY(EOMONTH(GC[[#This Row],[Month Year]],0))</f>
        <v>30</v>
      </c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26"/>
      <c r="T81" s="126"/>
      <c r="U81" s="126"/>
      <c r="V81" s="126"/>
      <c r="W81" s="126"/>
      <c r="X81" s="126"/>
      <c r="Y81" s="4">
        <f>SUM(GC[[#This Row],[ICR1]:[ICR14]])</f>
        <v>0</v>
      </c>
      <c r="Z81" s="133"/>
      <c r="AA81" s="133"/>
    </row>
    <row r="82" spans="1:27">
      <c r="A82" s="133">
        <v>80</v>
      </c>
      <c r="B82" s="127">
        <f t="shared" si="1"/>
        <v>45462</v>
      </c>
      <c r="C82" s="128">
        <f>YEAR(GC[[#This Row],[Date]])+IF(MONTH(GC[[#This Row],[Date]])&gt;=4,1,0)</f>
        <v>2025</v>
      </c>
      <c r="D82" s="129">
        <f>YEAR(GC[[#This Row],[Date]])</f>
        <v>2024</v>
      </c>
      <c r="E82" s="126" t="s">
        <v>218</v>
      </c>
      <c r="F82" s="126" t="s">
        <v>218</v>
      </c>
      <c r="G82" s="130" t="str">
        <f>TEXT(GC[[#This Row],[Date]],"mmm-yy")</f>
        <v>Jun-24</v>
      </c>
      <c r="H82" s="130">
        <f>DAY(EOMONTH(GC[[#This Row],[Month Year]],0))</f>
        <v>30</v>
      </c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26"/>
      <c r="T82" s="126"/>
      <c r="U82" s="126"/>
      <c r="V82" s="126"/>
      <c r="W82" s="126"/>
      <c r="X82" s="126"/>
      <c r="Y82" s="4">
        <f>SUM(GC[[#This Row],[ICR1]:[ICR14]])</f>
        <v>0</v>
      </c>
      <c r="Z82" s="133"/>
      <c r="AA82" s="133"/>
    </row>
    <row r="83" spans="1:27">
      <c r="A83" s="133">
        <v>81</v>
      </c>
      <c r="B83" s="127">
        <f t="shared" si="1"/>
        <v>45463</v>
      </c>
      <c r="C83" s="128">
        <f>YEAR(GC[[#This Row],[Date]])+IF(MONTH(GC[[#This Row],[Date]])&gt;=4,1,0)</f>
        <v>2025</v>
      </c>
      <c r="D83" s="129">
        <f>YEAR(GC[[#This Row],[Date]])</f>
        <v>2024</v>
      </c>
      <c r="E83" s="126" t="s">
        <v>218</v>
      </c>
      <c r="F83" s="126" t="s">
        <v>218</v>
      </c>
      <c r="G83" s="130" t="str">
        <f>TEXT(GC[[#This Row],[Date]],"mmm-yy")</f>
        <v>Jun-24</v>
      </c>
      <c r="H83" s="130">
        <f>DAY(EOMONTH(GC[[#This Row],[Month Year]],0))</f>
        <v>30</v>
      </c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26"/>
      <c r="T83" s="126"/>
      <c r="U83" s="126"/>
      <c r="V83" s="126"/>
      <c r="W83" s="126"/>
      <c r="X83" s="126"/>
      <c r="Y83" s="4">
        <f>SUM(GC[[#This Row],[ICR1]:[ICR14]])</f>
        <v>0</v>
      </c>
      <c r="Z83" s="133"/>
      <c r="AA83" s="133"/>
    </row>
    <row r="84" spans="1:27">
      <c r="A84" s="133">
        <v>82</v>
      </c>
      <c r="B84" s="127">
        <f t="shared" si="1"/>
        <v>45464</v>
      </c>
      <c r="C84" s="128">
        <f>YEAR(GC[[#This Row],[Date]])+IF(MONTH(GC[[#This Row],[Date]])&gt;=4,1,0)</f>
        <v>2025</v>
      </c>
      <c r="D84" s="129">
        <f>YEAR(GC[[#This Row],[Date]])</f>
        <v>2024</v>
      </c>
      <c r="E84" s="126" t="s">
        <v>218</v>
      </c>
      <c r="F84" s="126" t="s">
        <v>218</v>
      </c>
      <c r="G84" s="130" t="str">
        <f>TEXT(GC[[#This Row],[Date]],"mmm-yy")</f>
        <v>Jun-24</v>
      </c>
      <c r="H84" s="130">
        <f>DAY(EOMONTH(GC[[#This Row],[Month Year]],0))</f>
        <v>30</v>
      </c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26"/>
      <c r="T84" s="126"/>
      <c r="U84" s="126"/>
      <c r="V84" s="126"/>
      <c r="W84" s="126"/>
      <c r="X84" s="126"/>
      <c r="Y84" s="4">
        <f>SUM(GC[[#This Row],[ICR1]:[ICR14]])</f>
        <v>0</v>
      </c>
      <c r="Z84" s="133"/>
      <c r="AA84" s="133"/>
    </row>
    <row r="85" spans="1:27">
      <c r="A85" s="133">
        <v>83</v>
      </c>
      <c r="B85" s="127">
        <f t="shared" si="1"/>
        <v>45465</v>
      </c>
      <c r="C85" s="128">
        <f>YEAR(GC[[#This Row],[Date]])+IF(MONTH(GC[[#This Row],[Date]])&gt;=4,1,0)</f>
        <v>2025</v>
      </c>
      <c r="D85" s="129">
        <f>YEAR(GC[[#This Row],[Date]])</f>
        <v>2024</v>
      </c>
      <c r="E85" s="126" t="s">
        <v>218</v>
      </c>
      <c r="F85" s="126" t="s">
        <v>218</v>
      </c>
      <c r="G85" s="130" t="str">
        <f>TEXT(GC[[#This Row],[Date]],"mmm-yy")</f>
        <v>Jun-24</v>
      </c>
      <c r="H85" s="130">
        <f>DAY(EOMONTH(GC[[#This Row],[Month Year]],0))</f>
        <v>30</v>
      </c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26"/>
      <c r="T85" s="126"/>
      <c r="U85" s="126"/>
      <c r="V85" s="126"/>
      <c r="W85" s="126"/>
      <c r="X85" s="126"/>
      <c r="Y85" s="4">
        <f>SUM(GC[[#This Row],[ICR1]:[ICR14]])</f>
        <v>0</v>
      </c>
      <c r="Z85" s="133"/>
      <c r="AA85" s="133"/>
    </row>
    <row r="86" spans="1:27">
      <c r="A86" s="133">
        <v>84</v>
      </c>
      <c r="B86" s="127">
        <f t="shared" si="1"/>
        <v>45466</v>
      </c>
      <c r="C86" s="128">
        <f>YEAR(GC[[#This Row],[Date]])+IF(MONTH(GC[[#This Row],[Date]])&gt;=4,1,0)</f>
        <v>2025</v>
      </c>
      <c r="D86" s="129">
        <f>YEAR(GC[[#This Row],[Date]])</f>
        <v>2024</v>
      </c>
      <c r="E86" s="126" t="s">
        <v>218</v>
      </c>
      <c r="F86" s="126" t="s">
        <v>218</v>
      </c>
      <c r="G86" s="130" t="str">
        <f>TEXT(GC[[#This Row],[Date]],"mmm-yy")</f>
        <v>Jun-24</v>
      </c>
      <c r="H86" s="130">
        <f>DAY(EOMONTH(GC[[#This Row],[Month Year]],0))</f>
        <v>30</v>
      </c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26"/>
      <c r="T86" s="126"/>
      <c r="U86" s="126"/>
      <c r="V86" s="126"/>
      <c r="W86" s="126"/>
      <c r="X86" s="126"/>
      <c r="Y86" s="4">
        <f>SUM(GC[[#This Row],[ICR1]:[ICR14]])</f>
        <v>0</v>
      </c>
      <c r="Z86" s="133"/>
      <c r="AA86" s="133"/>
    </row>
    <row r="87" spans="1:27">
      <c r="A87" s="133">
        <v>85</v>
      </c>
      <c r="B87" s="127">
        <f t="shared" si="1"/>
        <v>45467</v>
      </c>
      <c r="C87" s="128">
        <f>YEAR(GC[[#This Row],[Date]])+IF(MONTH(GC[[#This Row],[Date]])&gt;=4,1,0)</f>
        <v>2025</v>
      </c>
      <c r="D87" s="129">
        <f>YEAR(GC[[#This Row],[Date]])</f>
        <v>2024</v>
      </c>
      <c r="E87" s="126" t="s">
        <v>218</v>
      </c>
      <c r="F87" s="126" t="s">
        <v>218</v>
      </c>
      <c r="G87" s="130" t="str">
        <f>TEXT(GC[[#This Row],[Date]],"mmm-yy")</f>
        <v>Jun-24</v>
      </c>
      <c r="H87" s="130">
        <f>DAY(EOMONTH(GC[[#This Row],[Month Year]],0))</f>
        <v>30</v>
      </c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26"/>
      <c r="T87" s="126"/>
      <c r="U87" s="126"/>
      <c r="V87" s="126"/>
      <c r="W87" s="126"/>
      <c r="X87" s="126"/>
      <c r="Y87" s="4">
        <f>SUM(GC[[#This Row],[ICR1]:[ICR14]])</f>
        <v>0</v>
      </c>
      <c r="Z87" s="133"/>
      <c r="AA87" s="133"/>
    </row>
    <row r="88" spans="1:27">
      <c r="A88" s="133">
        <v>86</v>
      </c>
      <c r="B88" s="127">
        <f t="shared" si="1"/>
        <v>45468</v>
      </c>
      <c r="C88" s="128">
        <f>YEAR(GC[[#This Row],[Date]])+IF(MONTH(GC[[#This Row],[Date]])&gt;=4,1,0)</f>
        <v>2025</v>
      </c>
      <c r="D88" s="129">
        <f>YEAR(GC[[#This Row],[Date]])</f>
        <v>2024</v>
      </c>
      <c r="E88" s="126" t="s">
        <v>218</v>
      </c>
      <c r="F88" s="126" t="s">
        <v>218</v>
      </c>
      <c r="G88" s="130" t="str">
        <f>TEXT(GC[[#This Row],[Date]],"mmm-yy")</f>
        <v>Jun-24</v>
      </c>
      <c r="H88" s="130">
        <f>DAY(EOMONTH(GC[[#This Row],[Month Year]],0))</f>
        <v>30</v>
      </c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26"/>
      <c r="T88" s="126"/>
      <c r="U88" s="126"/>
      <c r="V88" s="126"/>
      <c r="W88" s="126"/>
      <c r="X88" s="126"/>
      <c r="Y88" s="4">
        <f>SUM(GC[[#This Row],[ICR1]:[ICR14]])</f>
        <v>0</v>
      </c>
      <c r="Z88" s="133"/>
      <c r="AA88" s="133"/>
    </row>
    <row r="89" spans="1:27">
      <c r="A89" s="133">
        <v>87</v>
      </c>
      <c r="B89" s="127">
        <f t="shared" si="1"/>
        <v>45469</v>
      </c>
      <c r="C89" s="128">
        <f>YEAR(GC[[#This Row],[Date]])+IF(MONTH(GC[[#This Row],[Date]])&gt;=4,1,0)</f>
        <v>2025</v>
      </c>
      <c r="D89" s="129">
        <f>YEAR(GC[[#This Row],[Date]])</f>
        <v>2024</v>
      </c>
      <c r="E89" s="126" t="s">
        <v>218</v>
      </c>
      <c r="F89" s="126" t="s">
        <v>218</v>
      </c>
      <c r="G89" s="130" t="str">
        <f>TEXT(GC[[#This Row],[Date]],"mmm-yy")</f>
        <v>Jun-24</v>
      </c>
      <c r="H89" s="130">
        <f>DAY(EOMONTH(GC[[#This Row],[Month Year]],0))</f>
        <v>30</v>
      </c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26"/>
      <c r="T89" s="126"/>
      <c r="U89" s="126"/>
      <c r="V89" s="126"/>
      <c r="W89" s="126"/>
      <c r="X89" s="126"/>
      <c r="Y89" s="4">
        <f>SUM(GC[[#This Row],[ICR1]:[ICR14]])</f>
        <v>0</v>
      </c>
      <c r="Z89" s="133"/>
      <c r="AA89" s="133"/>
    </row>
    <row r="90" spans="1:27">
      <c r="A90" s="133">
        <v>88</v>
      </c>
      <c r="B90" s="127">
        <f t="shared" si="1"/>
        <v>45470</v>
      </c>
      <c r="C90" s="128">
        <f>YEAR(GC[[#This Row],[Date]])+IF(MONTH(GC[[#This Row],[Date]])&gt;=4,1,0)</f>
        <v>2025</v>
      </c>
      <c r="D90" s="129">
        <f>YEAR(GC[[#This Row],[Date]])</f>
        <v>2024</v>
      </c>
      <c r="E90" s="126" t="s">
        <v>218</v>
      </c>
      <c r="F90" s="126" t="s">
        <v>218</v>
      </c>
      <c r="G90" s="130" t="str">
        <f>TEXT(GC[[#This Row],[Date]],"mmm-yy")</f>
        <v>Jun-24</v>
      </c>
      <c r="H90" s="130">
        <f>DAY(EOMONTH(GC[[#This Row],[Month Year]],0))</f>
        <v>30</v>
      </c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26"/>
      <c r="T90" s="126"/>
      <c r="U90" s="126"/>
      <c r="V90" s="126"/>
      <c r="W90" s="126"/>
      <c r="X90" s="126"/>
      <c r="Y90" s="4">
        <f>SUM(GC[[#This Row],[ICR1]:[ICR14]])</f>
        <v>0</v>
      </c>
      <c r="Z90" s="133"/>
      <c r="AA90" s="133"/>
    </row>
    <row r="91" spans="1:27">
      <c r="A91" s="133">
        <v>89</v>
      </c>
      <c r="B91" s="127">
        <f t="shared" si="1"/>
        <v>45471</v>
      </c>
      <c r="C91" s="128">
        <f>YEAR(GC[[#This Row],[Date]])+IF(MONTH(GC[[#This Row],[Date]])&gt;=4,1,0)</f>
        <v>2025</v>
      </c>
      <c r="D91" s="129">
        <f>YEAR(GC[[#This Row],[Date]])</f>
        <v>2024</v>
      </c>
      <c r="E91" s="126" t="s">
        <v>218</v>
      </c>
      <c r="F91" s="126" t="s">
        <v>218</v>
      </c>
      <c r="G91" s="130" t="str">
        <f>TEXT(GC[[#This Row],[Date]],"mmm-yy")</f>
        <v>Jun-24</v>
      </c>
      <c r="H91" s="130">
        <f>DAY(EOMONTH(GC[[#This Row],[Month Year]],0))</f>
        <v>30</v>
      </c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26"/>
      <c r="T91" s="126"/>
      <c r="U91" s="126"/>
      <c r="V91" s="126"/>
      <c r="W91" s="126"/>
      <c r="X91" s="126"/>
      <c r="Y91" s="4">
        <f>SUM(GC[[#This Row],[ICR1]:[ICR14]])</f>
        <v>0</v>
      </c>
      <c r="Z91" s="133"/>
      <c r="AA91" s="133"/>
    </row>
    <row r="92" spans="1:27">
      <c r="A92" s="133">
        <v>90</v>
      </c>
      <c r="B92" s="127">
        <f t="shared" si="1"/>
        <v>45472</v>
      </c>
      <c r="C92" s="128">
        <f>YEAR(GC[[#This Row],[Date]])+IF(MONTH(GC[[#This Row],[Date]])&gt;=4,1,0)</f>
        <v>2025</v>
      </c>
      <c r="D92" s="129">
        <f>YEAR(GC[[#This Row],[Date]])</f>
        <v>2024</v>
      </c>
      <c r="E92" s="126" t="s">
        <v>218</v>
      </c>
      <c r="F92" s="126" t="s">
        <v>218</v>
      </c>
      <c r="G92" s="130" t="str">
        <f>TEXT(GC[[#This Row],[Date]],"mmm-yy")</f>
        <v>Jun-24</v>
      </c>
      <c r="H92" s="130">
        <f>DAY(EOMONTH(GC[[#This Row],[Month Year]],0))</f>
        <v>30</v>
      </c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26"/>
      <c r="T92" s="126"/>
      <c r="U92" s="126"/>
      <c r="V92" s="126"/>
      <c r="W92" s="126"/>
      <c r="X92" s="126"/>
      <c r="Y92" s="4">
        <f>SUM(GC[[#This Row],[ICR1]:[ICR14]])</f>
        <v>0</v>
      </c>
      <c r="Z92" s="133"/>
      <c r="AA92" s="133"/>
    </row>
    <row r="93" spans="1:27">
      <c r="A93" s="133">
        <v>91</v>
      </c>
      <c r="B93" s="127">
        <f t="shared" si="1"/>
        <v>45473</v>
      </c>
      <c r="C93" s="128">
        <f>YEAR(GC[[#This Row],[Date]])+IF(MONTH(GC[[#This Row],[Date]])&gt;=4,1,0)</f>
        <v>2025</v>
      </c>
      <c r="D93" s="129">
        <f>YEAR(GC[[#This Row],[Date]])</f>
        <v>2024</v>
      </c>
      <c r="E93" s="126" t="s">
        <v>218</v>
      </c>
      <c r="F93" s="126" t="s">
        <v>218</v>
      </c>
      <c r="G93" s="130" t="str">
        <f>TEXT(GC[[#This Row],[Date]],"mmm-yy")</f>
        <v>Jun-24</v>
      </c>
      <c r="H93" s="130">
        <f>DAY(EOMONTH(GC[[#This Row],[Month Year]],0))</f>
        <v>30</v>
      </c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6"/>
      <c r="T93" s="126"/>
      <c r="U93" s="126"/>
      <c r="V93" s="126"/>
      <c r="W93" s="126"/>
      <c r="X93" s="126"/>
      <c r="Y93" s="4">
        <f>SUM(GC[[#This Row],[ICR1]:[ICR14]])</f>
        <v>0</v>
      </c>
      <c r="Z93" s="133"/>
      <c r="AA93" s="133"/>
    </row>
    <row r="94" spans="1:27">
      <c r="A94" s="133">
        <v>92</v>
      </c>
      <c r="B94" s="127">
        <f t="shared" si="1"/>
        <v>45474</v>
      </c>
      <c r="C94" s="128">
        <f>YEAR(GC[[#This Row],[Date]])+IF(MONTH(GC[[#This Row],[Date]])&gt;=4,1,0)</f>
        <v>2025</v>
      </c>
      <c r="D94" s="129">
        <f>YEAR(GC[[#This Row],[Date]])</f>
        <v>2024</v>
      </c>
      <c r="E94" s="126" t="s">
        <v>218</v>
      </c>
      <c r="F94" s="126" t="s">
        <v>218</v>
      </c>
      <c r="G94" s="130" t="str">
        <f>TEXT(GC[[#This Row],[Date]],"mmm-yy")</f>
        <v>Jul-24</v>
      </c>
      <c r="H94" s="130">
        <f>DAY(EOMONTH(GC[[#This Row],[Month Year]],0))</f>
        <v>31</v>
      </c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6"/>
      <c r="T94" s="126"/>
      <c r="U94" s="126"/>
      <c r="V94" s="126"/>
      <c r="W94" s="126"/>
      <c r="X94" s="126"/>
      <c r="Y94" s="4">
        <f>SUM(GC[[#This Row],[ICR1]:[ICR14]])</f>
        <v>0</v>
      </c>
      <c r="Z94" s="133"/>
      <c r="AA94" s="133"/>
    </row>
    <row r="95" spans="1:27">
      <c r="A95" s="133">
        <v>93</v>
      </c>
      <c r="B95" s="127">
        <f t="shared" si="1"/>
        <v>45475</v>
      </c>
      <c r="C95" s="128">
        <f>YEAR(GC[[#This Row],[Date]])+IF(MONTH(GC[[#This Row],[Date]])&gt;=4,1,0)</f>
        <v>2025</v>
      </c>
      <c r="D95" s="129">
        <f>YEAR(GC[[#This Row],[Date]])</f>
        <v>2024</v>
      </c>
      <c r="E95" s="126" t="s">
        <v>218</v>
      </c>
      <c r="F95" s="126" t="s">
        <v>218</v>
      </c>
      <c r="G95" s="130" t="str">
        <f>TEXT(GC[[#This Row],[Date]],"mmm-yy")</f>
        <v>Jul-24</v>
      </c>
      <c r="H95" s="130">
        <f>DAY(EOMONTH(GC[[#This Row],[Month Year]],0))</f>
        <v>31</v>
      </c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26"/>
      <c r="T95" s="126"/>
      <c r="U95" s="126"/>
      <c r="V95" s="126"/>
      <c r="W95" s="126"/>
      <c r="X95" s="126"/>
      <c r="Y95" s="4">
        <f>SUM(GC[[#This Row],[ICR1]:[ICR14]])</f>
        <v>0</v>
      </c>
      <c r="Z95" s="133"/>
      <c r="AA95" s="133"/>
    </row>
    <row r="96" spans="1:27">
      <c r="A96" s="133">
        <v>94</v>
      </c>
      <c r="B96" s="127">
        <f t="shared" si="1"/>
        <v>45476</v>
      </c>
      <c r="C96" s="128">
        <f>YEAR(GC[[#This Row],[Date]])+IF(MONTH(GC[[#This Row],[Date]])&gt;=4,1,0)</f>
        <v>2025</v>
      </c>
      <c r="D96" s="129">
        <f>YEAR(GC[[#This Row],[Date]])</f>
        <v>2024</v>
      </c>
      <c r="E96" s="126" t="s">
        <v>218</v>
      </c>
      <c r="F96" s="126" t="s">
        <v>218</v>
      </c>
      <c r="G96" s="130" t="str">
        <f>TEXT(GC[[#This Row],[Date]],"mmm-yy")</f>
        <v>Jul-24</v>
      </c>
      <c r="H96" s="130">
        <f>DAY(EOMONTH(GC[[#This Row],[Month Year]],0))</f>
        <v>31</v>
      </c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26"/>
      <c r="T96" s="126"/>
      <c r="U96" s="126"/>
      <c r="V96" s="126"/>
      <c r="W96" s="126"/>
      <c r="X96" s="126"/>
      <c r="Y96" s="4">
        <f>SUM(GC[[#This Row],[ICR1]:[ICR14]])</f>
        <v>0</v>
      </c>
      <c r="Z96" s="133"/>
      <c r="AA96" s="133"/>
    </row>
    <row r="97" spans="1:27">
      <c r="A97" s="133">
        <v>95</v>
      </c>
      <c r="B97" s="127">
        <f t="shared" si="1"/>
        <v>45477</v>
      </c>
      <c r="C97" s="128">
        <f>YEAR(GC[[#This Row],[Date]])+IF(MONTH(GC[[#This Row],[Date]])&gt;=4,1,0)</f>
        <v>2025</v>
      </c>
      <c r="D97" s="129">
        <f>YEAR(GC[[#This Row],[Date]])</f>
        <v>2024</v>
      </c>
      <c r="E97" s="126" t="s">
        <v>218</v>
      </c>
      <c r="F97" s="126" t="s">
        <v>218</v>
      </c>
      <c r="G97" s="130" t="str">
        <f>TEXT(GC[[#This Row],[Date]],"mmm-yy")</f>
        <v>Jul-24</v>
      </c>
      <c r="H97" s="130">
        <f>DAY(EOMONTH(GC[[#This Row],[Month Year]],0))</f>
        <v>31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26"/>
      <c r="T97" s="126"/>
      <c r="U97" s="126"/>
      <c r="V97" s="126"/>
      <c r="W97" s="126"/>
      <c r="X97" s="126"/>
      <c r="Y97" s="4">
        <f>SUM(GC[[#This Row],[ICR1]:[ICR14]])</f>
        <v>0</v>
      </c>
      <c r="Z97" s="133"/>
      <c r="AA97" s="133"/>
    </row>
    <row r="98" spans="1:27">
      <c r="A98" s="133">
        <v>96</v>
      </c>
      <c r="B98" s="127">
        <f t="shared" si="1"/>
        <v>45478</v>
      </c>
      <c r="C98" s="128">
        <f>YEAR(GC[[#This Row],[Date]])+IF(MONTH(GC[[#This Row],[Date]])&gt;=4,1,0)</f>
        <v>2025</v>
      </c>
      <c r="D98" s="129">
        <f>YEAR(GC[[#This Row],[Date]])</f>
        <v>2024</v>
      </c>
      <c r="E98" s="126" t="s">
        <v>218</v>
      </c>
      <c r="F98" s="126" t="s">
        <v>218</v>
      </c>
      <c r="G98" s="130" t="str">
        <f>TEXT(GC[[#This Row],[Date]],"mmm-yy")</f>
        <v>Jul-24</v>
      </c>
      <c r="H98" s="130">
        <f>DAY(EOMONTH(GC[[#This Row],[Month Year]],0))</f>
        <v>31</v>
      </c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26"/>
      <c r="T98" s="126"/>
      <c r="U98" s="126"/>
      <c r="V98" s="126"/>
      <c r="W98" s="126"/>
      <c r="X98" s="126"/>
      <c r="Y98" s="4">
        <f>SUM(GC[[#This Row],[ICR1]:[ICR14]])</f>
        <v>0</v>
      </c>
      <c r="Z98" s="133"/>
      <c r="AA98" s="133"/>
    </row>
    <row r="99" spans="1:27">
      <c r="A99" s="133">
        <v>97</v>
      </c>
      <c r="B99" s="127">
        <f t="shared" si="1"/>
        <v>45479</v>
      </c>
      <c r="C99" s="128">
        <f>YEAR(GC[[#This Row],[Date]])+IF(MONTH(GC[[#This Row],[Date]])&gt;=4,1,0)</f>
        <v>2025</v>
      </c>
      <c r="D99" s="129">
        <f>YEAR(GC[[#This Row],[Date]])</f>
        <v>2024</v>
      </c>
      <c r="E99" s="126" t="s">
        <v>218</v>
      </c>
      <c r="F99" s="126" t="s">
        <v>218</v>
      </c>
      <c r="G99" s="130" t="str">
        <f>TEXT(GC[[#This Row],[Date]],"mmm-yy")</f>
        <v>Jul-24</v>
      </c>
      <c r="H99" s="130">
        <f>DAY(EOMONTH(GC[[#This Row],[Month Year]],0))</f>
        <v>31</v>
      </c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26"/>
      <c r="T99" s="126"/>
      <c r="U99" s="126"/>
      <c r="V99" s="126"/>
      <c r="W99" s="126"/>
      <c r="X99" s="126"/>
      <c r="Y99" s="4">
        <f>SUM(GC[[#This Row],[ICR1]:[ICR14]])</f>
        <v>0</v>
      </c>
      <c r="Z99" s="133"/>
      <c r="AA99" s="133"/>
    </row>
    <row r="100" spans="1:27">
      <c r="A100" s="133">
        <v>98</v>
      </c>
      <c r="B100" s="127">
        <f t="shared" si="1"/>
        <v>45480</v>
      </c>
      <c r="C100" s="128">
        <f>YEAR(GC[[#This Row],[Date]])+IF(MONTH(GC[[#This Row],[Date]])&gt;=4,1,0)</f>
        <v>2025</v>
      </c>
      <c r="D100" s="129">
        <f>YEAR(GC[[#This Row],[Date]])</f>
        <v>2024</v>
      </c>
      <c r="E100" s="126" t="s">
        <v>218</v>
      </c>
      <c r="F100" s="126" t="s">
        <v>218</v>
      </c>
      <c r="G100" s="130" t="str">
        <f>TEXT(GC[[#This Row],[Date]],"mmm-yy")</f>
        <v>Jul-24</v>
      </c>
      <c r="H100" s="130">
        <f>DAY(EOMONTH(GC[[#This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26"/>
      <c r="T100" s="126"/>
      <c r="U100" s="126"/>
      <c r="V100" s="126"/>
      <c r="W100" s="126"/>
      <c r="X100" s="126"/>
      <c r="Y100" s="4">
        <f>SUM(GC[[#This Row],[ICR1]:[ICR14]])</f>
        <v>0</v>
      </c>
      <c r="Z100" s="133"/>
      <c r="AA100" s="133"/>
    </row>
    <row r="101" spans="1:27">
      <c r="A101" s="133">
        <v>99</v>
      </c>
      <c r="B101" s="127">
        <f t="shared" si="1"/>
        <v>45481</v>
      </c>
      <c r="C101" s="128">
        <f>YEAR(GC[[#This Row],[Date]])+IF(MONTH(GC[[#This Row],[Date]])&gt;=4,1,0)</f>
        <v>2025</v>
      </c>
      <c r="D101" s="129">
        <f>YEAR(GC[[#This Row],[Date]])</f>
        <v>2024</v>
      </c>
      <c r="E101" s="126" t="s">
        <v>218</v>
      </c>
      <c r="F101" s="126" t="s">
        <v>218</v>
      </c>
      <c r="G101" s="130" t="str">
        <f>TEXT(GC[[#This Row],[Date]],"mmm-yy")</f>
        <v>Jul-24</v>
      </c>
      <c r="H101" s="130">
        <f>DAY(EOMONTH(GC[[#This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26"/>
      <c r="T101" s="126"/>
      <c r="U101" s="126"/>
      <c r="V101" s="126"/>
      <c r="W101" s="126"/>
      <c r="X101" s="126"/>
      <c r="Y101" s="4">
        <f>SUM(GC[[#This Row],[ICR1]:[ICR14]])</f>
        <v>0</v>
      </c>
      <c r="Z101" s="133"/>
      <c r="AA101" s="133"/>
    </row>
    <row r="102" spans="1:27">
      <c r="A102" s="133">
        <v>100</v>
      </c>
      <c r="B102" s="127">
        <f t="shared" si="1"/>
        <v>45482</v>
      </c>
      <c r="C102" s="128">
        <f>YEAR(GC[[#This Row],[Date]])+IF(MONTH(GC[[#This Row],[Date]])&gt;=4,1,0)</f>
        <v>2025</v>
      </c>
      <c r="D102" s="129">
        <f>YEAR(GC[[#This Row],[Date]])</f>
        <v>2024</v>
      </c>
      <c r="E102" s="126" t="s">
        <v>218</v>
      </c>
      <c r="F102" s="126" t="s">
        <v>218</v>
      </c>
      <c r="G102" s="130" t="str">
        <f>TEXT(GC[[#This Row],[Date]],"mmm-yy")</f>
        <v>Jul-24</v>
      </c>
      <c r="H102" s="130">
        <f>DAY(EOMONTH(GC[[#This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26"/>
      <c r="T102" s="126"/>
      <c r="U102" s="126"/>
      <c r="V102" s="126"/>
      <c r="W102" s="126"/>
      <c r="X102" s="126"/>
      <c r="Y102" s="4">
        <f>SUM(GC[[#This Row],[ICR1]:[ICR14]])</f>
        <v>0</v>
      </c>
      <c r="Z102" s="133"/>
      <c r="AA102" s="133"/>
    </row>
    <row r="103" spans="1:27">
      <c r="A103" s="133">
        <v>101</v>
      </c>
      <c r="B103" s="127">
        <f t="shared" si="1"/>
        <v>45483</v>
      </c>
      <c r="C103" s="128">
        <f>YEAR(GC[[#This Row],[Date]])+IF(MONTH(GC[[#This Row],[Date]])&gt;=4,1,0)</f>
        <v>2025</v>
      </c>
      <c r="D103" s="129">
        <f>YEAR(GC[[#This Row],[Date]])</f>
        <v>2024</v>
      </c>
      <c r="E103" s="126" t="s">
        <v>218</v>
      </c>
      <c r="F103" s="126" t="s">
        <v>218</v>
      </c>
      <c r="G103" s="130" t="str">
        <f>TEXT(GC[[#This Row],[Date]],"mmm-yy")</f>
        <v>Jul-24</v>
      </c>
      <c r="H103" s="130">
        <f>DAY(EOMONTH(GC[[#This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26"/>
      <c r="T103" s="126"/>
      <c r="U103" s="126"/>
      <c r="V103" s="126"/>
      <c r="W103" s="126"/>
      <c r="X103" s="126"/>
      <c r="Y103" s="4">
        <f>SUM(GC[[#This Row],[ICR1]:[ICR14]])</f>
        <v>0</v>
      </c>
      <c r="Z103" s="133"/>
      <c r="AA103" s="133"/>
    </row>
    <row r="104" spans="1:27">
      <c r="A104" s="133">
        <v>102</v>
      </c>
      <c r="B104" s="127">
        <f t="shared" si="1"/>
        <v>45484</v>
      </c>
      <c r="C104" s="128">
        <f>YEAR(GC[[#This Row],[Date]])+IF(MONTH(GC[[#This Row],[Date]])&gt;=4,1,0)</f>
        <v>2025</v>
      </c>
      <c r="D104" s="129">
        <f>YEAR(GC[[#This Row],[Date]])</f>
        <v>2024</v>
      </c>
      <c r="E104" s="126" t="s">
        <v>218</v>
      </c>
      <c r="F104" s="126" t="s">
        <v>218</v>
      </c>
      <c r="G104" s="130" t="str">
        <f>TEXT(GC[[#This Row],[Date]],"mmm-yy")</f>
        <v>Jul-24</v>
      </c>
      <c r="H104" s="130">
        <f>DAY(EOMONTH(GC[[#This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26"/>
      <c r="T104" s="126"/>
      <c r="U104" s="126"/>
      <c r="V104" s="126"/>
      <c r="W104" s="126"/>
      <c r="X104" s="126"/>
      <c r="Y104" s="4">
        <f>SUM(GC[[#This Row],[ICR1]:[ICR14]])</f>
        <v>0</v>
      </c>
      <c r="Z104" s="133"/>
      <c r="AA104" s="133"/>
    </row>
    <row r="105" spans="1:27">
      <c r="A105" s="133">
        <v>103</v>
      </c>
      <c r="B105" s="127">
        <f t="shared" si="1"/>
        <v>45485</v>
      </c>
      <c r="C105" s="128">
        <f>YEAR(GC[[#This Row],[Date]])+IF(MONTH(GC[[#This Row],[Date]])&gt;=4,1,0)</f>
        <v>2025</v>
      </c>
      <c r="D105" s="129">
        <f>YEAR(GC[[#This Row],[Date]])</f>
        <v>2024</v>
      </c>
      <c r="E105" s="126" t="s">
        <v>218</v>
      </c>
      <c r="F105" s="126" t="s">
        <v>218</v>
      </c>
      <c r="G105" s="130" t="str">
        <f>TEXT(GC[[#This Row],[Date]],"mmm-yy")</f>
        <v>Jul-24</v>
      </c>
      <c r="H105" s="130">
        <f>DAY(EOMONTH(GC[[#This Row],[Month Year]],0))</f>
        <v>31</v>
      </c>
      <c r="I105" s="133">
        <v>1</v>
      </c>
      <c r="J105" s="133" t="s">
        <v>427</v>
      </c>
      <c r="K105" s="133">
        <v>0</v>
      </c>
      <c r="L105" s="133">
        <v>0</v>
      </c>
      <c r="M105" s="133">
        <v>55</v>
      </c>
      <c r="N105" s="133">
        <v>0</v>
      </c>
      <c r="O105" s="133">
        <v>0</v>
      </c>
      <c r="P105" s="133"/>
      <c r="Q105" s="133"/>
      <c r="R105" s="133"/>
      <c r="S105" s="126"/>
      <c r="T105" s="126"/>
      <c r="U105" s="126"/>
      <c r="V105" s="126"/>
      <c r="W105" s="126"/>
      <c r="X105" s="126"/>
      <c r="Y105" s="4">
        <f>SUM(GC[[#This Row],[ICR1]:[ICR14]])</f>
        <v>55</v>
      </c>
      <c r="Z105" s="133" t="s">
        <v>427</v>
      </c>
      <c r="AA105" s="133" t="s">
        <v>428</v>
      </c>
    </row>
    <row r="106" spans="1:27">
      <c r="A106" s="133">
        <v>104</v>
      </c>
      <c r="B106" s="127">
        <f t="shared" si="1"/>
        <v>45486</v>
      </c>
      <c r="C106" s="128">
        <f>YEAR(GC[[#This Row],[Date]])+IF(MONTH(GC[[#This Row],[Date]])&gt;=4,1,0)</f>
        <v>2025</v>
      </c>
      <c r="D106" s="129">
        <f>YEAR(GC[[#This Row],[Date]])</f>
        <v>2024</v>
      </c>
      <c r="E106" s="126" t="s">
        <v>218</v>
      </c>
      <c r="F106" s="126" t="s">
        <v>218</v>
      </c>
      <c r="G106" s="130" t="str">
        <f>TEXT(GC[[#This Row],[Date]],"mmm-yy")</f>
        <v>Jul-24</v>
      </c>
      <c r="H106" s="130">
        <f>DAY(EOMONTH(GC[[#This Row],[Month Year]],0))</f>
        <v>31</v>
      </c>
      <c r="I106" s="133">
        <v>1</v>
      </c>
      <c r="J106" s="133" t="s">
        <v>427</v>
      </c>
      <c r="K106" s="133">
        <v>0</v>
      </c>
      <c r="L106" s="133">
        <v>0</v>
      </c>
      <c r="M106" s="133">
        <v>94</v>
      </c>
      <c r="N106" s="133">
        <v>0</v>
      </c>
      <c r="O106" s="133">
        <v>0</v>
      </c>
      <c r="P106" s="133"/>
      <c r="Q106" s="133"/>
      <c r="R106" s="133"/>
      <c r="S106" s="126"/>
      <c r="T106" s="126"/>
      <c r="U106" s="126"/>
      <c r="V106" s="126"/>
      <c r="W106" s="126"/>
      <c r="X106" s="126"/>
      <c r="Y106" s="4">
        <f>SUM(GC[[#This Row],[ICR1]:[ICR14]])</f>
        <v>94</v>
      </c>
      <c r="Z106" s="133" t="s">
        <v>427</v>
      </c>
      <c r="AA106" s="133" t="s">
        <v>429</v>
      </c>
    </row>
    <row r="107" spans="1:27">
      <c r="A107" s="133">
        <v>105</v>
      </c>
      <c r="B107" s="127">
        <f t="shared" si="1"/>
        <v>45487</v>
      </c>
      <c r="C107" s="128">
        <f>YEAR(GC[[#This Row],[Date]])+IF(MONTH(GC[[#This Row],[Date]])&gt;=4,1,0)</f>
        <v>2025</v>
      </c>
      <c r="D107" s="129">
        <f>YEAR(GC[[#This Row],[Date]])</f>
        <v>2024</v>
      </c>
      <c r="E107" s="126" t="s">
        <v>218</v>
      </c>
      <c r="F107" s="126" t="s">
        <v>218</v>
      </c>
      <c r="G107" s="130" t="str">
        <f>TEXT(GC[[#This Row],[Date]],"mmm-yy")</f>
        <v>Jul-24</v>
      </c>
      <c r="H107" s="130">
        <f>DAY(EOMONTH(GC[[#This Row],[Month Year]],0))</f>
        <v>31</v>
      </c>
      <c r="I107" s="133">
        <v>1</v>
      </c>
      <c r="J107" s="133" t="s">
        <v>427</v>
      </c>
      <c r="K107" s="133">
        <v>0</v>
      </c>
      <c r="L107" s="133">
        <v>0</v>
      </c>
      <c r="M107" s="133">
        <v>107</v>
      </c>
      <c r="N107" s="133">
        <v>0</v>
      </c>
      <c r="O107" s="133">
        <v>0</v>
      </c>
      <c r="P107" s="133"/>
      <c r="Q107" s="133"/>
      <c r="R107" s="133"/>
      <c r="S107" s="126"/>
      <c r="T107" s="126"/>
      <c r="U107" s="126"/>
      <c r="V107" s="126"/>
      <c r="W107" s="126"/>
      <c r="X107" s="126"/>
      <c r="Y107" s="4">
        <f>SUM(GC[[#This Row],[ICR1]:[ICR14]])</f>
        <v>107</v>
      </c>
      <c r="Z107" s="133" t="s">
        <v>427</v>
      </c>
      <c r="AA107" s="133" t="s">
        <v>430</v>
      </c>
    </row>
    <row r="108" spans="1:27">
      <c r="A108" s="133">
        <v>106</v>
      </c>
      <c r="B108" s="127">
        <f t="shared" si="1"/>
        <v>45488</v>
      </c>
      <c r="C108" s="128">
        <f>YEAR(GC[[#This Row],[Date]])+IF(MONTH(GC[[#This Row],[Date]])&gt;=4,1,0)</f>
        <v>2025</v>
      </c>
      <c r="D108" s="129">
        <f>YEAR(GC[[#This Row],[Date]])</f>
        <v>2024</v>
      </c>
      <c r="E108" s="126" t="s">
        <v>218</v>
      </c>
      <c r="F108" s="126" t="s">
        <v>218</v>
      </c>
      <c r="G108" s="130" t="str">
        <f>TEXT(GC[[#This Row],[Date]],"mmm-yy")</f>
        <v>Jul-24</v>
      </c>
      <c r="H108" s="130">
        <f>DAY(EOMONTH(GC[[#This Row],[Month Year]],0))</f>
        <v>31</v>
      </c>
      <c r="I108" s="133">
        <v>1</v>
      </c>
      <c r="J108" s="133" t="s">
        <v>427</v>
      </c>
      <c r="K108" s="133">
        <v>0</v>
      </c>
      <c r="L108" s="133">
        <v>85</v>
      </c>
      <c r="M108" s="133">
        <v>0</v>
      </c>
      <c r="N108" s="133">
        <v>0</v>
      </c>
      <c r="O108" s="133">
        <v>0</v>
      </c>
      <c r="P108" s="133"/>
      <c r="Q108" s="133"/>
      <c r="R108" s="133"/>
      <c r="S108" s="126"/>
      <c r="T108" s="126"/>
      <c r="U108" s="126"/>
      <c r="V108" s="126"/>
      <c r="W108" s="126"/>
      <c r="X108" s="126"/>
      <c r="Y108" s="4">
        <f>SUM(GC[[#This Row],[ICR1]:[ICR14]])</f>
        <v>85</v>
      </c>
      <c r="Z108" s="133" t="s">
        <v>427</v>
      </c>
      <c r="AA108" s="133" t="s">
        <v>431</v>
      </c>
    </row>
    <row r="109" spans="1:27">
      <c r="A109" s="133">
        <v>107</v>
      </c>
      <c r="B109" s="127">
        <f t="shared" si="1"/>
        <v>45489</v>
      </c>
      <c r="C109" s="128">
        <f>YEAR(GC[[#This Row],[Date]])+IF(MONTH(GC[[#This Row],[Date]])&gt;=4,1,0)</f>
        <v>2025</v>
      </c>
      <c r="D109" s="129">
        <f>YEAR(GC[[#This Row],[Date]])</f>
        <v>2024</v>
      </c>
      <c r="E109" s="126" t="s">
        <v>218</v>
      </c>
      <c r="F109" s="126" t="s">
        <v>218</v>
      </c>
      <c r="G109" s="130" t="str">
        <f>TEXT(GC[[#This Row],[Date]],"mmm-yy")</f>
        <v>Jul-24</v>
      </c>
      <c r="H109" s="130">
        <f>DAY(EOMONTH(GC[[#This Row],[Month Year]],0))</f>
        <v>31</v>
      </c>
      <c r="I109" s="133">
        <v>1</v>
      </c>
      <c r="J109" s="133" t="s">
        <v>427</v>
      </c>
      <c r="K109" s="133">
        <v>0</v>
      </c>
      <c r="L109" s="133">
        <v>32</v>
      </c>
      <c r="M109" s="133">
        <v>0</v>
      </c>
      <c r="N109" s="133">
        <v>72</v>
      </c>
      <c r="O109" s="133">
        <v>12</v>
      </c>
      <c r="P109" s="133"/>
      <c r="Q109" s="133"/>
      <c r="R109" s="133"/>
      <c r="S109" s="126"/>
      <c r="T109" s="126"/>
      <c r="U109" s="126"/>
      <c r="V109" s="126"/>
      <c r="W109" s="126"/>
      <c r="X109" s="126"/>
      <c r="Y109" s="4">
        <f>SUM(GC[[#This Row],[ICR1]:[ICR14]])</f>
        <v>116</v>
      </c>
      <c r="Z109" s="133" t="s">
        <v>427</v>
      </c>
      <c r="AA109" s="133" t="s">
        <v>432</v>
      </c>
    </row>
    <row r="110" spans="1:27">
      <c r="A110" s="133">
        <v>108</v>
      </c>
      <c r="B110" s="127">
        <f t="shared" si="1"/>
        <v>45490</v>
      </c>
      <c r="C110" s="128">
        <f>YEAR(GC[[#This Row],[Date]])+IF(MONTH(GC[[#This Row],[Date]])&gt;=4,1,0)</f>
        <v>2025</v>
      </c>
      <c r="D110" s="129">
        <f>YEAR(GC[[#This Row],[Date]])</f>
        <v>2024</v>
      </c>
      <c r="E110" s="126" t="s">
        <v>218</v>
      </c>
      <c r="F110" s="126" t="s">
        <v>218</v>
      </c>
      <c r="G110" s="130" t="str">
        <f>TEXT(GC[[#This Row],[Date]],"mmm-yy")</f>
        <v>Jul-24</v>
      </c>
      <c r="H110" s="130">
        <f>DAY(EOMONTH(GC[[#This Row],[Month Year]],0))</f>
        <v>31</v>
      </c>
      <c r="I110" s="133">
        <v>1</v>
      </c>
      <c r="J110" s="133" t="s">
        <v>427</v>
      </c>
      <c r="K110" s="133">
        <v>0</v>
      </c>
      <c r="L110" s="133">
        <v>17</v>
      </c>
      <c r="M110" s="133">
        <v>0</v>
      </c>
      <c r="N110" s="133">
        <v>53</v>
      </c>
      <c r="O110" s="133">
        <v>24</v>
      </c>
      <c r="P110" s="133"/>
      <c r="Q110" s="133"/>
      <c r="R110" s="133"/>
      <c r="S110" s="126"/>
      <c r="T110" s="126"/>
      <c r="U110" s="126"/>
      <c r="V110" s="126"/>
      <c r="W110" s="126"/>
      <c r="X110" s="126"/>
      <c r="Y110" s="4">
        <f>SUM(GC[[#This Row],[ICR1]:[ICR14]])</f>
        <v>94</v>
      </c>
      <c r="Z110" s="133" t="s">
        <v>427</v>
      </c>
      <c r="AA110" s="133" t="s">
        <v>433</v>
      </c>
    </row>
    <row r="111" spans="1:27">
      <c r="A111" s="133">
        <v>109</v>
      </c>
      <c r="B111" s="127">
        <f t="shared" si="1"/>
        <v>45491</v>
      </c>
      <c r="C111" s="128">
        <f>YEAR(GC[[#This Row],[Date]])+IF(MONTH(GC[[#This Row],[Date]])&gt;=4,1,0)</f>
        <v>2025</v>
      </c>
      <c r="D111" s="129">
        <f>YEAR(GC[[#This Row],[Date]])</f>
        <v>2024</v>
      </c>
      <c r="E111" s="126" t="s">
        <v>218</v>
      </c>
      <c r="F111" s="126" t="s">
        <v>218</v>
      </c>
      <c r="G111" s="130" t="str">
        <f>TEXT(GC[[#This Row],[Date]],"mmm-yy")</f>
        <v>Jul-24</v>
      </c>
      <c r="H111" s="130">
        <f>DAY(EOMONTH(GC[[#This Row],[Month Year]],0))</f>
        <v>31</v>
      </c>
      <c r="I111" s="133">
        <v>1</v>
      </c>
      <c r="J111" s="133" t="s">
        <v>427</v>
      </c>
      <c r="K111" s="133">
        <v>0</v>
      </c>
      <c r="L111" s="133">
        <v>0</v>
      </c>
      <c r="M111" s="133">
        <v>0</v>
      </c>
      <c r="N111" s="133">
        <v>0</v>
      </c>
      <c r="O111" s="133">
        <v>58</v>
      </c>
      <c r="P111" s="133"/>
      <c r="Q111" s="133"/>
      <c r="R111" s="133"/>
      <c r="S111" s="126"/>
      <c r="T111" s="126"/>
      <c r="U111" s="126"/>
      <c r="V111" s="126"/>
      <c r="W111" s="126"/>
      <c r="X111" s="126"/>
      <c r="Y111" s="4">
        <f>SUM(GC[[#This Row],[ICR1]:[ICR14]])</f>
        <v>58</v>
      </c>
      <c r="Z111" s="133" t="s">
        <v>427</v>
      </c>
      <c r="AA111" s="133" t="s">
        <v>434</v>
      </c>
    </row>
    <row r="112" spans="1:27">
      <c r="A112" s="133">
        <v>110</v>
      </c>
      <c r="B112" s="127">
        <f t="shared" si="1"/>
        <v>45492</v>
      </c>
      <c r="C112" s="128">
        <f>YEAR(GC[[#This Row],[Date]])+IF(MONTH(GC[[#This Row],[Date]])&gt;=4,1,0)</f>
        <v>2025</v>
      </c>
      <c r="D112" s="129">
        <f>YEAR(GC[[#This Row],[Date]])</f>
        <v>2024</v>
      </c>
      <c r="E112" s="126" t="s">
        <v>218</v>
      </c>
      <c r="F112" s="126" t="s">
        <v>218</v>
      </c>
      <c r="G112" s="130" t="str">
        <f>TEXT(GC[[#This Row],[Date]],"mmm-yy")</f>
        <v>Jul-24</v>
      </c>
      <c r="H112" s="130">
        <f>DAY(EOMONTH(GC[[#This Row],[Month Year]],0))</f>
        <v>31</v>
      </c>
      <c r="I112" s="133">
        <v>1</v>
      </c>
      <c r="J112" s="133" t="s">
        <v>427</v>
      </c>
      <c r="K112" s="133">
        <v>0</v>
      </c>
      <c r="L112" s="133">
        <v>0</v>
      </c>
      <c r="M112" s="133">
        <v>0</v>
      </c>
      <c r="N112" s="133">
        <v>0</v>
      </c>
      <c r="O112" s="133">
        <v>0</v>
      </c>
      <c r="P112" s="133"/>
      <c r="Q112" s="133"/>
      <c r="R112" s="133"/>
      <c r="S112" s="126"/>
      <c r="T112" s="126"/>
      <c r="U112" s="126"/>
      <c r="V112" s="126"/>
      <c r="W112" s="126"/>
      <c r="X112" s="126"/>
      <c r="Y112" s="4">
        <f>SUM(GC[[#This Row],[ICR1]:[ICR14]])</f>
        <v>0</v>
      </c>
      <c r="Z112" s="133"/>
      <c r="AA112" s="133" t="s">
        <v>435</v>
      </c>
    </row>
    <row r="113" spans="1:27">
      <c r="A113" s="133">
        <v>111</v>
      </c>
      <c r="B113" s="127">
        <f t="shared" si="1"/>
        <v>45493</v>
      </c>
      <c r="C113" s="128">
        <f>YEAR(GC[[#This Row],[Date]])+IF(MONTH(GC[[#This Row],[Date]])&gt;=4,1,0)</f>
        <v>2025</v>
      </c>
      <c r="D113" s="129">
        <f>YEAR(GC[[#This Row],[Date]])</f>
        <v>2024</v>
      </c>
      <c r="E113" s="126" t="s">
        <v>218</v>
      </c>
      <c r="F113" s="126" t="s">
        <v>218</v>
      </c>
      <c r="G113" s="130" t="str">
        <f>TEXT(GC[[#This Row],[Date]],"mmm-yy")</f>
        <v>Jul-24</v>
      </c>
      <c r="H113" s="130">
        <f>DAY(EOMONTH(GC[[#This Row],[Month Year]],0))</f>
        <v>31</v>
      </c>
      <c r="I113" s="133">
        <v>1</v>
      </c>
      <c r="J113" s="133" t="s">
        <v>427</v>
      </c>
      <c r="K113" s="133">
        <v>0</v>
      </c>
      <c r="L113" s="133">
        <v>31</v>
      </c>
      <c r="M113" s="133">
        <v>0</v>
      </c>
      <c r="N113" s="133">
        <v>18</v>
      </c>
      <c r="O113" s="133">
        <v>0</v>
      </c>
      <c r="P113" s="133"/>
      <c r="Q113" s="133"/>
      <c r="R113" s="133"/>
      <c r="S113" s="126"/>
      <c r="T113" s="126"/>
      <c r="U113" s="126"/>
      <c r="V113" s="126"/>
      <c r="W113" s="126"/>
      <c r="X113" s="126"/>
      <c r="Y113" s="4">
        <f>SUM(GC[[#This Row],[ICR1]:[ICR14]])</f>
        <v>49</v>
      </c>
      <c r="Z113" s="133" t="s">
        <v>427</v>
      </c>
      <c r="AA113" s="133" t="s">
        <v>436</v>
      </c>
    </row>
    <row r="114" spans="1:27">
      <c r="A114" s="133">
        <v>112</v>
      </c>
      <c r="B114" s="127">
        <f t="shared" si="1"/>
        <v>45494</v>
      </c>
      <c r="C114" s="128">
        <f>YEAR(GC[[#This Row],[Date]])+IF(MONTH(GC[[#This Row],[Date]])&gt;=4,1,0)</f>
        <v>2025</v>
      </c>
      <c r="D114" s="129">
        <f>YEAR(GC[[#This Row],[Date]])</f>
        <v>2024</v>
      </c>
      <c r="E114" s="126" t="s">
        <v>218</v>
      </c>
      <c r="F114" s="126" t="s">
        <v>218</v>
      </c>
      <c r="G114" s="130" t="str">
        <f>TEXT(GC[[#This Row],[Date]],"mmm-yy")</f>
        <v>Jul-24</v>
      </c>
      <c r="H114" s="130">
        <f>DAY(EOMONTH(GC[[#This Row],[Month Year]],0))</f>
        <v>31</v>
      </c>
      <c r="I114" s="133">
        <v>1</v>
      </c>
      <c r="J114" s="133" t="s">
        <v>427</v>
      </c>
      <c r="K114" s="133">
        <v>0</v>
      </c>
      <c r="L114" s="133">
        <v>0</v>
      </c>
      <c r="M114" s="133">
        <v>43</v>
      </c>
      <c r="N114" s="133">
        <v>0</v>
      </c>
      <c r="O114" s="133">
        <v>0</v>
      </c>
      <c r="P114" s="133">
        <v>0</v>
      </c>
      <c r="Q114" s="133"/>
      <c r="R114" s="133"/>
      <c r="S114" s="126"/>
      <c r="T114" s="126"/>
      <c r="U114" s="126"/>
      <c r="V114" s="126"/>
      <c r="W114" s="126"/>
      <c r="X114" s="126"/>
      <c r="Y114" s="4">
        <f>SUM(GC[[#This Row],[ICR1]:[ICR14]])</f>
        <v>43</v>
      </c>
      <c r="Z114" s="133" t="s">
        <v>427</v>
      </c>
      <c r="AA114" s="133" t="s">
        <v>437</v>
      </c>
    </row>
    <row r="115" spans="1:27">
      <c r="A115" s="133">
        <v>113</v>
      </c>
      <c r="B115" s="127">
        <f t="shared" si="1"/>
        <v>45495</v>
      </c>
      <c r="C115" s="128">
        <f>YEAR(GC[[#This Row],[Date]])+IF(MONTH(GC[[#This Row],[Date]])&gt;=4,1,0)</f>
        <v>2025</v>
      </c>
      <c r="D115" s="129">
        <f>YEAR(GC[[#This Row],[Date]])</f>
        <v>2024</v>
      </c>
      <c r="E115" s="126" t="s">
        <v>218</v>
      </c>
      <c r="F115" s="126" t="s">
        <v>218</v>
      </c>
      <c r="G115" s="130" t="str">
        <f>TEXT(GC[[#This Row],[Date]],"mmm-yy")</f>
        <v>Jul-24</v>
      </c>
      <c r="H115" s="130">
        <f>DAY(EOMONTH(GC[[#This Row],[Month Year]],0))</f>
        <v>31</v>
      </c>
      <c r="I115" s="133">
        <v>1</v>
      </c>
      <c r="J115" s="133" t="s">
        <v>427</v>
      </c>
      <c r="K115" s="133">
        <v>0</v>
      </c>
      <c r="L115" s="133">
        <v>0</v>
      </c>
      <c r="M115" s="133">
        <v>0</v>
      </c>
      <c r="N115" s="133">
        <v>0</v>
      </c>
      <c r="O115" s="133">
        <v>31</v>
      </c>
      <c r="P115" s="133">
        <v>27</v>
      </c>
      <c r="Q115" s="133"/>
      <c r="R115" s="133"/>
      <c r="S115" s="126"/>
      <c r="T115" s="126"/>
      <c r="U115" s="126"/>
      <c r="V115" s="126"/>
      <c r="W115" s="126"/>
      <c r="X115" s="126"/>
      <c r="Y115" s="4">
        <f>SUM(GC[[#This Row],[ICR1]:[ICR14]])</f>
        <v>58</v>
      </c>
      <c r="Z115" s="133" t="s">
        <v>427</v>
      </c>
      <c r="AA115" s="133" t="s">
        <v>438</v>
      </c>
    </row>
    <row r="116" spans="1:27">
      <c r="A116" s="133">
        <v>114</v>
      </c>
      <c r="B116" s="127">
        <f t="shared" si="1"/>
        <v>45496</v>
      </c>
      <c r="C116" s="128">
        <f>YEAR(GC[[#This Row],[Date]])+IF(MONTH(GC[[#This Row],[Date]])&gt;=4,1,0)</f>
        <v>2025</v>
      </c>
      <c r="D116" s="129">
        <f>YEAR(GC[[#This Row],[Date]])</f>
        <v>2024</v>
      </c>
      <c r="E116" s="126" t="s">
        <v>218</v>
      </c>
      <c r="F116" s="126" t="s">
        <v>218</v>
      </c>
      <c r="G116" s="130" t="str">
        <f>TEXT(GC[[#This Row],[Date]],"mmm-yy")</f>
        <v>Jul-24</v>
      </c>
      <c r="H116" s="130">
        <f>DAY(EOMONTH(GC[[#This Row],[Month Year]],0))</f>
        <v>31</v>
      </c>
      <c r="I116" s="133">
        <v>1</v>
      </c>
      <c r="J116" s="133" t="s">
        <v>427</v>
      </c>
      <c r="K116" s="133">
        <v>0</v>
      </c>
      <c r="L116" s="133">
        <v>0</v>
      </c>
      <c r="M116" s="133">
        <v>0</v>
      </c>
      <c r="N116" s="133">
        <v>10</v>
      </c>
      <c r="O116" s="133">
        <v>10</v>
      </c>
      <c r="P116" s="133">
        <v>0</v>
      </c>
      <c r="Q116" s="133"/>
      <c r="R116" s="133"/>
      <c r="S116" s="126"/>
      <c r="T116" s="126"/>
      <c r="U116" s="126"/>
      <c r="V116" s="126"/>
      <c r="W116" s="126"/>
      <c r="X116" s="126"/>
      <c r="Y116" s="4">
        <f>SUM(GC[[#This Row],[ICR1]:[ICR14]])</f>
        <v>20</v>
      </c>
      <c r="Z116" s="133" t="s">
        <v>427</v>
      </c>
      <c r="AA116" s="133" t="s">
        <v>439</v>
      </c>
    </row>
    <row r="117" spans="1:27">
      <c r="A117" s="133">
        <v>115</v>
      </c>
      <c r="B117" s="127">
        <f t="shared" si="1"/>
        <v>45497</v>
      </c>
      <c r="C117" s="128">
        <f>YEAR(GC[[#This Row],[Date]])+IF(MONTH(GC[[#This Row],[Date]])&gt;=4,1,0)</f>
        <v>2025</v>
      </c>
      <c r="D117" s="129">
        <f>YEAR(GC[[#This Row],[Date]])</f>
        <v>2024</v>
      </c>
      <c r="E117" s="126" t="s">
        <v>218</v>
      </c>
      <c r="F117" s="126" t="s">
        <v>218</v>
      </c>
      <c r="G117" s="130" t="str">
        <f>TEXT(GC[[#This Row],[Date]],"mmm-yy")</f>
        <v>Jul-24</v>
      </c>
      <c r="H117" s="130">
        <f>DAY(EOMONTH(GC[[#This Row],[Month Year]],0))</f>
        <v>31</v>
      </c>
      <c r="I117" s="133">
        <v>1</v>
      </c>
      <c r="J117" s="133" t="s">
        <v>427</v>
      </c>
      <c r="K117" s="133">
        <v>0</v>
      </c>
      <c r="L117" s="133">
        <v>0</v>
      </c>
      <c r="M117" s="133">
        <v>0</v>
      </c>
      <c r="N117" s="133">
        <v>26</v>
      </c>
      <c r="O117" s="133">
        <v>18</v>
      </c>
      <c r="P117" s="133">
        <v>0</v>
      </c>
      <c r="Q117" s="133"/>
      <c r="R117" s="133"/>
      <c r="S117" s="126"/>
      <c r="T117" s="126"/>
      <c r="U117" s="126"/>
      <c r="V117" s="126"/>
      <c r="W117" s="126"/>
      <c r="X117" s="126"/>
      <c r="Y117" s="4">
        <f>SUM(GC[[#This Row],[ICR1]:[ICR14]])</f>
        <v>44</v>
      </c>
      <c r="Z117" s="133" t="s">
        <v>427</v>
      </c>
      <c r="AA117" s="133" t="s">
        <v>440</v>
      </c>
    </row>
    <row r="118" spans="1:27">
      <c r="A118" s="133">
        <v>116</v>
      </c>
      <c r="B118" s="127">
        <f t="shared" si="1"/>
        <v>45498</v>
      </c>
      <c r="C118" s="128">
        <f>YEAR(GC[[#This Row],[Date]])+IF(MONTH(GC[[#This Row],[Date]])&gt;=4,1,0)</f>
        <v>2025</v>
      </c>
      <c r="D118" s="129">
        <f>YEAR(GC[[#This Row],[Date]])</f>
        <v>2024</v>
      </c>
      <c r="E118" s="126" t="s">
        <v>218</v>
      </c>
      <c r="F118" s="126" t="s">
        <v>218</v>
      </c>
      <c r="G118" s="130" t="str">
        <f>TEXT(GC[[#This Row],[Date]],"mmm-yy")</f>
        <v>Jul-24</v>
      </c>
      <c r="H118" s="130">
        <f>DAY(EOMONTH(GC[[#This Row],[Month Year]],0))</f>
        <v>31</v>
      </c>
      <c r="I118" s="133">
        <v>1</v>
      </c>
      <c r="J118" s="133" t="s">
        <v>427</v>
      </c>
      <c r="K118" s="133">
        <v>0</v>
      </c>
      <c r="L118" s="133">
        <v>0</v>
      </c>
      <c r="M118" s="133">
        <v>0</v>
      </c>
      <c r="N118" s="133">
        <v>5</v>
      </c>
      <c r="O118" s="133">
        <v>65</v>
      </c>
      <c r="P118" s="133">
        <v>0</v>
      </c>
      <c r="Q118" s="133"/>
      <c r="R118" s="133"/>
      <c r="S118" s="126"/>
      <c r="T118" s="126"/>
      <c r="U118" s="126"/>
      <c r="V118" s="126"/>
      <c r="W118" s="126"/>
      <c r="X118" s="126"/>
      <c r="Y118" s="4">
        <f>SUM(GC[[#This Row],[ICR1]:[ICR14]])</f>
        <v>70</v>
      </c>
      <c r="Z118" s="133" t="s">
        <v>427</v>
      </c>
      <c r="AA118" s="133" t="s">
        <v>441</v>
      </c>
    </row>
    <row r="119" spans="1:27">
      <c r="A119" s="133">
        <v>117</v>
      </c>
      <c r="B119" s="127">
        <f t="shared" si="1"/>
        <v>45499</v>
      </c>
      <c r="C119" s="128">
        <f>YEAR(GC[[#This Row],[Date]])+IF(MONTH(GC[[#This Row],[Date]])&gt;=4,1,0)</f>
        <v>2025</v>
      </c>
      <c r="D119" s="129">
        <f>YEAR(GC[[#This Row],[Date]])</f>
        <v>2024</v>
      </c>
      <c r="E119" s="126" t="s">
        <v>218</v>
      </c>
      <c r="F119" s="126" t="s">
        <v>218</v>
      </c>
      <c r="G119" s="130" t="str">
        <f>TEXT(GC[[#This Row],[Date]],"mmm-yy")</f>
        <v>Jul-24</v>
      </c>
      <c r="H119" s="130">
        <f>DAY(EOMONTH(GC[[#This Row],[Month Year]],0))</f>
        <v>31</v>
      </c>
      <c r="I119" s="133">
        <v>1</v>
      </c>
      <c r="J119" s="133" t="s">
        <v>427</v>
      </c>
      <c r="K119" s="133">
        <v>0</v>
      </c>
      <c r="L119" s="133">
        <v>0</v>
      </c>
      <c r="M119" s="133">
        <v>3</v>
      </c>
      <c r="N119" s="133">
        <v>0</v>
      </c>
      <c r="O119" s="133">
        <v>0</v>
      </c>
      <c r="P119" s="133">
        <v>0</v>
      </c>
      <c r="Q119" s="133"/>
      <c r="R119" s="133"/>
      <c r="S119" s="126"/>
      <c r="T119" s="126"/>
      <c r="U119" s="126"/>
      <c r="V119" s="126"/>
      <c r="W119" s="126"/>
      <c r="X119" s="126"/>
      <c r="Y119" s="4">
        <f>SUM(GC[[#This Row],[ICR1]:[ICR14]])</f>
        <v>3</v>
      </c>
      <c r="Z119" s="133" t="s">
        <v>427</v>
      </c>
      <c r="AA119" s="133" t="s">
        <v>442</v>
      </c>
    </row>
    <row r="120" spans="1:27">
      <c r="A120" s="133">
        <v>118</v>
      </c>
      <c r="B120" s="127">
        <f t="shared" si="1"/>
        <v>45500</v>
      </c>
      <c r="C120" s="128">
        <f>YEAR(GC[[#This Row],[Date]])+IF(MONTH(GC[[#This Row],[Date]])&gt;=4,1,0)</f>
        <v>2025</v>
      </c>
      <c r="D120" s="129">
        <f>YEAR(GC[[#This Row],[Date]])</f>
        <v>2024</v>
      </c>
      <c r="E120" s="126" t="s">
        <v>218</v>
      </c>
      <c r="F120" s="126" t="s">
        <v>218</v>
      </c>
      <c r="G120" s="130" t="str">
        <f>TEXT(GC[[#This Row],[Date]],"mmm-yy")</f>
        <v>Jul-24</v>
      </c>
      <c r="H120" s="130">
        <f>DAY(EOMONTH(GC[[#This Row],[Month Year]],0))</f>
        <v>31</v>
      </c>
      <c r="I120" s="133">
        <v>1</v>
      </c>
      <c r="J120" s="133" t="s">
        <v>427</v>
      </c>
      <c r="K120" s="133">
        <v>42</v>
      </c>
      <c r="L120" s="133">
        <v>0</v>
      </c>
      <c r="M120" s="133">
        <v>0</v>
      </c>
      <c r="N120" s="133">
        <v>0</v>
      </c>
      <c r="O120" s="133">
        <v>0</v>
      </c>
      <c r="P120" s="133">
        <v>0</v>
      </c>
      <c r="Q120" s="133"/>
      <c r="R120" s="133"/>
      <c r="S120" s="126"/>
      <c r="T120" s="126"/>
      <c r="U120" s="126"/>
      <c r="V120" s="126"/>
      <c r="W120" s="126"/>
      <c r="X120" s="126"/>
      <c r="Y120" s="4">
        <f>SUM(GC[[#This Row],[ICR1]:[ICR14]])</f>
        <v>42</v>
      </c>
      <c r="Z120" s="133" t="s">
        <v>427</v>
      </c>
      <c r="AA120" s="133" t="s">
        <v>443</v>
      </c>
    </row>
    <row r="121" spans="1:27">
      <c r="A121" s="133">
        <v>119</v>
      </c>
      <c r="B121" s="127">
        <f t="shared" si="1"/>
        <v>45501</v>
      </c>
      <c r="C121" s="128">
        <f>YEAR(GC[[#This Row],[Date]])+IF(MONTH(GC[[#This Row],[Date]])&gt;=4,1,0)</f>
        <v>2025</v>
      </c>
      <c r="D121" s="129">
        <f>YEAR(GC[[#This Row],[Date]])</f>
        <v>2024</v>
      </c>
      <c r="E121" s="126" t="s">
        <v>218</v>
      </c>
      <c r="F121" s="126" t="s">
        <v>218</v>
      </c>
      <c r="G121" s="130" t="str">
        <f>TEXT(GC[[#This Row],[Date]],"mmm-yy")</f>
        <v>Jul-24</v>
      </c>
      <c r="H121" s="130">
        <f>DAY(EOMONTH(GC[[#This Row],[Month Year]],0))</f>
        <v>31</v>
      </c>
      <c r="I121" s="133">
        <v>1</v>
      </c>
      <c r="J121" s="133" t="s">
        <v>427</v>
      </c>
      <c r="K121" s="133">
        <v>69</v>
      </c>
      <c r="L121" s="133">
        <v>0</v>
      </c>
      <c r="M121" s="133">
        <v>0</v>
      </c>
      <c r="N121" s="133">
        <v>6</v>
      </c>
      <c r="O121" s="133">
        <v>0</v>
      </c>
      <c r="P121" s="133">
        <v>0</v>
      </c>
      <c r="Q121" s="133"/>
      <c r="R121" s="133"/>
      <c r="S121" s="126"/>
      <c r="T121" s="126"/>
      <c r="U121" s="126"/>
      <c r="V121" s="126"/>
      <c r="W121" s="126"/>
      <c r="X121" s="126"/>
      <c r="Y121" s="4">
        <f>SUM(GC[[#This Row],[ICR1]:[ICR14]])</f>
        <v>75</v>
      </c>
      <c r="Z121" s="133" t="s">
        <v>427</v>
      </c>
      <c r="AA121" s="133" t="s">
        <v>444</v>
      </c>
    </row>
    <row r="122" spans="1:27">
      <c r="A122" s="133">
        <v>120</v>
      </c>
      <c r="B122" s="127">
        <f t="shared" si="1"/>
        <v>45502</v>
      </c>
      <c r="C122" s="128">
        <f>YEAR(GC[[#This Row],[Date]])+IF(MONTH(GC[[#This Row],[Date]])&gt;=4,1,0)</f>
        <v>2025</v>
      </c>
      <c r="D122" s="129">
        <f>YEAR(GC[[#This Row],[Date]])</f>
        <v>2024</v>
      </c>
      <c r="E122" s="126" t="s">
        <v>218</v>
      </c>
      <c r="F122" s="126" t="s">
        <v>218</v>
      </c>
      <c r="G122" s="130" t="str">
        <f>TEXT(GC[[#This Row],[Date]],"mmm-yy")</f>
        <v>Jul-24</v>
      </c>
      <c r="H122" s="130">
        <f>DAY(EOMONTH(GC[[#This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26"/>
      <c r="T122" s="126"/>
      <c r="U122" s="126"/>
      <c r="V122" s="126"/>
      <c r="W122" s="126"/>
      <c r="X122" s="126"/>
      <c r="Y122" s="4">
        <f>SUM(GC[[#This Row],[ICR1]:[ICR14]])</f>
        <v>0</v>
      </c>
      <c r="Z122" s="133"/>
      <c r="AA122" s="133"/>
    </row>
    <row r="123" spans="1:27">
      <c r="A123" s="133">
        <v>120</v>
      </c>
      <c r="B123" s="127">
        <f t="shared" si="1"/>
        <v>45503</v>
      </c>
      <c r="C123" s="128">
        <f>YEAR(GC[[#This Row],[Date]])+IF(MONTH(GC[[#This Row],[Date]])&gt;=4,1,0)</f>
        <v>2025</v>
      </c>
      <c r="D123" s="129">
        <f>YEAR(GC[[#This Row],[Date]])</f>
        <v>2024</v>
      </c>
      <c r="E123" s="126" t="s">
        <v>218</v>
      </c>
      <c r="F123" s="126" t="s">
        <v>218</v>
      </c>
      <c r="G123" s="130" t="str">
        <f>TEXT(GC[[#This Row],[Date]],"mmm-yy")</f>
        <v>Jul-24</v>
      </c>
      <c r="H123" s="130">
        <f>DAY(EOMONTH(GC[[#This Row],[Month Year]],0))</f>
        <v>31</v>
      </c>
      <c r="I123" s="133">
        <v>1</v>
      </c>
      <c r="J123" s="133" t="s">
        <v>427</v>
      </c>
      <c r="K123" s="133">
        <v>0</v>
      </c>
      <c r="L123" s="133">
        <v>36</v>
      </c>
      <c r="M123" s="133">
        <v>0</v>
      </c>
      <c r="N123" s="133">
        <v>58</v>
      </c>
      <c r="O123" s="133">
        <v>0</v>
      </c>
      <c r="P123" s="133">
        <v>0</v>
      </c>
      <c r="Q123" s="133"/>
      <c r="R123" s="133"/>
      <c r="S123" s="126"/>
      <c r="T123" s="126"/>
      <c r="U123" s="126"/>
      <c r="V123" s="126"/>
      <c r="W123" s="126"/>
      <c r="X123" s="126"/>
      <c r="Y123" s="4">
        <f>SUM(GC[[#This Row],[ICR1]:[ICR14]])</f>
        <v>94</v>
      </c>
      <c r="Z123" s="133" t="s">
        <v>427</v>
      </c>
      <c r="AA123" s="133" t="s">
        <v>445</v>
      </c>
    </row>
    <row r="124" spans="1:27">
      <c r="A124" s="133">
        <v>122</v>
      </c>
      <c r="B124" s="127">
        <f t="shared" si="1"/>
        <v>45504</v>
      </c>
      <c r="C124" s="128">
        <f>YEAR(GC[[#This Row],[Date]])+IF(MONTH(GC[[#This Row],[Date]])&gt;=4,1,0)</f>
        <v>2025</v>
      </c>
      <c r="D124" s="129">
        <f>YEAR(GC[[#This Row],[Date]])</f>
        <v>2024</v>
      </c>
      <c r="E124" s="126" t="s">
        <v>218</v>
      </c>
      <c r="F124" s="126" t="s">
        <v>218</v>
      </c>
      <c r="G124" s="130" t="str">
        <f>TEXT(GC[[#This Row],[Date]],"mmm-yy")</f>
        <v>Jul-24</v>
      </c>
      <c r="H124" s="130">
        <f>DAY(EOMONTH(GC[[#This Row],[Month Year]],0))</f>
        <v>31</v>
      </c>
      <c r="I124" s="133">
        <v>1</v>
      </c>
      <c r="J124" s="133" t="s">
        <v>427</v>
      </c>
      <c r="K124" s="133">
        <v>0</v>
      </c>
      <c r="L124" s="133">
        <v>0</v>
      </c>
      <c r="M124" s="133">
        <v>0</v>
      </c>
      <c r="N124" s="133">
        <v>0</v>
      </c>
      <c r="O124" s="133">
        <v>0</v>
      </c>
      <c r="P124" s="133">
        <v>115</v>
      </c>
      <c r="Q124" s="133"/>
      <c r="R124" s="133"/>
      <c r="S124" s="126"/>
      <c r="T124" s="126"/>
      <c r="U124" s="126"/>
      <c r="V124" s="126"/>
      <c r="W124" s="126"/>
      <c r="X124" s="126"/>
      <c r="Y124" s="4">
        <f>SUM(GC[[#This Row],[ICR1]:[ICR14]])</f>
        <v>115</v>
      </c>
      <c r="Z124" s="133" t="s">
        <v>427</v>
      </c>
      <c r="AA124" s="133" t="s">
        <v>446</v>
      </c>
    </row>
    <row r="125" spans="1:27">
      <c r="A125" s="133">
        <v>123</v>
      </c>
      <c r="B125" s="127">
        <f t="shared" si="1"/>
        <v>45505</v>
      </c>
      <c r="C125" s="128">
        <f>YEAR(GC[[#This Row],[Date]])+IF(MONTH(GC[[#This Row],[Date]])&gt;=4,1,0)</f>
        <v>2025</v>
      </c>
      <c r="D125" s="129">
        <f>YEAR(GC[[#This Row],[Date]])</f>
        <v>2024</v>
      </c>
      <c r="E125" s="126" t="s">
        <v>218</v>
      </c>
      <c r="F125" s="126" t="s">
        <v>218</v>
      </c>
      <c r="G125" s="130" t="str">
        <f>TEXT(GC[[#This Row],[Date]],"mmm-yy")</f>
        <v>Aug-24</v>
      </c>
      <c r="H125" s="130">
        <f>DAY(EOMONTH(GC[[#This Row],[Month Year]],0))</f>
        <v>31</v>
      </c>
      <c r="I125" s="133">
        <v>1</v>
      </c>
      <c r="J125" s="133" t="s">
        <v>427</v>
      </c>
      <c r="K125" s="133">
        <v>0</v>
      </c>
      <c r="L125" s="133">
        <v>0</v>
      </c>
      <c r="M125" s="133">
        <v>0</v>
      </c>
      <c r="N125" s="133">
        <v>0</v>
      </c>
      <c r="O125" s="133">
        <v>0</v>
      </c>
      <c r="P125" s="133">
        <v>77</v>
      </c>
      <c r="Q125" s="133"/>
      <c r="R125" s="133"/>
      <c r="S125" s="126"/>
      <c r="T125" s="126"/>
      <c r="U125" s="126"/>
      <c r="V125" s="126"/>
      <c r="W125" s="126"/>
      <c r="X125" s="126"/>
      <c r="Y125" s="4">
        <f>SUM(GC[[#This Row],[ICR1]:[ICR14]])</f>
        <v>77</v>
      </c>
      <c r="Z125" s="133" t="s">
        <v>427</v>
      </c>
      <c r="AA125" s="133" t="s">
        <v>447</v>
      </c>
    </row>
    <row r="126" spans="1:27">
      <c r="A126" s="133">
        <v>124</v>
      </c>
      <c r="B126" s="127">
        <f t="shared" si="1"/>
        <v>45506</v>
      </c>
      <c r="C126" s="128">
        <f>YEAR(GC[[#This Row],[Date]])+IF(MONTH(GC[[#This Row],[Date]])&gt;=4,1,0)</f>
        <v>2025</v>
      </c>
      <c r="D126" s="129">
        <f>YEAR(GC[[#This Row],[Date]])</f>
        <v>2024</v>
      </c>
      <c r="E126" s="126" t="s">
        <v>218</v>
      </c>
      <c r="F126" s="126" t="s">
        <v>218</v>
      </c>
      <c r="G126" s="130" t="str">
        <f>TEXT(GC[[#This Row],[Date]],"mmm-yy")</f>
        <v>Aug-24</v>
      </c>
      <c r="H126" s="130">
        <f>DAY(EOMONTH(GC[[#This Row],[Month Year]],0))</f>
        <v>31</v>
      </c>
      <c r="I126" s="133">
        <v>1</v>
      </c>
      <c r="J126" s="133" t="s">
        <v>427</v>
      </c>
      <c r="K126" s="133">
        <v>0</v>
      </c>
      <c r="L126" s="133">
        <v>0</v>
      </c>
      <c r="M126" s="133">
        <v>0</v>
      </c>
      <c r="N126" s="133">
        <v>0</v>
      </c>
      <c r="O126" s="133">
        <v>0</v>
      </c>
      <c r="P126" s="133">
        <v>0</v>
      </c>
      <c r="Q126" s="133">
        <v>113</v>
      </c>
      <c r="R126" s="133">
        <v>0</v>
      </c>
      <c r="S126" s="126"/>
      <c r="T126" s="126"/>
      <c r="U126" s="126"/>
      <c r="V126" s="126"/>
      <c r="W126" s="126"/>
      <c r="X126" s="126"/>
      <c r="Y126" s="4">
        <f>SUM(GC[[#This Row],[ICR1]:[ICR14]])</f>
        <v>113</v>
      </c>
      <c r="Z126" s="133" t="s">
        <v>427</v>
      </c>
      <c r="AA126" s="133" t="s">
        <v>448</v>
      </c>
    </row>
    <row r="127" spans="1:27">
      <c r="A127" s="133">
        <v>125</v>
      </c>
      <c r="B127" s="127">
        <f t="shared" si="1"/>
        <v>45507</v>
      </c>
      <c r="C127" s="128">
        <f>YEAR(GC[[#This Row],[Date]])+IF(MONTH(GC[[#This Row],[Date]])&gt;=4,1,0)</f>
        <v>2025</v>
      </c>
      <c r="D127" s="129">
        <f>YEAR(GC[[#This Row],[Date]])</f>
        <v>2024</v>
      </c>
      <c r="E127" s="126" t="s">
        <v>218</v>
      </c>
      <c r="F127" s="126" t="s">
        <v>218</v>
      </c>
      <c r="G127" s="130" t="str">
        <f>TEXT(GC[[#This Row],[Date]],"mmm-yy")</f>
        <v>Aug-24</v>
      </c>
      <c r="H127" s="130">
        <f>DAY(EOMONTH(GC[[#This Row],[Month Year]],0))</f>
        <v>31</v>
      </c>
      <c r="I127" s="133">
        <v>1</v>
      </c>
      <c r="J127" s="133" t="s">
        <v>427</v>
      </c>
      <c r="K127" s="133">
        <v>0</v>
      </c>
      <c r="L127" s="133">
        <v>0</v>
      </c>
      <c r="M127" s="133">
        <v>19</v>
      </c>
      <c r="N127" s="133">
        <v>0</v>
      </c>
      <c r="O127" s="133">
        <v>0</v>
      </c>
      <c r="P127" s="133">
        <v>0</v>
      </c>
      <c r="Q127" s="133">
        <v>22</v>
      </c>
      <c r="R127" s="133">
        <v>0</v>
      </c>
      <c r="S127" s="126"/>
      <c r="T127" s="126"/>
      <c r="U127" s="126"/>
      <c r="V127" s="126"/>
      <c r="W127" s="126"/>
      <c r="X127" s="126"/>
      <c r="Y127" s="4">
        <f>SUM(GC[[#This Row],[ICR1]:[ICR14]])</f>
        <v>41</v>
      </c>
      <c r="Z127" s="133" t="s">
        <v>427</v>
      </c>
      <c r="AA127" s="133" t="s">
        <v>449</v>
      </c>
    </row>
    <row r="128" spans="1:27">
      <c r="A128" s="133">
        <v>126</v>
      </c>
      <c r="B128" s="127">
        <f t="shared" si="1"/>
        <v>45508</v>
      </c>
      <c r="C128" s="128">
        <f>YEAR(GC[[#This Row],[Date]])+IF(MONTH(GC[[#This Row],[Date]])&gt;=4,1,0)</f>
        <v>2025</v>
      </c>
      <c r="D128" s="129">
        <f>YEAR(GC[[#This Row],[Date]])</f>
        <v>2024</v>
      </c>
      <c r="E128" s="126" t="s">
        <v>218</v>
      </c>
      <c r="F128" s="126" t="s">
        <v>218</v>
      </c>
      <c r="G128" s="130" t="str">
        <f>TEXT(GC[[#This Row],[Date]],"mmm-yy")</f>
        <v>Aug-24</v>
      </c>
      <c r="H128" s="130">
        <f>DAY(EOMONTH(GC[[#This Row],[Month Year]],0))</f>
        <v>31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26"/>
      <c r="T128" s="126"/>
      <c r="U128" s="126"/>
      <c r="V128" s="126"/>
      <c r="W128" s="126"/>
      <c r="X128" s="126"/>
      <c r="Y128" s="4">
        <f>SUM(GC[[#This Row],[ICR1]:[ICR14]])</f>
        <v>0</v>
      </c>
      <c r="Z128" s="133"/>
      <c r="AA128" s="133"/>
    </row>
    <row r="129" spans="1:27">
      <c r="A129" s="133">
        <v>127</v>
      </c>
      <c r="B129" s="127">
        <f t="shared" si="1"/>
        <v>45509</v>
      </c>
      <c r="C129" s="128">
        <f>YEAR(GC[[#This Row],[Date]])+IF(MONTH(GC[[#This Row],[Date]])&gt;=4,1,0)</f>
        <v>2025</v>
      </c>
      <c r="D129" s="129">
        <f>YEAR(GC[[#This Row],[Date]])</f>
        <v>2024</v>
      </c>
      <c r="E129" s="126" t="s">
        <v>218</v>
      </c>
      <c r="F129" s="126" t="s">
        <v>218</v>
      </c>
      <c r="G129" s="130" t="str">
        <f>TEXT(GC[[#This Row],[Date]],"mmm-yy")</f>
        <v>Aug-24</v>
      </c>
      <c r="H129" s="130">
        <f>DAY(EOMONTH(GC[[#This Row],[Month Year]],0))</f>
        <v>31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26"/>
      <c r="T129" s="126"/>
      <c r="U129" s="126"/>
      <c r="V129" s="126"/>
      <c r="W129" s="126"/>
      <c r="X129" s="126"/>
      <c r="Y129" s="4">
        <f>SUM(GC[[#This Row],[ICR1]:[ICR14]])</f>
        <v>0</v>
      </c>
      <c r="Z129" s="133"/>
      <c r="AA129" s="133"/>
    </row>
    <row r="130" spans="1:27">
      <c r="A130" s="133">
        <v>127</v>
      </c>
      <c r="B130" s="127">
        <f t="shared" si="1"/>
        <v>45510</v>
      </c>
      <c r="C130" s="128">
        <f>YEAR(GC[[#This Row],[Date]])+IF(MONTH(GC[[#This Row],[Date]])&gt;=4,1,0)</f>
        <v>2025</v>
      </c>
      <c r="D130" s="129">
        <f>YEAR(GC[[#This Row],[Date]])</f>
        <v>2024</v>
      </c>
      <c r="E130" s="126" t="s">
        <v>218</v>
      </c>
      <c r="F130" s="126" t="s">
        <v>218</v>
      </c>
      <c r="G130" s="130" t="str">
        <f>TEXT(GC[[#This Row],[Date]],"mmm-yy")</f>
        <v>Aug-24</v>
      </c>
      <c r="H130" s="130">
        <f>DAY(EOMONTH(GC[[#This Row],[Month Year]],0))</f>
        <v>31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26"/>
      <c r="T130" s="126"/>
      <c r="U130" s="126"/>
      <c r="V130" s="126"/>
      <c r="W130" s="126"/>
      <c r="X130" s="126"/>
      <c r="Y130" s="4">
        <f>SUM(GC[[#This Row],[ICR1]:[ICR14]])</f>
        <v>0</v>
      </c>
      <c r="Z130" s="133"/>
      <c r="AA130" s="133"/>
    </row>
    <row r="131" spans="1:27">
      <c r="A131" s="133">
        <v>127</v>
      </c>
      <c r="B131" s="127">
        <f t="shared" si="1"/>
        <v>45511</v>
      </c>
      <c r="C131" s="128">
        <f>YEAR(GC[[#This Row],[Date]])+IF(MONTH(GC[[#This Row],[Date]])&gt;=4,1,0)</f>
        <v>2025</v>
      </c>
      <c r="D131" s="129">
        <f>YEAR(GC[[#This Row],[Date]])</f>
        <v>2024</v>
      </c>
      <c r="E131" s="126" t="s">
        <v>218</v>
      </c>
      <c r="F131" s="126" t="s">
        <v>218</v>
      </c>
      <c r="G131" s="130" t="str">
        <f>TEXT(GC[[#This Row],[Date]],"mmm-yy")</f>
        <v>Aug-24</v>
      </c>
      <c r="H131" s="130">
        <f>DAY(EOMONTH(GC[[#This Row],[Month Year]],0))</f>
        <v>31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26"/>
      <c r="T131" s="126"/>
      <c r="U131" s="126"/>
      <c r="V131" s="126"/>
      <c r="W131" s="126"/>
      <c r="X131" s="126"/>
      <c r="Y131" s="4">
        <f>SUM(GC[[#This Row],[ICR1]:[ICR14]])</f>
        <v>0</v>
      </c>
      <c r="Z131" s="133"/>
      <c r="AA131" s="133"/>
    </row>
    <row r="132" spans="1:27">
      <c r="A132" s="133">
        <v>127</v>
      </c>
      <c r="B132" s="127">
        <f t="shared" si="1"/>
        <v>45512</v>
      </c>
      <c r="C132" s="128">
        <f>YEAR(GC[[#This Row],[Date]])+IF(MONTH(GC[[#This Row],[Date]])&gt;=4,1,0)</f>
        <v>2025</v>
      </c>
      <c r="D132" s="129">
        <f>YEAR(GC[[#This Row],[Date]])</f>
        <v>2024</v>
      </c>
      <c r="E132" s="126" t="s">
        <v>218</v>
      </c>
      <c r="F132" s="126" t="s">
        <v>218</v>
      </c>
      <c r="G132" s="130" t="str">
        <f>TEXT(GC[[#This Row],[Date]],"mmm-yy")</f>
        <v>Aug-24</v>
      </c>
      <c r="H132" s="130">
        <f>DAY(EOMONTH(GC[[#This Row],[Month Year]],0))</f>
        <v>31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26"/>
      <c r="T132" s="126"/>
      <c r="U132" s="126"/>
      <c r="V132" s="126"/>
      <c r="W132" s="126"/>
      <c r="X132" s="126"/>
      <c r="Y132" s="4">
        <f>SUM(GC[[#This Row],[ICR1]:[ICR14]])</f>
        <v>0</v>
      </c>
      <c r="Z132" s="133"/>
      <c r="AA132" s="133"/>
    </row>
    <row r="133" spans="1:27">
      <c r="A133" s="133">
        <v>127</v>
      </c>
      <c r="B133" s="127">
        <f t="shared" ref="B133:B196" si="2">B132+1</f>
        <v>45513</v>
      </c>
      <c r="C133" s="128">
        <f>YEAR(GC[[#This Row],[Date]])+IF(MONTH(GC[[#This Row],[Date]])&gt;=4,1,0)</f>
        <v>2025</v>
      </c>
      <c r="D133" s="129">
        <f>YEAR(GC[[#This Row],[Date]])</f>
        <v>2024</v>
      </c>
      <c r="E133" s="126" t="s">
        <v>218</v>
      </c>
      <c r="F133" s="126" t="s">
        <v>218</v>
      </c>
      <c r="G133" s="130" t="str">
        <f>TEXT(GC[[#This Row],[Date]],"mmm-yy")</f>
        <v>Aug-24</v>
      </c>
      <c r="H133" s="130">
        <f>DAY(EOMONTH(GC[[#This Row],[Month Year]],0))</f>
        <v>31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26"/>
      <c r="T133" s="126"/>
      <c r="U133" s="126"/>
      <c r="V133" s="126"/>
      <c r="W133" s="126"/>
      <c r="X133" s="126"/>
      <c r="Y133" s="4">
        <f>SUM(GC[[#This Row],[ICR1]:[ICR14]])</f>
        <v>0</v>
      </c>
      <c r="Z133" s="133"/>
      <c r="AA133" s="133"/>
    </row>
    <row r="134" spans="1:27">
      <c r="A134" s="133">
        <v>127</v>
      </c>
      <c r="B134" s="127">
        <f t="shared" si="2"/>
        <v>45514</v>
      </c>
      <c r="C134" s="128">
        <f>YEAR(GC[[#This Row],[Date]])+IF(MONTH(GC[[#This Row],[Date]])&gt;=4,1,0)</f>
        <v>2025</v>
      </c>
      <c r="D134" s="129">
        <f>YEAR(GC[[#This Row],[Date]])</f>
        <v>2024</v>
      </c>
      <c r="E134" s="126" t="s">
        <v>218</v>
      </c>
      <c r="F134" s="126" t="s">
        <v>218</v>
      </c>
      <c r="G134" s="130" t="str">
        <f>TEXT(GC[[#This Row],[Date]],"mmm-yy")</f>
        <v>Aug-24</v>
      </c>
      <c r="H134" s="130">
        <f>DAY(EOMONTH(GC[[#This Row],[Month Year]],0))</f>
        <v>31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26"/>
      <c r="T134" s="126"/>
      <c r="U134" s="126"/>
      <c r="V134" s="126"/>
      <c r="W134" s="126"/>
      <c r="X134" s="126"/>
      <c r="Y134" s="4">
        <f>SUM(GC[[#This Row],[ICR1]:[ICR14]])</f>
        <v>0</v>
      </c>
      <c r="Z134" s="133"/>
      <c r="AA134" s="133"/>
    </row>
    <row r="135" spans="1:27">
      <c r="A135" s="133">
        <v>127</v>
      </c>
      <c r="B135" s="127">
        <f t="shared" si="2"/>
        <v>45515</v>
      </c>
      <c r="C135" s="128">
        <f>YEAR(GC[[#This Row],[Date]])+IF(MONTH(GC[[#This Row],[Date]])&gt;=4,1,0)</f>
        <v>2025</v>
      </c>
      <c r="D135" s="129">
        <f>YEAR(GC[[#This Row],[Date]])</f>
        <v>2024</v>
      </c>
      <c r="E135" s="126" t="s">
        <v>218</v>
      </c>
      <c r="F135" s="126" t="s">
        <v>218</v>
      </c>
      <c r="G135" s="130" t="str">
        <f>TEXT(GC[[#This Row],[Date]],"mmm-yy")</f>
        <v>Aug-24</v>
      </c>
      <c r="H135" s="130">
        <f>DAY(EOMONTH(GC[[#This Row],[Month Year]],0))</f>
        <v>31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26"/>
      <c r="T135" s="126"/>
      <c r="U135" s="126"/>
      <c r="V135" s="126"/>
      <c r="W135" s="126"/>
      <c r="X135" s="126"/>
      <c r="Y135" s="4">
        <f>SUM(GC[[#This Row],[ICR1]:[ICR14]])</f>
        <v>0</v>
      </c>
      <c r="Z135" s="133"/>
      <c r="AA135" s="133"/>
    </row>
    <row r="136" spans="1:27">
      <c r="A136" s="133">
        <v>127</v>
      </c>
      <c r="B136" s="127">
        <f t="shared" si="2"/>
        <v>45516</v>
      </c>
      <c r="C136" s="128">
        <f>YEAR(GC[[#This Row],[Date]])+IF(MONTH(GC[[#This Row],[Date]])&gt;=4,1,0)</f>
        <v>2025</v>
      </c>
      <c r="D136" s="129">
        <f>YEAR(GC[[#This Row],[Date]])</f>
        <v>2024</v>
      </c>
      <c r="E136" s="126" t="s">
        <v>218</v>
      </c>
      <c r="F136" s="126" t="s">
        <v>218</v>
      </c>
      <c r="G136" s="130" t="str">
        <f>TEXT(GC[[#This Row],[Date]],"mmm-yy")</f>
        <v>Aug-24</v>
      </c>
      <c r="H136" s="130">
        <f>DAY(EOMONTH(GC[[#This Row],[Month Year]],0))</f>
        <v>31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26"/>
      <c r="T136" s="126"/>
      <c r="U136" s="126"/>
      <c r="V136" s="126"/>
      <c r="W136" s="126"/>
      <c r="X136" s="126"/>
      <c r="Y136" s="4">
        <f>SUM(GC[[#This Row],[ICR1]:[ICR14]])</f>
        <v>0</v>
      </c>
      <c r="Z136" s="133"/>
      <c r="AA136" s="133"/>
    </row>
    <row r="137" spans="1:27">
      <c r="A137" s="133">
        <v>127</v>
      </c>
      <c r="B137" s="127">
        <f t="shared" si="2"/>
        <v>45517</v>
      </c>
      <c r="C137" s="128">
        <f>YEAR(GC[[#This Row],[Date]])+IF(MONTH(GC[[#This Row],[Date]])&gt;=4,1,0)</f>
        <v>2025</v>
      </c>
      <c r="D137" s="129">
        <f>YEAR(GC[[#This Row],[Date]])</f>
        <v>2024</v>
      </c>
      <c r="E137" s="126" t="s">
        <v>218</v>
      </c>
      <c r="F137" s="126" t="s">
        <v>218</v>
      </c>
      <c r="G137" s="130" t="str">
        <f>TEXT(GC[[#This Row],[Date]],"mmm-yy")</f>
        <v>Aug-24</v>
      </c>
      <c r="H137" s="130">
        <f>DAY(EOMONTH(GC[[#This Row],[Month Year]],0))</f>
        <v>31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26"/>
      <c r="T137" s="126"/>
      <c r="U137" s="126"/>
      <c r="V137" s="126"/>
      <c r="W137" s="126"/>
      <c r="X137" s="126"/>
      <c r="Y137" s="4">
        <f>SUM(GC[[#This Row],[ICR1]:[ICR14]])</f>
        <v>0</v>
      </c>
      <c r="Z137" s="133"/>
      <c r="AA137" s="133"/>
    </row>
    <row r="138" spans="1:27">
      <c r="A138" s="133">
        <v>127</v>
      </c>
      <c r="B138" s="127">
        <f t="shared" si="2"/>
        <v>45518</v>
      </c>
      <c r="C138" s="128">
        <f>YEAR(GC[[#This Row],[Date]])+IF(MONTH(GC[[#This Row],[Date]])&gt;=4,1,0)</f>
        <v>2025</v>
      </c>
      <c r="D138" s="129">
        <f>YEAR(GC[[#This Row],[Date]])</f>
        <v>2024</v>
      </c>
      <c r="E138" s="126" t="s">
        <v>218</v>
      </c>
      <c r="F138" s="126" t="s">
        <v>218</v>
      </c>
      <c r="G138" s="130" t="str">
        <f>TEXT(GC[[#This Row],[Date]],"mmm-yy")</f>
        <v>Aug-24</v>
      </c>
      <c r="H138" s="130">
        <f>DAY(EOMONTH(GC[[#This Row],[Month Year]],0))</f>
        <v>31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26"/>
      <c r="T138" s="126"/>
      <c r="U138" s="126"/>
      <c r="V138" s="126"/>
      <c r="W138" s="126"/>
      <c r="X138" s="126"/>
      <c r="Y138" s="4">
        <f>SUM(GC[[#This Row],[ICR1]:[ICR14]])</f>
        <v>0</v>
      </c>
      <c r="Z138" s="133"/>
      <c r="AA138" s="133"/>
    </row>
    <row r="139" spans="1:27">
      <c r="A139" s="133">
        <v>127</v>
      </c>
      <c r="B139" s="127">
        <f t="shared" si="2"/>
        <v>45519</v>
      </c>
      <c r="C139" s="128">
        <f>YEAR(GC[[#This Row],[Date]])+IF(MONTH(GC[[#This Row],[Date]])&gt;=4,1,0)</f>
        <v>2025</v>
      </c>
      <c r="D139" s="129">
        <f>YEAR(GC[[#This Row],[Date]])</f>
        <v>2024</v>
      </c>
      <c r="E139" s="126" t="s">
        <v>218</v>
      </c>
      <c r="F139" s="126" t="s">
        <v>218</v>
      </c>
      <c r="G139" s="130" t="str">
        <f>TEXT(GC[[#This Row],[Date]],"mmm-yy")</f>
        <v>Aug-24</v>
      </c>
      <c r="H139" s="130">
        <f>DAY(EOMONTH(GC[[#This Row],[Month Year]],0))</f>
        <v>31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26"/>
      <c r="T139" s="126"/>
      <c r="U139" s="126"/>
      <c r="V139" s="126"/>
      <c r="W139" s="126"/>
      <c r="X139" s="126"/>
      <c r="Y139" s="4">
        <f>SUM(GC[[#This Row],[ICR1]:[ICR14]])</f>
        <v>0</v>
      </c>
      <c r="Z139" s="133"/>
      <c r="AA139" s="133"/>
    </row>
    <row r="140" spans="1:27">
      <c r="A140" s="133">
        <v>127</v>
      </c>
      <c r="B140" s="127">
        <f t="shared" si="2"/>
        <v>45520</v>
      </c>
      <c r="C140" s="128">
        <f>YEAR(GC[[#This Row],[Date]])+IF(MONTH(GC[[#This Row],[Date]])&gt;=4,1,0)</f>
        <v>2025</v>
      </c>
      <c r="D140" s="129">
        <f>YEAR(GC[[#This Row],[Date]])</f>
        <v>2024</v>
      </c>
      <c r="E140" s="126" t="s">
        <v>218</v>
      </c>
      <c r="F140" s="126" t="s">
        <v>218</v>
      </c>
      <c r="G140" s="130" t="str">
        <f>TEXT(GC[[#This Row],[Date]],"mmm-yy")</f>
        <v>Aug-24</v>
      </c>
      <c r="H140" s="130">
        <f>DAY(EOMONTH(GC[[#This Row],[Month Year]],0))</f>
        <v>31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26"/>
      <c r="T140" s="126"/>
      <c r="U140" s="126"/>
      <c r="V140" s="126"/>
      <c r="W140" s="126"/>
      <c r="X140" s="126"/>
      <c r="Y140" s="4">
        <f>SUM(GC[[#This Row],[ICR1]:[ICR14]])</f>
        <v>0</v>
      </c>
      <c r="Z140" s="133"/>
      <c r="AA140" s="133"/>
    </row>
    <row r="141" spans="1:27">
      <c r="A141" s="133">
        <v>139</v>
      </c>
      <c r="B141" s="127">
        <f t="shared" si="2"/>
        <v>45521</v>
      </c>
      <c r="C141" s="128">
        <f>YEAR(GC[[#This Row],[Date]])+IF(MONTH(GC[[#This Row],[Date]])&gt;=4,1,0)</f>
        <v>2025</v>
      </c>
      <c r="D141" s="129">
        <f>YEAR(GC[[#This Row],[Date]])</f>
        <v>2024</v>
      </c>
      <c r="E141" s="126" t="s">
        <v>218</v>
      </c>
      <c r="F141" s="126" t="s">
        <v>218</v>
      </c>
      <c r="G141" s="130" t="str">
        <f>TEXT(GC[[#This Row],[Date]],"mmm-yy")</f>
        <v>Aug-24</v>
      </c>
      <c r="H141" s="130">
        <f>DAY(EOMONTH(GC[[#This Row],[Month Year]],0))</f>
        <v>31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6"/>
      <c r="T141" s="126"/>
      <c r="U141" s="126"/>
      <c r="V141" s="126"/>
      <c r="W141" s="126"/>
      <c r="X141" s="126"/>
      <c r="Y141" s="4">
        <f>SUM(GC[[#This Row],[ICR1]:[ICR14]])</f>
        <v>0</v>
      </c>
      <c r="Z141" s="133"/>
      <c r="AA141" s="133"/>
    </row>
    <row r="142" spans="1:27">
      <c r="A142" s="133">
        <v>140</v>
      </c>
      <c r="B142" s="127">
        <f t="shared" si="2"/>
        <v>45522</v>
      </c>
      <c r="C142" s="128">
        <f>YEAR(GC[[#This Row],[Date]])+IF(MONTH(GC[[#This Row],[Date]])&gt;=4,1,0)</f>
        <v>2025</v>
      </c>
      <c r="D142" s="129">
        <f>YEAR(GC[[#This Row],[Date]])</f>
        <v>2024</v>
      </c>
      <c r="E142" s="126" t="s">
        <v>218</v>
      </c>
      <c r="F142" s="126" t="s">
        <v>218</v>
      </c>
      <c r="G142" s="130" t="str">
        <f>TEXT(GC[[#This Row],[Date]],"mmm-yy")</f>
        <v>Aug-24</v>
      </c>
      <c r="H142" s="130">
        <f>DAY(EOMONTH(GC[[#This Row],[Month Year]],0))</f>
        <v>31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26"/>
      <c r="T142" s="126"/>
      <c r="U142" s="126"/>
      <c r="V142" s="126"/>
      <c r="W142" s="126"/>
      <c r="X142" s="126"/>
      <c r="Y142" s="4">
        <f>SUM(GC[[#This Row],[ICR1]:[ICR14]])</f>
        <v>0</v>
      </c>
      <c r="Z142" s="133"/>
      <c r="AA142" s="133"/>
    </row>
    <row r="143" spans="1:27">
      <c r="A143" s="133">
        <v>141</v>
      </c>
      <c r="B143" s="127">
        <f t="shared" si="2"/>
        <v>45523</v>
      </c>
      <c r="C143" s="128">
        <f>YEAR(GC[[#This Row],[Date]])+IF(MONTH(GC[[#This Row],[Date]])&gt;=4,1,0)</f>
        <v>2025</v>
      </c>
      <c r="D143" s="129">
        <f>YEAR(GC[[#This Row],[Date]])</f>
        <v>2024</v>
      </c>
      <c r="E143" s="126" t="s">
        <v>218</v>
      </c>
      <c r="F143" s="126" t="s">
        <v>218</v>
      </c>
      <c r="G143" s="130" t="str">
        <f>TEXT(GC[[#This Row],[Date]],"mmm-yy")</f>
        <v>Aug-24</v>
      </c>
      <c r="H143" s="130">
        <f>DAY(EOMONTH(GC[[#This Row],[Month Year]],0))</f>
        <v>31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26"/>
      <c r="T143" s="126"/>
      <c r="U143" s="126"/>
      <c r="V143" s="126"/>
      <c r="W143" s="126"/>
      <c r="X143" s="126"/>
      <c r="Y143" s="4">
        <f>SUM(GC[[#This Row],[ICR1]:[ICR14]])</f>
        <v>0</v>
      </c>
      <c r="Z143" s="133"/>
      <c r="AA143" s="133"/>
    </row>
    <row r="144" spans="1:27">
      <c r="A144" s="133">
        <v>142</v>
      </c>
      <c r="B144" s="127">
        <f t="shared" si="2"/>
        <v>45524</v>
      </c>
      <c r="C144" s="128">
        <f>YEAR(GC[[#This Row],[Date]])+IF(MONTH(GC[[#This Row],[Date]])&gt;=4,1,0)</f>
        <v>2025</v>
      </c>
      <c r="D144" s="129">
        <f>YEAR(GC[[#This Row],[Date]])</f>
        <v>2024</v>
      </c>
      <c r="E144" s="126" t="s">
        <v>218</v>
      </c>
      <c r="F144" s="126" t="s">
        <v>218</v>
      </c>
      <c r="G144" s="130" t="str">
        <f>TEXT(GC[[#This Row],[Date]],"mmm-yy")</f>
        <v>Aug-24</v>
      </c>
      <c r="H144" s="130">
        <f>DAY(EOMONTH(GC[[#This Row],[Month Year]],0))</f>
        <v>31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26"/>
      <c r="T144" s="126"/>
      <c r="U144" s="126"/>
      <c r="V144" s="126"/>
      <c r="W144" s="126"/>
      <c r="X144" s="126"/>
      <c r="Y144" s="4">
        <f>SUM(GC[[#This Row],[ICR1]:[ICR14]])</f>
        <v>0</v>
      </c>
      <c r="Z144" s="133"/>
      <c r="AA144" s="133"/>
    </row>
    <row r="145" spans="1:27">
      <c r="A145" s="133">
        <v>143</v>
      </c>
      <c r="B145" s="127">
        <f t="shared" si="2"/>
        <v>45525</v>
      </c>
      <c r="C145" s="128">
        <f>YEAR(GC[[#This Row],[Date]])+IF(MONTH(GC[[#This Row],[Date]])&gt;=4,1,0)</f>
        <v>2025</v>
      </c>
      <c r="D145" s="129">
        <f>YEAR(GC[[#This Row],[Date]])</f>
        <v>2024</v>
      </c>
      <c r="E145" s="126" t="s">
        <v>218</v>
      </c>
      <c r="F145" s="126" t="s">
        <v>218</v>
      </c>
      <c r="G145" s="130" t="str">
        <f>TEXT(GC[[#This Row],[Date]],"mmm-yy")</f>
        <v>Aug-24</v>
      </c>
      <c r="H145" s="130">
        <f>DAY(EOMONTH(GC[[#This Row],[Month Year]],0))</f>
        <v>31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26"/>
      <c r="T145" s="126"/>
      <c r="U145" s="126"/>
      <c r="V145" s="126"/>
      <c r="W145" s="126"/>
      <c r="X145" s="126"/>
      <c r="Y145" s="4">
        <f>SUM(GC[[#This Row],[ICR1]:[ICR14]])</f>
        <v>0</v>
      </c>
      <c r="Z145" s="133"/>
      <c r="AA145" s="133"/>
    </row>
    <row r="146" spans="1:27">
      <c r="A146" s="133">
        <v>144</v>
      </c>
      <c r="B146" s="127">
        <f t="shared" si="2"/>
        <v>45526</v>
      </c>
      <c r="C146" s="128">
        <f>YEAR(GC[[#This Row],[Date]])+IF(MONTH(GC[[#This Row],[Date]])&gt;=4,1,0)</f>
        <v>2025</v>
      </c>
      <c r="D146" s="129">
        <f>YEAR(GC[[#This Row],[Date]])</f>
        <v>2024</v>
      </c>
      <c r="E146" s="126" t="s">
        <v>218</v>
      </c>
      <c r="F146" s="126" t="s">
        <v>218</v>
      </c>
      <c r="G146" s="130" t="str">
        <f>TEXT(GC[[#This Row],[Date]],"mmm-yy")</f>
        <v>Aug-24</v>
      </c>
      <c r="H146" s="130">
        <f>DAY(EOMONTH(GC[[#This Row],[Month Year]],0))</f>
        <v>31</v>
      </c>
      <c r="I146" s="133"/>
      <c r="J146" s="136"/>
      <c r="K146" s="133"/>
      <c r="L146" s="133"/>
      <c r="M146" s="133"/>
      <c r="N146" s="133"/>
      <c r="O146" s="133"/>
      <c r="P146" s="133"/>
      <c r="Q146" s="133"/>
      <c r="R146" s="133"/>
      <c r="S146" s="126"/>
      <c r="T146" s="126"/>
      <c r="U146" s="126"/>
      <c r="V146" s="126"/>
      <c r="W146" s="126"/>
      <c r="X146" s="126"/>
      <c r="Y146" s="4">
        <f>SUM(GC[[#This Row],[ICR1]:[ICR14]])</f>
        <v>0</v>
      </c>
      <c r="Z146" s="137"/>
      <c r="AA146" s="135"/>
    </row>
    <row r="147" spans="1:27">
      <c r="A147" s="133">
        <v>145</v>
      </c>
      <c r="B147" s="127">
        <f t="shared" si="2"/>
        <v>45527</v>
      </c>
      <c r="C147" s="128">
        <f>YEAR(GC[[#This Row],[Date]])+IF(MONTH(GC[[#This Row],[Date]])&gt;=4,1,0)</f>
        <v>2025</v>
      </c>
      <c r="D147" s="129">
        <f>YEAR(GC[[#This Row],[Date]])</f>
        <v>2024</v>
      </c>
      <c r="E147" s="126" t="s">
        <v>218</v>
      </c>
      <c r="F147" s="126" t="s">
        <v>218</v>
      </c>
      <c r="G147" s="130" t="str">
        <f>TEXT(GC[[#This Row],[Date]],"mmm-yy")</f>
        <v>Aug-24</v>
      </c>
      <c r="H147" s="130">
        <f>DAY(EOMONTH(GC[[#This Row],[Month Year]],0))</f>
        <v>31</v>
      </c>
      <c r="I147" s="133"/>
      <c r="J147" s="136"/>
      <c r="K147" s="133"/>
      <c r="L147" s="133"/>
      <c r="M147" s="133"/>
      <c r="N147" s="133"/>
      <c r="O147" s="133"/>
      <c r="P147" s="133"/>
      <c r="Q147" s="133"/>
      <c r="R147" s="133"/>
      <c r="S147" s="126"/>
      <c r="T147" s="126"/>
      <c r="U147" s="126"/>
      <c r="V147" s="126"/>
      <c r="W147" s="126"/>
      <c r="X147" s="126"/>
      <c r="Y147" s="4">
        <f>SUM(GC[[#This Row],[ICR1]:[ICR14]])</f>
        <v>0</v>
      </c>
      <c r="Z147" s="137"/>
      <c r="AA147" s="135"/>
    </row>
    <row r="148" spans="1:27">
      <c r="A148" s="133">
        <v>146</v>
      </c>
      <c r="B148" s="127">
        <f t="shared" si="2"/>
        <v>45528</v>
      </c>
      <c r="C148" s="128">
        <f>YEAR(GC[[#This Row],[Date]])+IF(MONTH(GC[[#This Row],[Date]])&gt;=4,1,0)</f>
        <v>2025</v>
      </c>
      <c r="D148" s="129">
        <f>YEAR(GC[[#This Row],[Date]])</f>
        <v>2024</v>
      </c>
      <c r="E148" s="126" t="s">
        <v>218</v>
      </c>
      <c r="F148" s="126" t="s">
        <v>218</v>
      </c>
      <c r="G148" s="130" t="str">
        <f>TEXT(GC[[#This Row],[Date]],"mmm-yy")</f>
        <v>Aug-24</v>
      </c>
      <c r="H148" s="130">
        <f>DAY(EOMONTH(GC[[#This Row],[Month Year]],0))</f>
        <v>31</v>
      </c>
      <c r="I148" s="133"/>
      <c r="J148" s="137"/>
      <c r="K148" s="133"/>
      <c r="L148" s="133"/>
      <c r="M148" s="133"/>
      <c r="N148" s="133"/>
      <c r="O148" s="133"/>
      <c r="P148" s="133"/>
      <c r="Q148" s="133"/>
      <c r="R148" s="133"/>
      <c r="S148" s="126"/>
      <c r="T148" s="126"/>
      <c r="U148" s="126"/>
      <c r="V148" s="126"/>
      <c r="W148" s="126"/>
      <c r="X148" s="126"/>
      <c r="Y148" s="4">
        <f>SUM(GC[[#This Row],[ICR1]:[ICR14]])</f>
        <v>0</v>
      </c>
      <c r="Z148" s="137"/>
      <c r="AA148" s="135"/>
    </row>
    <row r="149" spans="1:27">
      <c r="A149" s="133">
        <v>147</v>
      </c>
      <c r="B149" s="127">
        <f t="shared" si="2"/>
        <v>45529</v>
      </c>
      <c r="C149" s="128">
        <f>YEAR(GC[[#This Row],[Date]])+IF(MONTH(GC[[#This Row],[Date]])&gt;=4,1,0)</f>
        <v>2025</v>
      </c>
      <c r="D149" s="129">
        <f>YEAR(GC[[#This Row],[Date]])</f>
        <v>2024</v>
      </c>
      <c r="E149" s="126" t="s">
        <v>218</v>
      </c>
      <c r="F149" s="126" t="s">
        <v>218</v>
      </c>
      <c r="G149" s="130" t="str">
        <f>TEXT(GC[[#This Row],[Date]],"mmm-yy")</f>
        <v>Aug-24</v>
      </c>
      <c r="H149" s="130">
        <f>DAY(EOMONTH(GC[[#This Row],[Month Year]],0))</f>
        <v>31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26"/>
      <c r="T149" s="126"/>
      <c r="U149" s="126"/>
      <c r="V149" s="126"/>
      <c r="W149" s="126"/>
      <c r="X149" s="126"/>
      <c r="Y149" s="4">
        <f>SUM(GC[[#This Row],[ICR1]:[ICR14]])</f>
        <v>0</v>
      </c>
      <c r="Z149" s="133"/>
      <c r="AA149" s="133"/>
    </row>
    <row r="150" spans="1:27">
      <c r="A150" s="133">
        <v>148</v>
      </c>
      <c r="B150" s="127">
        <f t="shared" si="2"/>
        <v>45530</v>
      </c>
      <c r="C150" s="128">
        <f>YEAR(GC[[#This Row],[Date]])+IF(MONTH(GC[[#This Row],[Date]])&gt;=4,1,0)</f>
        <v>2025</v>
      </c>
      <c r="D150" s="129">
        <f>YEAR(GC[[#This Row],[Date]])</f>
        <v>2024</v>
      </c>
      <c r="E150" s="126" t="s">
        <v>218</v>
      </c>
      <c r="F150" s="126" t="s">
        <v>218</v>
      </c>
      <c r="G150" s="130" t="str">
        <f>TEXT(GC[[#This Row],[Date]],"mmm-yy")</f>
        <v>Aug-24</v>
      </c>
      <c r="H150" s="130">
        <f>DAY(EOMONTH(GC[[#This Row],[Month Year]],0))</f>
        <v>31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26"/>
      <c r="T150" s="126"/>
      <c r="U150" s="126"/>
      <c r="V150" s="126"/>
      <c r="W150" s="126"/>
      <c r="X150" s="126"/>
      <c r="Y150" s="4">
        <f>SUM(GC[[#This Row],[ICR1]:[ICR14]])</f>
        <v>0</v>
      </c>
      <c r="Z150" s="133"/>
      <c r="AA150" s="135"/>
    </row>
    <row r="151" spans="1:27">
      <c r="A151" s="133">
        <v>149</v>
      </c>
      <c r="B151" s="127">
        <f t="shared" si="2"/>
        <v>45531</v>
      </c>
      <c r="C151" s="128">
        <f>YEAR(GC[[#This Row],[Date]])+IF(MONTH(GC[[#This Row],[Date]])&gt;=4,1,0)</f>
        <v>2025</v>
      </c>
      <c r="D151" s="129">
        <f>YEAR(GC[[#This Row],[Date]])</f>
        <v>2024</v>
      </c>
      <c r="E151" s="126" t="s">
        <v>218</v>
      </c>
      <c r="F151" s="126" t="s">
        <v>218</v>
      </c>
      <c r="G151" s="130" t="str">
        <f>TEXT(GC[[#This Row],[Date]],"mmm-yy")</f>
        <v>Aug-24</v>
      </c>
      <c r="H151" s="130">
        <f>DAY(EOMONTH(GC[[#This Row],[Month Year]],0))</f>
        <v>31</v>
      </c>
      <c r="I151" s="133">
        <v>1</v>
      </c>
      <c r="J151" s="133" t="s">
        <v>427</v>
      </c>
      <c r="K151" s="133">
        <v>0</v>
      </c>
      <c r="L151" s="133">
        <v>0</v>
      </c>
      <c r="M151" s="133">
        <v>0</v>
      </c>
      <c r="N151" s="133">
        <v>0</v>
      </c>
      <c r="O151" s="133">
        <v>0</v>
      </c>
      <c r="P151" s="133">
        <v>0</v>
      </c>
      <c r="Q151" s="133">
        <v>0</v>
      </c>
      <c r="R151" s="133">
        <v>12</v>
      </c>
      <c r="S151" s="126"/>
      <c r="T151" s="126"/>
      <c r="U151" s="126"/>
      <c r="V151" s="126"/>
      <c r="W151" s="126"/>
      <c r="X151" s="126"/>
      <c r="Y151" s="4">
        <f>SUM(GC[[#This Row],[ICR1]:[ICR14]])</f>
        <v>12</v>
      </c>
      <c r="Z151" s="133" t="s">
        <v>427</v>
      </c>
      <c r="AA151" s="352" t="s">
        <v>450</v>
      </c>
    </row>
    <row r="152" spans="1:27">
      <c r="A152" s="133">
        <v>150</v>
      </c>
      <c r="B152" s="127">
        <f t="shared" si="2"/>
        <v>45532</v>
      </c>
      <c r="C152" s="128">
        <f>YEAR(GC[[#This Row],[Date]])+IF(MONTH(GC[[#This Row],[Date]])&gt;=4,1,0)</f>
        <v>2025</v>
      </c>
      <c r="D152" s="129">
        <f>YEAR(GC[[#This Row],[Date]])</f>
        <v>2024</v>
      </c>
      <c r="E152" s="126" t="s">
        <v>218</v>
      </c>
      <c r="F152" s="126" t="s">
        <v>218</v>
      </c>
      <c r="G152" s="130" t="str">
        <f>TEXT(GC[[#This Row],[Date]],"mmm-yy")</f>
        <v>Aug-24</v>
      </c>
      <c r="H152" s="130">
        <f>DAY(EOMONTH(GC[[#This Row],[Month Year]],0))</f>
        <v>31</v>
      </c>
      <c r="I152" s="133">
        <v>1</v>
      </c>
      <c r="J152" s="133" t="s">
        <v>427</v>
      </c>
      <c r="K152" s="133">
        <v>0</v>
      </c>
      <c r="L152" s="133">
        <v>0</v>
      </c>
      <c r="M152" s="133">
        <v>0</v>
      </c>
      <c r="N152" s="133">
        <v>0</v>
      </c>
      <c r="O152" s="133">
        <v>0</v>
      </c>
      <c r="P152" s="133">
        <v>0</v>
      </c>
      <c r="Q152" s="133">
        <v>0</v>
      </c>
      <c r="R152" s="133">
        <v>29</v>
      </c>
      <c r="S152" s="126"/>
      <c r="T152" s="126"/>
      <c r="U152" s="126"/>
      <c r="V152" s="126"/>
      <c r="W152" s="126"/>
      <c r="X152" s="126"/>
      <c r="Y152" s="4">
        <f>SUM(GC[[#This Row],[ICR1]:[ICR14]])</f>
        <v>29</v>
      </c>
      <c r="Z152" s="133" t="s">
        <v>427</v>
      </c>
      <c r="AA152" s="352" t="s">
        <v>451</v>
      </c>
    </row>
    <row r="153" spans="1:27">
      <c r="A153" s="133">
        <v>151</v>
      </c>
      <c r="B153" s="127">
        <f t="shared" si="2"/>
        <v>45533</v>
      </c>
      <c r="C153" s="128">
        <f>YEAR(GC[[#This Row],[Date]])+IF(MONTH(GC[[#This Row],[Date]])&gt;=4,1,0)</f>
        <v>2025</v>
      </c>
      <c r="D153" s="129">
        <f>YEAR(GC[[#This Row],[Date]])</f>
        <v>2024</v>
      </c>
      <c r="E153" s="126" t="s">
        <v>218</v>
      </c>
      <c r="F153" s="126" t="s">
        <v>218</v>
      </c>
      <c r="G153" s="130" t="str">
        <f>TEXT(GC[[#This Row],[Date]],"mmm-yy")</f>
        <v>Aug-24</v>
      </c>
      <c r="H153" s="130">
        <f>DAY(EOMONTH(GC[[#This Row],[Month Year]],0))</f>
        <v>31</v>
      </c>
      <c r="I153" s="133">
        <v>1</v>
      </c>
      <c r="J153" s="133" t="s">
        <v>427</v>
      </c>
      <c r="K153" s="133">
        <v>0</v>
      </c>
      <c r="L153" s="133">
        <v>0</v>
      </c>
      <c r="M153" s="133">
        <v>0</v>
      </c>
      <c r="N153" s="133">
        <v>0</v>
      </c>
      <c r="O153" s="133">
        <v>0</v>
      </c>
      <c r="P153" s="133">
        <v>0</v>
      </c>
      <c r="Q153" s="133">
        <v>0</v>
      </c>
      <c r="R153" s="133">
        <v>25</v>
      </c>
      <c r="S153" s="126"/>
      <c r="T153" s="126"/>
      <c r="U153" s="126"/>
      <c r="V153" s="126"/>
      <c r="W153" s="126"/>
      <c r="X153" s="126"/>
      <c r="Y153" s="4">
        <f>SUM(GC[[#This Row],[ICR1]:[ICR14]])</f>
        <v>25</v>
      </c>
      <c r="Z153" s="133" t="s">
        <v>427</v>
      </c>
      <c r="AA153" s="352" t="s">
        <v>452</v>
      </c>
    </row>
    <row r="154" spans="1:27">
      <c r="A154" s="133">
        <v>152</v>
      </c>
      <c r="B154" s="127">
        <f t="shared" si="2"/>
        <v>45534</v>
      </c>
      <c r="C154" s="128">
        <f>YEAR(GC[[#This Row],[Date]])+IF(MONTH(GC[[#This Row],[Date]])&gt;=4,1,0)</f>
        <v>2025</v>
      </c>
      <c r="D154" s="129">
        <f>YEAR(GC[[#This Row],[Date]])</f>
        <v>2024</v>
      </c>
      <c r="E154" s="126" t="s">
        <v>218</v>
      </c>
      <c r="F154" s="126" t="s">
        <v>218</v>
      </c>
      <c r="G154" s="130" t="str">
        <f>TEXT(GC[[#This Row],[Date]],"mmm-yy")</f>
        <v>Aug-24</v>
      </c>
      <c r="H154" s="130">
        <f>DAY(EOMONTH(GC[[#This Row],[Month Year]],0))</f>
        <v>31</v>
      </c>
      <c r="I154" s="133">
        <v>1</v>
      </c>
      <c r="J154" s="133" t="s">
        <v>427</v>
      </c>
      <c r="K154" s="133">
        <v>0</v>
      </c>
      <c r="L154" s="133">
        <v>0</v>
      </c>
      <c r="M154" s="133">
        <v>0</v>
      </c>
      <c r="N154" s="133">
        <v>0</v>
      </c>
      <c r="O154" s="133">
        <v>0</v>
      </c>
      <c r="P154" s="133">
        <v>0</v>
      </c>
      <c r="Q154" s="133">
        <v>0</v>
      </c>
      <c r="R154" s="133">
        <v>23</v>
      </c>
      <c r="S154" s="126"/>
      <c r="T154" s="126"/>
      <c r="U154" s="126"/>
      <c r="V154" s="126"/>
      <c r="W154" s="126"/>
      <c r="X154" s="126"/>
      <c r="Y154" s="4">
        <f>SUM(GC[[#This Row],[ICR1]:[ICR14]])</f>
        <v>23</v>
      </c>
      <c r="Z154" s="133" t="s">
        <v>427</v>
      </c>
      <c r="AA154" s="352" t="s">
        <v>453</v>
      </c>
    </row>
    <row r="155" spans="1:27">
      <c r="A155" s="133">
        <v>153</v>
      </c>
      <c r="B155" s="127">
        <f t="shared" si="2"/>
        <v>45535</v>
      </c>
      <c r="C155" s="128">
        <f>YEAR(GC[[#This Row],[Date]])+IF(MONTH(GC[[#This Row],[Date]])&gt;=4,1,0)</f>
        <v>2025</v>
      </c>
      <c r="D155" s="129">
        <f>YEAR(GC[[#This Row],[Date]])</f>
        <v>2024</v>
      </c>
      <c r="E155" s="126" t="s">
        <v>218</v>
      </c>
      <c r="F155" s="126" t="s">
        <v>218</v>
      </c>
      <c r="G155" s="130" t="str">
        <f>TEXT(GC[[#This Row],[Date]],"mmm-yy")</f>
        <v>Aug-24</v>
      </c>
      <c r="H155" s="130">
        <f>DAY(EOMONTH(GC[[#This Row],[Month Year]],0))</f>
        <v>31</v>
      </c>
      <c r="I155" s="133">
        <v>1</v>
      </c>
      <c r="J155" s="133" t="s">
        <v>427</v>
      </c>
      <c r="K155" s="133">
        <v>0</v>
      </c>
      <c r="L155" s="133">
        <v>0</v>
      </c>
      <c r="M155" s="133">
        <v>0</v>
      </c>
      <c r="N155" s="133">
        <v>0</v>
      </c>
      <c r="O155" s="133">
        <v>0</v>
      </c>
      <c r="P155" s="133">
        <v>0</v>
      </c>
      <c r="Q155" s="133">
        <v>0</v>
      </c>
      <c r="R155" s="133">
        <v>28</v>
      </c>
      <c r="S155" s="126"/>
      <c r="T155" s="126"/>
      <c r="U155" s="126"/>
      <c r="V155" s="126"/>
      <c r="W155" s="126"/>
      <c r="X155" s="126"/>
      <c r="Y155" s="4">
        <f>SUM(GC[[#This Row],[ICR1]:[ICR14]])</f>
        <v>28</v>
      </c>
      <c r="Z155" s="133" t="s">
        <v>427</v>
      </c>
      <c r="AA155" s="352" t="s">
        <v>454</v>
      </c>
    </row>
    <row r="156" spans="1:27">
      <c r="A156" s="133">
        <v>154</v>
      </c>
      <c r="B156" s="127">
        <f t="shared" si="2"/>
        <v>45536</v>
      </c>
      <c r="C156" s="128">
        <f>YEAR(GC[[#This Row],[Date]])+IF(MONTH(GC[[#This Row],[Date]])&gt;=4,1,0)</f>
        <v>2025</v>
      </c>
      <c r="D156" s="129">
        <f>YEAR(GC[[#This Row],[Date]])</f>
        <v>2024</v>
      </c>
      <c r="E156" s="126" t="s">
        <v>218</v>
      </c>
      <c r="F156" s="126" t="s">
        <v>218</v>
      </c>
      <c r="G156" s="130" t="str">
        <f>TEXT(GC[[#This Row],[Date]],"mmm-yy")</f>
        <v>Sep-24</v>
      </c>
      <c r="H156" s="130">
        <f>DAY(EOMONTH(GC[[#This Row],[Month Year]],0))</f>
        <v>30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26"/>
      <c r="T156" s="126"/>
      <c r="U156" s="126"/>
      <c r="V156" s="126"/>
      <c r="W156" s="126"/>
      <c r="X156" s="126"/>
      <c r="Y156" s="4">
        <f>SUM(GC[[#This Row],[ICR1]:[ICR14]])</f>
        <v>0</v>
      </c>
      <c r="Z156" s="133"/>
      <c r="AA156" s="133"/>
    </row>
    <row r="157" spans="1:27">
      <c r="A157" s="133">
        <v>155</v>
      </c>
      <c r="B157" s="127">
        <f t="shared" si="2"/>
        <v>45537</v>
      </c>
      <c r="C157" s="128">
        <f>YEAR(GC[[#This Row],[Date]])+IF(MONTH(GC[[#This Row],[Date]])&gt;=4,1,0)</f>
        <v>2025</v>
      </c>
      <c r="D157" s="129">
        <f>YEAR(GC[[#This Row],[Date]])</f>
        <v>2024</v>
      </c>
      <c r="E157" s="126" t="s">
        <v>218</v>
      </c>
      <c r="F157" s="126" t="s">
        <v>218</v>
      </c>
      <c r="G157" s="130" t="str">
        <f>TEXT(GC[[#This Row],[Date]],"mmm-yy")</f>
        <v>Sep-24</v>
      </c>
      <c r="H157" s="130">
        <f>DAY(EOMONTH(GC[[#This Row],[Month Year]],0))</f>
        <v>30</v>
      </c>
      <c r="I157" s="133">
        <v>1</v>
      </c>
      <c r="J157" s="133" t="s">
        <v>427</v>
      </c>
      <c r="K157" s="133">
        <v>0</v>
      </c>
      <c r="L157" s="133">
        <v>0</v>
      </c>
      <c r="M157" s="133">
        <v>0</v>
      </c>
      <c r="N157" s="133">
        <v>0</v>
      </c>
      <c r="O157" s="133">
        <v>0</v>
      </c>
      <c r="P157" s="133">
        <v>0</v>
      </c>
      <c r="Q157" s="133">
        <v>0</v>
      </c>
      <c r="R157" s="133">
        <v>30</v>
      </c>
      <c r="S157" s="126"/>
      <c r="T157" s="126"/>
      <c r="U157" s="126"/>
      <c r="V157" s="126"/>
      <c r="W157" s="126"/>
      <c r="X157" s="126"/>
      <c r="Y157" s="4">
        <f>SUM(GC[[#This Row],[ICR1]:[ICR14]])</f>
        <v>30</v>
      </c>
      <c r="Z157" s="133" t="s">
        <v>427</v>
      </c>
      <c r="AA157" s="352" t="s">
        <v>455</v>
      </c>
    </row>
    <row r="158" spans="1:27">
      <c r="A158" s="133">
        <v>156</v>
      </c>
      <c r="B158" s="127">
        <f t="shared" si="2"/>
        <v>45538</v>
      </c>
      <c r="C158" s="128">
        <f>YEAR(GC[[#This Row],[Date]])+IF(MONTH(GC[[#This Row],[Date]])&gt;=4,1,0)</f>
        <v>2025</v>
      </c>
      <c r="D158" s="129">
        <f>YEAR(GC[[#This Row],[Date]])</f>
        <v>2024</v>
      </c>
      <c r="E158" s="126" t="s">
        <v>218</v>
      </c>
      <c r="F158" s="126" t="s">
        <v>218</v>
      </c>
      <c r="G158" s="130" t="str">
        <f>TEXT(GC[[#This Row],[Date]],"mmm-yy")</f>
        <v>Sep-24</v>
      </c>
      <c r="H158" s="130">
        <f>DAY(EOMONTH(GC[[#This Row],[Month Year]],0))</f>
        <v>30</v>
      </c>
      <c r="I158" s="133">
        <v>1</v>
      </c>
      <c r="J158" s="133" t="s">
        <v>427</v>
      </c>
      <c r="K158" s="133">
        <v>0</v>
      </c>
      <c r="L158" s="133">
        <v>0</v>
      </c>
      <c r="M158" s="133">
        <v>0</v>
      </c>
      <c r="N158" s="133">
        <v>0</v>
      </c>
      <c r="O158" s="133">
        <v>0</v>
      </c>
      <c r="P158" s="133">
        <v>0</v>
      </c>
      <c r="Q158" s="133">
        <v>0</v>
      </c>
      <c r="R158" s="133">
        <v>31</v>
      </c>
      <c r="S158" s="126"/>
      <c r="T158" s="126"/>
      <c r="U158" s="126"/>
      <c r="V158" s="126"/>
      <c r="W158" s="126"/>
      <c r="X158" s="126"/>
      <c r="Y158" s="4">
        <f>SUM(GC[[#This Row],[ICR1]:[ICR14]])</f>
        <v>31</v>
      </c>
      <c r="Z158" s="133" t="s">
        <v>427</v>
      </c>
      <c r="AA158" s="352" t="s">
        <v>456</v>
      </c>
    </row>
    <row r="159" spans="1:27">
      <c r="A159" s="133">
        <v>157</v>
      </c>
      <c r="B159" s="127">
        <f t="shared" si="2"/>
        <v>45539</v>
      </c>
      <c r="C159" s="128">
        <f>YEAR(GC[[#This Row],[Date]])+IF(MONTH(GC[[#This Row],[Date]])&gt;=4,1,0)</f>
        <v>2025</v>
      </c>
      <c r="D159" s="129">
        <f>YEAR(GC[[#This Row],[Date]])</f>
        <v>2024</v>
      </c>
      <c r="E159" s="126" t="s">
        <v>218</v>
      </c>
      <c r="F159" s="126" t="s">
        <v>218</v>
      </c>
      <c r="G159" s="130" t="str">
        <f>TEXT(GC[[#This Row],[Date]],"mmm-yy")</f>
        <v>Sep-24</v>
      </c>
      <c r="H159" s="130">
        <f>DAY(EOMONTH(GC[[#This Row],[Month Year]],0))</f>
        <v>30</v>
      </c>
      <c r="I159" s="133">
        <v>1</v>
      </c>
      <c r="J159" s="133" t="s">
        <v>427</v>
      </c>
      <c r="K159" s="133">
        <v>0</v>
      </c>
      <c r="L159" s="133">
        <v>0</v>
      </c>
      <c r="M159" s="133">
        <v>0</v>
      </c>
      <c r="N159" s="133">
        <v>0</v>
      </c>
      <c r="O159" s="133">
        <v>0</v>
      </c>
      <c r="P159" s="133">
        <v>0</v>
      </c>
      <c r="Q159" s="133">
        <v>0</v>
      </c>
      <c r="R159" s="133">
        <v>35</v>
      </c>
      <c r="S159" s="126"/>
      <c r="T159" s="126"/>
      <c r="U159" s="126"/>
      <c r="V159" s="126"/>
      <c r="W159" s="126"/>
      <c r="X159" s="126"/>
      <c r="Y159" s="4">
        <f>SUM(GC[[#This Row],[ICR1]:[ICR14]])</f>
        <v>35</v>
      </c>
      <c r="Z159" s="133" t="s">
        <v>427</v>
      </c>
      <c r="AA159" s="352" t="s">
        <v>457</v>
      </c>
    </row>
    <row r="160" spans="1:27">
      <c r="A160" s="133">
        <v>158</v>
      </c>
      <c r="B160" s="127">
        <f t="shared" si="2"/>
        <v>45540</v>
      </c>
      <c r="C160" s="128">
        <f>YEAR(GC[[#This Row],[Date]])+IF(MONTH(GC[[#This Row],[Date]])&gt;=4,1,0)</f>
        <v>2025</v>
      </c>
      <c r="D160" s="129">
        <f>YEAR(GC[[#This Row],[Date]])</f>
        <v>2024</v>
      </c>
      <c r="E160" s="126" t="s">
        <v>218</v>
      </c>
      <c r="F160" s="126" t="s">
        <v>218</v>
      </c>
      <c r="G160" s="130" t="str">
        <f>TEXT(GC[[#This Row],[Date]],"mmm-yy")</f>
        <v>Sep-24</v>
      </c>
      <c r="H160" s="130">
        <f>DAY(EOMONTH(GC[[#This Row],[Month Year]],0))</f>
        <v>30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26"/>
      <c r="T160" s="126"/>
      <c r="U160" s="126"/>
      <c r="V160" s="126"/>
      <c r="W160" s="126"/>
      <c r="X160" s="126"/>
      <c r="Y160" s="4">
        <f>SUM(GC[[#This Row],[ICR1]:[ICR14]])</f>
        <v>0</v>
      </c>
      <c r="Z160" s="133"/>
      <c r="AA160" s="133"/>
    </row>
    <row r="161" spans="1:27">
      <c r="A161" s="133">
        <v>159</v>
      </c>
      <c r="B161" s="127">
        <f t="shared" si="2"/>
        <v>45541</v>
      </c>
      <c r="C161" s="128">
        <f>YEAR(GC[[#This Row],[Date]])+IF(MONTH(GC[[#This Row],[Date]])&gt;=4,1,0)</f>
        <v>2025</v>
      </c>
      <c r="D161" s="129">
        <f>YEAR(GC[[#This Row],[Date]])</f>
        <v>2024</v>
      </c>
      <c r="E161" s="126" t="s">
        <v>218</v>
      </c>
      <c r="F161" s="126" t="s">
        <v>218</v>
      </c>
      <c r="G161" s="130" t="str">
        <f>TEXT(GC[[#This Row],[Date]],"mmm-yy")</f>
        <v>Sep-24</v>
      </c>
      <c r="H161" s="130">
        <f>DAY(EOMONTH(GC[[#This Row],[Month Year]],0))</f>
        <v>30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26"/>
      <c r="T161" s="126"/>
      <c r="U161" s="126"/>
      <c r="V161" s="126"/>
      <c r="W161" s="126"/>
      <c r="X161" s="126"/>
      <c r="Y161" s="4">
        <f>SUM(GC[[#This Row],[ICR1]:[ICR14]])</f>
        <v>0</v>
      </c>
      <c r="Z161" s="133"/>
      <c r="AA161" s="133"/>
    </row>
    <row r="162" spans="1:27">
      <c r="A162" s="133">
        <v>160</v>
      </c>
      <c r="B162" s="127">
        <f t="shared" si="2"/>
        <v>45542</v>
      </c>
      <c r="C162" s="128">
        <f>YEAR(GC[[#This Row],[Date]])+IF(MONTH(GC[[#This Row],[Date]])&gt;=4,1,0)</f>
        <v>2025</v>
      </c>
      <c r="D162" s="129">
        <f>YEAR(GC[[#This Row],[Date]])</f>
        <v>2024</v>
      </c>
      <c r="E162" s="126" t="s">
        <v>218</v>
      </c>
      <c r="F162" s="126" t="s">
        <v>218</v>
      </c>
      <c r="G162" s="130" t="str">
        <f>TEXT(GC[[#This Row],[Date]],"mmm-yy")</f>
        <v>Sep-24</v>
      </c>
      <c r="H162" s="130">
        <f>DAY(EOMONTH(GC[[#This Row],[Month Year]],0))</f>
        <v>30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26"/>
      <c r="T162" s="126"/>
      <c r="U162" s="126"/>
      <c r="V162" s="126"/>
      <c r="W162" s="126"/>
      <c r="X162" s="126"/>
      <c r="Y162" s="4">
        <f>SUM(GC[[#This Row],[ICR1]:[ICR14]])</f>
        <v>0</v>
      </c>
      <c r="Z162" s="133"/>
      <c r="AA162" s="133"/>
    </row>
    <row r="163" spans="1:27">
      <c r="A163" s="133">
        <v>161</v>
      </c>
      <c r="B163" s="127">
        <f t="shared" si="2"/>
        <v>45543</v>
      </c>
      <c r="C163" s="128">
        <f>YEAR(GC[[#This Row],[Date]])+IF(MONTH(GC[[#This Row],[Date]])&gt;=4,1,0)</f>
        <v>2025</v>
      </c>
      <c r="D163" s="129">
        <f>YEAR(GC[[#This Row],[Date]])</f>
        <v>2024</v>
      </c>
      <c r="E163" s="126" t="s">
        <v>218</v>
      </c>
      <c r="F163" s="126" t="s">
        <v>218</v>
      </c>
      <c r="G163" s="130" t="str">
        <f>TEXT(GC[[#This Row],[Date]],"mmm-yy")</f>
        <v>Sep-24</v>
      </c>
      <c r="H163" s="130">
        <f>DAY(EOMONTH(GC[[#This Row],[Month Year]],0))</f>
        <v>30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26"/>
      <c r="T163" s="126"/>
      <c r="U163" s="126"/>
      <c r="V163" s="126"/>
      <c r="W163" s="126"/>
      <c r="X163" s="126"/>
      <c r="Y163" s="4">
        <f>SUM(GC[[#This Row],[ICR1]:[ICR14]])</f>
        <v>0</v>
      </c>
      <c r="Z163" s="133"/>
      <c r="AA163" s="133"/>
    </row>
    <row r="164" spans="1:27">
      <c r="A164" s="133">
        <v>162</v>
      </c>
      <c r="B164" s="127">
        <f t="shared" si="2"/>
        <v>45544</v>
      </c>
      <c r="C164" s="128">
        <f>YEAR(GC[[#This Row],[Date]])+IF(MONTH(GC[[#This Row],[Date]])&gt;=4,1,0)</f>
        <v>2025</v>
      </c>
      <c r="D164" s="129">
        <f>YEAR(GC[[#This Row],[Date]])</f>
        <v>2024</v>
      </c>
      <c r="E164" s="126" t="s">
        <v>218</v>
      </c>
      <c r="F164" s="126" t="s">
        <v>218</v>
      </c>
      <c r="G164" s="130" t="str">
        <f>TEXT(GC[[#This Row],[Date]],"mmm-yy")</f>
        <v>Sep-24</v>
      </c>
      <c r="H164" s="130">
        <f>DAY(EOMONTH(GC[[#This Row],[Month Year]],0))</f>
        <v>30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26"/>
      <c r="T164" s="126"/>
      <c r="U164" s="126"/>
      <c r="V164" s="126"/>
      <c r="W164" s="126"/>
      <c r="X164" s="126"/>
      <c r="Y164" s="4">
        <f>SUM(GC[[#This Row],[ICR1]:[ICR14]])</f>
        <v>0</v>
      </c>
      <c r="Z164" s="133"/>
      <c r="AA164" s="133"/>
    </row>
    <row r="165" spans="1:27">
      <c r="A165" s="133">
        <v>163</v>
      </c>
      <c r="B165" s="127">
        <f t="shared" si="2"/>
        <v>45545</v>
      </c>
      <c r="C165" s="128">
        <f>YEAR(GC[[#This Row],[Date]])+IF(MONTH(GC[[#This Row],[Date]])&gt;=4,1,0)</f>
        <v>2025</v>
      </c>
      <c r="D165" s="129">
        <f>YEAR(GC[[#This Row],[Date]])</f>
        <v>2024</v>
      </c>
      <c r="E165" s="126" t="s">
        <v>218</v>
      </c>
      <c r="F165" s="126" t="s">
        <v>218</v>
      </c>
      <c r="G165" s="130" t="str">
        <f>TEXT(GC[[#This Row],[Date]],"mmm-yy")</f>
        <v>Sep-24</v>
      </c>
      <c r="H165" s="130">
        <f>DAY(EOMONTH(GC[[#This Row],[Month Year]],0))</f>
        <v>30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26"/>
      <c r="T165" s="126"/>
      <c r="U165" s="126"/>
      <c r="V165" s="126"/>
      <c r="W165" s="126"/>
      <c r="X165" s="126"/>
      <c r="Y165" s="4">
        <f>SUM(GC[[#This Row],[ICR1]:[ICR14]])</f>
        <v>0</v>
      </c>
      <c r="Z165" s="133"/>
      <c r="AA165" s="133"/>
    </row>
    <row r="166" spans="1:27">
      <c r="A166" s="133">
        <v>164</v>
      </c>
      <c r="B166" s="127">
        <f t="shared" si="2"/>
        <v>45546</v>
      </c>
      <c r="C166" s="128">
        <f>YEAR(GC[[#This Row],[Date]])+IF(MONTH(GC[[#This Row],[Date]])&gt;=4,1,0)</f>
        <v>2025</v>
      </c>
      <c r="D166" s="129">
        <f>YEAR(GC[[#This Row],[Date]])</f>
        <v>2024</v>
      </c>
      <c r="E166" s="126" t="s">
        <v>218</v>
      </c>
      <c r="F166" s="126" t="s">
        <v>218</v>
      </c>
      <c r="G166" s="130" t="str">
        <f>TEXT(GC[[#This Row],[Date]],"mmm-yy")</f>
        <v>Sep-24</v>
      </c>
      <c r="H166" s="130">
        <f>DAY(EOMONTH(GC[[#This Row],[Month Year]],0))</f>
        <v>30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26"/>
      <c r="T166" s="126"/>
      <c r="U166" s="126"/>
      <c r="V166" s="126"/>
      <c r="W166" s="126"/>
      <c r="X166" s="126"/>
      <c r="Y166" s="4">
        <f>SUM(GC[[#This Row],[ICR1]:[ICR14]])</f>
        <v>0</v>
      </c>
      <c r="Z166" s="133"/>
      <c r="AA166" s="135"/>
    </row>
    <row r="167" spans="1:27">
      <c r="A167" s="133">
        <v>165</v>
      </c>
      <c r="B167" s="127">
        <f t="shared" si="2"/>
        <v>45547</v>
      </c>
      <c r="C167" s="128">
        <f>YEAR(GC[[#This Row],[Date]])+IF(MONTH(GC[[#This Row],[Date]])&gt;=4,1,0)</f>
        <v>2025</v>
      </c>
      <c r="D167" s="129">
        <f>YEAR(GC[[#This Row],[Date]])</f>
        <v>2024</v>
      </c>
      <c r="E167" s="126" t="s">
        <v>218</v>
      </c>
      <c r="F167" s="126" t="s">
        <v>218</v>
      </c>
      <c r="G167" s="130" t="str">
        <f>TEXT(GC[[#This Row],[Date]],"mmm-yy")</f>
        <v>Sep-24</v>
      </c>
      <c r="H167" s="130">
        <f>DAY(EOMONTH(GC[[#This Row],[Month Year]],0))</f>
        <v>30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26"/>
      <c r="T167" s="126"/>
      <c r="U167" s="126"/>
      <c r="V167" s="126"/>
      <c r="W167" s="126"/>
      <c r="X167" s="126"/>
      <c r="Y167" s="4">
        <f>SUM(GC[[#This Row],[ICR1]:[ICR14]])</f>
        <v>0</v>
      </c>
      <c r="Z167" s="133"/>
      <c r="AA167" s="135"/>
    </row>
    <row r="168" spans="1:27">
      <c r="A168" s="133">
        <v>166</v>
      </c>
      <c r="B168" s="127">
        <f t="shared" si="2"/>
        <v>45548</v>
      </c>
      <c r="C168" s="128">
        <f>YEAR(GC[[#This Row],[Date]])+IF(MONTH(GC[[#This Row],[Date]])&gt;=4,1,0)</f>
        <v>2025</v>
      </c>
      <c r="D168" s="129">
        <f>YEAR(GC[[#This Row],[Date]])</f>
        <v>2024</v>
      </c>
      <c r="E168" s="126" t="s">
        <v>218</v>
      </c>
      <c r="F168" s="126" t="s">
        <v>218</v>
      </c>
      <c r="G168" s="130" t="str">
        <f>TEXT(GC[[#This Row],[Date]],"mmm-yy")</f>
        <v>Sep-24</v>
      </c>
      <c r="H168" s="130">
        <f>DAY(EOMONTH(GC[[#This Row],[Month Year]],0))</f>
        <v>30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26"/>
      <c r="T168" s="126"/>
      <c r="U168" s="126"/>
      <c r="V168" s="126"/>
      <c r="W168" s="126"/>
      <c r="X168" s="126"/>
      <c r="Y168" s="4">
        <f>SUM(GC[[#This Row],[ICR1]:[ICR14]])</f>
        <v>0</v>
      </c>
      <c r="Z168" s="133"/>
      <c r="AA168" s="135"/>
    </row>
    <row r="169" spans="1:27">
      <c r="A169" s="133">
        <v>167</v>
      </c>
      <c r="B169" s="127">
        <f t="shared" si="2"/>
        <v>45549</v>
      </c>
      <c r="C169" s="128">
        <f>YEAR(GC[[#This Row],[Date]])+IF(MONTH(GC[[#This Row],[Date]])&gt;=4,1,0)</f>
        <v>2025</v>
      </c>
      <c r="D169" s="129">
        <f>YEAR(GC[[#This Row],[Date]])</f>
        <v>2024</v>
      </c>
      <c r="E169" s="126" t="s">
        <v>218</v>
      </c>
      <c r="F169" s="126" t="s">
        <v>218</v>
      </c>
      <c r="G169" s="130" t="str">
        <f>TEXT(GC[[#This Row],[Date]],"mmm-yy")</f>
        <v>Sep-24</v>
      </c>
      <c r="H169" s="130">
        <f>DAY(EOMONTH(GC[[#This Row],[Month Year]],0))</f>
        <v>30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26"/>
      <c r="T169" s="126"/>
      <c r="U169" s="126"/>
      <c r="V169" s="126"/>
      <c r="W169" s="126"/>
      <c r="X169" s="126"/>
      <c r="Y169" s="4">
        <f>SUM(GC[[#This Row],[ICR1]:[ICR14]])</f>
        <v>0</v>
      </c>
      <c r="Z169" s="133"/>
      <c r="AA169" s="135"/>
    </row>
    <row r="170" spans="1:27">
      <c r="A170" s="133">
        <v>168</v>
      </c>
      <c r="B170" s="127">
        <f t="shared" si="2"/>
        <v>45550</v>
      </c>
      <c r="C170" s="128">
        <f>YEAR(GC[[#This Row],[Date]])+IF(MONTH(GC[[#This Row],[Date]])&gt;=4,1,0)</f>
        <v>2025</v>
      </c>
      <c r="D170" s="129">
        <f>YEAR(GC[[#This Row],[Date]])</f>
        <v>2024</v>
      </c>
      <c r="E170" s="126" t="s">
        <v>218</v>
      </c>
      <c r="F170" s="126" t="s">
        <v>218</v>
      </c>
      <c r="G170" s="130" t="str">
        <f>TEXT(GC[[#This Row],[Date]],"mmm-yy")</f>
        <v>Sep-24</v>
      </c>
      <c r="H170" s="130">
        <f>DAY(EOMONTH(GC[[#This Row],[Month Year]],0))</f>
        <v>30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26"/>
      <c r="T170" s="126"/>
      <c r="U170" s="126"/>
      <c r="V170" s="126"/>
      <c r="W170" s="126"/>
      <c r="X170" s="126"/>
      <c r="Y170" s="4">
        <f>SUM(GC[[#This Row],[ICR1]:[ICR14]])</f>
        <v>0</v>
      </c>
      <c r="Z170" s="133"/>
      <c r="AA170" s="135"/>
    </row>
    <row r="171" spans="1:27">
      <c r="A171" s="133">
        <v>169</v>
      </c>
      <c r="B171" s="127">
        <f t="shared" si="2"/>
        <v>45551</v>
      </c>
      <c r="C171" s="128">
        <f>YEAR(GC[[#This Row],[Date]])+IF(MONTH(GC[[#This Row],[Date]])&gt;=4,1,0)</f>
        <v>2025</v>
      </c>
      <c r="D171" s="129">
        <f>YEAR(GC[[#This Row],[Date]])</f>
        <v>2024</v>
      </c>
      <c r="E171" s="126" t="s">
        <v>218</v>
      </c>
      <c r="F171" s="126" t="s">
        <v>218</v>
      </c>
      <c r="G171" s="130" t="str">
        <f>TEXT(GC[[#This Row],[Date]],"mmm-yy")</f>
        <v>Sep-24</v>
      </c>
      <c r="H171" s="130">
        <f>DAY(EOMONTH(GC[[#This Row],[Month Year]],0))</f>
        <v>30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26"/>
      <c r="T171" s="126"/>
      <c r="U171" s="126"/>
      <c r="V171" s="126"/>
      <c r="W171" s="126"/>
      <c r="X171" s="126"/>
      <c r="Y171" s="4">
        <f>SUM(GC[[#This Row],[ICR1]:[ICR14]])</f>
        <v>0</v>
      </c>
      <c r="Z171" s="133"/>
      <c r="AA171" s="135"/>
    </row>
    <row r="172" spans="1:27">
      <c r="A172" s="133">
        <v>170</v>
      </c>
      <c r="B172" s="127">
        <f t="shared" si="2"/>
        <v>45552</v>
      </c>
      <c r="C172" s="128">
        <f>YEAR(GC[[#This Row],[Date]])+IF(MONTH(GC[[#This Row],[Date]])&gt;=4,1,0)</f>
        <v>2025</v>
      </c>
      <c r="D172" s="129">
        <f>YEAR(GC[[#This Row],[Date]])</f>
        <v>2024</v>
      </c>
      <c r="E172" s="126" t="s">
        <v>218</v>
      </c>
      <c r="F172" s="126" t="s">
        <v>218</v>
      </c>
      <c r="G172" s="130" t="str">
        <f>TEXT(GC[[#This Row],[Date]],"mmm-yy")</f>
        <v>Sep-24</v>
      </c>
      <c r="H172" s="130">
        <f>DAY(EOMONTH(GC[[#This Row],[Month Year]],0))</f>
        <v>30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26"/>
      <c r="T172" s="126"/>
      <c r="U172" s="126"/>
      <c r="V172" s="126"/>
      <c r="W172" s="126"/>
      <c r="X172" s="126"/>
      <c r="Y172" s="4">
        <f>SUM(GC[[#This Row],[ICR1]:[ICR14]])</f>
        <v>0</v>
      </c>
      <c r="Z172" s="133"/>
      <c r="AA172" s="135"/>
    </row>
    <row r="173" spans="1:27">
      <c r="A173" s="133">
        <v>171</v>
      </c>
      <c r="B173" s="127">
        <f t="shared" si="2"/>
        <v>45553</v>
      </c>
      <c r="C173" s="128">
        <f>YEAR(GC[[#This Row],[Date]])+IF(MONTH(GC[[#This Row],[Date]])&gt;=4,1,0)</f>
        <v>2025</v>
      </c>
      <c r="D173" s="129">
        <f>YEAR(GC[[#This Row],[Date]])</f>
        <v>2024</v>
      </c>
      <c r="E173" s="126" t="s">
        <v>218</v>
      </c>
      <c r="F173" s="126" t="s">
        <v>218</v>
      </c>
      <c r="G173" s="130" t="str">
        <f>TEXT(GC[[#This Row],[Date]],"mmm-yy")</f>
        <v>Sep-24</v>
      </c>
      <c r="H173" s="130">
        <f>DAY(EOMONTH(GC[[#This Row],[Month Year]],0))</f>
        <v>30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26"/>
      <c r="T173" s="126"/>
      <c r="U173" s="126"/>
      <c r="V173" s="126"/>
      <c r="W173" s="126"/>
      <c r="X173" s="126"/>
      <c r="Y173" s="4">
        <f>SUM(GC[[#This Row],[ICR1]:[ICR14]])</f>
        <v>0</v>
      </c>
      <c r="Z173" s="133"/>
      <c r="AA173" s="135"/>
    </row>
    <row r="174" spans="1:27">
      <c r="A174" s="133">
        <v>172</v>
      </c>
      <c r="B174" s="127">
        <f t="shared" si="2"/>
        <v>45554</v>
      </c>
      <c r="C174" s="128">
        <f>YEAR(GC[[#This Row],[Date]])+IF(MONTH(GC[[#This Row],[Date]])&gt;=4,1,0)</f>
        <v>2025</v>
      </c>
      <c r="D174" s="129">
        <f>YEAR(GC[[#This Row],[Date]])</f>
        <v>2024</v>
      </c>
      <c r="E174" s="126" t="s">
        <v>218</v>
      </c>
      <c r="F174" s="126" t="s">
        <v>218</v>
      </c>
      <c r="G174" s="130" t="str">
        <f>TEXT(GC[[#This Row],[Date]],"mmm-yy")</f>
        <v>Sep-24</v>
      </c>
      <c r="H174" s="130">
        <f>DAY(EOMONTH(GC[[#This Row],[Month Year]],0))</f>
        <v>30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26"/>
      <c r="T174" s="126"/>
      <c r="U174" s="126"/>
      <c r="V174" s="126"/>
      <c r="W174" s="126"/>
      <c r="X174" s="126"/>
      <c r="Y174" s="4">
        <f>SUM(GC[[#This Row],[ICR1]:[ICR14]])</f>
        <v>0</v>
      </c>
      <c r="Z174" s="133"/>
      <c r="AA174" s="135"/>
    </row>
    <row r="175" spans="1:27">
      <c r="A175" s="133">
        <v>173</v>
      </c>
      <c r="B175" s="127">
        <f t="shared" si="2"/>
        <v>45555</v>
      </c>
      <c r="C175" s="128">
        <f>YEAR(GC[[#This Row],[Date]])+IF(MONTH(GC[[#This Row],[Date]])&gt;=4,1,0)</f>
        <v>2025</v>
      </c>
      <c r="D175" s="129">
        <f>YEAR(GC[[#This Row],[Date]])</f>
        <v>2024</v>
      </c>
      <c r="E175" s="126" t="s">
        <v>218</v>
      </c>
      <c r="F175" s="126" t="s">
        <v>218</v>
      </c>
      <c r="G175" s="130" t="str">
        <f>TEXT(GC[[#This Row],[Date]],"mmm-yy")</f>
        <v>Sep-24</v>
      </c>
      <c r="H175" s="130">
        <f>DAY(EOMONTH(GC[[#This Row],[Month Year]],0))</f>
        <v>30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26"/>
      <c r="T175" s="126"/>
      <c r="U175" s="126"/>
      <c r="V175" s="126"/>
      <c r="W175" s="126"/>
      <c r="X175" s="126"/>
      <c r="Y175" s="4">
        <f>SUM(GC[[#This Row],[ICR1]:[ICR14]])</f>
        <v>0</v>
      </c>
      <c r="Z175" s="133"/>
      <c r="AA175" s="135"/>
    </row>
    <row r="176" spans="1:27">
      <c r="A176" s="133">
        <v>174</v>
      </c>
      <c r="B176" s="127">
        <f t="shared" si="2"/>
        <v>45556</v>
      </c>
      <c r="C176" s="128">
        <f>YEAR(GC[[#This Row],[Date]])+IF(MONTH(GC[[#This Row],[Date]])&gt;=4,1,0)</f>
        <v>2025</v>
      </c>
      <c r="D176" s="129">
        <f>YEAR(GC[[#This Row],[Date]])</f>
        <v>2024</v>
      </c>
      <c r="E176" s="126" t="s">
        <v>218</v>
      </c>
      <c r="F176" s="126" t="s">
        <v>218</v>
      </c>
      <c r="G176" s="130" t="str">
        <f>TEXT(GC[[#This Row],[Date]],"mmm-yy")</f>
        <v>Sep-24</v>
      </c>
      <c r="H176" s="130">
        <f>DAY(EOMONTH(GC[[#This Row],[Month Year]],0))</f>
        <v>30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26"/>
      <c r="T176" s="126"/>
      <c r="U176" s="126"/>
      <c r="V176" s="126"/>
      <c r="W176" s="126"/>
      <c r="X176" s="126"/>
      <c r="Y176" s="4">
        <f>SUM(GC[[#This Row],[ICR1]:[ICR14]])</f>
        <v>0</v>
      </c>
      <c r="Z176" s="133"/>
      <c r="AA176" s="135"/>
    </row>
    <row r="177" spans="1:27">
      <c r="A177" s="133">
        <v>175</v>
      </c>
      <c r="B177" s="127">
        <f t="shared" si="2"/>
        <v>45557</v>
      </c>
      <c r="C177" s="128">
        <f>YEAR(GC[[#This Row],[Date]])+IF(MONTH(GC[[#This Row],[Date]])&gt;=4,1,0)</f>
        <v>2025</v>
      </c>
      <c r="D177" s="129">
        <f>YEAR(GC[[#This Row],[Date]])</f>
        <v>2024</v>
      </c>
      <c r="E177" s="126" t="s">
        <v>218</v>
      </c>
      <c r="F177" s="126" t="s">
        <v>218</v>
      </c>
      <c r="G177" s="130" t="str">
        <f>TEXT(GC[[#This Row],[Date]],"mmm-yy")</f>
        <v>Sep-24</v>
      </c>
      <c r="H177" s="130">
        <f>DAY(EOMONTH(GC[[#This Row],[Month Year]],0))</f>
        <v>30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26"/>
      <c r="T177" s="126"/>
      <c r="U177" s="126"/>
      <c r="V177" s="126"/>
      <c r="W177" s="126"/>
      <c r="X177" s="126"/>
      <c r="Y177" s="4">
        <f>SUM(GC[[#This Row],[ICR1]:[ICR14]])</f>
        <v>0</v>
      </c>
      <c r="Z177" s="133"/>
      <c r="AA177" s="135"/>
    </row>
    <row r="178" spans="1:27">
      <c r="A178" s="133">
        <v>176</v>
      </c>
      <c r="B178" s="127">
        <f t="shared" si="2"/>
        <v>45558</v>
      </c>
      <c r="C178" s="128">
        <f>YEAR(GC[[#This Row],[Date]])+IF(MONTH(GC[[#This Row],[Date]])&gt;=4,1,0)</f>
        <v>2025</v>
      </c>
      <c r="D178" s="129">
        <f>YEAR(GC[[#This Row],[Date]])</f>
        <v>2024</v>
      </c>
      <c r="E178" s="126" t="s">
        <v>218</v>
      </c>
      <c r="F178" s="126" t="s">
        <v>218</v>
      </c>
      <c r="G178" s="130" t="str">
        <f>TEXT(GC[[#This Row],[Date]],"mmm-yy")</f>
        <v>Sep-24</v>
      </c>
      <c r="H178" s="130">
        <f>DAY(EOMONTH(GC[[#This Row],[Month Year]],0))</f>
        <v>30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26"/>
      <c r="T178" s="126"/>
      <c r="U178" s="126"/>
      <c r="V178" s="126"/>
      <c r="W178" s="126"/>
      <c r="X178" s="126"/>
      <c r="Y178" s="4">
        <f>SUM(GC[[#This Row],[ICR1]:[ICR14]])</f>
        <v>0</v>
      </c>
      <c r="Z178" s="133"/>
      <c r="AA178" s="135"/>
    </row>
    <row r="179" spans="1:27">
      <c r="A179" s="133">
        <v>177</v>
      </c>
      <c r="B179" s="127">
        <f t="shared" si="2"/>
        <v>45559</v>
      </c>
      <c r="C179" s="128">
        <f>YEAR(GC[[#This Row],[Date]])+IF(MONTH(GC[[#This Row],[Date]])&gt;=4,1,0)</f>
        <v>2025</v>
      </c>
      <c r="D179" s="129">
        <f>YEAR(GC[[#This Row],[Date]])</f>
        <v>2024</v>
      </c>
      <c r="E179" s="126" t="s">
        <v>218</v>
      </c>
      <c r="F179" s="126" t="s">
        <v>218</v>
      </c>
      <c r="G179" s="130" t="str">
        <f>TEXT(GC[[#This Row],[Date]],"mmm-yy")</f>
        <v>Sep-24</v>
      </c>
      <c r="H179" s="130">
        <f>DAY(EOMONTH(GC[[#This Row],[Month Year]],0))</f>
        <v>30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26"/>
      <c r="T179" s="126"/>
      <c r="U179" s="126"/>
      <c r="V179" s="126"/>
      <c r="W179" s="126"/>
      <c r="X179" s="126"/>
      <c r="Y179" s="4">
        <f>SUM(GC[[#This Row],[ICR1]:[ICR14]])</f>
        <v>0</v>
      </c>
      <c r="Z179" s="133"/>
      <c r="AA179" s="135"/>
    </row>
    <row r="180" spans="1:27">
      <c r="A180" s="133">
        <v>177</v>
      </c>
      <c r="B180" s="127">
        <f t="shared" si="2"/>
        <v>45560</v>
      </c>
      <c r="C180" s="128">
        <f>YEAR(GC[[#This Row],[Date]])+IF(MONTH(GC[[#This Row],[Date]])&gt;=4,1,0)</f>
        <v>2025</v>
      </c>
      <c r="D180" s="129">
        <f>YEAR(GC[[#This Row],[Date]])</f>
        <v>2024</v>
      </c>
      <c r="E180" s="126" t="s">
        <v>218</v>
      </c>
      <c r="F180" s="126" t="s">
        <v>218</v>
      </c>
      <c r="G180" s="130" t="str">
        <f>TEXT(GC[[#This Row],[Date]],"mmm-yy")</f>
        <v>Sep-24</v>
      </c>
      <c r="H180" s="130">
        <f>DAY(EOMONTH(GC[[#This Row],[Month Year]],0))</f>
        <v>30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26"/>
      <c r="T180" s="126"/>
      <c r="U180" s="126"/>
      <c r="V180" s="126"/>
      <c r="W180" s="126"/>
      <c r="X180" s="126"/>
      <c r="Y180" s="4">
        <f>SUM(GC[[#This Row],[ICR1]:[ICR14]])</f>
        <v>0</v>
      </c>
      <c r="Z180" s="133"/>
      <c r="AA180" s="135"/>
    </row>
    <row r="181" spans="1:27">
      <c r="A181" s="133">
        <v>179</v>
      </c>
      <c r="B181" s="127">
        <f t="shared" si="2"/>
        <v>45561</v>
      </c>
      <c r="C181" s="128">
        <f>YEAR(GC[[#This Row],[Date]])+IF(MONTH(GC[[#This Row],[Date]])&gt;=4,1,0)</f>
        <v>2025</v>
      </c>
      <c r="D181" s="129">
        <f>YEAR(GC[[#This Row],[Date]])</f>
        <v>2024</v>
      </c>
      <c r="E181" s="126" t="s">
        <v>218</v>
      </c>
      <c r="F181" s="126" t="s">
        <v>218</v>
      </c>
      <c r="G181" s="130" t="str">
        <f>TEXT(GC[[#This Row],[Date]],"mmm-yy")</f>
        <v>Sep-24</v>
      </c>
      <c r="H181" s="130">
        <f>DAY(EOMONTH(GC[[#This Row],[Month Year]],0))</f>
        <v>30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26"/>
      <c r="T181" s="126"/>
      <c r="U181" s="126"/>
      <c r="V181" s="126"/>
      <c r="W181" s="126"/>
      <c r="X181" s="126"/>
      <c r="Y181" s="4">
        <f>SUM(GC[[#This Row],[ICR1]:[ICR14]])</f>
        <v>0</v>
      </c>
      <c r="Z181" s="133"/>
      <c r="AA181" s="135"/>
    </row>
    <row r="182" spans="1:27">
      <c r="A182" s="133">
        <v>180</v>
      </c>
      <c r="B182" s="127">
        <f t="shared" si="2"/>
        <v>45562</v>
      </c>
      <c r="C182" s="128">
        <f>YEAR(GC[[#This Row],[Date]])+IF(MONTH(GC[[#This Row],[Date]])&gt;=4,1,0)</f>
        <v>2025</v>
      </c>
      <c r="D182" s="129">
        <f>YEAR(GC[[#This Row],[Date]])</f>
        <v>2024</v>
      </c>
      <c r="E182" s="126" t="s">
        <v>218</v>
      </c>
      <c r="F182" s="126" t="s">
        <v>218</v>
      </c>
      <c r="G182" s="130" t="str">
        <f>TEXT(GC[[#This Row],[Date]],"mmm-yy")</f>
        <v>Sep-24</v>
      </c>
      <c r="H182" s="130">
        <f>DAY(EOMONTH(GC[[#This Row],[Month Year]],0))</f>
        <v>30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26"/>
      <c r="T182" s="126"/>
      <c r="U182" s="126"/>
      <c r="V182" s="126"/>
      <c r="W182" s="126"/>
      <c r="X182" s="126"/>
      <c r="Y182" s="4">
        <f>SUM(GC[[#This Row],[ICR1]:[ICR14]])</f>
        <v>0</v>
      </c>
      <c r="Z182" s="133"/>
      <c r="AA182" s="135"/>
    </row>
    <row r="183" spans="1:27">
      <c r="A183" s="133">
        <v>181</v>
      </c>
      <c r="B183" s="127">
        <f t="shared" si="2"/>
        <v>45563</v>
      </c>
      <c r="C183" s="128">
        <f>YEAR(GC[[#This Row],[Date]])+IF(MONTH(GC[[#This Row],[Date]])&gt;=4,1,0)</f>
        <v>2025</v>
      </c>
      <c r="D183" s="129">
        <f>YEAR(GC[[#This Row],[Date]])</f>
        <v>2024</v>
      </c>
      <c r="E183" s="126" t="s">
        <v>218</v>
      </c>
      <c r="F183" s="126" t="s">
        <v>218</v>
      </c>
      <c r="G183" s="130" t="str">
        <f>TEXT(GC[[#This Row],[Date]],"mmm-yy")</f>
        <v>Sep-24</v>
      </c>
      <c r="H183" s="130">
        <f>DAY(EOMONTH(GC[[#This Row],[Month Year]],0))</f>
        <v>30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26"/>
      <c r="T183" s="126"/>
      <c r="U183" s="126"/>
      <c r="V183" s="126"/>
      <c r="W183" s="126"/>
      <c r="X183" s="126"/>
      <c r="Y183" s="4">
        <f>SUM(GC[[#This Row],[ICR1]:[ICR14]])</f>
        <v>0</v>
      </c>
      <c r="Z183" s="133" t="s">
        <v>458</v>
      </c>
      <c r="AA183" s="135"/>
    </row>
    <row r="184" spans="1:27">
      <c r="A184" s="133">
        <v>182</v>
      </c>
      <c r="B184" s="127">
        <f t="shared" si="2"/>
        <v>45564</v>
      </c>
      <c r="C184" s="128">
        <f>YEAR(GC[[#This Row],[Date]])+IF(MONTH(GC[[#This Row],[Date]])&gt;=4,1,0)</f>
        <v>2025</v>
      </c>
      <c r="D184" s="129">
        <f>YEAR(GC[[#This Row],[Date]])</f>
        <v>2024</v>
      </c>
      <c r="E184" s="126" t="s">
        <v>218</v>
      </c>
      <c r="F184" s="126" t="s">
        <v>218</v>
      </c>
      <c r="G184" s="130" t="str">
        <f>TEXT(GC[[#This Row],[Date]],"mmm-yy")</f>
        <v>Sep-24</v>
      </c>
      <c r="H184" s="130">
        <f>DAY(EOMONTH(GC[[#This Row],[Month Year]],0))</f>
        <v>30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26"/>
      <c r="T184" s="126"/>
      <c r="U184" s="126"/>
      <c r="V184" s="126"/>
      <c r="W184" s="126"/>
      <c r="X184" s="126"/>
      <c r="Y184" s="4">
        <f>SUM(GC[[#This Row],[ICR1]:[ICR14]])</f>
        <v>0</v>
      </c>
      <c r="Z184" s="137" t="s">
        <v>459</v>
      </c>
      <c r="AA184" s="135"/>
    </row>
    <row r="185" spans="1:27">
      <c r="A185" s="133">
        <v>183</v>
      </c>
      <c r="B185" s="127">
        <f t="shared" si="2"/>
        <v>45565</v>
      </c>
      <c r="C185" s="128">
        <f>YEAR(GC[[#This Row],[Date]])+IF(MONTH(GC[[#This Row],[Date]])&gt;=4,1,0)</f>
        <v>2025</v>
      </c>
      <c r="D185" s="129">
        <f>YEAR(GC[[#This Row],[Date]])</f>
        <v>2024</v>
      </c>
      <c r="E185" s="126" t="s">
        <v>218</v>
      </c>
      <c r="F185" s="126" t="s">
        <v>218</v>
      </c>
      <c r="G185" s="130" t="str">
        <f>TEXT(GC[[#This Row],[Date]],"mmm-yy")</f>
        <v>Sep-24</v>
      </c>
      <c r="H185" s="130">
        <f>DAY(EOMONTH(GC[[#This Row],[Month Year]],0))</f>
        <v>30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26"/>
      <c r="T185" s="126"/>
      <c r="U185" s="126"/>
      <c r="V185" s="126"/>
      <c r="W185" s="126"/>
      <c r="X185" s="126"/>
      <c r="Y185" s="4">
        <f>SUM(GC[[#This Row],[ICR1]:[ICR14]])</f>
        <v>0</v>
      </c>
      <c r="Z185" s="133"/>
      <c r="AA185" s="135"/>
    </row>
    <row r="186" spans="1:27">
      <c r="A186" s="133">
        <v>184</v>
      </c>
      <c r="B186" s="127">
        <f t="shared" si="2"/>
        <v>45566</v>
      </c>
      <c r="C186" s="128">
        <f>YEAR(GC[[#This Row],[Date]])+IF(MONTH(GC[[#This Row],[Date]])&gt;=4,1,0)</f>
        <v>2025</v>
      </c>
      <c r="D186" s="129">
        <f>YEAR(GC[[#This Row],[Date]])</f>
        <v>2024</v>
      </c>
      <c r="E186" s="126" t="s">
        <v>218</v>
      </c>
      <c r="F186" s="126" t="s">
        <v>218</v>
      </c>
      <c r="G186" s="130" t="str">
        <f>TEXT(GC[[#This Row],[Date]],"mmm-yy")</f>
        <v>Oct-24</v>
      </c>
      <c r="H186" s="130">
        <f>DAY(EOMONTH(GC[[#This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26"/>
      <c r="T186" s="126"/>
      <c r="U186" s="126"/>
      <c r="V186" s="126"/>
      <c r="W186" s="126"/>
      <c r="X186" s="126"/>
      <c r="Y186" s="4">
        <f>SUM(GC[[#This Row],[ICR1]:[ICR14]])</f>
        <v>0</v>
      </c>
      <c r="Z186" s="133"/>
      <c r="AA186" s="135"/>
    </row>
    <row r="187" spans="1:27">
      <c r="A187" s="133">
        <v>185</v>
      </c>
      <c r="B187" s="127">
        <f t="shared" si="2"/>
        <v>45567</v>
      </c>
      <c r="C187" s="128">
        <f>YEAR(GC[[#This Row],[Date]])+IF(MONTH(GC[[#This Row],[Date]])&gt;=4,1,0)</f>
        <v>2025</v>
      </c>
      <c r="D187" s="129">
        <f>YEAR(GC[[#This Row],[Date]])</f>
        <v>2024</v>
      </c>
      <c r="E187" s="126" t="s">
        <v>218</v>
      </c>
      <c r="F187" s="126" t="s">
        <v>218</v>
      </c>
      <c r="G187" s="130" t="str">
        <f>TEXT(GC[[#This Row],[Date]],"mmm-yy")</f>
        <v>Oct-24</v>
      </c>
      <c r="H187" s="130">
        <f>DAY(EOMONTH(GC[[#This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26"/>
      <c r="T187" s="126"/>
      <c r="U187" s="126"/>
      <c r="V187" s="126"/>
      <c r="W187" s="126"/>
      <c r="X187" s="126"/>
      <c r="Y187" s="4">
        <f>SUM(GC[[#This Row],[ICR1]:[ICR14]])</f>
        <v>0</v>
      </c>
      <c r="Z187" s="133"/>
      <c r="AA187" s="135"/>
    </row>
    <row r="188" spans="1:27">
      <c r="A188" s="133">
        <v>186</v>
      </c>
      <c r="B188" s="127">
        <f t="shared" si="2"/>
        <v>45568</v>
      </c>
      <c r="C188" s="128">
        <f>YEAR(GC[[#This Row],[Date]])+IF(MONTH(GC[[#This Row],[Date]])&gt;=4,1,0)</f>
        <v>2025</v>
      </c>
      <c r="D188" s="129">
        <f>YEAR(GC[[#This Row],[Date]])</f>
        <v>2024</v>
      </c>
      <c r="E188" s="126" t="s">
        <v>218</v>
      </c>
      <c r="F188" s="126" t="s">
        <v>218</v>
      </c>
      <c r="G188" s="130" t="str">
        <f>TEXT(GC[[#This Row],[Date]],"mmm-yy")</f>
        <v>Oct-24</v>
      </c>
      <c r="H188" s="130">
        <f>DAY(EOMONTH(GC[[#This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26"/>
      <c r="T188" s="126"/>
      <c r="U188" s="126"/>
      <c r="V188" s="126"/>
      <c r="W188" s="126"/>
      <c r="X188" s="126"/>
      <c r="Y188" s="4">
        <f>SUM(GC[[#This Row],[ICR1]:[ICR14]])</f>
        <v>0</v>
      </c>
      <c r="Z188" s="133"/>
      <c r="AA188" s="135"/>
    </row>
    <row r="189" spans="1:27">
      <c r="A189" s="133">
        <v>187</v>
      </c>
      <c r="B189" s="127">
        <f t="shared" si="2"/>
        <v>45569</v>
      </c>
      <c r="C189" s="128">
        <f>YEAR(GC[[#This Row],[Date]])+IF(MONTH(GC[[#This Row],[Date]])&gt;=4,1,0)</f>
        <v>2025</v>
      </c>
      <c r="D189" s="129">
        <f>YEAR(GC[[#This Row],[Date]])</f>
        <v>2024</v>
      </c>
      <c r="E189" s="126" t="s">
        <v>218</v>
      </c>
      <c r="F189" s="126" t="s">
        <v>218</v>
      </c>
      <c r="G189" s="130" t="str">
        <f>TEXT(GC[[#This Row],[Date]],"mmm-yy")</f>
        <v>Oct-24</v>
      </c>
      <c r="H189" s="130">
        <f>DAY(EOMONTH(GC[[#This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26"/>
      <c r="T189" s="126"/>
      <c r="U189" s="126"/>
      <c r="V189" s="126"/>
      <c r="W189" s="126"/>
      <c r="X189" s="126"/>
      <c r="Y189" s="4">
        <f>SUM(GC[[#This Row],[ICR1]:[ICR14]])</f>
        <v>0</v>
      </c>
      <c r="Z189" s="133"/>
      <c r="AA189" s="135"/>
    </row>
    <row r="190" spans="1:27">
      <c r="A190" s="133">
        <v>188</v>
      </c>
      <c r="B190" s="127">
        <f t="shared" si="2"/>
        <v>45570</v>
      </c>
      <c r="C190" s="128">
        <f>YEAR(GC[[#This Row],[Date]])+IF(MONTH(GC[[#This Row],[Date]])&gt;=4,1,0)</f>
        <v>2025</v>
      </c>
      <c r="D190" s="129">
        <f>YEAR(GC[[#This Row],[Date]])</f>
        <v>2024</v>
      </c>
      <c r="E190" s="126" t="s">
        <v>218</v>
      </c>
      <c r="F190" s="126" t="s">
        <v>218</v>
      </c>
      <c r="G190" s="130" t="str">
        <f>TEXT(GC[[#This Row],[Date]],"mmm-yy")</f>
        <v>Oct-24</v>
      </c>
      <c r="H190" s="130">
        <f>DAY(EOMONTH(GC[[#This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26"/>
      <c r="T190" s="126"/>
      <c r="U190" s="126"/>
      <c r="V190" s="126"/>
      <c r="W190" s="126"/>
      <c r="X190" s="126"/>
      <c r="Y190" s="4">
        <f>SUM(GC[[#This Row],[ICR1]:[ICR14]])</f>
        <v>0</v>
      </c>
      <c r="Z190" s="133"/>
      <c r="AA190" s="135"/>
    </row>
    <row r="191" spans="1:27">
      <c r="A191" s="133">
        <v>189</v>
      </c>
      <c r="B191" s="127">
        <f t="shared" si="2"/>
        <v>45571</v>
      </c>
      <c r="C191" s="128">
        <f>YEAR(GC[[#This Row],[Date]])+IF(MONTH(GC[[#This Row],[Date]])&gt;=4,1,0)</f>
        <v>2025</v>
      </c>
      <c r="D191" s="129">
        <f>YEAR(GC[[#This Row],[Date]])</f>
        <v>2024</v>
      </c>
      <c r="E191" s="126" t="s">
        <v>218</v>
      </c>
      <c r="F191" s="126" t="s">
        <v>218</v>
      </c>
      <c r="G191" s="130" t="str">
        <f>TEXT(GC[[#This Row],[Date]],"mmm-yy")</f>
        <v>Oct-24</v>
      </c>
      <c r="H191" s="130">
        <f>DAY(EOMONTH(GC[[#This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26"/>
      <c r="T191" s="126"/>
      <c r="U191" s="126"/>
      <c r="V191" s="126"/>
      <c r="W191" s="126"/>
      <c r="X191" s="126"/>
      <c r="Y191" s="4">
        <f>SUM(GC[[#This Row],[ICR1]:[ICR14]])</f>
        <v>0</v>
      </c>
      <c r="Z191" s="133"/>
      <c r="AA191" s="135"/>
    </row>
    <row r="192" spans="1:27">
      <c r="A192" s="133">
        <v>190</v>
      </c>
      <c r="B192" s="127">
        <f t="shared" si="2"/>
        <v>45572</v>
      </c>
      <c r="C192" s="128">
        <f>YEAR(GC[[#This Row],[Date]])+IF(MONTH(GC[[#This Row],[Date]])&gt;=4,1,0)</f>
        <v>2025</v>
      </c>
      <c r="D192" s="129">
        <f>YEAR(GC[[#This Row],[Date]])</f>
        <v>2024</v>
      </c>
      <c r="E192" s="126" t="s">
        <v>218</v>
      </c>
      <c r="F192" s="126" t="s">
        <v>218</v>
      </c>
      <c r="G192" s="130" t="str">
        <f>TEXT(GC[[#This Row],[Date]],"mmm-yy")</f>
        <v>Oct-24</v>
      </c>
      <c r="H192" s="130">
        <f>DAY(EOMONTH(GC[[#This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26"/>
      <c r="T192" s="126"/>
      <c r="U192" s="126"/>
      <c r="V192" s="126"/>
      <c r="W192" s="126"/>
      <c r="X192" s="126"/>
      <c r="Y192" s="4">
        <f>SUM(GC[[#This Row],[ICR1]:[ICR14]])</f>
        <v>0</v>
      </c>
      <c r="Z192" s="133"/>
      <c r="AA192" s="135"/>
    </row>
    <row r="193" spans="1:27">
      <c r="A193" s="133">
        <v>191</v>
      </c>
      <c r="B193" s="127">
        <f t="shared" si="2"/>
        <v>45573</v>
      </c>
      <c r="C193" s="128">
        <f>YEAR(GC[[#This Row],[Date]])+IF(MONTH(GC[[#This Row],[Date]])&gt;=4,1,0)</f>
        <v>2025</v>
      </c>
      <c r="D193" s="129">
        <f>YEAR(GC[[#This Row],[Date]])</f>
        <v>2024</v>
      </c>
      <c r="E193" s="126" t="s">
        <v>218</v>
      </c>
      <c r="F193" s="126" t="s">
        <v>218</v>
      </c>
      <c r="G193" s="130" t="str">
        <f>TEXT(GC[[#This Row],[Date]],"mmm-yy")</f>
        <v>Oct-24</v>
      </c>
      <c r="H193" s="130">
        <f>DAY(EOMONTH(GC[[#This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26"/>
      <c r="T193" s="126"/>
      <c r="U193" s="126"/>
      <c r="V193" s="126"/>
      <c r="W193" s="126"/>
      <c r="X193" s="126"/>
      <c r="Y193" s="4">
        <f>SUM(GC[[#This Row],[ICR1]:[ICR14]])</f>
        <v>0</v>
      </c>
      <c r="Z193" s="133"/>
      <c r="AA193" s="135"/>
    </row>
    <row r="194" spans="1:27">
      <c r="A194" s="133">
        <v>192</v>
      </c>
      <c r="B194" s="127">
        <f t="shared" si="2"/>
        <v>45574</v>
      </c>
      <c r="C194" s="128">
        <f>YEAR(GC[[#This Row],[Date]])+IF(MONTH(GC[[#This Row],[Date]])&gt;=4,1,0)</f>
        <v>2025</v>
      </c>
      <c r="D194" s="129">
        <f>YEAR(GC[[#This Row],[Date]])</f>
        <v>2024</v>
      </c>
      <c r="E194" s="126" t="s">
        <v>218</v>
      </c>
      <c r="F194" s="126" t="s">
        <v>218</v>
      </c>
      <c r="G194" s="130" t="str">
        <f>TEXT(GC[[#This Row],[Date]],"mmm-yy")</f>
        <v>Oct-24</v>
      </c>
      <c r="H194" s="130">
        <f>DAY(EOMONTH(GC[[#This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26"/>
      <c r="T194" s="126"/>
      <c r="U194" s="126"/>
      <c r="V194" s="126"/>
      <c r="W194" s="126"/>
      <c r="X194" s="126"/>
      <c r="Y194" s="4">
        <f>SUM(GC[[#This Row],[ICR1]:[ICR14]])</f>
        <v>0</v>
      </c>
      <c r="Z194" s="133"/>
      <c r="AA194" s="135"/>
    </row>
    <row r="195" spans="1:27">
      <c r="A195" s="133">
        <v>193</v>
      </c>
      <c r="B195" s="127">
        <f t="shared" si="2"/>
        <v>45575</v>
      </c>
      <c r="C195" s="128">
        <f>YEAR(GC[[#This Row],[Date]])+IF(MONTH(GC[[#This Row],[Date]])&gt;=4,1,0)</f>
        <v>2025</v>
      </c>
      <c r="D195" s="129">
        <f>YEAR(GC[[#This Row],[Date]])</f>
        <v>2024</v>
      </c>
      <c r="E195" s="126" t="s">
        <v>218</v>
      </c>
      <c r="F195" s="126" t="s">
        <v>218</v>
      </c>
      <c r="G195" s="130" t="str">
        <f>TEXT(GC[[#This Row],[Date]],"mmm-yy")</f>
        <v>Oct-24</v>
      </c>
      <c r="H195" s="130">
        <f>DAY(EOMONTH(GC[[#This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26"/>
      <c r="T195" s="126"/>
      <c r="U195" s="126"/>
      <c r="V195" s="126"/>
      <c r="W195" s="126"/>
      <c r="X195" s="126"/>
      <c r="Y195" s="4">
        <f>SUM(GC[[#This Row],[ICR1]:[ICR14]])</f>
        <v>0</v>
      </c>
      <c r="Z195" s="133"/>
      <c r="AA195" s="135"/>
    </row>
    <row r="196" spans="1:27">
      <c r="A196" s="133">
        <v>194</v>
      </c>
      <c r="B196" s="127">
        <f t="shared" si="2"/>
        <v>45576</v>
      </c>
      <c r="C196" s="128">
        <f>YEAR(GC[[#This Row],[Date]])+IF(MONTH(GC[[#This Row],[Date]])&gt;=4,1,0)</f>
        <v>2025</v>
      </c>
      <c r="D196" s="129">
        <f>YEAR(GC[[#This Row],[Date]])</f>
        <v>2024</v>
      </c>
      <c r="E196" s="126" t="s">
        <v>218</v>
      </c>
      <c r="F196" s="126" t="s">
        <v>218</v>
      </c>
      <c r="G196" s="130" t="str">
        <f>TEXT(GC[[#This Row],[Date]],"mmm-yy")</f>
        <v>Oct-24</v>
      </c>
      <c r="H196" s="130">
        <f>DAY(EOMONTH(GC[[#This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26"/>
      <c r="T196" s="126"/>
      <c r="U196" s="126"/>
      <c r="V196" s="126"/>
      <c r="W196" s="126"/>
      <c r="X196" s="126"/>
      <c r="Y196" s="4">
        <f>SUM(GC[[#This Row],[ICR1]:[ICR14]])</f>
        <v>0</v>
      </c>
      <c r="Z196" s="133"/>
      <c r="AA196" s="135"/>
    </row>
    <row r="197" spans="1:27">
      <c r="A197" s="133">
        <v>195</v>
      </c>
      <c r="B197" s="127">
        <f t="shared" ref="B197:B260" si="3">B196+1</f>
        <v>45577</v>
      </c>
      <c r="C197" s="128">
        <f>YEAR(GC[[#This Row],[Date]])+IF(MONTH(GC[[#This Row],[Date]])&gt;=4,1,0)</f>
        <v>2025</v>
      </c>
      <c r="D197" s="129">
        <f>YEAR(GC[[#This Row],[Date]])</f>
        <v>2024</v>
      </c>
      <c r="E197" s="126" t="s">
        <v>218</v>
      </c>
      <c r="F197" s="126" t="s">
        <v>218</v>
      </c>
      <c r="G197" s="130" t="str">
        <f>TEXT(GC[[#This Row],[Date]],"mmm-yy")</f>
        <v>Oct-24</v>
      </c>
      <c r="H197" s="130">
        <f>DAY(EOMONTH(GC[[#This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26"/>
      <c r="T197" s="126"/>
      <c r="U197" s="126"/>
      <c r="V197" s="126"/>
      <c r="W197" s="126"/>
      <c r="X197" s="126"/>
      <c r="Y197" s="4">
        <f>SUM(GC[[#This Row],[ICR1]:[ICR14]])</f>
        <v>0</v>
      </c>
      <c r="Z197" s="133"/>
      <c r="AA197" s="135"/>
    </row>
    <row r="198" spans="1:27">
      <c r="A198" s="133">
        <v>196</v>
      </c>
      <c r="B198" s="127">
        <f t="shared" si="3"/>
        <v>45578</v>
      </c>
      <c r="C198" s="128">
        <f>YEAR(GC[[#This Row],[Date]])+IF(MONTH(GC[[#This Row],[Date]])&gt;=4,1,0)</f>
        <v>2025</v>
      </c>
      <c r="D198" s="129">
        <f>YEAR(GC[[#This Row],[Date]])</f>
        <v>2024</v>
      </c>
      <c r="E198" s="126" t="s">
        <v>218</v>
      </c>
      <c r="F198" s="126" t="s">
        <v>218</v>
      </c>
      <c r="G198" s="130" t="str">
        <f>TEXT(GC[[#This Row],[Date]],"mmm-yy")</f>
        <v>Oct-24</v>
      </c>
      <c r="H198" s="130">
        <f>DAY(EOMONTH(GC[[#This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26"/>
      <c r="T198" s="126"/>
      <c r="U198" s="126"/>
      <c r="V198" s="126"/>
      <c r="W198" s="126"/>
      <c r="X198" s="126"/>
      <c r="Y198" s="4">
        <f>SUM(GC[[#This Row],[ICR1]:[ICR14]])</f>
        <v>0</v>
      </c>
      <c r="Z198" s="133"/>
      <c r="AA198" s="135"/>
    </row>
    <row r="199" spans="1:27">
      <c r="A199" s="133">
        <v>197</v>
      </c>
      <c r="B199" s="127">
        <f t="shared" si="3"/>
        <v>45579</v>
      </c>
      <c r="C199" s="128">
        <f>YEAR(GC[[#This Row],[Date]])+IF(MONTH(GC[[#This Row],[Date]])&gt;=4,1,0)</f>
        <v>2025</v>
      </c>
      <c r="D199" s="129">
        <f>YEAR(GC[[#This Row],[Date]])</f>
        <v>2024</v>
      </c>
      <c r="E199" s="126" t="s">
        <v>218</v>
      </c>
      <c r="F199" s="126" t="s">
        <v>218</v>
      </c>
      <c r="G199" s="130" t="str">
        <f>TEXT(GC[[#This Row],[Date]],"mmm-yy")</f>
        <v>Oct-24</v>
      </c>
      <c r="H199" s="130">
        <f>DAY(EOMONTH(GC[[#This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26"/>
      <c r="T199" s="126"/>
      <c r="U199" s="126"/>
      <c r="V199" s="126"/>
      <c r="W199" s="126"/>
      <c r="X199" s="126"/>
      <c r="Y199" s="4">
        <f>SUM(GC[[#This Row],[ICR1]:[ICR14]])</f>
        <v>0</v>
      </c>
      <c r="Z199" s="133"/>
      <c r="AA199" s="135"/>
    </row>
    <row r="200" spans="1:27">
      <c r="A200" s="133">
        <v>198</v>
      </c>
      <c r="B200" s="127">
        <f t="shared" si="3"/>
        <v>45580</v>
      </c>
      <c r="C200" s="128">
        <f>YEAR(GC[[#This Row],[Date]])+IF(MONTH(GC[[#This Row],[Date]])&gt;=4,1,0)</f>
        <v>2025</v>
      </c>
      <c r="D200" s="129">
        <f>YEAR(GC[[#This Row],[Date]])</f>
        <v>2024</v>
      </c>
      <c r="E200" s="126" t="s">
        <v>218</v>
      </c>
      <c r="F200" s="126" t="s">
        <v>218</v>
      </c>
      <c r="G200" s="130" t="str">
        <f>TEXT(GC[[#This Row],[Date]],"mmm-yy")</f>
        <v>Oct-24</v>
      </c>
      <c r="H200" s="130">
        <f>DAY(EOMONTH(GC[[#This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26"/>
      <c r="T200" s="126"/>
      <c r="U200" s="126"/>
      <c r="V200" s="126"/>
      <c r="W200" s="126"/>
      <c r="X200" s="126"/>
      <c r="Y200" s="4">
        <f>SUM(GC[[#This Row],[ICR1]:[ICR14]])</f>
        <v>0</v>
      </c>
      <c r="Z200" s="133"/>
      <c r="AA200" s="135"/>
    </row>
    <row r="201" spans="1:27">
      <c r="A201" s="133">
        <v>199</v>
      </c>
      <c r="B201" s="127">
        <f t="shared" si="3"/>
        <v>45581</v>
      </c>
      <c r="C201" s="128">
        <f>YEAR(GC[[#This Row],[Date]])+IF(MONTH(GC[[#This Row],[Date]])&gt;=4,1,0)</f>
        <v>2025</v>
      </c>
      <c r="D201" s="129">
        <f>YEAR(GC[[#This Row],[Date]])</f>
        <v>2024</v>
      </c>
      <c r="E201" s="126" t="s">
        <v>218</v>
      </c>
      <c r="F201" s="126" t="s">
        <v>218</v>
      </c>
      <c r="G201" s="130" t="str">
        <f>TEXT(GC[[#This Row],[Date]],"mmm-yy")</f>
        <v>Oct-24</v>
      </c>
      <c r="H201" s="130">
        <f>DAY(EOMONTH(GC[[#This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26"/>
      <c r="T201" s="126"/>
      <c r="U201" s="126"/>
      <c r="V201" s="126"/>
      <c r="W201" s="126"/>
      <c r="X201" s="126"/>
      <c r="Y201" s="4">
        <f>SUM(GC[[#This Row],[ICR1]:[ICR14]])</f>
        <v>0</v>
      </c>
      <c r="Z201" s="133"/>
      <c r="AA201" s="135"/>
    </row>
    <row r="202" spans="1:27">
      <c r="A202" s="133">
        <v>200</v>
      </c>
      <c r="B202" s="127">
        <f t="shared" si="3"/>
        <v>45582</v>
      </c>
      <c r="C202" s="128">
        <f>YEAR(GC[[#This Row],[Date]])+IF(MONTH(GC[[#This Row],[Date]])&gt;=4,1,0)</f>
        <v>2025</v>
      </c>
      <c r="D202" s="129">
        <f>YEAR(GC[[#This Row],[Date]])</f>
        <v>2024</v>
      </c>
      <c r="E202" s="126" t="s">
        <v>218</v>
      </c>
      <c r="F202" s="126" t="s">
        <v>218</v>
      </c>
      <c r="G202" s="130" t="str">
        <f>TEXT(GC[[#This Row],[Date]],"mmm-yy")</f>
        <v>Oct-24</v>
      </c>
      <c r="H202" s="130">
        <f>DAY(EOMONTH(GC[[#This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26"/>
      <c r="T202" s="126"/>
      <c r="U202" s="126"/>
      <c r="V202" s="126"/>
      <c r="W202" s="126"/>
      <c r="X202" s="126"/>
      <c r="Y202" s="4">
        <f>SUM(GC[[#This Row],[ICR1]:[ICR14]])</f>
        <v>0</v>
      </c>
      <c r="Z202" s="133"/>
      <c r="AA202" s="135"/>
    </row>
    <row r="203" spans="1:27">
      <c r="A203" s="133">
        <v>201</v>
      </c>
      <c r="B203" s="127">
        <f t="shared" si="3"/>
        <v>45583</v>
      </c>
      <c r="C203" s="128">
        <f>YEAR(GC[[#This Row],[Date]])+IF(MONTH(GC[[#This Row],[Date]])&gt;=4,1,0)</f>
        <v>2025</v>
      </c>
      <c r="D203" s="129">
        <f>YEAR(GC[[#This Row],[Date]])</f>
        <v>2024</v>
      </c>
      <c r="E203" s="126" t="s">
        <v>218</v>
      </c>
      <c r="F203" s="126" t="s">
        <v>218</v>
      </c>
      <c r="G203" s="130" t="str">
        <f>TEXT(GC[[#This Row],[Date]],"mmm-yy")</f>
        <v>Oct-24</v>
      </c>
      <c r="H203" s="130">
        <f>DAY(EOMONTH(GC[[#This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26"/>
      <c r="T203" s="126"/>
      <c r="U203" s="126"/>
      <c r="V203" s="126"/>
      <c r="W203" s="126"/>
      <c r="X203" s="126"/>
      <c r="Y203" s="4">
        <f>SUM(GC[[#This Row],[ICR1]:[ICR14]])</f>
        <v>0</v>
      </c>
      <c r="Z203" s="133"/>
      <c r="AA203" s="135"/>
    </row>
    <row r="204" spans="1:27">
      <c r="A204" s="133">
        <v>202</v>
      </c>
      <c r="B204" s="127">
        <f t="shared" si="3"/>
        <v>45584</v>
      </c>
      <c r="C204" s="128">
        <f>YEAR(GC[[#This Row],[Date]])+IF(MONTH(GC[[#This Row],[Date]])&gt;=4,1,0)</f>
        <v>2025</v>
      </c>
      <c r="D204" s="129">
        <f>YEAR(GC[[#This Row],[Date]])</f>
        <v>2024</v>
      </c>
      <c r="E204" s="126" t="s">
        <v>218</v>
      </c>
      <c r="F204" s="126" t="s">
        <v>218</v>
      </c>
      <c r="G204" s="130" t="str">
        <f>TEXT(GC[[#This Row],[Date]],"mmm-yy")</f>
        <v>Oct-24</v>
      </c>
      <c r="H204" s="130">
        <f>DAY(EOMONTH(GC[[#This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26"/>
      <c r="T204" s="126"/>
      <c r="U204" s="126"/>
      <c r="V204" s="126"/>
      <c r="W204" s="126"/>
      <c r="X204" s="126"/>
      <c r="Y204" s="4">
        <f>SUM(GC[[#This Row],[ICR1]:[ICR14]])</f>
        <v>0</v>
      </c>
      <c r="Z204" s="133"/>
      <c r="AA204" s="135"/>
    </row>
    <row r="205" spans="1:27">
      <c r="A205" s="133">
        <v>203</v>
      </c>
      <c r="B205" s="127">
        <f t="shared" si="3"/>
        <v>45585</v>
      </c>
      <c r="C205" s="128">
        <f>YEAR(GC[[#This Row],[Date]])+IF(MONTH(GC[[#This Row],[Date]])&gt;=4,1,0)</f>
        <v>2025</v>
      </c>
      <c r="D205" s="129">
        <f>YEAR(GC[[#This Row],[Date]])</f>
        <v>2024</v>
      </c>
      <c r="E205" s="126" t="s">
        <v>218</v>
      </c>
      <c r="F205" s="126" t="s">
        <v>218</v>
      </c>
      <c r="G205" s="130" t="str">
        <f>TEXT(GC[[#This Row],[Date]],"mmm-yy")</f>
        <v>Oct-24</v>
      </c>
      <c r="H205" s="130">
        <f>DAY(EOMONTH(GC[[#This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26"/>
      <c r="T205" s="126"/>
      <c r="U205" s="126"/>
      <c r="V205" s="126"/>
      <c r="W205" s="126"/>
      <c r="X205" s="126"/>
      <c r="Y205" s="4">
        <f>SUM(GC[[#This Row],[ICR1]:[ICR14]])</f>
        <v>0</v>
      </c>
      <c r="Z205" s="133"/>
      <c r="AA205" s="135"/>
    </row>
    <row r="206" spans="1:27">
      <c r="A206" s="133">
        <v>204</v>
      </c>
      <c r="B206" s="127">
        <f t="shared" si="3"/>
        <v>45586</v>
      </c>
      <c r="C206" s="128">
        <f>YEAR(GC[[#This Row],[Date]])+IF(MONTH(GC[[#This Row],[Date]])&gt;=4,1,0)</f>
        <v>2025</v>
      </c>
      <c r="D206" s="129">
        <f>YEAR(GC[[#This Row],[Date]])</f>
        <v>2024</v>
      </c>
      <c r="E206" s="126" t="s">
        <v>218</v>
      </c>
      <c r="F206" s="126" t="s">
        <v>218</v>
      </c>
      <c r="G206" s="130" t="str">
        <f>TEXT(GC[[#This Row],[Date]],"mmm-yy")</f>
        <v>Oct-24</v>
      </c>
      <c r="H206" s="130">
        <f>DAY(EOMONTH(GC[[#This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26"/>
      <c r="T206" s="126"/>
      <c r="U206" s="126"/>
      <c r="V206" s="126"/>
      <c r="W206" s="126"/>
      <c r="X206" s="126"/>
      <c r="Y206" s="4">
        <f>SUM(GC[[#This Row],[ICR1]:[ICR14]])</f>
        <v>0</v>
      </c>
      <c r="Z206" s="133"/>
      <c r="AA206" s="135"/>
    </row>
    <row r="207" spans="1:27">
      <c r="A207" s="133">
        <v>205</v>
      </c>
      <c r="B207" s="127">
        <f t="shared" si="3"/>
        <v>45587</v>
      </c>
      <c r="C207" s="128">
        <f>YEAR(GC[[#This Row],[Date]])+IF(MONTH(GC[[#This Row],[Date]])&gt;=4,1,0)</f>
        <v>2025</v>
      </c>
      <c r="D207" s="129">
        <f>YEAR(GC[[#This Row],[Date]])</f>
        <v>2024</v>
      </c>
      <c r="E207" s="126" t="s">
        <v>218</v>
      </c>
      <c r="F207" s="126" t="s">
        <v>218</v>
      </c>
      <c r="G207" s="130" t="str">
        <f>TEXT(GC[[#This Row],[Date]],"mmm-yy")</f>
        <v>Oct-24</v>
      </c>
      <c r="H207" s="130">
        <f>DAY(EOMONTH(GC[[#This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26"/>
      <c r="T207" s="126"/>
      <c r="U207" s="126"/>
      <c r="V207" s="126"/>
      <c r="W207" s="126"/>
      <c r="X207" s="126"/>
      <c r="Y207" s="4">
        <f>SUM(GC[[#This Row],[ICR1]:[ICR14]])</f>
        <v>0</v>
      </c>
      <c r="Z207" s="133"/>
      <c r="AA207" s="135"/>
    </row>
    <row r="208" spans="1:27">
      <c r="A208" s="133">
        <v>206</v>
      </c>
      <c r="B208" s="127">
        <f t="shared" si="3"/>
        <v>45588</v>
      </c>
      <c r="C208" s="128">
        <f>YEAR(GC[[#This Row],[Date]])+IF(MONTH(GC[[#This Row],[Date]])&gt;=4,1,0)</f>
        <v>2025</v>
      </c>
      <c r="D208" s="129">
        <f>YEAR(GC[[#This Row],[Date]])</f>
        <v>2024</v>
      </c>
      <c r="E208" s="126" t="s">
        <v>218</v>
      </c>
      <c r="F208" s="126" t="s">
        <v>218</v>
      </c>
      <c r="G208" s="130" t="str">
        <f>TEXT(GC[[#This Row],[Date]],"mmm-yy")</f>
        <v>Oct-24</v>
      </c>
      <c r="H208" s="130">
        <f>DAY(EOMONTH(GC[[#This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26"/>
      <c r="T208" s="126"/>
      <c r="U208" s="126"/>
      <c r="V208" s="126"/>
      <c r="W208" s="126"/>
      <c r="X208" s="126"/>
      <c r="Y208" s="4">
        <f>SUM(GC[[#This Row],[ICR1]:[ICR14]])</f>
        <v>0</v>
      </c>
      <c r="Z208" s="133"/>
      <c r="AA208" s="135"/>
    </row>
    <row r="209" spans="1:27">
      <c r="A209" s="133">
        <v>207</v>
      </c>
      <c r="B209" s="127">
        <f t="shared" si="3"/>
        <v>45589</v>
      </c>
      <c r="C209" s="128">
        <f>YEAR(GC[[#This Row],[Date]])+IF(MONTH(GC[[#This Row],[Date]])&gt;=4,1,0)</f>
        <v>2025</v>
      </c>
      <c r="D209" s="129">
        <f>YEAR(GC[[#This Row],[Date]])</f>
        <v>2024</v>
      </c>
      <c r="E209" s="126" t="s">
        <v>218</v>
      </c>
      <c r="F209" s="126" t="s">
        <v>218</v>
      </c>
      <c r="G209" s="130" t="str">
        <f>TEXT(GC[[#This Row],[Date]],"mmm-yy")</f>
        <v>Oct-24</v>
      </c>
      <c r="H209" s="130">
        <f>DAY(EOMONTH(GC[[#This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26"/>
      <c r="T209" s="126"/>
      <c r="U209" s="126"/>
      <c r="V209" s="126"/>
      <c r="W209" s="126"/>
      <c r="X209" s="126"/>
      <c r="Y209" s="4">
        <f>SUM(GC[[#This Row],[ICR1]:[ICR14]])</f>
        <v>0</v>
      </c>
      <c r="Z209" s="133"/>
      <c r="AA209" s="135"/>
    </row>
    <row r="210" spans="1:27">
      <c r="A210" s="133">
        <v>208</v>
      </c>
      <c r="B210" s="127">
        <f t="shared" si="3"/>
        <v>45590</v>
      </c>
      <c r="C210" s="128">
        <f>YEAR(GC[[#This Row],[Date]])+IF(MONTH(GC[[#This Row],[Date]])&gt;=4,1,0)</f>
        <v>2025</v>
      </c>
      <c r="D210" s="129">
        <f>YEAR(GC[[#This Row],[Date]])</f>
        <v>2024</v>
      </c>
      <c r="E210" s="126" t="s">
        <v>218</v>
      </c>
      <c r="F210" s="126" t="s">
        <v>218</v>
      </c>
      <c r="G210" s="130" t="str">
        <f>TEXT(GC[[#This Row],[Date]],"mmm-yy")</f>
        <v>Oct-24</v>
      </c>
      <c r="H210" s="130">
        <f>DAY(EOMONTH(GC[[#This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26"/>
      <c r="T210" s="126"/>
      <c r="U210" s="126"/>
      <c r="V210" s="126"/>
      <c r="W210" s="126"/>
      <c r="X210" s="126"/>
      <c r="Y210" s="4">
        <f>SUM(GC[[#This Row],[ICR1]:[ICR14]])</f>
        <v>0</v>
      </c>
      <c r="Z210" s="133"/>
      <c r="AA210" s="135"/>
    </row>
    <row r="211" spans="1:27">
      <c r="A211" s="133">
        <v>209</v>
      </c>
      <c r="B211" s="127">
        <f t="shared" si="3"/>
        <v>45591</v>
      </c>
      <c r="C211" s="128">
        <f>YEAR(GC[[#This Row],[Date]])+IF(MONTH(GC[[#This Row],[Date]])&gt;=4,1,0)</f>
        <v>2025</v>
      </c>
      <c r="D211" s="129">
        <f>YEAR(GC[[#This Row],[Date]])</f>
        <v>2024</v>
      </c>
      <c r="E211" s="126" t="s">
        <v>218</v>
      </c>
      <c r="F211" s="126" t="s">
        <v>218</v>
      </c>
      <c r="G211" s="130" t="str">
        <f>TEXT(GC[[#This Row],[Date]],"mmm-yy")</f>
        <v>Oct-24</v>
      </c>
      <c r="H211" s="130">
        <f>DAY(EOMONTH(GC[[#This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26"/>
      <c r="T211" s="126"/>
      <c r="U211" s="126"/>
      <c r="V211" s="126"/>
      <c r="W211" s="126"/>
      <c r="X211" s="126"/>
      <c r="Y211" s="4">
        <f>SUM(GC[[#This Row],[ICR1]:[ICR14]])</f>
        <v>0</v>
      </c>
      <c r="Z211" s="133"/>
      <c r="AA211" s="135"/>
    </row>
    <row r="212" spans="1:27">
      <c r="A212" s="133">
        <v>210</v>
      </c>
      <c r="B212" s="127">
        <f t="shared" si="3"/>
        <v>45592</v>
      </c>
      <c r="C212" s="128">
        <f>YEAR(GC[[#This Row],[Date]])+IF(MONTH(GC[[#This Row],[Date]])&gt;=4,1,0)</f>
        <v>2025</v>
      </c>
      <c r="D212" s="129">
        <f>YEAR(GC[[#This Row],[Date]])</f>
        <v>2024</v>
      </c>
      <c r="E212" s="126" t="s">
        <v>218</v>
      </c>
      <c r="F212" s="126" t="s">
        <v>218</v>
      </c>
      <c r="G212" s="130" t="str">
        <f>TEXT(GC[[#This Row],[Date]],"mmm-yy")</f>
        <v>Oct-24</v>
      </c>
      <c r="H212" s="130">
        <f>DAY(EOMONTH(GC[[#This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26"/>
      <c r="T212" s="126"/>
      <c r="U212" s="126"/>
      <c r="V212" s="126"/>
      <c r="W212" s="126"/>
      <c r="X212" s="126"/>
      <c r="Y212" s="4">
        <f>SUM(GC[[#This Row],[ICR1]:[ICR14]])</f>
        <v>0</v>
      </c>
      <c r="Z212" s="133"/>
      <c r="AA212" s="135"/>
    </row>
    <row r="213" spans="1:27">
      <c r="A213" s="133">
        <v>211</v>
      </c>
      <c r="B213" s="127">
        <f t="shared" si="3"/>
        <v>45593</v>
      </c>
      <c r="C213" s="128">
        <f>YEAR(GC[[#This Row],[Date]])+IF(MONTH(GC[[#This Row],[Date]])&gt;=4,1,0)</f>
        <v>2025</v>
      </c>
      <c r="D213" s="129">
        <f>YEAR(GC[[#This Row],[Date]])</f>
        <v>2024</v>
      </c>
      <c r="E213" s="126" t="s">
        <v>218</v>
      </c>
      <c r="F213" s="126" t="s">
        <v>218</v>
      </c>
      <c r="G213" s="130" t="str">
        <f>TEXT(GC[[#This Row],[Date]],"mmm-yy")</f>
        <v>Oct-24</v>
      </c>
      <c r="H213" s="130">
        <f>DAY(EOMONTH(GC[[#This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26"/>
      <c r="T213" s="126"/>
      <c r="U213" s="126"/>
      <c r="V213" s="126"/>
      <c r="W213" s="126"/>
      <c r="X213" s="126"/>
      <c r="Y213" s="4">
        <f>SUM(GC[[#This Row],[ICR1]:[ICR14]])</f>
        <v>0</v>
      </c>
      <c r="Z213" s="133"/>
      <c r="AA213" s="135"/>
    </row>
    <row r="214" spans="1:27">
      <c r="A214" s="133">
        <v>212</v>
      </c>
      <c r="B214" s="127">
        <f t="shared" si="3"/>
        <v>45594</v>
      </c>
      <c r="C214" s="128">
        <f>YEAR(GC[[#This Row],[Date]])+IF(MONTH(GC[[#This Row],[Date]])&gt;=4,1,0)</f>
        <v>2025</v>
      </c>
      <c r="D214" s="129">
        <f>YEAR(GC[[#This Row],[Date]])</f>
        <v>2024</v>
      </c>
      <c r="E214" s="126" t="s">
        <v>218</v>
      </c>
      <c r="F214" s="126" t="s">
        <v>218</v>
      </c>
      <c r="G214" s="130" t="str">
        <f>TEXT(GC[[#This Row],[Date]],"mmm-yy")</f>
        <v>Oct-24</v>
      </c>
      <c r="H214" s="130">
        <f>DAY(EOMONTH(GC[[#This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26"/>
      <c r="T214" s="126"/>
      <c r="U214" s="126"/>
      <c r="V214" s="126"/>
      <c r="W214" s="126"/>
      <c r="X214" s="126"/>
      <c r="Y214" s="4">
        <f>SUM(GC[[#This Row],[ICR1]:[ICR14]])</f>
        <v>0</v>
      </c>
      <c r="Z214" s="133"/>
      <c r="AA214" s="135"/>
    </row>
    <row r="215" spans="1:27">
      <c r="A215" s="133">
        <v>213</v>
      </c>
      <c r="B215" s="127">
        <f t="shared" si="3"/>
        <v>45595</v>
      </c>
      <c r="C215" s="128">
        <f>YEAR(GC[[#This Row],[Date]])+IF(MONTH(GC[[#This Row],[Date]])&gt;=4,1,0)</f>
        <v>2025</v>
      </c>
      <c r="D215" s="129">
        <f>YEAR(GC[[#This Row],[Date]])</f>
        <v>2024</v>
      </c>
      <c r="E215" s="126" t="s">
        <v>218</v>
      </c>
      <c r="F215" s="126" t="s">
        <v>218</v>
      </c>
      <c r="G215" s="130" t="str">
        <f>TEXT(GC[[#This Row],[Date]],"mmm-yy")</f>
        <v>Oct-24</v>
      </c>
      <c r="H215" s="130">
        <f>DAY(EOMONTH(GC[[#This Row],[Month Year]],0))</f>
        <v>31</v>
      </c>
      <c r="I215" s="133">
        <v>2</v>
      </c>
      <c r="J215" s="133" t="s">
        <v>458</v>
      </c>
      <c r="K215" s="133">
        <v>0</v>
      </c>
      <c r="L215" s="133">
        <v>38</v>
      </c>
      <c r="M215" s="133">
        <v>17</v>
      </c>
      <c r="N215" s="133">
        <v>0</v>
      </c>
      <c r="O215" s="133">
        <v>0</v>
      </c>
      <c r="P215" s="133">
        <v>0</v>
      </c>
      <c r="Q215" s="133">
        <v>0</v>
      </c>
      <c r="R215" s="133">
        <v>0</v>
      </c>
      <c r="S215" s="126"/>
      <c r="T215" s="126"/>
      <c r="U215" s="126"/>
      <c r="V215" s="126"/>
      <c r="W215" s="126"/>
      <c r="X215" s="126"/>
      <c r="Y215" s="4">
        <f>SUM(GC[[#This Row],[ICR1]:[ICR14]])</f>
        <v>55</v>
      </c>
      <c r="Z215" s="133" t="s">
        <v>458</v>
      </c>
      <c r="AA215" s="133" t="s">
        <v>460</v>
      </c>
    </row>
    <row r="216" spans="1:27">
      <c r="A216" s="133">
        <v>214</v>
      </c>
      <c r="B216" s="127">
        <f t="shared" si="3"/>
        <v>45596</v>
      </c>
      <c r="C216" s="128">
        <f>YEAR(GC[[#This Row],[Date]])+IF(MONTH(GC[[#This Row],[Date]])&gt;=4,1,0)</f>
        <v>2025</v>
      </c>
      <c r="D216" s="129">
        <f>YEAR(GC[[#This Row],[Date]])</f>
        <v>2024</v>
      </c>
      <c r="E216" s="126" t="s">
        <v>218</v>
      </c>
      <c r="F216" s="126" t="s">
        <v>218</v>
      </c>
      <c r="G216" s="130" t="str">
        <f>TEXT(GC[[#This Row],[Date]],"mmm-yy")</f>
        <v>Oct-24</v>
      </c>
      <c r="H216" s="130">
        <f>DAY(EOMONTH(GC[[#This Row],[Month Year]],0))</f>
        <v>31</v>
      </c>
      <c r="I216" s="133">
        <v>2</v>
      </c>
      <c r="J216" s="133" t="s">
        <v>458</v>
      </c>
      <c r="K216" s="133">
        <v>0</v>
      </c>
      <c r="L216" s="133">
        <v>16</v>
      </c>
      <c r="M216" s="133">
        <v>32</v>
      </c>
      <c r="N216" s="133">
        <v>0</v>
      </c>
      <c r="O216" s="133">
        <v>0</v>
      </c>
      <c r="P216" s="133">
        <v>0</v>
      </c>
      <c r="Q216" s="133">
        <v>0</v>
      </c>
      <c r="R216" s="133">
        <v>0</v>
      </c>
      <c r="S216" s="126"/>
      <c r="T216" s="126"/>
      <c r="U216" s="126"/>
      <c r="V216" s="126"/>
      <c r="W216" s="126"/>
      <c r="X216" s="126"/>
      <c r="Y216" s="4">
        <f>SUM(GC[[#This Row],[ICR1]:[ICR14]])</f>
        <v>48</v>
      </c>
      <c r="Z216" s="133" t="s">
        <v>458</v>
      </c>
      <c r="AA216" s="133" t="s">
        <v>461</v>
      </c>
    </row>
    <row r="217" spans="1:27">
      <c r="A217" s="133">
        <v>215</v>
      </c>
      <c r="B217" s="127">
        <f t="shared" si="3"/>
        <v>45597</v>
      </c>
      <c r="C217" s="128">
        <f>YEAR(GC[[#This Row],[Date]])+IF(MONTH(GC[[#This Row],[Date]])&gt;=4,1,0)</f>
        <v>2025</v>
      </c>
      <c r="D217" s="129">
        <f>YEAR(GC[[#This Row],[Date]])</f>
        <v>2024</v>
      </c>
      <c r="E217" s="126" t="s">
        <v>218</v>
      </c>
      <c r="F217" s="126" t="s">
        <v>218</v>
      </c>
      <c r="G217" s="130" t="str">
        <f>TEXT(GC[[#This Row],[Date]],"mmm-yy")</f>
        <v>Nov-24</v>
      </c>
      <c r="H217" s="130">
        <f>DAY(EOMONTH(GC[[#This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26"/>
      <c r="T217" s="126"/>
      <c r="U217" s="126"/>
      <c r="V217" s="126"/>
      <c r="W217" s="126"/>
      <c r="X217" s="126"/>
      <c r="Y217" s="4">
        <f>SUM(GC[[#This Row],[ICR1]:[ICR14]])</f>
        <v>0</v>
      </c>
      <c r="Z217" s="133"/>
      <c r="AA217" s="135"/>
    </row>
    <row r="218" spans="1:27">
      <c r="A218" s="133">
        <v>216</v>
      </c>
      <c r="B218" s="127">
        <f t="shared" si="3"/>
        <v>45598</v>
      </c>
      <c r="C218" s="128">
        <f>YEAR(GC[[#This Row],[Date]])+IF(MONTH(GC[[#This Row],[Date]])&gt;=4,1,0)</f>
        <v>2025</v>
      </c>
      <c r="D218" s="129">
        <f>YEAR(GC[[#This Row],[Date]])</f>
        <v>2024</v>
      </c>
      <c r="E218" s="126" t="s">
        <v>218</v>
      </c>
      <c r="F218" s="126" t="s">
        <v>218</v>
      </c>
      <c r="G218" s="130" t="str">
        <f>TEXT(GC[[#This Row],[Date]],"mmm-yy")</f>
        <v>Nov-24</v>
      </c>
      <c r="H218" s="130">
        <f>DAY(EOMONTH(GC[[#This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26"/>
      <c r="T218" s="126"/>
      <c r="U218" s="126"/>
      <c r="V218" s="126"/>
      <c r="W218" s="126"/>
      <c r="X218" s="126"/>
      <c r="Y218" s="4">
        <f>SUM(GC[[#This Row],[ICR1]:[ICR14]])</f>
        <v>0</v>
      </c>
      <c r="Z218" s="133"/>
      <c r="AA218" s="135"/>
    </row>
    <row r="219" spans="1:27">
      <c r="A219" s="133">
        <v>217</v>
      </c>
      <c r="B219" s="127">
        <f t="shared" si="3"/>
        <v>45599</v>
      </c>
      <c r="C219" s="128">
        <f>YEAR(GC[[#This Row],[Date]])+IF(MONTH(GC[[#This Row],[Date]])&gt;=4,1,0)</f>
        <v>2025</v>
      </c>
      <c r="D219" s="129">
        <f>YEAR(GC[[#This Row],[Date]])</f>
        <v>2024</v>
      </c>
      <c r="E219" s="126" t="s">
        <v>218</v>
      </c>
      <c r="F219" s="126" t="s">
        <v>218</v>
      </c>
      <c r="G219" s="130" t="str">
        <f>TEXT(GC[[#This Row],[Date]],"mmm-yy")</f>
        <v>Nov-24</v>
      </c>
      <c r="H219" s="130">
        <f>DAY(EOMONTH(GC[[#This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26"/>
      <c r="T219" s="126"/>
      <c r="U219" s="126"/>
      <c r="V219" s="126"/>
      <c r="W219" s="126"/>
      <c r="X219" s="126"/>
      <c r="Y219" s="4">
        <f>SUM(GC[[#This Row],[ICR1]:[ICR14]])</f>
        <v>0</v>
      </c>
      <c r="Z219" s="133"/>
      <c r="AA219" s="135"/>
    </row>
    <row r="220" spans="1:27">
      <c r="A220" s="133">
        <v>218</v>
      </c>
      <c r="B220" s="127">
        <f t="shared" si="3"/>
        <v>45600</v>
      </c>
      <c r="C220" s="128">
        <f>YEAR(GC[[#This Row],[Date]])+IF(MONTH(GC[[#This Row],[Date]])&gt;=4,1,0)</f>
        <v>2025</v>
      </c>
      <c r="D220" s="129">
        <f>YEAR(GC[[#This Row],[Date]])</f>
        <v>2024</v>
      </c>
      <c r="E220" s="126" t="s">
        <v>218</v>
      </c>
      <c r="F220" s="126" t="s">
        <v>218</v>
      </c>
      <c r="G220" s="130" t="str">
        <f>TEXT(GC[[#This Row],[Date]],"mmm-yy")</f>
        <v>Nov-24</v>
      </c>
      <c r="H220" s="130">
        <f>DAY(EOMONTH(GC[[#This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26"/>
      <c r="T220" s="126"/>
      <c r="U220" s="126"/>
      <c r="V220" s="126"/>
      <c r="W220" s="126"/>
      <c r="X220" s="126"/>
      <c r="Y220" s="4">
        <f>SUM(GC[[#This Row],[ICR1]:[ICR14]])</f>
        <v>0</v>
      </c>
      <c r="Z220" s="133"/>
      <c r="AA220" s="135"/>
    </row>
    <row r="221" spans="1:27">
      <c r="A221" s="133">
        <v>219</v>
      </c>
      <c r="B221" s="127">
        <f t="shared" si="3"/>
        <v>45601</v>
      </c>
      <c r="C221" s="128">
        <f>YEAR(GC[[#This Row],[Date]])+IF(MONTH(GC[[#This Row],[Date]])&gt;=4,1,0)</f>
        <v>2025</v>
      </c>
      <c r="D221" s="129">
        <f>YEAR(GC[[#This Row],[Date]])</f>
        <v>2024</v>
      </c>
      <c r="E221" s="126" t="s">
        <v>218</v>
      </c>
      <c r="F221" s="126" t="s">
        <v>218</v>
      </c>
      <c r="G221" s="130" t="str">
        <f>TEXT(GC[[#This Row],[Date]],"mmm-yy")</f>
        <v>Nov-24</v>
      </c>
      <c r="H221" s="130">
        <f>DAY(EOMONTH(GC[[#This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26"/>
      <c r="T221" s="126"/>
      <c r="U221" s="126"/>
      <c r="V221" s="126"/>
      <c r="W221" s="126"/>
      <c r="X221" s="126"/>
      <c r="Y221" s="4">
        <f>SUM(GC[[#This Row],[ICR1]:[ICR14]])</f>
        <v>0</v>
      </c>
      <c r="Z221" s="133"/>
      <c r="AA221" s="135"/>
    </row>
    <row r="222" spans="1:27">
      <c r="A222" s="133">
        <v>220</v>
      </c>
      <c r="B222" s="127">
        <f t="shared" si="3"/>
        <v>45602</v>
      </c>
      <c r="C222" s="128">
        <f>YEAR(GC[[#This Row],[Date]])+IF(MONTH(GC[[#This Row],[Date]])&gt;=4,1,0)</f>
        <v>2025</v>
      </c>
      <c r="D222" s="129">
        <f>YEAR(GC[[#This Row],[Date]])</f>
        <v>2024</v>
      </c>
      <c r="E222" s="126" t="s">
        <v>218</v>
      </c>
      <c r="F222" s="126" t="s">
        <v>218</v>
      </c>
      <c r="G222" s="130" t="str">
        <f>TEXT(GC[[#This Row],[Date]],"mmm-yy")</f>
        <v>Nov-24</v>
      </c>
      <c r="H222" s="130">
        <f>DAY(EOMONTH(GC[[#This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26"/>
      <c r="T222" s="126"/>
      <c r="U222" s="126"/>
      <c r="V222" s="126"/>
      <c r="W222" s="126"/>
      <c r="X222" s="126"/>
      <c r="Y222" s="4">
        <f>SUM(GC[[#This Row],[ICR1]:[ICR14]])</f>
        <v>0</v>
      </c>
      <c r="Z222" s="133"/>
      <c r="AA222" s="135"/>
    </row>
    <row r="223" spans="1:27">
      <c r="A223" s="133">
        <v>221</v>
      </c>
      <c r="B223" s="127">
        <f t="shared" si="3"/>
        <v>45603</v>
      </c>
      <c r="C223" s="128">
        <f>YEAR(GC[[#This Row],[Date]])+IF(MONTH(GC[[#This Row],[Date]])&gt;=4,1,0)</f>
        <v>2025</v>
      </c>
      <c r="D223" s="129">
        <f>YEAR(GC[[#This Row],[Date]])</f>
        <v>2024</v>
      </c>
      <c r="E223" s="126" t="s">
        <v>218</v>
      </c>
      <c r="F223" s="126" t="s">
        <v>218</v>
      </c>
      <c r="G223" s="130" t="str">
        <f>TEXT(GC[[#This Row],[Date]],"mmm-yy")</f>
        <v>Nov-24</v>
      </c>
      <c r="H223" s="130">
        <f>DAY(EOMONTH(GC[[#This Row],[Month Year]],0))</f>
        <v>30</v>
      </c>
      <c r="I223" s="133">
        <v>2</v>
      </c>
      <c r="J223" s="133" t="s">
        <v>458</v>
      </c>
      <c r="K223" s="133">
        <v>0</v>
      </c>
      <c r="L223" s="133">
        <v>0</v>
      </c>
      <c r="M223" s="133">
        <v>61</v>
      </c>
      <c r="N223" s="133">
        <v>0</v>
      </c>
      <c r="O223" s="133">
        <v>0</v>
      </c>
      <c r="P223" s="133">
        <v>0</v>
      </c>
      <c r="Q223" s="133">
        <v>0</v>
      </c>
      <c r="R223" s="133">
        <v>0</v>
      </c>
      <c r="S223" s="126"/>
      <c r="T223" s="126"/>
      <c r="U223" s="126"/>
      <c r="V223" s="126"/>
      <c r="W223" s="126"/>
      <c r="X223" s="126"/>
      <c r="Y223" s="4">
        <f>SUM(GC[[#This Row],[ICR1]:[ICR14]])</f>
        <v>61</v>
      </c>
      <c r="Z223" s="133" t="s">
        <v>458</v>
      </c>
      <c r="AA223" s="133" t="s">
        <v>462</v>
      </c>
    </row>
    <row r="224" spans="1:27">
      <c r="A224" s="133">
        <v>222</v>
      </c>
      <c r="B224" s="127">
        <f t="shared" si="3"/>
        <v>45604</v>
      </c>
      <c r="C224" s="128">
        <f>YEAR(GC[[#This Row],[Date]])+IF(MONTH(GC[[#This Row],[Date]])&gt;=4,1,0)</f>
        <v>2025</v>
      </c>
      <c r="D224" s="129">
        <f>YEAR(GC[[#This Row],[Date]])</f>
        <v>2024</v>
      </c>
      <c r="E224" s="126" t="s">
        <v>218</v>
      </c>
      <c r="F224" s="126" t="s">
        <v>218</v>
      </c>
      <c r="G224" s="130" t="str">
        <f>TEXT(GC[[#This Row],[Date]],"mmm-yy")</f>
        <v>Nov-24</v>
      </c>
      <c r="H224" s="130">
        <f>DAY(EOMONTH(GC[[#This Row],[Month Year]],0))</f>
        <v>30</v>
      </c>
      <c r="I224" s="133">
        <v>2</v>
      </c>
      <c r="J224" s="133" t="s">
        <v>458</v>
      </c>
      <c r="K224" s="133">
        <v>24</v>
      </c>
      <c r="L224" s="133">
        <v>0</v>
      </c>
      <c r="M224" s="133">
        <v>35</v>
      </c>
      <c r="N224" s="133">
        <v>0</v>
      </c>
      <c r="O224" s="133">
        <v>0</v>
      </c>
      <c r="P224" s="133">
        <v>0</v>
      </c>
      <c r="Q224" s="133">
        <v>0</v>
      </c>
      <c r="R224" s="133">
        <v>0</v>
      </c>
      <c r="S224" s="126"/>
      <c r="T224" s="126"/>
      <c r="U224" s="126"/>
      <c r="V224" s="126"/>
      <c r="W224" s="126"/>
      <c r="X224" s="126"/>
      <c r="Y224" s="4">
        <f>SUM(GC[[#This Row],[ICR1]:[ICR14]])</f>
        <v>59</v>
      </c>
      <c r="Z224" s="133" t="s">
        <v>458</v>
      </c>
      <c r="AA224" s="133" t="s">
        <v>463</v>
      </c>
    </row>
    <row r="225" spans="1:27">
      <c r="A225" s="133">
        <v>223</v>
      </c>
      <c r="B225" s="127">
        <f t="shared" si="3"/>
        <v>45605</v>
      </c>
      <c r="C225" s="128">
        <f>YEAR(GC[[#This Row],[Date]])+IF(MONTH(GC[[#This Row],[Date]])&gt;=4,1,0)</f>
        <v>2025</v>
      </c>
      <c r="D225" s="129">
        <f>YEAR(GC[[#This Row],[Date]])</f>
        <v>2024</v>
      </c>
      <c r="E225" s="126" t="s">
        <v>218</v>
      </c>
      <c r="F225" s="126" t="s">
        <v>218</v>
      </c>
      <c r="G225" s="130" t="str">
        <f>TEXT(GC[[#This Row],[Date]],"mmm-yy")</f>
        <v>Nov-24</v>
      </c>
      <c r="H225" s="130">
        <f>DAY(EOMONTH(GC[[#This Row],[Month Year]],0))</f>
        <v>30</v>
      </c>
      <c r="I225" s="133">
        <v>2</v>
      </c>
      <c r="J225" s="133" t="s">
        <v>458</v>
      </c>
      <c r="K225" s="133">
        <v>0</v>
      </c>
      <c r="L225" s="133">
        <v>35</v>
      </c>
      <c r="M225" s="133">
        <v>10</v>
      </c>
      <c r="N225" s="133">
        <v>6</v>
      </c>
      <c r="O225" s="133">
        <v>0</v>
      </c>
      <c r="P225" s="133">
        <v>0</v>
      </c>
      <c r="Q225" s="133">
        <v>0</v>
      </c>
      <c r="R225" s="133">
        <v>0</v>
      </c>
      <c r="S225" s="126"/>
      <c r="T225" s="126"/>
      <c r="U225" s="126"/>
      <c r="V225" s="126"/>
      <c r="W225" s="126"/>
      <c r="X225" s="126"/>
      <c r="Y225" s="4">
        <f>SUM(GC[[#This Row],[ICR1]:[ICR14]])</f>
        <v>51</v>
      </c>
      <c r="Z225" s="133" t="s">
        <v>458</v>
      </c>
      <c r="AA225" s="133" t="s">
        <v>464</v>
      </c>
    </row>
    <row r="226" spans="1:27">
      <c r="A226" s="133">
        <v>224</v>
      </c>
      <c r="B226" s="127">
        <f t="shared" si="3"/>
        <v>45606</v>
      </c>
      <c r="C226" s="128">
        <f>YEAR(GC[[#This Row],[Date]])+IF(MONTH(GC[[#This Row],[Date]])&gt;=4,1,0)</f>
        <v>2025</v>
      </c>
      <c r="D226" s="129">
        <f>YEAR(GC[[#This Row],[Date]])</f>
        <v>2024</v>
      </c>
      <c r="E226" s="126" t="s">
        <v>218</v>
      </c>
      <c r="F226" s="126" t="s">
        <v>218</v>
      </c>
      <c r="G226" s="130" t="str">
        <f>TEXT(GC[[#This Row],[Date]],"mmm-yy")</f>
        <v>Nov-24</v>
      </c>
      <c r="H226" s="130">
        <f>DAY(EOMONTH(GC[[#This Row],[Month Year]],0))</f>
        <v>30</v>
      </c>
      <c r="I226" s="133">
        <v>2</v>
      </c>
      <c r="J226" s="133" t="s">
        <v>458</v>
      </c>
      <c r="K226" s="133">
        <v>0</v>
      </c>
      <c r="L226" s="133">
        <v>30</v>
      </c>
      <c r="M226" s="133">
        <v>6</v>
      </c>
      <c r="N226" s="133">
        <v>17</v>
      </c>
      <c r="O226" s="133">
        <v>0</v>
      </c>
      <c r="P226" s="133">
        <v>0</v>
      </c>
      <c r="Q226" s="133">
        <v>0</v>
      </c>
      <c r="R226" s="133">
        <v>0</v>
      </c>
      <c r="S226" s="126"/>
      <c r="T226" s="126"/>
      <c r="U226" s="126"/>
      <c r="V226" s="126"/>
      <c r="W226" s="126"/>
      <c r="X226" s="126"/>
      <c r="Y226" s="4">
        <f>SUM(GC[[#This Row],[ICR1]:[ICR14]])</f>
        <v>53</v>
      </c>
      <c r="Z226" s="133" t="s">
        <v>458</v>
      </c>
      <c r="AA226" s="133" t="s">
        <v>465</v>
      </c>
    </row>
    <row r="227" spans="1:27">
      <c r="A227" s="133">
        <v>225</v>
      </c>
      <c r="B227" s="127">
        <f t="shared" si="3"/>
        <v>45607</v>
      </c>
      <c r="C227" s="128">
        <f>YEAR(GC[[#This Row],[Date]])+IF(MONTH(GC[[#This Row],[Date]])&gt;=4,1,0)</f>
        <v>2025</v>
      </c>
      <c r="D227" s="129">
        <f>YEAR(GC[[#This Row],[Date]])</f>
        <v>2024</v>
      </c>
      <c r="E227" s="126" t="s">
        <v>218</v>
      </c>
      <c r="F227" s="126" t="s">
        <v>218</v>
      </c>
      <c r="G227" s="130" t="str">
        <f>TEXT(GC[[#This Row],[Date]],"mmm-yy")</f>
        <v>Nov-24</v>
      </c>
      <c r="H227" s="130">
        <f>DAY(EOMONTH(GC[[#This Row],[Month Year]],0))</f>
        <v>30</v>
      </c>
      <c r="I227" s="133">
        <v>2</v>
      </c>
      <c r="J227" s="133" t="s">
        <v>458</v>
      </c>
      <c r="K227" s="133">
        <v>0</v>
      </c>
      <c r="L227" s="133">
        <v>18</v>
      </c>
      <c r="M227" s="133">
        <v>0</v>
      </c>
      <c r="N227" s="133">
        <v>35</v>
      </c>
      <c r="O227" s="133">
        <v>0</v>
      </c>
      <c r="P227" s="133">
        <v>0</v>
      </c>
      <c r="Q227" s="133">
        <v>0</v>
      </c>
      <c r="R227" s="133">
        <v>0</v>
      </c>
      <c r="S227" s="126"/>
      <c r="T227" s="126"/>
      <c r="U227" s="126"/>
      <c r="V227" s="126"/>
      <c r="W227" s="126"/>
      <c r="X227" s="126"/>
      <c r="Y227" s="4">
        <f>SUM(GC[[#This Row],[ICR1]:[ICR14]])</f>
        <v>53</v>
      </c>
      <c r="Z227" s="133" t="s">
        <v>458</v>
      </c>
      <c r="AA227" s="133" t="s">
        <v>465</v>
      </c>
    </row>
    <row r="228" spans="1:27">
      <c r="A228" s="133">
        <v>226</v>
      </c>
      <c r="B228" s="127">
        <f t="shared" si="3"/>
        <v>45608</v>
      </c>
      <c r="C228" s="128">
        <f>YEAR(GC[[#This Row],[Date]])+IF(MONTH(GC[[#This Row],[Date]])&gt;=4,1,0)</f>
        <v>2025</v>
      </c>
      <c r="D228" s="129">
        <f>YEAR(GC[[#This Row],[Date]])</f>
        <v>2024</v>
      </c>
      <c r="E228" s="126" t="s">
        <v>218</v>
      </c>
      <c r="F228" s="126" t="s">
        <v>218</v>
      </c>
      <c r="G228" s="130" t="str">
        <f>TEXT(GC[[#This Row],[Date]],"mmm-yy")</f>
        <v>Nov-24</v>
      </c>
      <c r="H228" s="130">
        <f>DAY(EOMONTH(GC[[#This Row],[Month Year]],0))</f>
        <v>30</v>
      </c>
      <c r="I228" s="133">
        <v>2</v>
      </c>
      <c r="J228" s="133" t="s">
        <v>458</v>
      </c>
      <c r="K228" s="133">
        <v>0</v>
      </c>
      <c r="L228" s="133">
        <v>14</v>
      </c>
      <c r="M228" s="133">
        <v>0</v>
      </c>
      <c r="N228" s="133">
        <v>34</v>
      </c>
      <c r="O228" s="133">
        <v>0</v>
      </c>
      <c r="P228" s="133">
        <v>0</v>
      </c>
      <c r="Q228" s="133">
        <v>0</v>
      </c>
      <c r="R228" s="133">
        <v>0</v>
      </c>
      <c r="S228" s="126"/>
      <c r="T228" s="126"/>
      <c r="U228" s="126"/>
      <c r="V228" s="126"/>
      <c r="W228" s="126"/>
      <c r="X228" s="126"/>
      <c r="Y228" s="4">
        <f>SUM(GC[[#This Row],[ICR1]:[ICR14]])</f>
        <v>48</v>
      </c>
      <c r="Z228" s="133" t="s">
        <v>458</v>
      </c>
      <c r="AA228" s="133" t="s">
        <v>461</v>
      </c>
    </row>
    <row r="229" spans="1:27">
      <c r="A229" s="133">
        <v>227</v>
      </c>
      <c r="B229" s="127">
        <f t="shared" si="3"/>
        <v>45609</v>
      </c>
      <c r="C229" s="128">
        <f>YEAR(GC[[#This Row],[Date]])+IF(MONTH(GC[[#This Row],[Date]])&gt;=4,1,0)</f>
        <v>2025</v>
      </c>
      <c r="D229" s="129">
        <f>YEAR(GC[[#This Row],[Date]])</f>
        <v>2024</v>
      </c>
      <c r="E229" s="126" t="s">
        <v>218</v>
      </c>
      <c r="F229" s="126" t="s">
        <v>218</v>
      </c>
      <c r="G229" s="130" t="str">
        <f>TEXT(GC[[#This Row],[Date]],"mmm-yy")</f>
        <v>Nov-24</v>
      </c>
      <c r="H229" s="130">
        <f>DAY(EOMONTH(GC[[#This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26"/>
      <c r="T229" s="126"/>
      <c r="U229" s="126"/>
      <c r="V229" s="126"/>
      <c r="W229" s="126"/>
      <c r="X229" s="126"/>
      <c r="Y229" s="4">
        <f>SUM(GC[[#This Row],[ICR1]:[ICR14]])</f>
        <v>0</v>
      </c>
      <c r="Z229" s="133"/>
      <c r="AA229" s="133"/>
    </row>
    <row r="230" spans="1:27">
      <c r="A230" s="133">
        <v>228</v>
      </c>
      <c r="B230" s="127">
        <f t="shared" si="3"/>
        <v>45610</v>
      </c>
      <c r="C230" s="128">
        <f>YEAR(GC[[#This Row],[Date]])+IF(MONTH(GC[[#This Row],[Date]])&gt;=4,1,0)</f>
        <v>2025</v>
      </c>
      <c r="D230" s="129">
        <f>YEAR(GC[[#This Row],[Date]])</f>
        <v>2024</v>
      </c>
      <c r="E230" s="126" t="s">
        <v>218</v>
      </c>
      <c r="F230" s="126" t="s">
        <v>218</v>
      </c>
      <c r="G230" s="130" t="str">
        <f>TEXT(GC[[#This Row],[Date]],"mmm-yy")</f>
        <v>Nov-24</v>
      </c>
      <c r="H230" s="130">
        <f>DAY(EOMONTH(GC[[#This Row],[Month Year]],0))</f>
        <v>30</v>
      </c>
      <c r="I230" s="133">
        <v>2</v>
      </c>
      <c r="J230" s="133" t="s">
        <v>458</v>
      </c>
      <c r="K230" s="133">
        <v>32</v>
      </c>
      <c r="L230" s="133">
        <v>0</v>
      </c>
      <c r="M230" s="133">
        <v>0</v>
      </c>
      <c r="N230" s="133">
        <v>0</v>
      </c>
      <c r="O230" s="133">
        <v>0</v>
      </c>
      <c r="P230" s="133">
        <v>0</v>
      </c>
      <c r="Q230" s="133">
        <v>0</v>
      </c>
      <c r="R230" s="133">
        <v>0</v>
      </c>
      <c r="S230" s="126"/>
      <c r="T230" s="126"/>
      <c r="U230" s="126"/>
      <c r="V230" s="126"/>
      <c r="W230" s="126"/>
      <c r="X230" s="126"/>
      <c r="Y230" s="4">
        <f>SUM(GC[[#This Row],[ICR1]:[ICR14]])</f>
        <v>32</v>
      </c>
      <c r="Z230" s="133" t="s">
        <v>458</v>
      </c>
      <c r="AA230" s="133" t="s">
        <v>466</v>
      </c>
    </row>
    <row r="231" spans="1:27">
      <c r="A231" s="133">
        <v>229</v>
      </c>
      <c r="B231" s="127">
        <f t="shared" si="3"/>
        <v>45611</v>
      </c>
      <c r="C231" s="128">
        <f>YEAR(GC[[#This Row],[Date]])+IF(MONTH(GC[[#This Row],[Date]])&gt;=4,1,0)</f>
        <v>2025</v>
      </c>
      <c r="D231" s="129">
        <f>YEAR(GC[[#This Row],[Date]])</f>
        <v>2024</v>
      </c>
      <c r="E231" s="126" t="s">
        <v>218</v>
      </c>
      <c r="F231" s="126" t="s">
        <v>218</v>
      </c>
      <c r="G231" s="130" t="str">
        <f>TEXT(GC[[#This Row],[Date]],"mmm-yy")</f>
        <v>Nov-24</v>
      </c>
      <c r="H231" s="130">
        <f>DAY(EOMONTH(GC[[#This Row],[Month Year]],0))</f>
        <v>30</v>
      </c>
      <c r="I231" s="133">
        <v>2</v>
      </c>
      <c r="J231" s="133" t="s">
        <v>458</v>
      </c>
      <c r="K231" s="133">
        <v>30</v>
      </c>
      <c r="L231" s="133">
        <v>15</v>
      </c>
      <c r="M231" s="133">
        <v>0</v>
      </c>
      <c r="N231" s="133">
        <v>15</v>
      </c>
      <c r="O231" s="133">
        <v>0</v>
      </c>
      <c r="P231" s="133">
        <v>0</v>
      </c>
      <c r="Q231" s="133">
        <v>0</v>
      </c>
      <c r="R231" s="133">
        <v>0</v>
      </c>
      <c r="S231" s="126"/>
      <c r="T231" s="126"/>
      <c r="U231" s="126"/>
      <c r="V231" s="126"/>
      <c r="W231" s="126"/>
      <c r="X231" s="126"/>
      <c r="Y231" s="4">
        <f>SUM(GC[[#This Row],[ICR1]:[ICR14]])</f>
        <v>60</v>
      </c>
      <c r="Z231" s="133" t="s">
        <v>458</v>
      </c>
      <c r="AA231" s="133" t="s">
        <v>467</v>
      </c>
    </row>
    <row r="232" spans="1:27">
      <c r="A232" s="133">
        <v>230</v>
      </c>
      <c r="B232" s="127">
        <f t="shared" si="3"/>
        <v>45612</v>
      </c>
      <c r="C232" s="128">
        <f>YEAR(GC[[#This Row],[Date]])+IF(MONTH(GC[[#This Row],[Date]])&gt;=4,1,0)</f>
        <v>2025</v>
      </c>
      <c r="D232" s="129">
        <f>YEAR(GC[[#This Row],[Date]])</f>
        <v>2024</v>
      </c>
      <c r="E232" s="126" t="s">
        <v>218</v>
      </c>
      <c r="F232" s="126" t="s">
        <v>218</v>
      </c>
      <c r="G232" s="130" t="str">
        <f>TEXT(GC[[#This Row],[Date]],"mmm-yy")</f>
        <v>Nov-24</v>
      </c>
      <c r="H232" s="130">
        <f>DAY(EOMONTH(GC[[#This Row],[Month Year]],0))</f>
        <v>30</v>
      </c>
      <c r="I232" s="133">
        <v>2</v>
      </c>
      <c r="J232" s="133" t="s">
        <v>458</v>
      </c>
      <c r="K232" s="133">
        <v>34</v>
      </c>
      <c r="L232" s="133">
        <v>18</v>
      </c>
      <c r="M232" s="133">
        <v>0</v>
      </c>
      <c r="N232" s="133">
        <v>14</v>
      </c>
      <c r="O232" s="133">
        <v>0</v>
      </c>
      <c r="P232" s="133">
        <v>0</v>
      </c>
      <c r="Q232" s="133">
        <v>0</v>
      </c>
      <c r="R232" s="133">
        <v>0</v>
      </c>
      <c r="S232" s="126"/>
      <c r="T232" s="126"/>
      <c r="U232" s="126"/>
      <c r="V232" s="126"/>
      <c r="W232" s="126"/>
      <c r="X232" s="126"/>
      <c r="Y232" s="4">
        <f>SUM(GC[[#This Row],[ICR1]:[ICR14]])</f>
        <v>66</v>
      </c>
      <c r="Z232" s="133" t="s">
        <v>458</v>
      </c>
      <c r="AA232" s="133" t="s">
        <v>468</v>
      </c>
    </row>
    <row r="233" spans="1:27">
      <c r="A233" s="133">
        <v>231</v>
      </c>
      <c r="B233" s="127">
        <f t="shared" si="3"/>
        <v>45613</v>
      </c>
      <c r="C233" s="128">
        <f>YEAR(GC[[#This Row],[Date]])+IF(MONTH(GC[[#This Row],[Date]])&gt;=4,1,0)</f>
        <v>2025</v>
      </c>
      <c r="D233" s="129">
        <f>YEAR(GC[[#This Row],[Date]])</f>
        <v>2024</v>
      </c>
      <c r="E233" s="126" t="s">
        <v>218</v>
      </c>
      <c r="F233" s="126" t="s">
        <v>218</v>
      </c>
      <c r="G233" s="130" t="str">
        <f>TEXT(GC[[#This Row],[Date]],"mmm-yy")</f>
        <v>Nov-24</v>
      </c>
      <c r="H233" s="130">
        <f>DAY(EOMONTH(GC[[#This Row],[Month Year]],0))</f>
        <v>30</v>
      </c>
      <c r="I233" s="133">
        <v>2</v>
      </c>
      <c r="J233" s="133" t="s">
        <v>458</v>
      </c>
      <c r="K233" s="133">
        <v>0</v>
      </c>
      <c r="L233" s="133">
        <v>22</v>
      </c>
      <c r="M233" s="133">
        <v>0</v>
      </c>
      <c r="N233" s="133">
        <v>35</v>
      </c>
      <c r="O233" s="133">
        <v>11</v>
      </c>
      <c r="P233" s="133">
        <v>0</v>
      </c>
      <c r="Q233" s="133">
        <v>0</v>
      </c>
      <c r="R233" s="133">
        <v>0</v>
      </c>
      <c r="S233" s="126"/>
      <c r="T233" s="126"/>
      <c r="U233" s="126"/>
      <c r="V233" s="126"/>
      <c r="W233" s="126"/>
      <c r="X233" s="126"/>
      <c r="Y233" s="4">
        <f>SUM(GC[[#This Row],[ICR1]:[ICR14]])</f>
        <v>68</v>
      </c>
      <c r="Z233" s="133" t="s">
        <v>458</v>
      </c>
      <c r="AA233" s="133" t="s">
        <v>469</v>
      </c>
    </row>
    <row r="234" spans="1:27">
      <c r="A234" s="133">
        <v>232</v>
      </c>
      <c r="B234" s="127">
        <f t="shared" si="3"/>
        <v>45614</v>
      </c>
      <c r="C234" s="128">
        <f>YEAR(GC[[#This Row],[Date]])+IF(MONTH(GC[[#This Row],[Date]])&gt;=4,1,0)</f>
        <v>2025</v>
      </c>
      <c r="D234" s="129">
        <f>YEAR(GC[[#This Row],[Date]])</f>
        <v>2024</v>
      </c>
      <c r="E234" s="126" t="s">
        <v>218</v>
      </c>
      <c r="F234" s="126" t="s">
        <v>218</v>
      </c>
      <c r="G234" s="130" t="str">
        <f>TEXT(GC[[#This Row],[Date]],"mmm-yy")</f>
        <v>Nov-24</v>
      </c>
      <c r="H234" s="130">
        <f>DAY(EOMONTH(GC[[#This Row],[Month Year]],0))</f>
        <v>30</v>
      </c>
      <c r="I234" s="133">
        <v>2</v>
      </c>
      <c r="J234" s="133" t="s">
        <v>458</v>
      </c>
      <c r="K234" s="133">
        <v>0</v>
      </c>
      <c r="L234" s="133">
        <v>0</v>
      </c>
      <c r="M234" s="133">
        <v>0</v>
      </c>
      <c r="N234" s="133">
        <v>45</v>
      </c>
      <c r="O234" s="133">
        <v>35</v>
      </c>
      <c r="P234" s="133">
        <v>0</v>
      </c>
      <c r="Q234" s="133">
        <v>0</v>
      </c>
      <c r="R234" s="133">
        <v>0</v>
      </c>
      <c r="S234" s="126"/>
      <c r="T234" s="126"/>
      <c r="U234" s="126"/>
      <c r="V234" s="126"/>
      <c r="W234" s="126"/>
      <c r="X234" s="126"/>
      <c r="Y234" s="4">
        <f>SUM(GC[[#This Row],[ICR1]:[ICR14]])</f>
        <v>80</v>
      </c>
      <c r="Z234" s="133" t="s">
        <v>458</v>
      </c>
      <c r="AA234" s="133" t="s">
        <v>470</v>
      </c>
    </row>
    <row r="235" spans="1:27">
      <c r="A235" s="133">
        <v>233</v>
      </c>
      <c r="B235" s="127">
        <f t="shared" si="3"/>
        <v>45615</v>
      </c>
      <c r="C235" s="128">
        <f>YEAR(GC[[#This Row],[Date]])+IF(MONTH(GC[[#This Row],[Date]])&gt;=4,1,0)</f>
        <v>2025</v>
      </c>
      <c r="D235" s="129">
        <f>YEAR(GC[[#This Row],[Date]])</f>
        <v>2024</v>
      </c>
      <c r="E235" s="126" t="s">
        <v>218</v>
      </c>
      <c r="F235" s="126" t="s">
        <v>218</v>
      </c>
      <c r="G235" s="130" t="str">
        <f>TEXT(GC[[#This Row],[Date]],"mmm-yy")</f>
        <v>Nov-24</v>
      </c>
      <c r="H235" s="130">
        <f>DAY(EOMONTH(GC[[#This Row],[Month Year]],0))</f>
        <v>30</v>
      </c>
      <c r="I235" s="133">
        <v>2</v>
      </c>
      <c r="J235" s="133" t="s">
        <v>458</v>
      </c>
      <c r="K235" s="133">
        <v>0</v>
      </c>
      <c r="L235" s="133">
        <v>0</v>
      </c>
      <c r="M235" s="133">
        <v>0</v>
      </c>
      <c r="N235" s="133">
        <v>0</v>
      </c>
      <c r="O235" s="133">
        <v>71</v>
      </c>
      <c r="P235" s="133">
        <v>0</v>
      </c>
      <c r="Q235" s="133">
        <v>0</v>
      </c>
      <c r="R235" s="133">
        <v>0</v>
      </c>
      <c r="S235" s="126"/>
      <c r="T235" s="126"/>
      <c r="U235" s="126"/>
      <c r="V235" s="126"/>
      <c r="W235" s="126"/>
      <c r="X235" s="126"/>
      <c r="Y235" s="4">
        <f>SUM(GC[[#This Row],[ICR1]:[ICR14]])</f>
        <v>71</v>
      </c>
      <c r="Z235" s="133" t="s">
        <v>458</v>
      </c>
      <c r="AA235" s="133" t="s">
        <v>471</v>
      </c>
    </row>
    <row r="236" spans="1:27">
      <c r="A236" s="133">
        <v>234</v>
      </c>
      <c r="B236" s="127">
        <f t="shared" si="3"/>
        <v>45616</v>
      </c>
      <c r="C236" s="128">
        <f>YEAR(GC[[#This Row],[Date]])+IF(MONTH(GC[[#This Row],[Date]])&gt;=4,1,0)</f>
        <v>2025</v>
      </c>
      <c r="D236" s="129">
        <f>YEAR(GC[[#This Row],[Date]])</f>
        <v>2024</v>
      </c>
      <c r="E236" s="126" t="s">
        <v>218</v>
      </c>
      <c r="F236" s="126" t="s">
        <v>218</v>
      </c>
      <c r="G236" s="130" t="str">
        <f>TEXT(GC[[#This Row],[Date]],"mmm-yy")</f>
        <v>Nov-24</v>
      </c>
      <c r="H236" s="130">
        <f>DAY(EOMONTH(GC[[#This Row],[Month Year]],0))</f>
        <v>30</v>
      </c>
      <c r="I236" s="133">
        <v>2</v>
      </c>
      <c r="J236" s="133" t="s">
        <v>458</v>
      </c>
      <c r="K236" s="133">
        <v>0</v>
      </c>
      <c r="L236" s="133">
        <v>0</v>
      </c>
      <c r="M236" s="133">
        <v>0</v>
      </c>
      <c r="N236" s="133">
        <v>0</v>
      </c>
      <c r="O236" s="133">
        <v>61</v>
      </c>
      <c r="P236" s="133">
        <v>19</v>
      </c>
      <c r="Q236" s="133">
        <v>0</v>
      </c>
      <c r="R236" s="133">
        <v>0</v>
      </c>
      <c r="S236" s="126"/>
      <c r="T236" s="126"/>
      <c r="U236" s="126"/>
      <c r="V236" s="126"/>
      <c r="W236" s="126"/>
      <c r="X236" s="126"/>
      <c r="Y236" s="4">
        <f>SUM(GC[[#This Row],[ICR1]:[ICR14]])</f>
        <v>80</v>
      </c>
      <c r="Z236" s="133" t="s">
        <v>458</v>
      </c>
      <c r="AA236" s="133" t="s">
        <v>470</v>
      </c>
    </row>
    <row r="237" spans="1:27">
      <c r="A237" s="133">
        <v>235</v>
      </c>
      <c r="B237" s="127">
        <f t="shared" si="3"/>
        <v>45617</v>
      </c>
      <c r="C237" s="128">
        <f>YEAR(GC[[#This Row],[Date]])+IF(MONTH(GC[[#This Row],[Date]])&gt;=4,1,0)</f>
        <v>2025</v>
      </c>
      <c r="D237" s="129">
        <f>YEAR(GC[[#This Row],[Date]])</f>
        <v>2024</v>
      </c>
      <c r="E237" s="126" t="s">
        <v>218</v>
      </c>
      <c r="F237" s="126" t="s">
        <v>218</v>
      </c>
      <c r="G237" s="130" t="str">
        <f>TEXT(GC[[#This Row],[Date]],"mmm-yy")</f>
        <v>Nov-24</v>
      </c>
      <c r="H237" s="130">
        <f>DAY(EOMONTH(GC[[#This Row],[Month Year]],0))</f>
        <v>30</v>
      </c>
      <c r="I237" s="133">
        <v>2</v>
      </c>
      <c r="J237" s="133" t="s">
        <v>458</v>
      </c>
      <c r="K237" s="133">
        <v>0</v>
      </c>
      <c r="L237" s="133">
        <v>0</v>
      </c>
      <c r="M237" s="133">
        <v>0</v>
      </c>
      <c r="N237" s="133">
        <v>0</v>
      </c>
      <c r="O237" s="133">
        <v>0</v>
      </c>
      <c r="P237" s="133">
        <v>21</v>
      </c>
      <c r="Q237" s="133">
        <v>0</v>
      </c>
      <c r="R237" s="133">
        <v>0</v>
      </c>
      <c r="S237" s="126"/>
      <c r="T237" s="126"/>
      <c r="U237" s="126"/>
      <c r="V237" s="126"/>
      <c r="W237" s="126"/>
      <c r="X237" s="126"/>
      <c r="Y237" s="4">
        <f>SUM(GC[[#This Row],[ICR1]:[ICR14]])</f>
        <v>21</v>
      </c>
      <c r="Z237" s="133" t="s">
        <v>458</v>
      </c>
      <c r="AA237" s="133" t="s">
        <v>472</v>
      </c>
    </row>
    <row r="238" spans="1:27">
      <c r="A238" s="133">
        <v>236</v>
      </c>
      <c r="B238" s="127">
        <f t="shared" si="3"/>
        <v>45618</v>
      </c>
      <c r="C238" s="128">
        <f>YEAR(GC[[#This Row],[Date]])+IF(MONTH(GC[[#This Row],[Date]])&gt;=4,1,0)</f>
        <v>2025</v>
      </c>
      <c r="D238" s="129">
        <f>YEAR(GC[[#This Row],[Date]])</f>
        <v>2024</v>
      </c>
      <c r="E238" s="126" t="s">
        <v>218</v>
      </c>
      <c r="F238" s="126" t="s">
        <v>218</v>
      </c>
      <c r="G238" s="130" t="str">
        <f>TEXT(GC[[#This Row],[Date]],"mmm-yy")</f>
        <v>Nov-24</v>
      </c>
      <c r="H238" s="130">
        <f>DAY(EOMONTH(GC[[#This Row],[Month Year]],0))</f>
        <v>30</v>
      </c>
      <c r="I238" s="133">
        <v>2</v>
      </c>
      <c r="J238" s="133" t="s">
        <v>458</v>
      </c>
      <c r="K238" s="133">
        <v>0</v>
      </c>
      <c r="L238" s="133">
        <v>0</v>
      </c>
      <c r="M238" s="133">
        <v>0</v>
      </c>
      <c r="N238" s="133">
        <v>0</v>
      </c>
      <c r="O238" s="133">
        <v>0</v>
      </c>
      <c r="P238" s="133">
        <v>34</v>
      </c>
      <c r="Q238" s="133">
        <v>0</v>
      </c>
      <c r="R238" s="133">
        <v>0</v>
      </c>
      <c r="S238" s="126"/>
      <c r="T238" s="126"/>
      <c r="U238" s="126"/>
      <c r="V238" s="126"/>
      <c r="W238" s="126"/>
      <c r="X238" s="126"/>
      <c r="Y238" s="4">
        <f>SUM(GC[[#This Row],[ICR1]:[ICR14]])</f>
        <v>34</v>
      </c>
      <c r="Z238" s="133" t="s">
        <v>458</v>
      </c>
      <c r="AA238" s="133" t="s">
        <v>473</v>
      </c>
    </row>
    <row r="239" spans="1:27">
      <c r="A239" s="133">
        <v>237</v>
      </c>
      <c r="B239" s="127">
        <f t="shared" si="3"/>
        <v>45619</v>
      </c>
      <c r="C239" s="128">
        <f>YEAR(GC[[#This Row],[Date]])+IF(MONTH(GC[[#This Row],[Date]])&gt;=4,1,0)</f>
        <v>2025</v>
      </c>
      <c r="D239" s="129">
        <f>YEAR(GC[[#This Row],[Date]])</f>
        <v>2024</v>
      </c>
      <c r="E239" s="126" t="s">
        <v>218</v>
      </c>
      <c r="F239" s="126" t="s">
        <v>218</v>
      </c>
      <c r="G239" s="130" t="str">
        <f>TEXT(GC[[#This Row],[Date]],"mmm-yy")</f>
        <v>Nov-24</v>
      </c>
      <c r="H239" s="130">
        <f>DAY(EOMONTH(GC[[#This Row],[Month Year]],0))</f>
        <v>30</v>
      </c>
      <c r="I239" s="133">
        <v>2</v>
      </c>
      <c r="J239" s="133" t="s">
        <v>458</v>
      </c>
      <c r="K239" s="133">
        <v>0</v>
      </c>
      <c r="L239" s="133">
        <v>0</v>
      </c>
      <c r="M239" s="133">
        <v>0</v>
      </c>
      <c r="N239" s="133">
        <v>0</v>
      </c>
      <c r="O239" s="133">
        <v>9</v>
      </c>
      <c r="P239" s="133">
        <v>27</v>
      </c>
      <c r="Q239" s="133">
        <v>0</v>
      </c>
      <c r="R239" s="133">
        <v>0</v>
      </c>
      <c r="S239" s="126"/>
      <c r="T239" s="126"/>
      <c r="U239" s="126"/>
      <c r="V239" s="126"/>
      <c r="W239" s="126"/>
      <c r="X239" s="126"/>
      <c r="Y239" s="4">
        <f>SUM(GC[[#This Row],[ICR1]:[ICR14]])</f>
        <v>36</v>
      </c>
      <c r="Z239" s="133" t="s">
        <v>458</v>
      </c>
      <c r="AA239" s="133" t="s">
        <v>474</v>
      </c>
    </row>
    <row r="240" spans="1:27">
      <c r="A240" s="133">
        <v>238</v>
      </c>
      <c r="B240" s="127">
        <f t="shared" si="3"/>
        <v>45620</v>
      </c>
      <c r="C240" s="128">
        <f>YEAR(GC[[#This Row],[Date]])+IF(MONTH(GC[[#This Row],[Date]])&gt;=4,1,0)</f>
        <v>2025</v>
      </c>
      <c r="D240" s="129">
        <f>YEAR(GC[[#This Row],[Date]])</f>
        <v>2024</v>
      </c>
      <c r="E240" s="126" t="s">
        <v>218</v>
      </c>
      <c r="F240" s="126" t="s">
        <v>218</v>
      </c>
      <c r="G240" s="130" t="str">
        <f>TEXT(GC[[#This Row],[Date]],"mmm-yy")</f>
        <v>Nov-24</v>
      </c>
      <c r="H240" s="130">
        <f>DAY(EOMONTH(GC[[#This Row],[Month Year]],0))</f>
        <v>30</v>
      </c>
      <c r="I240" s="133">
        <v>2</v>
      </c>
      <c r="J240" s="133" t="s">
        <v>458</v>
      </c>
      <c r="K240" s="133">
        <v>0</v>
      </c>
      <c r="L240" s="133">
        <v>0</v>
      </c>
      <c r="M240" s="133">
        <v>0</v>
      </c>
      <c r="N240" s="133">
        <v>0</v>
      </c>
      <c r="O240" s="133">
        <v>17</v>
      </c>
      <c r="P240" s="133">
        <v>29</v>
      </c>
      <c r="Q240" s="133">
        <v>0</v>
      </c>
      <c r="R240" s="133">
        <v>0</v>
      </c>
      <c r="S240" s="126"/>
      <c r="T240" s="126"/>
      <c r="U240" s="126"/>
      <c r="V240" s="126"/>
      <c r="W240" s="126"/>
      <c r="X240" s="126"/>
      <c r="Y240" s="4">
        <f>SUM(GC[[#This Row],[ICR1]:[ICR14]])</f>
        <v>46</v>
      </c>
      <c r="Z240" s="133" t="s">
        <v>458</v>
      </c>
      <c r="AA240" s="133" t="s">
        <v>475</v>
      </c>
    </row>
    <row r="241" spans="1:27">
      <c r="A241" s="133">
        <v>239</v>
      </c>
      <c r="B241" s="127">
        <f t="shared" si="3"/>
        <v>45621</v>
      </c>
      <c r="C241" s="128">
        <f>YEAR(GC[[#This Row],[Date]])+IF(MONTH(GC[[#This Row],[Date]])&gt;=4,1,0)</f>
        <v>2025</v>
      </c>
      <c r="D241" s="129">
        <f>YEAR(GC[[#This Row],[Date]])</f>
        <v>2024</v>
      </c>
      <c r="E241" s="126" t="s">
        <v>218</v>
      </c>
      <c r="F241" s="126" t="s">
        <v>218</v>
      </c>
      <c r="G241" s="130" t="str">
        <f>TEXT(GC[[#This Row],[Date]],"mmm-yy")</f>
        <v>Nov-24</v>
      </c>
      <c r="H241" s="130">
        <f>DAY(EOMONTH(GC[[#This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26"/>
      <c r="T241" s="126"/>
      <c r="U241" s="126"/>
      <c r="V241" s="126"/>
      <c r="W241" s="126"/>
      <c r="X241" s="126"/>
      <c r="Y241" s="4">
        <f>SUM(GC[[#This Row],[ICR1]:[ICR14]])</f>
        <v>0</v>
      </c>
      <c r="Z241" s="133"/>
      <c r="AA241" s="133"/>
    </row>
    <row r="242" spans="1:27">
      <c r="A242" s="133">
        <v>240</v>
      </c>
      <c r="B242" s="127">
        <f t="shared" si="3"/>
        <v>45622</v>
      </c>
      <c r="C242" s="128">
        <f>YEAR(GC[[#This Row],[Date]])+IF(MONTH(GC[[#This Row],[Date]])&gt;=4,1,0)</f>
        <v>2025</v>
      </c>
      <c r="D242" s="129">
        <f>YEAR(GC[[#This Row],[Date]])</f>
        <v>2024</v>
      </c>
      <c r="E242" s="126" t="s">
        <v>218</v>
      </c>
      <c r="F242" s="126" t="s">
        <v>218</v>
      </c>
      <c r="G242" s="130" t="str">
        <f>TEXT(GC[[#This Row],[Date]],"mmm-yy")</f>
        <v>Nov-24</v>
      </c>
      <c r="H242" s="130">
        <f>DAY(EOMONTH(GC[[#This Row],[Month Year]],0))</f>
        <v>30</v>
      </c>
      <c r="I242" s="133">
        <v>2</v>
      </c>
      <c r="J242" s="133" t="s">
        <v>458</v>
      </c>
      <c r="K242" s="133">
        <v>0</v>
      </c>
      <c r="L242" s="133">
        <v>0</v>
      </c>
      <c r="M242" s="133">
        <v>0</v>
      </c>
      <c r="N242" s="133">
        <v>0</v>
      </c>
      <c r="O242" s="133">
        <v>0</v>
      </c>
      <c r="P242" s="133">
        <v>42</v>
      </c>
      <c r="Q242" s="133">
        <v>0</v>
      </c>
      <c r="R242" s="133">
        <v>0</v>
      </c>
      <c r="S242" s="126"/>
      <c r="T242" s="126"/>
      <c r="U242" s="126"/>
      <c r="V242" s="126"/>
      <c r="W242" s="126"/>
      <c r="X242" s="126"/>
      <c r="Y242" s="4">
        <f>SUM(GC[[#This Row],[ICR1]:[ICR14]])</f>
        <v>42</v>
      </c>
      <c r="Z242" s="133" t="s">
        <v>458</v>
      </c>
      <c r="AA242" s="133" t="s">
        <v>476</v>
      </c>
    </row>
    <row r="243" spans="1:27">
      <c r="A243" s="133">
        <v>241</v>
      </c>
      <c r="B243" s="127">
        <f t="shared" si="3"/>
        <v>45623</v>
      </c>
      <c r="C243" s="128">
        <f>YEAR(GC[[#This Row],[Date]])+IF(MONTH(GC[[#This Row],[Date]])&gt;=4,1,0)</f>
        <v>2025</v>
      </c>
      <c r="D243" s="129">
        <f>YEAR(GC[[#This Row],[Date]])</f>
        <v>2024</v>
      </c>
      <c r="E243" s="126" t="s">
        <v>218</v>
      </c>
      <c r="F243" s="126" t="s">
        <v>218</v>
      </c>
      <c r="G243" s="130" t="str">
        <f>TEXT(GC[[#This Row],[Date]],"mmm-yy")</f>
        <v>Nov-24</v>
      </c>
      <c r="H243" s="130">
        <f>DAY(EOMONTH(GC[[#This Row],[Month Year]],0))</f>
        <v>30</v>
      </c>
      <c r="I243" s="133">
        <v>2</v>
      </c>
      <c r="J243" s="133" t="s">
        <v>458</v>
      </c>
      <c r="K243" s="133">
        <v>0</v>
      </c>
      <c r="L243" s="133">
        <v>0</v>
      </c>
      <c r="M243" s="133">
        <v>0</v>
      </c>
      <c r="N243" s="133">
        <v>0</v>
      </c>
      <c r="O243" s="133">
        <v>0</v>
      </c>
      <c r="P243" s="133">
        <v>12</v>
      </c>
      <c r="Q243" s="133">
        <v>31</v>
      </c>
      <c r="R243" s="133">
        <v>0</v>
      </c>
      <c r="S243" s="126"/>
      <c r="T243" s="126"/>
      <c r="U243" s="126"/>
      <c r="V243" s="126"/>
      <c r="W243" s="126"/>
      <c r="X243" s="126"/>
      <c r="Y243" s="4">
        <f>SUM(GC[[#This Row],[ICR1]:[ICR14]])</f>
        <v>43</v>
      </c>
      <c r="Z243" s="133" t="s">
        <v>458</v>
      </c>
      <c r="AA243" s="133" t="s">
        <v>477</v>
      </c>
    </row>
    <row r="244" spans="1:27">
      <c r="A244" s="133">
        <v>242</v>
      </c>
      <c r="B244" s="127">
        <f t="shared" si="3"/>
        <v>45624</v>
      </c>
      <c r="C244" s="128">
        <f>YEAR(GC[[#This Row],[Date]])+IF(MONTH(GC[[#This Row],[Date]])&gt;=4,1,0)</f>
        <v>2025</v>
      </c>
      <c r="D244" s="129">
        <f>YEAR(GC[[#This Row],[Date]])</f>
        <v>2024</v>
      </c>
      <c r="E244" s="126" t="s">
        <v>218</v>
      </c>
      <c r="F244" s="126" t="s">
        <v>218</v>
      </c>
      <c r="G244" s="130" t="str">
        <f>TEXT(GC[[#This Row],[Date]],"mmm-yy")</f>
        <v>Nov-24</v>
      </c>
      <c r="H244" s="130">
        <f>DAY(EOMONTH(GC[[#This Row],[Month Year]],0))</f>
        <v>30</v>
      </c>
      <c r="I244" s="133">
        <v>2</v>
      </c>
      <c r="J244" s="133" t="s">
        <v>458</v>
      </c>
      <c r="K244" s="133">
        <v>0</v>
      </c>
      <c r="L244" s="133">
        <v>0</v>
      </c>
      <c r="M244" s="133">
        <v>0</v>
      </c>
      <c r="N244" s="133">
        <v>0</v>
      </c>
      <c r="O244" s="133">
        <v>0</v>
      </c>
      <c r="P244" s="133">
        <v>0</v>
      </c>
      <c r="Q244" s="133">
        <v>64</v>
      </c>
      <c r="R244" s="133">
        <v>0</v>
      </c>
      <c r="S244" s="126"/>
      <c r="T244" s="126"/>
      <c r="U244" s="126"/>
      <c r="V244" s="126"/>
      <c r="W244" s="126"/>
      <c r="X244" s="126"/>
      <c r="Y244" s="4">
        <f>SUM(GC[[#This Row],[ICR1]:[ICR14]])</f>
        <v>64</v>
      </c>
      <c r="Z244" s="133" t="s">
        <v>458</v>
      </c>
      <c r="AA244" s="133" t="s">
        <v>478</v>
      </c>
    </row>
    <row r="245" spans="1:27">
      <c r="A245" s="133">
        <v>243</v>
      </c>
      <c r="B245" s="127">
        <f t="shared" si="3"/>
        <v>45625</v>
      </c>
      <c r="C245" s="128">
        <f>YEAR(GC[[#This Row],[Date]])+IF(MONTH(GC[[#This Row],[Date]])&gt;=4,1,0)</f>
        <v>2025</v>
      </c>
      <c r="D245" s="129">
        <f>YEAR(GC[[#This Row],[Date]])</f>
        <v>2024</v>
      </c>
      <c r="E245" s="126" t="s">
        <v>218</v>
      </c>
      <c r="F245" s="126" t="s">
        <v>218</v>
      </c>
      <c r="G245" s="130" t="str">
        <f>TEXT(GC[[#This Row],[Date]],"mmm-yy")</f>
        <v>Nov-24</v>
      </c>
      <c r="H245" s="130">
        <f>DAY(EOMONTH(GC[[#This Row],[Month Year]],0))</f>
        <v>30</v>
      </c>
      <c r="I245" s="133">
        <v>2</v>
      </c>
      <c r="J245" s="133" t="s">
        <v>458</v>
      </c>
      <c r="K245" s="133">
        <v>0</v>
      </c>
      <c r="L245" s="133">
        <v>0</v>
      </c>
      <c r="M245" s="133">
        <v>0</v>
      </c>
      <c r="N245" s="133">
        <v>0</v>
      </c>
      <c r="O245" s="133">
        <v>0</v>
      </c>
      <c r="P245" s="133">
        <v>0</v>
      </c>
      <c r="Q245" s="133">
        <v>40</v>
      </c>
      <c r="R245" s="133">
        <v>0</v>
      </c>
      <c r="S245" s="126"/>
      <c r="T245" s="126"/>
      <c r="U245" s="126"/>
      <c r="V245" s="126"/>
      <c r="W245" s="126"/>
      <c r="X245" s="126"/>
      <c r="Y245" s="4">
        <f>SUM(GC[[#This Row],[ICR1]:[ICR14]])</f>
        <v>40</v>
      </c>
      <c r="Z245" s="133" t="s">
        <v>458</v>
      </c>
      <c r="AA245" s="133" t="s">
        <v>479</v>
      </c>
    </row>
    <row r="246" spans="1:27">
      <c r="A246" s="133">
        <v>244</v>
      </c>
      <c r="B246" s="127">
        <f t="shared" si="3"/>
        <v>45626</v>
      </c>
      <c r="C246" s="128">
        <f>YEAR(GC[[#This Row],[Date]])+IF(MONTH(GC[[#This Row],[Date]])&gt;=4,1,0)</f>
        <v>2025</v>
      </c>
      <c r="D246" s="129">
        <f>YEAR(GC[[#This Row],[Date]])</f>
        <v>2024</v>
      </c>
      <c r="E246" s="126" t="s">
        <v>218</v>
      </c>
      <c r="F246" s="126" t="s">
        <v>218</v>
      </c>
      <c r="G246" s="130" t="str">
        <f>TEXT(GC[[#This Row],[Date]],"mmm-yy")</f>
        <v>Nov-24</v>
      </c>
      <c r="H246" s="130">
        <f>DAY(EOMONTH(GC[[#This Row],[Month Year]],0))</f>
        <v>30</v>
      </c>
      <c r="I246" s="133">
        <v>2</v>
      </c>
      <c r="J246" s="133" t="s">
        <v>458</v>
      </c>
      <c r="K246" s="133">
        <v>0</v>
      </c>
      <c r="L246" s="133">
        <v>0</v>
      </c>
      <c r="M246" s="133">
        <v>20</v>
      </c>
      <c r="N246" s="133">
        <v>0</v>
      </c>
      <c r="O246" s="133">
        <v>0</v>
      </c>
      <c r="P246" s="133">
        <v>0</v>
      </c>
      <c r="Q246" s="133">
        <v>0</v>
      </c>
      <c r="R246" s="133">
        <v>0</v>
      </c>
      <c r="S246" s="126"/>
      <c r="T246" s="126"/>
      <c r="U246" s="126"/>
      <c r="V246" s="126"/>
      <c r="W246" s="126"/>
      <c r="X246" s="126"/>
      <c r="Y246" s="4">
        <f>SUM(GC[[#This Row],[ICR1]:[ICR14]])</f>
        <v>20</v>
      </c>
      <c r="Z246" s="133" t="s">
        <v>458</v>
      </c>
      <c r="AA246" s="133" t="s">
        <v>480</v>
      </c>
    </row>
    <row r="247" spans="1:27">
      <c r="A247" s="133">
        <v>245</v>
      </c>
      <c r="B247" s="127">
        <f t="shared" si="3"/>
        <v>45627</v>
      </c>
      <c r="C247" s="128">
        <f>YEAR(GC[[#This Row],[Date]])+IF(MONTH(GC[[#This Row],[Date]])&gt;=4,1,0)</f>
        <v>2025</v>
      </c>
      <c r="D247" s="129">
        <f>YEAR(GC[[#This Row],[Date]])</f>
        <v>2024</v>
      </c>
      <c r="E247" s="126" t="s">
        <v>218</v>
      </c>
      <c r="F247" s="126" t="s">
        <v>218</v>
      </c>
      <c r="G247" s="130" t="str">
        <f>TEXT(GC[[#This Row],[Date]],"mmm-yy")</f>
        <v>Dec-24</v>
      </c>
      <c r="H247" s="130">
        <f>DAY(EOMONTH(GC[[#This Row],[Month Year]],0))</f>
        <v>31</v>
      </c>
      <c r="I247" s="133">
        <v>2</v>
      </c>
      <c r="J247" s="133" t="s">
        <v>458</v>
      </c>
      <c r="K247" s="133">
        <v>0</v>
      </c>
      <c r="L247" s="133">
        <v>0</v>
      </c>
      <c r="M247" s="133">
        <v>10</v>
      </c>
      <c r="N247" s="133">
        <v>0</v>
      </c>
      <c r="O247" s="133">
        <v>0</v>
      </c>
      <c r="P247" s="133">
        <v>0</v>
      </c>
      <c r="Q247" s="133">
        <v>0</v>
      </c>
      <c r="R247" s="133">
        <v>0</v>
      </c>
      <c r="S247" s="126"/>
      <c r="T247" s="126"/>
      <c r="U247" s="126"/>
      <c r="V247" s="126"/>
      <c r="W247" s="126"/>
      <c r="X247" s="126"/>
      <c r="Y247" s="4">
        <f>SUM(GC[[#This Row],[ICR1]:[ICR14]])</f>
        <v>10</v>
      </c>
      <c r="Z247" s="133" t="s">
        <v>458</v>
      </c>
      <c r="AA247" s="133" t="s">
        <v>481</v>
      </c>
    </row>
    <row r="248" spans="1:27">
      <c r="A248" s="133">
        <v>246</v>
      </c>
      <c r="B248" s="127">
        <f t="shared" si="3"/>
        <v>45628</v>
      </c>
      <c r="C248" s="128">
        <f>YEAR(GC[[#This Row],[Date]])+IF(MONTH(GC[[#This Row],[Date]])&gt;=4,1,0)</f>
        <v>2025</v>
      </c>
      <c r="D248" s="129">
        <f>YEAR(GC[[#This Row],[Date]])</f>
        <v>2024</v>
      </c>
      <c r="E248" s="126" t="s">
        <v>218</v>
      </c>
      <c r="F248" s="126" t="s">
        <v>218</v>
      </c>
      <c r="G248" s="130" t="str">
        <f>TEXT(GC[[#This Row],[Date]],"mmm-yy")</f>
        <v>Dec-24</v>
      </c>
      <c r="H248" s="130">
        <f>DAY(EOMONTH(GC[[#This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26"/>
      <c r="T248" s="126"/>
      <c r="U248" s="126"/>
      <c r="V248" s="126"/>
      <c r="W248" s="126"/>
      <c r="X248" s="126"/>
      <c r="Y248" s="4">
        <f>SUM(GC[[#This Row],[ICR1]:[ICR14]])</f>
        <v>0</v>
      </c>
      <c r="Z248" s="133"/>
      <c r="AA248" s="133"/>
    </row>
    <row r="249" spans="1:27">
      <c r="A249" s="133">
        <v>247</v>
      </c>
      <c r="B249" s="127">
        <f t="shared" si="3"/>
        <v>45629</v>
      </c>
      <c r="C249" s="128">
        <f>YEAR(GC[[#This Row],[Date]])+IF(MONTH(GC[[#This Row],[Date]])&gt;=4,1,0)</f>
        <v>2025</v>
      </c>
      <c r="D249" s="129">
        <f>YEAR(GC[[#This Row],[Date]])</f>
        <v>2024</v>
      </c>
      <c r="E249" s="126" t="s">
        <v>218</v>
      </c>
      <c r="F249" s="126" t="s">
        <v>218</v>
      </c>
      <c r="G249" s="130" t="str">
        <f>TEXT(GC[[#This Row],[Date]],"mmm-yy")</f>
        <v>Dec-24</v>
      </c>
      <c r="H249" s="130">
        <f>DAY(EOMONTH(GC[[#This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26"/>
      <c r="T249" s="126"/>
      <c r="U249" s="126"/>
      <c r="V249" s="126"/>
      <c r="W249" s="126"/>
      <c r="X249" s="126"/>
      <c r="Y249" s="4">
        <f>SUM(GC[[#This Row],[ICR1]:[ICR14]])</f>
        <v>0</v>
      </c>
      <c r="Z249" s="133"/>
      <c r="AA249" s="133"/>
    </row>
    <row r="250" spans="1:27">
      <c r="A250" s="133">
        <v>248</v>
      </c>
      <c r="B250" s="127">
        <f t="shared" si="3"/>
        <v>45630</v>
      </c>
      <c r="C250" s="128">
        <f>YEAR(GC[[#This Row],[Date]])+IF(MONTH(GC[[#This Row],[Date]])&gt;=4,1,0)</f>
        <v>2025</v>
      </c>
      <c r="D250" s="129">
        <f>YEAR(GC[[#This Row],[Date]])</f>
        <v>2024</v>
      </c>
      <c r="E250" s="126" t="s">
        <v>218</v>
      </c>
      <c r="F250" s="126" t="s">
        <v>218</v>
      </c>
      <c r="G250" s="130" t="str">
        <f>TEXT(GC[[#This Row],[Date]],"mmm-yy")</f>
        <v>Dec-24</v>
      </c>
      <c r="H250" s="130">
        <f>DAY(EOMONTH(GC[[#This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26"/>
      <c r="T250" s="126"/>
      <c r="U250" s="126"/>
      <c r="V250" s="126"/>
      <c r="W250" s="126"/>
      <c r="X250" s="126"/>
      <c r="Y250" s="4">
        <f>SUM(GC[[#This Row],[ICR1]:[ICR14]])</f>
        <v>0</v>
      </c>
      <c r="Z250" s="133"/>
      <c r="AA250" s="133"/>
    </row>
    <row r="251" spans="1:27">
      <c r="A251" s="133">
        <v>249</v>
      </c>
      <c r="B251" s="127">
        <f t="shared" si="3"/>
        <v>45631</v>
      </c>
      <c r="C251" s="128">
        <f>YEAR(GC[[#This Row],[Date]])+IF(MONTH(GC[[#This Row],[Date]])&gt;=4,1,0)</f>
        <v>2025</v>
      </c>
      <c r="D251" s="129">
        <f>YEAR(GC[[#This Row],[Date]])</f>
        <v>2024</v>
      </c>
      <c r="E251" s="126" t="s">
        <v>218</v>
      </c>
      <c r="F251" s="126" t="s">
        <v>218</v>
      </c>
      <c r="G251" s="130" t="str">
        <f>TEXT(GC[[#This Row],[Date]],"mmm-yy")</f>
        <v>Dec-24</v>
      </c>
      <c r="H251" s="130">
        <f>DAY(EOMONTH(GC[[#This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26"/>
      <c r="T251" s="126"/>
      <c r="U251" s="126"/>
      <c r="V251" s="126"/>
      <c r="W251" s="126"/>
      <c r="X251" s="126"/>
      <c r="Y251" s="4">
        <f>SUM(GC[[#This Row],[ICR1]:[ICR14]])</f>
        <v>0</v>
      </c>
      <c r="Z251" s="133"/>
      <c r="AA251" s="133"/>
    </row>
    <row r="252" spans="1:27">
      <c r="A252" s="133">
        <v>250</v>
      </c>
      <c r="B252" s="127">
        <f t="shared" si="3"/>
        <v>45632</v>
      </c>
      <c r="C252" s="128">
        <f>YEAR(GC[[#This Row],[Date]])+IF(MONTH(GC[[#This Row],[Date]])&gt;=4,1,0)</f>
        <v>2025</v>
      </c>
      <c r="D252" s="129">
        <f>YEAR(GC[[#This Row],[Date]])</f>
        <v>2024</v>
      </c>
      <c r="E252" s="126" t="s">
        <v>218</v>
      </c>
      <c r="F252" s="126" t="s">
        <v>218</v>
      </c>
      <c r="G252" s="130" t="str">
        <f>TEXT(GC[[#This Row],[Date]],"mmm-yy")</f>
        <v>Dec-24</v>
      </c>
      <c r="H252" s="130">
        <f>DAY(EOMONTH(GC[[#This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26"/>
      <c r="T252" s="126"/>
      <c r="U252" s="126"/>
      <c r="V252" s="126"/>
      <c r="W252" s="126"/>
      <c r="X252" s="126"/>
      <c r="Y252" s="4">
        <f>SUM(GC[[#This Row],[ICR1]:[ICR14]])</f>
        <v>0</v>
      </c>
      <c r="Z252" s="133"/>
      <c r="AA252" s="133"/>
    </row>
    <row r="253" spans="1:27">
      <c r="A253" s="133">
        <v>251</v>
      </c>
      <c r="B253" s="127">
        <f t="shared" si="3"/>
        <v>45633</v>
      </c>
      <c r="C253" s="128">
        <f>YEAR(GC[[#This Row],[Date]])+IF(MONTH(GC[[#This Row],[Date]])&gt;=4,1,0)</f>
        <v>2025</v>
      </c>
      <c r="D253" s="129">
        <f>YEAR(GC[[#This Row],[Date]])</f>
        <v>2024</v>
      </c>
      <c r="E253" s="126" t="s">
        <v>218</v>
      </c>
      <c r="F253" s="126" t="s">
        <v>218</v>
      </c>
      <c r="G253" s="130" t="str">
        <f>TEXT(GC[[#This Row],[Date]],"mmm-yy")</f>
        <v>Dec-24</v>
      </c>
      <c r="H253" s="130">
        <f>DAY(EOMONTH(GC[[#This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26"/>
      <c r="T253" s="126"/>
      <c r="U253" s="126"/>
      <c r="V253" s="126"/>
      <c r="W253" s="126"/>
      <c r="X253" s="126"/>
      <c r="Y253" s="4">
        <f>SUM(GC[[#This Row],[ICR1]:[ICR14]])</f>
        <v>0</v>
      </c>
      <c r="Z253" s="133"/>
      <c r="AA253" s="133"/>
    </row>
    <row r="254" spans="1:27">
      <c r="A254" s="133">
        <v>252</v>
      </c>
      <c r="B254" s="127">
        <f t="shared" si="3"/>
        <v>45634</v>
      </c>
      <c r="C254" s="128">
        <f>YEAR(GC[[#This Row],[Date]])+IF(MONTH(GC[[#This Row],[Date]])&gt;=4,1,0)</f>
        <v>2025</v>
      </c>
      <c r="D254" s="129">
        <f>YEAR(GC[[#This Row],[Date]])</f>
        <v>2024</v>
      </c>
      <c r="E254" s="126" t="s">
        <v>218</v>
      </c>
      <c r="F254" s="126" t="s">
        <v>218</v>
      </c>
      <c r="G254" s="130" t="str">
        <f>TEXT(GC[[#This Row],[Date]],"mmm-yy")</f>
        <v>Dec-24</v>
      </c>
      <c r="H254" s="130">
        <f>DAY(EOMONTH(GC[[#This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26"/>
      <c r="T254" s="126"/>
      <c r="U254" s="126"/>
      <c r="V254" s="126"/>
      <c r="W254" s="126"/>
      <c r="X254" s="126"/>
      <c r="Y254" s="4">
        <f>SUM(GC[[#This Row],[ICR1]:[ICR14]])</f>
        <v>0</v>
      </c>
      <c r="Z254" s="133"/>
      <c r="AA254" s="133"/>
    </row>
    <row r="255" spans="1:27">
      <c r="A255" s="133">
        <v>253</v>
      </c>
      <c r="B255" s="127">
        <f t="shared" si="3"/>
        <v>45635</v>
      </c>
      <c r="C255" s="128">
        <f>YEAR(GC[[#This Row],[Date]])+IF(MONTH(GC[[#This Row],[Date]])&gt;=4,1,0)</f>
        <v>2025</v>
      </c>
      <c r="D255" s="129">
        <f>YEAR(GC[[#This Row],[Date]])</f>
        <v>2024</v>
      </c>
      <c r="E255" s="126" t="s">
        <v>218</v>
      </c>
      <c r="F255" s="126" t="s">
        <v>218</v>
      </c>
      <c r="G255" s="130" t="str">
        <f>TEXT(GC[[#This Row],[Date]],"mmm-yy")</f>
        <v>Dec-24</v>
      </c>
      <c r="H255" s="130">
        <f>DAY(EOMONTH(GC[[#This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26"/>
      <c r="T255" s="126"/>
      <c r="U255" s="126"/>
      <c r="V255" s="126"/>
      <c r="W255" s="126"/>
      <c r="X255" s="126"/>
      <c r="Y255" s="4">
        <f>SUM(GC[[#This Row],[ICR1]:[ICR14]])</f>
        <v>0</v>
      </c>
      <c r="Z255" s="133"/>
      <c r="AA255" s="133"/>
    </row>
    <row r="256" spans="1:27">
      <c r="A256" s="133">
        <v>254</v>
      </c>
      <c r="B256" s="127">
        <f t="shared" si="3"/>
        <v>45636</v>
      </c>
      <c r="C256" s="128">
        <f>YEAR(GC[[#This Row],[Date]])+IF(MONTH(GC[[#This Row],[Date]])&gt;=4,1,0)</f>
        <v>2025</v>
      </c>
      <c r="D256" s="129">
        <f>YEAR(GC[[#This Row],[Date]])</f>
        <v>2024</v>
      </c>
      <c r="E256" s="126" t="s">
        <v>218</v>
      </c>
      <c r="F256" s="126" t="s">
        <v>218</v>
      </c>
      <c r="G256" s="130" t="str">
        <f>TEXT(GC[[#This Row],[Date]],"mmm-yy")</f>
        <v>Dec-24</v>
      </c>
      <c r="H256" s="130">
        <f>DAY(EOMONTH(GC[[#This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26"/>
      <c r="T256" s="126"/>
      <c r="U256" s="126"/>
      <c r="V256" s="126"/>
      <c r="W256" s="126"/>
      <c r="X256" s="126"/>
      <c r="Y256" s="4">
        <f>SUM(GC[[#This Row],[ICR1]:[ICR14]])</f>
        <v>0</v>
      </c>
      <c r="Z256" s="133"/>
      <c r="AA256" s="133"/>
    </row>
    <row r="257" spans="1:27">
      <c r="A257" s="133">
        <v>255</v>
      </c>
      <c r="B257" s="127">
        <f t="shared" si="3"/>
        <v>45637</v>
      </c>
      <c r="C257" s="128">
        <f>YEAR(GC[[#This Row],[Date]])+IF(MONTH(GC[[#This Row],[Date]])&gt;=4,1,0)</f>
        <v>2025</v>
      </c>
      <c r="D257" s="129">
        <f>YEAR(GC[[#This Row],[Date]])</f>
        <v>2024</v>
      </c>
      <c r="E257" s="126" t="s">
        <v>218</v>
      </c>
      <c r="F257" s="126" t="s">
        <v>218</v>
      </c>
      <c r="G257" s="130" t="str">
        <f>TEXT(GC[[#This Row],[Date]],"mmm-yy")</f>
        <v>Dec-24</v>
      </c>
      <c r="H257" s="130">
        <f>DAY(EOMONTH(GC[[#This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26"/>
      <c r="T257" s="126"/>
      <c r="U257" s="126"/>
      <c r="V257" s="126"/>
      <c r="W257" s="126"/>
      <c r="X257" s="126"/>
      <c r="Y257" s="4">
        <f>SUM(GC[[#This Row],[ICR1]:[ICR14]])</f>
        <v>0</v>
      </c>
      <c r="Z257" s="133"/>
      <c r="AA257" s="133"/>
    </row>
    <row r="258" spans="1:27">
      <c r="A258" s="133">
        <v>256</v>
      </c>
      <c r="B258" s="127">
        <f t="shared" si="3"/>
        <v>45638</v>
      </c>
      <c r="C258" s="128">
        <f>YEAR(GC[[#This Row],[Date]])+IF(MONTH(GC[[#This Row],[Date]])&gt;=4,1,0)</f>
        <v>2025</v>
      </c>
      <c r="D258" s="129">
        <f>YEAR(GC[[#This Row],[Date]])</f>
        <v>2024</v>
      </c>
      <c r="E258" s="126" t="s">
        <v>218</v>
      </c>
      <c r="F258" s="126" t="s">
        <v>218</v>
      </c>
      <c r="G258" s="130" t="str">
        <f>TEXT(GC[[#This Row],[Date]],"mmm-yy")</f>
        <v>Dec-24</v>
      </c>
      <c r="H258" s="130">
        <f>DAY(EOMONTH(GC[[#This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26"/>
      <c r="T258" s="126"/>
      <c r="U258" s="126"/>
      <c r="V258" s="126"/>
      <c r="W258" s="126"/>
      <c r="X258" s="126"/>
      <c r="Y258" s="4">
        <f>SUM(GC[[#This Row],[ICR1]:[ICR14]])</f>
        <v>0</v>
      </c>
      <c r="Z258" s="133"/>
      <c r="AA258" s="133"/>
    </row>
    <row r="259" spans="1:27">
      <c r="A259" s="133">
        <v>257</v>
      </c>
      <c r="B259" s="127">
        <f t="shared" si="3"/>
        <v>45639</v>
      </c>
      <c r="C259" s="128">
        <f>YEAR(GC[[#This Row],[Date]])+IF(MONTH(GC[[#This Row],[Date]])&gt;=4,1,0)</f>
        <v>2025</v>
      </c>
      <c r="D259" s="129">
        <f>YEAR(GC[[#This Row],[Date]])</f>
        <v>2024</v>
      </c>
      <c r="E259" s="126" t="s">
        <v>218</v>
      </c>
      <c r="F259" s="126" t="s">
        <v>218</v>
      </c>
      <c r="G259" s="130" t="str">
        <f>TEXT(GC[[#This Row],[Date]],"mmm-yy")</f>
        <v>Dec-24</v>
      </c>
      <c r="H259" s="130">
        <f>DAY(EOMONTH(GC[[#This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26"/>
      <c r="T259" s="126"/>
      <c r="U259" s="126"/>
      <c r="V259" s="126"/>
      <c r="W259" s="126"/>
      <c r="X259" s="126"/>
      <c r="Y259" s="4">
        <f>SUM(GC[[#This Row],[ICR1]:[ICR14]])</f>
        <v>0</v>
      </c>
      <c r="Z259" s="133"/>
      <c r="AA259" s="133"/>
    </row>
    <row r="260" spans="1:27">
      <c r="A260" s="133">
        <v>258</v>
      </c>
      <c r="B260" s="127">
        <f t="shared" si="3"/>
        <v>45640</v>
      </c>
      <c r="C260" s="128">
        <f>YEAR(GC[[#This Row],[Date]])+IF(MONTH(GC[[#This Row],[Date]])&gt;=4,1,0)</f>
        <v>2025</v>
      </c>
      <c r="D260" s="129">
        <f>YEAR(GC[[#This Row],[Date]])</f>
        <v>2024</v>
      </c>
      <c r="E260" s="126" t="s">
        <v>218</v>
      </c>
      <c r="F260" s="126" t="s">
        <v>218</v>
      </c>
      <c r="G260" s="130" t="str">
        <f>TEXT(GC[[#This Row],[Date]],"mmm-yy")</f>
        <v>Dec-24</v>
      </c>
      <c r="H260" s="130">
        <f>DAY(EOMONTH(GC[[#This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26"/>
      <c r="T260" s="126"/>
      <c r="U260" s="126"/>
      <c r="V260" s="126"/>
      <c r="W260" s="126"/>
      <c r="X260" s="126"/>
      <c r="Y260" s="4">
        <f>SUM(GC[[#This Row],[ICR1]:[ICR14]])</f>
        <v>0</v>
      </c>
      <c r="Z260" s="133"/>
      <c r="AA260" s="133"/>
    </row>
    <row r="261" spans="1:27">
      <c r="A261" s="133">
        <v>259</v>
      </c>
      <c r="B261" s="127">
        <f t="shared" ref="B261:B321" si="4">B260+1</f>
        <v>45641</v>
      </c>
      <c r="C261" s="128">
        <f>YEAR(GC[[#This Row],[Date]])+IF(MONTH(GC[[#This Row],[Date]])&gt;=4,1,0)</f>
        <v>2025</v>
      </c>
      <c r="D261" s="129">
        <f>YEAR(GC[[#This Row],[Date]])</f>
        <v>2024</v>
      </c>
      <c r="E261" s="126" t="s">
        <v>218</v>
      </c>
      <c r="F261" s="126" t="s">
        <v>218</v>
      </c>
      <c r="G261" s="130" t="str">
        <f>TEXT(GC[[#This Row],[Date]],"mmm-yy")</f>
        <v>Dec-24</v>
      </c>
      <c r="H261" s="130">
        <f>DAY(EOMONTH(GC[[#This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26"/>
      <c r="T261" s="126"/>
      <c r="U261" s="126"/>
      <c r="V261" s="126"/>
      <c r="W261" s="126"/>
      <c r="X261" s="126"/>
      <c r="Y261" s="4">
        <f>SUM(GC[[#This Row],[ICR1]:[ICR14]])</f>
        <v>0</v>
      </c>
      <c r="Z261" s="133"/>
      <c r="AA261" s="133"/>
    </row>
    <row r="262" spans="1:27">
      <c r="A262" s="133">
        <v>260</v>
      </c>
      <c r="B262" s="127">
        <f t="shared" si="4"/>
        <v>45642</v>
      </c>
      <c r="C262" s="128">
        <f>YEAR(GC[[#This Row],[Date]])+IF(MONTH(GC[[#This Row],[Date]])&gt;=4,1,0)</f>
        <v>2025</v>
      </c>
      <c r="D262" s="129">
        <f>YEAR(GC[[#This Row],[Date]])</f>
        <v>2024</v>
      </c>
      <c r="E262" s="126" t="s">
        <v>218</v>
      </c>
      <c r="F262" s="126" t="s">
        <v>218</v>
      </c>
      <c r="G262" s="130" t="str">
        <f>TEXT(GC[[#This Row],[Date]],"mmm-yy")</f>
        <v>Dec-24</v>
      </c>
      <c r="H262" s="130">
        <f>DAY(EOMONTH(GC[[#This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26"/>
      <c r="T262" s="126"/>
      <c r="U262" s="126"/>
      <c r="V262" s="126"/>
      <c r="W262" s="126"/>
      <c r="X262" s="126"/>
      <c r="Y262" s="4">
        <f>SUM(GC[[#This Row],[ICR1]:[ICR14]])</f>
        <v>0</v>
      </c>
      <c r="Z262" s="133"/>
      <c r="AA262" s="133"/>
    </row>
    <row r="263" spans="1:27">
      <c r="A263" s="133">
        <v>261</v>
      </c>
      <c r="B263" s="127">
        <f t="shared" si="4"/>
        <v>45643</v>
      </c>
      <c r="C263" s="128">
        <f>YEAR(GC[[#This Row],[Date]])+IF(MONTH(GC[[#This Row],[Date]])&gt;=4,1,0)</f>
        <v>2025</v>
      </c>
      <c r="D263" s="129">
        <f>YEAR(GC[[#This Row],[Date]])</f>
        <v>2024</v>
      </c>
      <c r="E263" s="126" t="s">
        <v>218</v>
      </c>
      <c r="F263" s="126" t="s">
        <v>218</v>
      </c>
      <c r="G263" s="130" t="str">
        <f>TEXT(GC[[#This Row],[Date]],"mmm-yy")</f>
        <v>Dec-24</v>
      </c>
      <c r="H263" s="130">
        <f>DAY(EOMONTH(GC[[#This Row],[Month Year]],0))</f>
        <v>31</v>
      </c>
      <c r="I263" s="133">
        <v>2</v>
      </c>
      <c r="J263" s="133" t="s">
        <v>458</v>
      </c>
      <c r="K263" s="133">
        <v>0</v>
      </c>
      <c r="L263" s="133">
        <v>12</v>
      </c>
      <c r="M263" s="133">
        <v>0</v>
      </c>
      <c r="N263" s="133">
        <v>4</v>
      </c>
      <c r="O263" s="133">
        <v>0</v>
      </c>
      <c r="P263" s="133">
        <v>0</v>
      </c>
      <c r="Q263" s="133">
        <v>0</v>
      </c>
      <c r="R263" s="133">
        <v>0</v>
      </c>
      <c r="S263" s="126"/>
      <c r="T263" s="126"/>
      <c r="U263" s="126"/>
      <c r="V263" s="126"/>
      <c r="W263" s="126"/>
      <c r="X263" s="126"/>
      <c r="Y263" s="4">
        <f>SUM(GC[[#This Row],[ICR1]:[ICR14]])</f>
        <v>16</v>
      </c>
      <c r="Z263" s="133" t="s">
        <v>458</v>
      </c>
      <c r="AA263" s="133" t="s">
        <v>482</v>
      </c>
    </row>
    <row r="264" spans="1:27">
      <c r="A264" s="133">
        <v>262</v>
      </c>
      <c r="B264" s="127">
        <f t="shared" si="4"/>
        <v>45644</v>
      </c>
      <c r="C264" s="128">
        <f>YEAR(GC[[#This Row],[Date]])+IF(MONTH(GC[[#This Row],[Date]])&gt;=4,1,0)</f>
        <v>2025</v>
      </c>
      <c r="D264" s="129">
        <f>YEAR(GC[[#This Row],[Date]])</f>
        <v>2024</v>
      </c>
      <c r="E264" s="126" t="s">
        <v>218</v>
      </c>
      <c r="F264" s="126" t="s">
        <v>218</v>
      </c>
      <c r="G264" s="130" t="str">
        <f>TEXT(GC[[#This Row],[Date]],"mmm-yy")</f>
        <v>Dec-24</v>
      </c>
      <c r="H264" s="130">
        <f>DAY(EOMONTH(GC[[#This Row],[Month Year]],0))</f>
        <v>31</v>
      </c>
      <c r="I264" s="133">
        <v>2</v>
      </c>
      <c r="J264" s="133" t="s">
        <v>458</v>
      </c>
      <c r="K264" s="133">
        <v>0</v>
      </c>
      <c r="L264" s="133">
        <v>10</v>
      </c>
      <c r="M264" s="133">
        <v>0</v>
      </c>
      <c r="N264" s="133">
        <v>0</v>
      </c>
      <c r="O264" s="133">
        <v>0</v>
      </c>
      <c r="P264" s="133">
        <v>0</v>
      </c>
      <c r="Q264" s="133">
        <v>0</v>
      </c>
      <c r="R264" s="133">
        <v>37</v>
      </c>
      <c r="S264" s="126"/>
      <c r="T264" s="126"/>
      <c r="U264" s="126"/>
      <c r="V264" s="126"/>
      <c r="W264" s="126"/>
      <c r="X264" s="126"/>
      <c r="Y264" s="4">
        <f>SUM(GC[[#This Row],[ICR1]:[ICR14]])</f>
        <v>47</v>
      </c>
      <c r="Z264" s="133" t="s">
        <v>458</v>
      </c>
      <c r="AA264" s="133" t="s">
        <v>483</v>
      </c>
    </row>
    <row r="265" spans="1:27">
      <c r="A265" s="133">
        <v>263</v>
      </c>
      <c r="B265" s="127">
        <f t="shared" si="4"/>
        <v>45645</v>
      </c>
      <c r="C265" s="128">
        <f>YEAR(GC[[#This Row],[Date]])+IF(MONTH(GC[[#This Row],[Date]])&gt;=4,1,0)</f>
        <v>2025</v>
      </c>
      <c r="D265" s="129">
        <f>YEAR(GC[[#This Row],[Date]])</f>
        <v>2024</v>
      </c>
      <c r="E265" s="126" t="s">
        <v>218</v>
      </c>
      <c r="F265" s="126" t="s">
        <v>218</v>
      </c>
      <c r="G265" s="130" t="str">
        <f>TEXT(GC[[#This Row],[Date]],"mmm-yy")</f>
        <v>Dec-24</v>
      </c>
      <c r="H265" s="130">
        <f>DAY(EOMONTH(GC[[#This Row],[Month Year]],0))</f>
        <v>31</v>
      </c>
      <c r="I265" s="133">
        <v>2</v>
      </c>
      <c r="J265" s="133" t="s">
        <v>458</v>
      </c>
      <c r="K265" s="133">
        <v>0</v>
      </c>
      <c r="L265" s="133">
        <v>0</v>
      </c>
      <c r="M265" s="133">
        <v>0</v>
      </c>
      <c r="N265" s="133">
        <v>0</v>
      </c>
      <c r="O265" s="133">
        <v>0</v>
      </c>
      <c r="P265" s="133">
        <v>0</v>
      </c>
      <c r="Q265" s="133">
        <v>0</v>
      </c>
      <c r="R265" s="133">
        <v>28</v>
      </c>
      <c r="S265" s="126"/>
      <c r="T265" s="126"/>
      <c r="U265" s="126"/>
      <c r="V265" s="126"/>
      <c r="W265" s="126"/>
      <c r="X265" s="126"/>
      <c r="Y265" s="4">
        <f>SUM(GC[[#This Row],[ICR1]:[ICR14]])</f>
        <v>28</v>
      </c>
      <c r="Z265" s="133" t="s">
        <v>458</v>
      </c>
      <c r="AA265" s="133" t="s">
        <v>484</v>
      </c>
    </row>
    <row r="266" spans="1:27">
      <c r="A266" s="133">
        <v>264</v>
      </c>
      <c r="B266" s="127">
        <f t="shared" si="4"/>
        <v>45646</v>
      </c>
      <c r="C266" s="128">
        <f>YEAR(GC[[#This Row],[Date]])+IF(MONTH(GC[[#This Row],[Date]])&gt;=4,1,0)</f>
        <v>2025</v>
      </c>
      <c r="D266" s="129">
        <f>YEAR(GC[[#This Row],[Date]])</f>
        <v>2024</v>
      </c>
      <c r="E266" s="126" t="s">
        <v>218</v>
      </c>
      <c r="F266" s="126" t="s">
        <v>218</v>
      </c>
      <c r="G266" s="130" t="str">
        <f>TEXT(GC[[#This Row],[Date]],"mmm-yy")</f>
        <v>Dec-24</v>
      </c>
      <c r="H266" s="130">
        <f>DAY(EOMONTH(GC[[#This Row],[Month Year]],0))</f>
        <v>31</v>
      </c>
      <c r="I266" s="133">
        <v>2</v>
      </c>
      <c r="J266" s="133" t="s">
        <v>458</v>
      </c>
      <c r="K266" s="133">
        <v>0</v>
      </c>
      <c r="L266" s="133">
        <v>0</v>
      </c>
      <c r="M266" s="133">
        <v>0</v>
      </c>
      <c r="N266" s="133">
        <v>0</v>
      </c>
      <c r="O266" s="133">
        <v>0</v>
      </c>
      <c r="P266" s="133">
        <v>0</v>
      </c>
      <c r="Q266" s="133">
        <v>0</v>
      </c>
      <c r="R266" s="133">
        <v>85</v>
      </c>
      <c r="S266" s="126"/>
      <c r="T266" s="126"/>
      <c r="U266" s="126"/>
      <c r="V266" s="126"/>
      <c r="W266" s="126"/>
      <c r="X266" s="126"/>
      <c r="Y266" s="4">
        <f>SUM(GC[[#This Row],[ICR1]:[ICR14]])</f>
        <v>85</v>
      </c>
      <c r="Z266" s="133" t="s">
        <v>458</v>
      </c>
      <c r="AA266" s="133" t="s">
        <v>485</v>
      </c>
    </row>
    <row r="267" spans="1:27">
      <c r="A267" s="133">
        <v>265</v>
      </c>
      <c r="B267" s="127">
        <f t="shared" si="4"/>
        <v>45647</v>
      </c>
      <c r="C267" s="128">
        <f>YEAR(GC[[#This Row],[Date]])+IF(MONTH(GC[[#This Row],[Date]])&gt;=4,1,0)</f>
        <v>2025</v>
      </c>
      <c r="D267" s="129">
        <f>YEAR(GC[[#This Row],[Date]])</f>
        <v>2024</v>
      </c>
      <c r="E267" s="126" t="s">
        <v>218</v>
      </c>
      <c r="F267" s="126" t="s">
        <v>218</v>
      </c>
      <c r="G267" s="130" t="str">
        <f>TEXT(GC[[#This Row],[Date]],"mmm-yy")</f>
        <v>Dec-24</v>
      </c>
      <c r="H267" s="130">
        <f>DAY(EOMONTH(GC[[#This Row],[Month Year]],0))</f>
        <v>31</v>
      </c>
      <c r="I267" s="133">
        <v>2</v>
      </c>
      <c r="J267" s="133" t="s">
        <v>458</v>
      </c>
      <c r="K267" s="133">
        <v>0</v>
      </c>
      <c r="L267" s="133">
        <v>0</v>
      </c>
      <c r="M267" s="133">
        <v>0</v>
      </c>
      <c r="N267" s="133">
        <v>0</v>
      </c>
      <c r="O267" s="133">
        <v>0</v>
      </c>
      <c r="P267" s="133">
        <v>0</v>
      </c>
      <c r="Q267" s="133">
        <v>0</v>
      </c>
      <c r="R267" s="133">
        <v>103</v>
      </c>
      <c r="S267" s="126"/>
      <c r="T267" s="126"/>
      <c r="U267" s="126"/>
      <c r="V267" s="126"/>
      <c r="W267" s="126"/>
      <c r="X267" s="126"/>
      <c r="Y267" s="4">
        <f>SUM(GC[[#This Row],[ICR1]:[ICR14]])</f>
        <v>103</v>
      </c>
      <c r="Z267" s="133" t="s">
        <v>458</v>
      </c>
      <c r="AA267" s="133" t="s">
        <v>485</v>
      </c>
    </row>
    <row r="268" spans="1:27">
      <c r="A268" s="133">
        <v>266</v>
      </c>
      <c r="B268" s="127">
        <f t="shared" si="4"/>
        <v>45648</v>
      </c>
      <c r="C268" s="128">
        <f>YEAR(GC[[#This Row],[Date]])+IF(MONTH(GC[[#This Row],[Date]])&gt;=4,1,0)</f>
        <v>2025</v>
      </c>
      <c r="D268" s="129">
        <f>YEAR(GC[[#This Row],[Date]])</f>
        <v>2024</v>
      </c>
      <c r="E268" s="126" t="s">
        <v>218</v>
      </c>
      <c r="F268" s="126" t="s">
        <v>218</v>
      </c>
      <c r="G268" s="130" t="str">
        <f>TEXT(GC[[#This Row],[Date]],"mmm-yy")</f>
        <v>Dec-24</v>
      </c>
      <c r="H268" s="130">
        <f>DAY(EOMONTH(GC[[#This Row],[Month Year]],0))</f>
        <v>31</v>
      </c>
      <c r="I268" s="133">
        <v>2</v>
      </c>
      <c r="J268" s="133" t="s">
        <v>458</v>
      </c>
      <c r="K268" s="133">
        <v>0</v>
      </c>
      <c r="L268" s="133">
        <v>0</v>
      </c>
      <c r="M268" s="133">
        <v>27</v>
      </c>
      <c r="N268" s="133">
        <v>0</v>
      </c>
      <c r="O268" s="133">
        <v>0</v>
      </c>
      <c r="P268" s="133">
        <v>0</v>
      </c>
      <c r="Q268" s="133">
        <v>0</v>
      </c>
      <c r="R268" s="133">
        <v>85</v>
      </c>
      <c r="S268" s="126"/>
      <c r="T268" s="126"/>
      <c r="U268" s="126"/>
      <c r="V268" s="126"/>
      <c r="W268" s="126"/>
      <c r="X268" s="126"/>
      <c r="Y268" s="4">
        <f>SUM(GC[[#This Row],[ICR1]:[ICR14]])</f>
        <v>112</v>
      </c>
      <c r="Z268" s="133" t="s">
        <v>458</v>
      </c>
      <c r="AA268" s="133" t="s">
        <v>486</v>
      </c>
    </row>
    <row r="269" spans="1:27">
      <c r="A269" s="133">
        <v>267</v>
      </c>
      <c r="B269" s="127">
        <f t="shared" si="4"/>
        <v>45649</v>
      </c>
      <c r="C269" s="128">
        <f>YEAR(GC[[#This Row],[Date]])+IF(MONTH(GC[[#This Row],[Date]])&gt;=4,1,0)</f>
        <v>2025</v>
      </c>
      <c r="D269" s="129">
        <f>YEAR(GC[[#This Row],[Date]])</f>
        <v>2024</v>
      </c>
      <c r="E269" s="126" t="s">
        <v>218</v>
      </c>
      <c r="F269" s="126" t="s">
        <v>218</v>
      </c>
      <c r="G269" s="130" t="str">
        <f>TEXT(GC[[#This Row],[Date]],"mmm-yy")</f>
        <v>Dec-24</v>
      </c>
      <c r="H269" s="130">
        <f>DAY(EOMONTH(GC[[#This Row],[Month Year]],0))</f>
        <v>31</v>
      </c>
      <c r="I269" s="133">
        <v>2</v>
      </c>
      <c r="J269" s="133" t="s">
        <v>458</v>
      </c>
      <c r="K269" s="133">
        <v>0</v>
      </c>
      <c r="L269" s="133">
        <v>0</v>
      </c>
      <c r="M269" s="133">
        <v>0</v>
      </c>
      <c r="N269" s="133">
        <v>0</v>
      </c>
      <c r="O269" s="133">
        <v>0</v>
      </c>
      <c r="P269" s="133">
        <v>0</v>
      </c>
      <c r="Q269" s="133">
        <v>0</v>
      </c>
      <c r="R269" s="133">
        <v>115</v>
      </c>
      <c r="S269" s="126"/>
      <c r="T269" s="126"/>
      <c r="U269" s="126"/>
      <c r="V269" s="126"/>
      <c r="W269" s="126"/>
      <c r="X269" s="126"/>
      <c r="Y269" s="4">
        <f>SUM(GC[[#This Row],[ICR1]:[ICR14]])</f>
        <v>115</v>
      </c>
      <c r="Z269" s="133" t="s">
        <v>458</v>
      </c>
      <c r="AA269" s="133" t="s">
        <v>487</v>
      </c>
    </row>
    <row r="270" spans="1:27">
      <c r="A270" s="133">
        <v>268</v>
      </c>
      <c r="B270" s="127">
        <f t="shared" si="4"/>
        <v>45650</v>
      </c>
      <c r="C270" s="128">
        <f>YEAR(GC[[#This Row],[Date]])+IF(MONTH(GC[[#This Row],[Date]])&gt;=4,1,0)</f>
        <v>2025</v>
      </c>
      <c r="D270" s="129">
        <f>YEAR(GC[[#This Row],[Date]])</f>
        <v>2024</v>
      </c>
      <c r="E270" s="126" t="s">
        <v>218</v>
      </c>
      <c r="F270" s="126" t="s">
        <v>218</v>
      </c>
      <c r="G270" s="130" t="str">
        <f>TEXT(GC[[#This Row],[Date]],"mmm-yy")</f>
        <v>Dec-24</v>
      </c>
      <c r="H270" s="130">
        <f>DAY(EOMONTH(GC[[#This Row],[Month Year]],0))</f>
        <v>31</v>
      </c>
      <c r="I270" s="133">
        <v>2</v>
      </c>
      <c r="J270" s="133" t="s">
        <v>458</v>
      </c>
      <c r="K270" s="133">
        <v>13</v>
      </c>
      <c r="L270" s="133">
        <v>0</v>
      </c>
      <c r="M270" s="133">
        <v>31</v>
      </c>
      <c r="N270" s="133">
        <v>15</v>
      </c>
      <c r="O270" s="133">
        <v>7</v>
      </c>
      <c r="P270" s="133">
        <v>0</v>
      </c>
      <c r="Q270" s="133">
        <v>0</v>
      </c>
      <c r="R270" s="133">
        <v>42</v>
      </c>
      <c r="S270" s="126"/>
      <c r="T270" s="126"/>
      <c r="U270" s="126"/>
      <c r="V270" s="126"/>
      <c r="W270" s="126"/>
      <c r="X270" s="126"/>
      <c r="Y270" s="4">
        <f>SUM(GC[[#This Row],[ICR1]:[ICR14]])</f>
        <v>108</v>
      </c>
      <c r="Z270" s="133" t="s">
        <v>458</v>
      </c>
      <c r="AA270" s="133" t="s">
        <v>487</v>
      </c>
    </row>
    <row r="271" spans="1:27">
      <c r="A271" s="133">
        <v>269</v>
      </c>
      <c r="B271" s="127">
        <f t="shared" si="4"/>
        <v>45651</v>
      </c>
      <c r="C271" s="128">
        <f>YEAR(GC[[#This Row],[Date]])+IF(MONTH(GC[[#This Row],[Date]])&gt;=4,1,0)</f>
        <v>2025</v>
      </c>
      <c r="D271" s="129">
        <f>YEAR(GC[[#This Row],[Date]])</f>
        <v>2024</v>
      </c>
      <c r="E271" s="126" t="s">
        <v>218</v>
      </c>
      <c r="F271" s="126" t="s">
        <v>218</v>
      </c>
      <c r="G271" s="130" t="str">
        <f>TEXT(GC[[#This Row],[Date]],"mmm-yy")</f>
        <v>Dec-24</v>
      </c>
      <c r="H271" s="130">
        <f>DAY(EOMONTH(GC[[#This Row],[Month Year]],0))</f>
        <v>31</v>
      </c>
      <c r="I271" s="133">
        <v>2</v>
      </c>
      <c r="J271" s="133" t="s">
        <v>458</v>
      </c>
      <c r="K271" s="133">
        <v>0</v>
      </c>
      <c r="L271" s="133">
        <v>0</v>
      </c>
      <c r="M271" s="133">
        <v>0</v>
      </c>
      <c r="N271" s="133">
        <v>0</v>
      </c>
      <c r="O271" s="133">
        <v>5</v>
      </c>
      <c r="P271" s="133">
        <v>0</v>
      </c>
      <c r="Q271" s="133">
        <v>0</v>
      </c>
      <c r="R271" s="133">
        <v>6</v>
      </c>
      <c r="S271" s="126"/>
      <c r="T271" s="126"/>
      <c r="U271" s="126"/>
      <c r="V271" s="126"/>
      <c r="W271" s="126"/>
      <c r="X271" s="126"/>
      <c r="Y271" s="4">
        <f>SUM(GC[[#This Row],[ICR1]:[ICR14]])</f>
        <v>11</v>
      </c>
      <c r="Z271" s="133" t="s">
        <v>458</v>
      </c>
      <c r="AA271" s="133" t="s">
        <v>488</v>
      </c>
    </row>
    <row r="272" spans="1:27">
      <c r="A272" s="133">
        <v>270</v>
      </c>
      <c r="B272" s="127">
        <f t="shared" si="4"/>
        <v>45652</v>
      </c>
      <c r="C272" s="128">
        <f>YEAR(GC[[#This Row],[Date]])+IF(MONTH(GC[[#This Row],[Date]])&gt;=4,1,0)</f>
        <v>2025</v>
      </c>
      <c r="D272" s="129">
        <f>YEAR(GC[[#This Row],[Date]])</f>
        <v>2024</v>
      </c>
      <c r="E272" s="126" t="s">
        <v>218</v>
      </c>
      <c r="F272" s="126" t="s">
        <v>218</v>
      </c>
      <c r="G272" s="130" t="str">
        <f>TEXT(GC[[#This Row],[Date]],"mmm-yy")</f>
        <v>Dec-24</v>
      </c>
      <c r="H272" s="130">
        <f>DAY(EOMONTH(GC[[#This Row],[Month Year]],0))</f>
        <v>31</v>
      </c>
      <c r="I272" s="133">
        <v>2</v>
      </c>
      <c r="J272" s="133" t="s">
        <v>458</v>
      </c>
      <c r="K272" s="133">
        <v>0</v>
      </c>
      <c r="L272" s="133">
        <v>0</v>
      </c>
      <c r="M272" s="133">
        <v>0</v>
      </c>
      <c r="N272" s="133">
        <v>0</v>
      </c>
      <c r="O272" s="133">
        <v>0</v>
      </c>
      <c r="P272" s="133">
        <v>0</v>
      </c>
      <c r="Q272" s="133">
        <v>0</v>
      </c>
      <c r="R272" s="133">
        <v>17</v>
      </c>
      <c r="S272" s="126"/>
      <c r="T272" s="126"/>
      <c r="U272" s="126"/>
      <c r="V272" s="126"/>
      <c r="W272" s="126"/>
      <c r="X272" s="126"/>
      <c r="Y272" s="4">
        <f>SUM(GC[[#This Row],[ICR1]:[ICR14]])</f>
        <v>17</v>
      </c>
      <c r="Z272" s="133" t="s">
        <v>458</v>
      </c>
      <c r="AA272" s="133" t="s">
        <v>489</v>
      </c>
    </row>
    <row r="273" spans="1:27">
      <c r="A273" s="133">
        <v>271</v>
      </c>
      <c r="B273" s="127">
        <f t="shared" si="4"/>
        <v>45653</v>
      </c>
      <c r="C273" s="128">
        <f>YEAR(GC[[#This Row],[Date]])+IF(MONTH(GC[[#This Row],[Date]])&gt;=4,1,0)</f>
        <v>2025</v>
      </c>
      <c r="D273" s="129">
        <f>YEAR(GC[[#This Row],[Date]])</f>
        <v>2024</v>
      </c>
      <c r="E273" s="126" t="s">
        <v>218</v>
      </c>
      <c r="F273" s="126" t="s">
        <v>218</v>
      </c>
      <c r="G273" s="130" t="str">
        <f>TEXT(GC[[#This Row],[Date]],"mmm-yy")</f>
        <v>Dec-24</v>
      </c>
      <c r="H273" s="130">
        <f>DAY(EOMONTH(GC[[#This Row],[Month Year]],0))</f>
        <v>31</v>
      </c>
      <c r="I273" s="133">
        <v>2</v>
      </c>
      <c r="J273" s="133" t="s">
        <v>458</v>
      </c>
      <c r="K273" s="133">
        <v>0</v>
      </c>
      <c r="L273" s="133">
        <v>0</v>
      </c>
      <c r="M273" s="133">
        <v>0</v>
      </c>
      <c r="N273" s="133">
        <v>18</v>
      </c>
      <c r="O273" s="133">
        <v>0</v>
      </c>
      <c r="P273" s="133">
        <v>0</v>
      </c>
      <c r="Q273" s="133">
        <v>0</v>
      </c>
      <c r="R273" s="133">
        <v>13</v>
      </c>
      <c r="S273" s="126"/>
      <c r="T273" s="126"/>
      <c r="U273" s="126"/>
      <c r="V273" s="126"/>
      <c r="W273" s="126"/>
      <c r="X273" s="126"/>
      <c r="Y273" s="4">
        <f>SUM(GC[[#This Row],[ICR1]:[ICR14]])</f>
        <v>31</v>
      </c>
      <c r="Z273" s="133" t="s">
        <v>458</v>
      </c>
      <c r="AA273" s="133" t="s">
        <v>490</v>
      </c>
    </row>
    <row r="274" spans="1:27">
      <c r="A274" s="133">
        <v>272</v>
      </c>
      <c r="B274" s="127">
        <f t="shared" si="4"/>
        <v>45654</v>
      </c>
      <c r="C274" s="128">
        <f>YEAR(GC[[#This Row],[Date]])+IF(MONTH(GC[[#This Row],[Date]])&gt;=4,1,0)</f>
        <v>2025</v>
      </c>
      <c r="D274" s="129">
        <f>YEAR(GC[[#This Row],[Date]])</f>
        <v>2024</v>
      </c>
      <c r="E274" s="126" t="s">
        <v>218</v>
      </c>
      <c r="F274" s="126" t="s">
        <v>218</v>
      </c>
      <c r="G274" s="130" t="str">
        <f>TEXT(GC[[#This Row],[Date]],"mmm-yy")</f>
        <v>Dec-24</v>
      </c>
      <c r="H274" s="130">
        <f>DAY(EOMONTH(GC[[#This Row],[Month Year]],0))</f>
        <v>31</v>
      </c>
      <c r="I274" s="133">
        <v>2</v>
      </c>
      <c r="J274" s="133" t="s">
        <v>458</v>
      </c>
      <c r="K274" s="133">
        <v>0</v>
      </c>
      <c r="L274" s="133">
        <v>34</v>
      </c>
      <c r="M274" s="133">
        <v>14</v>
      </c>
      <c r="N274" s="133">
        <v>15</v>
      </c>
      <c r="O274" s="133">
        <v>0</v>
      </c>
      <c r="P274" s="133">
        <v>0</v>
      </c>
      <c r="Q274" s="133">
        <v>0</v>
      </c>
      <c r="R274" s="133">
        <v>0</v>
      </c>
      <c r="S274" s="126"/>
      <c r="T274" s="126"/>
      <c r="U274" s="126"/>
      <c r="V274" s="126"/>
      <c r="W274" s="126"/>
      <c r="X274" s="126"/>
      <c r="Y274" s="4">
        <f>SUM(GC[[#This Row],[ICR1]:[ICR14]])</f>
        <v>63</v>
      </c>
      <c r="Z274" s="133" t="s">
        <v>458</v>
      </c>
      <c r="AA274" s="133" t="s">
        <v>491</v>
      </c>
    </row>
    <row r="275" spans="1:27">
      <c r="A275" s="133">
        <v>273</v>
      </c>
      <c r="B275" s="127">
        <f t="shared" si="4"/>
        <v>45655</v>
      </c>
      <c r="C275" s="128">
        <f>YEAR(GC[[#This Row],[Date]])+IF(MONTH(GC[[#This Row],[Date]])&gt;=4,1,0)</f>
        <v>2025</v>
      </c>
      <c r="D275" s="129">
        <f>YEAR(GC[[#This Row],[Date]])</f>
        <v>2024</v>
      </c>
      <c r="E275" s="126" t="s">
        <v>218</v>
      </c>
      <c r="F275" s="126" t="s">
        <v>218</v>
      </c>
      <c r="G275" s="130" t="str">
        <f>TEXT(GC[[#This Row],[Date]],"mmm-yy")</f>
        <v>Dec-24</v>
      </c>
      <c r="H275" s="130">
        <f>DAY(EOMONTH(GC[[#This Row],[Month Year]],0))</f>
        <v>31</v>
      </c>
      <c r="I275" s="133">
        <v>2</v>
      </c>
      <c r="J275" s="133" t="s">
        <v>458</v>
      </c>
      <c r="K275" s="133">
        <v>0</v>
      </c>
      <c r="L275" s="133">
        <v>0</v>
      </c>
      <c r="M275" s="133">
        <v>0</v>
      </c>
      <c r="N275" s="133">
        <v>28</v>
      </c>
      <c r="O275" s="133">
        <v>0</v>
      </c>
      <c r="P275" s="133">
        <v>0</v>
      </c>
      <c r="Q275" s="133">
        <v>0</v>
      </c>
      <c r="R275" s="133">
        <v>0</v>
      </c>
      <c r="S275" s="126"/>
      <c r="T275" s="126"/>
      <c r="U275" s="126"/>
      <c r="V275" s="126"/>
      <c r="W275" s="126"/>
      <c r="X275" s="126"/>
      <c r="Y275" s="4">
        <f>SUM(GC[[#This Row],[ICR1]:[ICR14]])</f>
        <v>28</v>
      </c>
      <c r="Z275" s="133" t="s">
        <v>458</v>
      </c>
      <c r="AA275" s="133" t="s">
        <v>484</v>
      </c>
    </row>
    <row r="276" spans="1:27">
      <c r="A276" s="133">
        <v>274</v>
      </c>
      <c r="B276" s="127">
        <f t="shared" si="4"/>
        <v>45656</v>
      </c>
      <c r="C276" s="128">
        <f>YEAR(GC[[#This Row],[Date]])+IF(MONTH(GC[[#This Row],[Date]])&gt;=4,1,0)</f>
        <v>2025</v>
      </c>
      <c r="D276" s="129">
        <f>YEAR(GC[[#This Row],[Date]])</f>
        <v>2024</v>
      </c>
      <c r="E276" s="126" t="s">
        <v>218</v>
      </c>
      <c r="F276" s="126" t="s">
        <v>218</v>
      </c>
      <c r="G276" s="130" t="str">
        <f>TEXT(GC[[#This Row],[Date]],"mmm-yy")</f>
        <v>Dec-24</v>
      </c>
      <c r="H276" s="130">
        <f>DAY(EOMONTH(GC[[#This Row],[Month Year]],0))</f>
        <v>31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26"/>
      <c r="T276" s="126"/>
      <c r="U276" s="126"/>
      <c r="V276" s="126"/>
      <c r="W276" s="126"/>
      <c r="X276" s="126"/>
      <c r="Y276" s="4">
        <f>SUM(GC[[#This Row],[ICR1]:[ICR14]])</f>
        <v>0</v>
      </c>
      <c r="Z276" s="133"/>
      <c r="AA276" s="133"/>
    </row>
    <row r="277" spans="1:27">
      <c r="A277" s="133">
        <v>275</v>
      </c>
      <c r="B277" s="127">
        <f t="shared" si="4"/>
        <v>45657</v>
      </c>
      <c r="C277" s="128">
        <f>YEAR(GC[[#This Row],[Date]])+IF(MONTH(GC[[#This Row],[Date]])&gt;=4,1,0)</f>
        <v>2025</v>
      </c>
      <c r="D277" s="129">
        <f>YEAR(GC[[#This Row],[Date]])</f>
        <v>2024</v>
      </c>
      <c r="E277" s="126" t="s">
        <v>218</v>
      </c>
      <c r="F277" s="126" t="s">
        <v>218</v>
      </c>
      <c r="G277" s="130" t="str">
        <f>TEXT(GC[[#This Row],[Date]],"mmm-yy")</f>
        <v>Dec-24</v>
      </c>
      <c r="H277" s="130">
        <f>DAY(EOMONTH(GC[[#This Row],[Month Year]],0))</f>
        <v>31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26"/>
      <c r="T277" s="126"/>
      <c r="U277" s="126"/>
      <c r="V277" s="126"/>
      <c r="W277" s="126"/>
      <c r="X277" s="126"/>
      <c r="Y277" s="4">
        <f>SUM(GC[[#This Row],[ICR1]:[ICR14]])</f>
        <v>0</v>
      </c>
      <c r="Z277" s="133"/>
      <c r="AA277" s="133"/>
    </row>
    <row r="278" spans="1:27">
      <c r="A278" s="133">
        <v>276</v>
      </c>
      <c r="B278" s="127">
        <f t="shared" si="4"/>
        <v>45658</v>
      </c>
      <c r="C278" s="128">
        <f>YEAR(GC[[#This Row],[Date]])+IF(MONTH(GC[[#This Row],[Date]])&gt;=4,1,0)</f>
        <v>2025</v>
      </c>
      <c r="D278" s="129">
        <f>YEAR(GC[[#This Row],[Date]])</f>
        <v>2025</v>
      </c>
      <c r="E278" s="126" t="s">
        <v>218</v>
      </c>
      <c r="F278" s="126" t="s">
        <v>218</v>
      </c>
      <c r="G278" s="130" t="str">
        <f>TEXT(GC[[#This Row],[Date]],"mmm-yy")</f>
        <v>Jan-25</v>
      </c>
      <c r="H278" s="130">
        <f>DAY(EOMONTH(GC[[#This Row],[Month Year]],0))</f>
        <v>31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26"/>
      <c r="T278" s="126"/>
      <c r="U278" s="126"/>
      <c r="V278" s="126"/>
      <c r="W278" s="126"/>
      <c r="X278" s="126"/>
      <c r="Y278" s="4">
        <f>SUM(GC[[#This Row],[ICR1]:[ICR14]])</f>
        <v>0</v>
      </c>
      <c r="Z278" s="133"/>
      <c r="AA278" s="133"/>
    </row>
    <row r="279" spans="1:27">
      <c r="A279" s="133">
        <v>277</v>
      </c>
      <c r="B279" s="127">
        <f t="shared" si="4"/>
        <v>45659</v>
      </c>
      <c r="C279" s="128">
        <f>YEAR(GC[[#This Row],[Date]])+IF(MONTH(GC[[#This Row],[Date]])&gt;=4,1,0)</f>
        <v>2025</v>
      </c>
      <c r="D279" s="129">
        <f>YEAR(GC[[#This Row],[Date]])</f>
        <v>2025</v>
      </c>
      <c r="E279" s="126" t="s">
        <v>218</v>
      </c>
      <c r="F279" s="126" t="s">
        <v>218</v>
      </c>
      <c r="G279" s="130" t="str">
        <f>TEXT(GC[[#This Row],[Date]],"mmm-yy")</f>
        <v>Jan-25</v>
      </c>
      <c r="H279" s="130">
        <f>DAY(EOMONTH(GC[[#This Row],[Month Year]],0))</f>
        <v>31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26"/>
      <c r="T279" s="126"/>
      <c r="U279" s="126"/>
      <c r="V279" s="126"/>
      <c r="W279" s="126"/>
      <c r="X279" s="126"/>
      <c r="Y279" s="4">
        <f>SUM(GC[[#This Row],[ICR1]:[ICR14]])</f>
        <v>0</v>
      </c>
      <c r="Z279" s="133"/>
      <c r="AA279" s="133"/>
    </row>
    <row r="280" spans="1:27">
      <c r="A280" s="133">
        <v>278</v>
      </c>
      <c r="B280" s="127">
        <f t="shared" si="4"/>
        <v>45660</v>
      </c>
      <c r="C280" s="128">
        <f>YEAR(GC[[#This Row],[Date]])+IF(MONTH(GC[[#This Row],[Date]])&gt;=4,1,0)</f>
        <v>2025</v>
      </c>
      <c r="D280" s="129">
        <f>YEAR(GC[[#This Row],[Date]])</f>
        <v>2025</v>
      </c>
      <c r="E280" s="126" t="s">
        <v>218</v>
      </c>
      <c r="F280" s="126" t="s">
        <v>218</v>
      </c>
      <c r="G280" s="130" t="str">
        <f>TEXT(GC[[#This Row],[Date]],"mmm-yy")</f>
        <v>Jan-25</v>
      </c>
      <c r="H280" s="130">
        <f>DAY(EOMONTH(GC[[#This Row],[Month Year]],0))</f>
        <v>31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26"/>
      <c r="T280" s="126"/>
      <c r="U280" s="126"/>
      <c r="V280" s="126"/>
      <c r="W280" s="126"/>
      <c r="X280" s="126"/>
      <c r="Y280" s="4">
        <f>SUM(GC[[#This Row],[ICR1]:[ICR14]])</f>
        <v>0</v>
      </c>
      <c r="Z280" s="133"/>
      <c r="AA280" s="133"/>
    </row>
    <row r="281" spans="1:27">
      <c r="A281" s="133">
        <v>279</v>
      </c>
      <c r="B281" s="127">
        <f t="shared" si="4"/>
        <v>45661</v>
      </c>
      <c r="C281" s="128">
        <f>YEAR(GC[[#This Row],[Date]])+IF(MONTH(GC[[#This Row],[Date]])&gt;=4,1,0)</f>
        <v>2025</v>
      </c>
      <c r="D281" s="129">
        <f>YEAR(GC[[#This Row],[Date]])</f>
        <v>2025</v>
      </c>
      <c r="E281" s="126" t="s">
        <v>218</v>
      </c>
      <c r="F281" s="126" t="s">
        <v>218</v>
      </c>
      <c r="G281" s="130" t="str">
        <f>TEXT(GC[[#This Row],[Date]],"mmm-yy")</f>
        <v>Jan-25</v>
      </c>
      <c r="H281" s="130">
        <f>DAY(EOMONTH(GC[[#This Row],[Month Year]],0))</f>
        <v>31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26"/>
      <c r="T281" s="126"/>
      <c r="U281" s="126"/>
      <c r="V281" s="126"/>
      <c r="W281" s="126"/>
      <c r="X281" s="126"/>
      <c r="Y281" s="4">
        <f>SUM(GC[[#This Row],[ICR1]:[ICR14]])</f>
        <v>0</v>
      </c>
      <c r="Z281" s="133"/>
      <c r="AA281" s="133"/>
    </row>
    <row r="282" spans="1:27">
      <c r="A282" s="133">
        <v>280</v>
      </c>
      <c r="B282" s="127">
        <f t="shared" si="4"/>
        <v>45662</v>
      </c>
      <c r="C282" s="128">
        <f>YEAR(GC[[#This Row],[Date]])+IF(MONTH(GC[[#This Row],[Date]])&gt;=4,1,0)</f>
        <v>2025</v>
      </c>
      <c r="D282" s="129">
        <f>YEAR(GC[[#This Row],[Date]])</f>
        <v>2025</v>
      </c>
      <c r="E282" s="126" t="s">
        <v>218</v>
      </c>
      <c r="F282" s="126" t="s">
        <v>218</v>
      </c>
      <c r="G282" s="130" t="str">
        <f>TEXT(GC[[#This Row],[Date]],"mmm-yy")</f>
        <v>Jan-25</v>
      </c>
      <c r="H282" s="130">
        <f>DAY(EOMONTH(GC[[#This Row],[Month Year]],0))</f>
        <v>31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26"/>
      <c r="T282" s="126"/>
      <c r="U282" s="126"/>
      <c r="V282" s="126"/>
      <c r="W282" s="126"/>
      <c r="X282" s="126"/>
      <c r="Y282" s="4">
        <f>SUM(GC[[#This Row],[ICR1]:[ICR14]])</f>
        <v>0</v>
      </c>
      <c r="Z282" s="133"/>
      <c r="AA282" s="133"/>
    </row>
    <row r="283" spans="1:27">
      <c r="A283" s="133">
        <v>281</v>
      </c>
      <c r="B283" s="127">
        <f t="shared" si="4"/>
        <v>45663</v>
      </c>
      <c r="C283" s="128">
        <f>YEAR(GC[[#This Row],[Date]])+IF(MONTH(GC[[#This Row],[Date]])&gt;=4,1,0)</f>
        <v>2025</v>
      </c>
      <c r="D283" s="129">
        <f>YEAR(GC[[#This Row],[Date]])</f>
        <v>2025</v>
      </c>
      <c r="E283" s="126" t="s">
        <v>218</v>
      </c>
      <c r="F283" s="126" t="s">
        <v>218</v>
      </c>
      <c r="G283" s="130" t="str">
        <f>TEXT(GC[[#This Row],[Date]],"mmm-yy")</f>
        <v>Jan-25</v>
      </c>
      <c r="H283" s="130">
        <f>DAY(EOMONTH(GC[[#This Row],[Month Year]],0))</f>
        <v>31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26"/>
      <c r="T283" s="126"/>
      <c r="U283" s="126"/>
      <c r="V283" s="126"/>
      <c r="W283" s="126"/>
      <c r="X283" s="126"/>
      <c r="Y283" s="4">
        <f>SUM(GC[[#This Row],[ICR1]:[ICR14]])</f>
        <v>0</v>
      </c>
      <c r="Z283" s="133"/>
      <c r="AA283" s="133"/>
    </row>
    <row r="284" spans="1:27">
      <c r="A284" s="133">
        <v>282</v>
      </c>
      <c r="B284" s="127">
        <f t="shared" si="4"/>
        <v>45664</v>
      </c>
      <c r="C284" s="128">
        <f>YEAR(GC[[#This Row],[Date]])+IF(MONTH(GC[[#This Row],[Date]])&gt;=4,1,0)</f>
        <v>2025</v>
      </c>
      <c r="D284" s="129">
        <f>YEAR(GC[[#This Row],[Date]])</f>
        <v>2025</v>
      </c>
      <c r="E284" s="126" t="s">
        <v>218</v>
      </c>
      <c r="F284" s="126" t="s">
        <v>218</v>
      </c>
      <c r="G284" s="130" t="str">
        <f>TEXT(GC[[#This Row],[Date]],"mmm-yy")</f>
        <v>Jan-25</v>
      </c>
      <c r="H284" s="130">
        <f>DAY(EOMONTH(GC[[#This Row],[Month Year]],0))</f>
        <v>31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26"/>
      <c r="T284" s="126"/>
      <c r="U284" s="126"/>
      <c r="V284" s="126"/>
      <c r="W284" s="126"/>
      <c r="X284" s="126"/>
      <c r="Y284" s="4">
        <f>SUM(GC[[#This Row],[ICR1]:[ICR14]])</f>
        <v>0</v>
      </c>
      <c r="Z284" s="133"/>
      <c r="AA284" s="133"/>
    </row>
    <row r="285" spans="1:27">
      <c r="A285" s="133">
        <v>283</v>
      </c>
      <c r="B285" s="127">
        <f t="shared" si="4"/>
        <v>45665</v>
      </c>
      <c r="C285" s="128">
        <f>YEAR(GC[[#This Row],[Date]])+IF(MONTH(GC[[#This Row],[Date]])&gt;=4,1,0)</f>
        <v>2025</v>
      </c>
      <c r="D285" s="129">
        <f>YEAR(GC[[#This Row],[Date]])</f>
        <v>2025</v>
      </c>
      <c r="E285" s="126" t="s">
        <v>218</v>
      </c>
      <c r="F285" s="126" t="s">
        <v>218</v>
      </c>
      <c r="G285" s="130" t="str">
        <f>TEXT(GC[[#This Row],[Date]],"mmm-yy")</f>
        <v>Jan-25</v>
      </c>
      <c r="H285" s="130">
        <f>DAY(EOMONTH(GC[[#This Row],[Month Year]],0))</f>
        <v>31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26"/>
      <c r="T285" s="126"/>
      <c r="U285" s="126"/>
      <c r="V285" s="126"/>
      <c r="W285" s="126"/>
      <c r="X285" s="126"/>
      <c r="Y285" s="4">
        <f>SUM(GC[[#This Row],[ICR1]:[ICR14]])</f>
        <v>0</v>
      </c>
      <c r="Z285" s="133"/>
      <c r="AA285" s="133"/>
    </row>
    <row r="286" spans="1:27">
      <c r="A286" s="133">
        <v>284</v>
      </c>
      <c r="B286" s="127">
        <f t="shared" si="4"/>
        <v>45666</v>
      </c>
      <c r="C286" s="128">
        <f>YEAR(GC[[#This Row],[Date]])+IF(MONTH(GC[[#This Row],[Date]])&gt;=4,1,0)</f>
        <v>2025</v>
      </c>
      <c r="D286" s="129">
        <f>YEAR(GC[[#This Row],[Date]])</f>
        <v>2025</v>
      </c>
      <c r="E286" s="126" t="s">
        <v>218</v>
      </c>
      <c r="F286" s="126" t="s">
        <v>218</v>
      </c>
      <c r="G286" s="130" t="str">
        <f>TEXT(GC[[#This Row],[Date]],"mmm-yy")</f>
        <v>Jan-25</v>
      </c>
      <c r="H286" s="130">
        <f>DAY(EOMONTH(GC[[#This Row],[Month Year]],0))</f>
        <v>31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26"/>
      <c r="T286" s="126"/>
      <c r="U286" s="126"/>
      <c r="V286" s="126"/>
      <c r="W286" s="126"/>
      <c r="X286" s="126"/>
      <c r="Y286" s="4">
        <f>SUM(GC[[#This Row],[ICR1]:[ICR14]])</f>
        <v>0</v>
      </c>
      <c r="Z286" s="133"/>
      <c r="AA286" s="133"/>
    </row>
    <row r="287" spans="1:27">
      <c r="A287" s="133">
        <v>285</v>
      </c>
      <c r="B287" s="127">
        <f t="shared" si="4"/>
        <v>45667</v>
      </c>
      <c r="C287" s="128">
        <f>YEAR(GC[[#This Row],[Date]])+IF(MONTH(GC[[#This Row],[Date]])&gt;=4,1,0)</f>
        <v>2025</v>
      </c>
      <c r="D287" s="129">
        <f>YEAR(GC[[#This Row],[Date]])</f>
        <v>2025</v>
      </c>
      <c r="E287" s="126" t="s">
        <v>218</v>
      </c>
      <c r="F287" s="126" t="s">
        <v>218</v>
      </c>
      <c r="G287" s="130" t="str">
        <f>TEXT(GC[[#This Row],[Date]],"mmm-yy")</f>
        <v>Jan-25</v>
      </c>
      <c r="H287" s="130">
        <f>DAY(EOMONTH(GC[[#This Row],[Month Year]],0))</f>
        <v>31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26"/>
      <c r="T287" s="126"/>
      <c r="U287" s="126"/>
      <c r="V287" s="126"/>
      <c r="W287" s="126"/>
      <c r="X287" s="126"/>
      <c r="Y287" s="4">
        <f>SUM(GC[[#This Row],[ICR1]:[ICR14]])</f>
        <v>0</v>
      </c>
      <c r="Z287" s="133"/>
      <c r="AA287" s="133"/>
    </row>
    <row r="288" spans="1:27">
      <c r="A288" s="133">
        <v>286</v>
      </c>
      <c r="B288" s="127">
        <f t="shared" si="4"/>
        <v>45668</v>
      </c>
      <c r="C288" s="128">
        <f>YEAR(GC[[#This Row],[Date]])+IF(MONTH(GC[[#This Row],[Date]])&gt;=4,1,0)</f>
        <v>2025</v>
      </c>
      <c r="D288" s="129">
        <f>YEAR(GC[[#This Row],[Date]])</f>
        <v>2025</v>
      </c>
      <c r="E288" s="126" t="s">
        <v>218</v>
      </c>
      <c r="F288" s="126" t="s">
        <v>218</v>
      </c>
      <c r="G288" s="130" t="str">
        <f>TEXT(GC[[#This Row],[Date]],"mmm-yy")</f>
        <v>Jan-25</v>
      </c>
      <c r="H288" s="130">
        <f>DAY(EOMONTH(GC[[#This Row],[Month Year]],0))</f>
        <v>31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26"/>
      <c r="T288" s="126"/>
      <c r="U288" s="126"/>
      <c r="V288" s="126"/>
      <c r="W288" s="126"/>
      <c r="X288" s="126"/>
      <c r="Y288" s="4">
        <f>SUM(GC[[#This Row],[ICR1]:[ICR14]])</f>
        <v>0</v>
      </c>
      <c r="Z288" s="133"/>
      <c r="AA288" s="133"/>
    </row>
    <row r="289" spans="1:27">
      <c r="A289" s="133">
        <v>287</v>
      </c>
      <c r="B289" s="127">
        <f t="shared" si="4"/>
        <v>45669</v>
      </c>
      <c r="C289" s="128">
        <f>YEAR(GC[[#This Row],[Date]])+IF(MONTH(GC[[#This Row],[Date]])&gt;=4,1,0)</f>
        <v>2025</v>
      </c>
      <c r="D289" s="129">
        <f>YEAR(GC[[#This Row],[Date]])</f>
        <v>2025</v>
      </c>
      <c r="E289" s="126" t="s">
        <v>218</v>
      </c>
      <c r="F289" s="126" t="s">
        <v>218</v>
      </c>
      <c r="G289" s="130" t="str">
        <f>TEXT(GC[[#This Row],[Date]],"mmm-yy")</f>
        <v>Jan-25</v>
      </c>
      <c r="H289" s="130">
        <f>DAY(EOMONTH(GC[[#This Row],[Month Year]],0))</f>
        <v>31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26"/>
      <c r="T289" s="126"/>
      <c r="U289" s="126"/>
      <c r="V289" s="126"/>
      <c r="W289" s="126"/>
      <c r="X289" s="126"/>
      <c r="Y289" s="4">
        <f>SUM(GC[[#This Row],[ICR1]:[ICR14]])</f>
        <v>0</v>
      </c>
      <c r="Z289" s="133"/>
      <c r="AA289" s="133"/>
    </row>
    <row r="290" spans="1:27">
      <c r="A290" s="133">
        <v>288</v>
      </c>
      <c r="B290" s="127">
        <f t="shared" si="4"/>
        <v>45670</v>
      </c>
      <c r="C290" s="128">
        <f>YEAR(GC[[#This Row],[Date]])+IF(MONTH(GC[[#This Row],[Date]])&gt;=4,1,0)</f>
        <v>2025</v>
      </c>
      <c r="D290" s="129">
        <f>YEAR(GC[[#This Row],[Date]])</f>
        <v>2025</v>
      </c>
      <c r="E290" s="126" t="s">
        <v>218</v>
      </c>
      <c r="F290" s="126" t="s">
        <v>218</v>
      </c>
      <c r="G290" s="130" t="str">
        <f>TEXT(GC[[#This Row],[Date]],"mmm-yy")</f>
        <v>Jan-25</v>
      </c>
      <c r="H290" s="130">
        <f>DAY(EOMONTH(GC[[#This Row],[Month Year]],0))</f>
        <v>31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26"/>
      <c r="T290" s="126"/>
      <c r="U290" s="126"/>
      <c r="V290" s="126"/>
      <c r="W290" s="126"/>
      <c r="X290" s="126"/>
      <c r="Y290" s="4">
        <f>SUM(GC[[#This Row],[ICR1]:[ICR14]])</f>
        <v>0</v>
      </c>
      <c r="Z290" s="133"/>
      <c r="AA290" s="133"/>
    </row>
    <row r="291" spans="1:27">
      <c r="A291" s="133">
        <v>289</v>
      </c>
      <c r="B291" s="127">
        <f t="shared" si="4"/>
        <v>45671</v>
      </c>
      <c r="C291" s="128">
        <f>YEAR(GC[[#This Row],[Date]])+IF(MONTH(GC[[#This Row],[Date]])&gt;=4,1,0)</f>
        <v>2025</v>
      </c>
      <c r="D291" s="129">
        <f>YEAR(GC[[#This Row],[Date]])</f>
        <v>2025</v>
      </c>
      <c r="E291" s="126" t="s">
        <v>218</v>
      </c>
      <c r="F291" s="126" t="s">
        <v>218</v>
      </c>
      <c r="G291" s="130" t="str">
        <f>TEXT(GC[[#This Row],[Date]],"mmm-yy")</f>
        <v>Jan-25</v>
      </c>
      <c r="H291" s="130">
        <f>DAY(EOMONTH(GC[[#This Row],[Month Year]],0))</f>
        <v>31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26"/>
      <c r="T291" s="126"/>
      <c r="U291" s="126"/>
      <c r="V291" s="126"/>
      <c r="W291" s="126"/>
      <c r="X291" s="126"/>
      <c r="Y291" s="4">
        <f>SUM(GC[[#This Row],[ICR1]:[ICR14]])</f>
        <v>0</v>
      </c>
      <c r="Z291" s="133"/>
      <c r="AA291" s="133"/>
    </row>
    <row r="292" spans="1:27">
      <c r="A292" s="133">
        <v>290</v>
      </c>
      <c r="B292" s="127">
        <f t="shared" si="4"/>
        <v>45672</v>
      </c>
      <c r="C292" s="128">
        <f>YEAR(GC[[#This Row],[Date]])+IF(MONTH(GC[[#This Row],[Date]])&gt;=4,1,0)</f>
        <v>2025</v>
      </c>
      <c r="D292" s="129">
        <f>YEAR(GC[[#This Row],[Date]])</f>
        <v>2025</v>
      </c>
      <c r="E292" s="126" t="s">
        <v>218</v>
      </c>
      <c r="F292" s="126" t="s">
        <v>218</v>
      </c>
      <c r="G292" s="130" t="str">
        <f>TEXT(GC[[#This Row],[Date]],"mmm-yy")</f>
        <v>Jan-25</v>
      </c>
      <c r="H292" s="130">
        <f>DAY(EOMONTH(GC[[#This Row],[Month Year]],0))</f>
        <v>31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26"/>
      <c r="T292" s="126"/>
      <c r="U292" s="126"/>
      <c r="V292" s="126"/>
      <c r="W292" s="126"/>
      <c r="X292" s="126"/>
      <c r="Y292" s="4">
        <f>SUM(GC[[#This Row],[ICR1]:[ICR14]])</f>
        <v>0</v>
      </c>
      <c r="Z292" s="133"/>
      <c r="AA292" s="133"/>
    </row>
    <row r="293" spans="1:27">
      <c r="A293" s="133">
        <v>291</v>
      </c>
      <c r="B293" s="127">
        <f t="shared" si="4"/>
        <v>45673</v>
      </c>
      <c r="C293" s="128">
        <f>YEAR(GC[[#This Row],[Date]])+IF(MONTH(GC[[#This Row],[Date]])&gt;=4,1,0)</f>
        <v>2025</v>
      </c>
      <c r="D293" s="129">
        <f>YEAR(GC[[#This Row],[Date]])</f>
        <v>2025</v>
      </c>
      <c r="E293" s="126" t="s">
        <v>218</v>
      </c>
      <c r="F293" s="126" t="s">
        <v>218</v>
      </c>
      <c r="G293" s="130" t="str">
        <f>TEXT(GC[[#This Row],[Date]],"mmm-yy")</f>
        <v>Jan-25</v>
      </c>
      <c r="H293" s="130">
        <f>DAY(EOMONTH(GC[[#This Row],[Month Year]],0))</f>
        <v>31</v>
      </c>
      <c r="I293" s="133">
        <v>1</v>
      </c>
      <c r="J293" s="133" t="s">
        <v>458</v>
      </c>
      <c r="K293" s="133">
        <v>0</v>
      </c>
      <c r="L293" s="133">
        <v>0</v>
      </c>
      <c r="M293" s="133">
        <v>0</v>
      </c>
      <c r="N293" s="133">
        <v>0</v>
      </c>
      <c r="O293" s="133">
        <v>0</v>
      </c>
      <c r="P293" s="133">
        <v>0</v>
      </c>
      <c r="Q293" s="133">
        <v>0</v>
      </c>
      <c r="R293" s="133">
        <v>0</v>
      </c>
      <c r="S293" s="126">
        <v>0</v>
      </c>
      <c r="T293" s="126">
        <v>0</v>
      </c>
      <c r="U293" s="126">
        <v>0</v>
      </c>
      <c r="V293" s="126">
        <v>0</v>
      </c>
      <c r="W293" s="126">
        <v>0</v>
      </c>
      <c r="X293" s="126">
        <v>55</v>
      </c>
      <c r="Y293" s="4">
        <f>SUM(GC[[#This Row],[ICR1]:[ICR14]])</f>
        <v>55</v>
      </c>
      <c r="Z293" s="133" t="s">
        <v>458</v>
      </c>
      <c r="AA293" s="133" t="s">
        <v>460</v>
      </c>
    </row>
    <row r="294" spans="1:27">
      <c r="A294" s="133">
        <v>292</v>
      </c>
      <c r="B294" s="127">
        <f t="shared" si="4"/>
        <v>45674</v>
      </c>
      <c r="C294" s="128">
        <f>YEAR(GC[[#This Row],[Date]])+IF(MONTH(GC[[#This Row],[Date]])&gt;=4,1,0)</f>
        <v>2025</v>
      </c>
      <c r="D294" s="129">
        <f>YEAR(GC[[#This Row],[Date]])</f>
        <v>2025</v>
      </c>
      <c r="E294" s="126" t="s">
        <v>218</v>
      </c>
      <c r="F294" s="126" t="s">
        <v>218</v>
      </c>
      <c r="G294" s="130" t="str">
        <f>TEXT(GC[[#This Row],[Date]],"mmm-yy")</f>
        <v>Jan-25</v>
      </c>
      <c r="H294" s="130">
        <f>DAY(EOMONTH(GC[[#This Row],[Month Year]],0))</f>
        <v>31</v>
      </c>
      <c r="I294" s="133">
        <v>1</v>
      </c>
      <c r="J294" s="133" t="s">
        <v>458</v>
      </c>
      <c r="K294" s="133">
        <v>0</v>
      </c>
      <c r="L294" s="133">
        <v>0</v>
      </c>
      <c r="M294" s="133">
        <v>0</v>
      </c>
      <c r="N294" s="133">
        <v>0</v>
      </c>
      <c r="O294" s="133">
        <v>0</v>
      </c>
      <c r="P294" s="133">
        <v>0</v>
      </c>
      <c r="Q294" s="133">
        <v>0</v>
      </c>
      <c r="R294" s="133">
        <v>0</v>
      </c>
      <c r="S294" s="126">
        <v>0</v>
      </c>
      <c r="T294" s="126">
        <v>0</v>
      </c>
      <c r="U294" s="126">
        <v>0</v>
      </c>
      <c r="V294" s="126">
        <v>0</v>
      </c>
      <c r="W294" s="126">
        <v>44</v>
      </c>
      <c r="X294" s="126">
        <v>0</v>
      </c>
      <c r="Y294" s="4">
        <f>SUM(GC[[#This Row],[ICR1]:[ICR14]])</f>
        <v>44</v>
      </c>
      <c r="Z294" s="133" t="s">
        <v>458</v>
      </c>
      <c r="AA294" s="133" t="s">
        <v>492</v>
      </c>
    </row>
    <row r="295" spans="1:27">
      <c r="A295" s="133">
        <v>293</v>
      </c>
      <c r="B295" s="127">
        <f t="shared" si="4"/>
        <v>45675</v>
      </c>
      <c r="C295" s="128">
        <f>YEAR(GC[[#This Row],[Date]])+IF(MONTH(GC[[#This Row],[Date]])&gt;=4,1,0)</f>
        <v>2025</v>
      </c>
      <c r="D295" s="129">
        <f>YEAR(GC[[#This Row],[Date]])</f>
        <v>2025</v>
      </c>
      <c r="E295" s="126" t="s">
        <v>218</v>
      </c>
      <c r="F295" s="126" t="s">
        <v>218</v>
      </c>
      <c r="G295" s="130" t="str">
        <f>TEXT(GC[[#This Row],[Date]],"mmm-yy")</f>
        <v>Jan-25</v>
      </c>
      <c r="H295" s="130">
        <f>DAY(EOMONTH(GC[[#This Row],[Month Year]],0))</f>
        <v>31</v>
      </c>
      <c r="I295" s="133">
        <v>1</v>
      </c>
      <c r="J295" s="133" t="s">
        <v>458</v>
      </c>
      <c r="K295" s="133">
        <v>0</v>
      </c>
      <c r="L295" s="133">
        <v>0</v>
      </c>
      <c r="M295" s="133">
        <v>0</v>
      </c>
      <c r="N295" s="133">
        <v>0</v>
      </c>
      <c r="O295" s="133">
        <v>0</v>
      </c>
      <c r="P295" s="133">
        <v>0</v>
      </c>
      <c r="Q295" s="133">
        <v>0</v>
      </c>
      <c r="R295" s="133">
        <v>0</v>
      </c>
      <c r="S295" s="126">
        <v>0</v>
      </c>
      <c r="T295" s="126">
        <v>0</v>
      </c>
      <c r="U295" s="126">
        <v>20</v>
      </c>
      <c r="V295" s="126">
        <v>0</v>
      </c>
      <c r="W295" s="126">
        <v>0</v>
      </c>
      <c r="X295" s="126">
        <v>20</v>
      </c>
      <c r="Y295" s="4">
        <f>SUM(GC[[#This Row],[ICR1]:[ICR14]])</f>
        <v>40</v>
      </c>
      <c r="Z295" s="133" t="s">
        <v>458</v>
      </c>
      <c r="AA295" s="133" t="s">
        <v>479</v>
      </c>
    </row>
    <row r="296" spans="1:27">
      <c r="A296" s="133">
        <v>294</v>
      </c>
      <c r="B296" s="127">
        <f t="shared" si="4"/>
        <v>45676</v>
      </c>
      <c r="C296" s="128">
        <f>YEAR(GC[[#This Row],[Date]])+IF(MONTH(GC[[#This Row],[Date]])&gt;=4,1,0)</f>
        <v>2025</v>
      </c>
      <c r="D296" s="129">
        <f>YEAR(GC[[#This Row],[Date]])</f>
        <v>2025</v>
      </c>
      <c r="E296" s="126" t="s">
        <v>218</v>
      </c>
      <c r="F296" s="126" t="s">
        <v>218</v>
      </c>
      <c r="G296" s="130" t="str">
        <f>TEXT(GC[[#This Row],[Date]],"mmm-yy")</f>
        <v>Jan-25</v>
      </c>
      <c r="H296" s="130">
        <f>DAY(EOMONTH(GC[[#This Row],[Month Year]],0))</f>
        <v>31</v>
      </c>
      <c r="I296" s="133">
        <v>1</v>
      </c>
      <c r="J296" s="133" t="s">
        <v>458</v>
      </c>
      <c r="K296" s="133">
        <v>0</v>
      </c>
      <c r="L296" s="133">
        <v>0</v>
      </c>
      <c r="M296" s="133">
        <v>0</v>
      </c>
      <c r="N296" s="133">
        <v>0</v>
      </c>
      <c r="O296" s="133">
        <v>0</v>
      </c>
      <c r="P296" s="133">
        <v>0</v>
      </c>
      <c r="Q296" s="133">
        <v>0</v>
      </c>
      <c r="R296" s="133">
        <v>0</v>
      </c>
      <c r="S296" s="126">
        <v>0</v>
      </c>
      <c r="T296" s="126">
        <v>0</v>
      </c>
      <c r="U296" s="126">
        <v>27</v>
      </c>
      <c r="V296" s="126">
        <v>0</v>
      </c>
      <c r="W296" s="126">
        <v>0</v>
      </c>
      <c r="X296" s="126">
        <v>6</v>
      </c>
      <c r="Y296" s="4">
        <f>SUM(GC[[#This Row],[ICR1]:[ICR14]])</f>
        <v>33</v>
      </c>
      <c r="Z296" s="133" t="s">
        <v>458</v>
      </c>
      <c r="AA296" s="133" t="s">
        <v>493</v>
      </c>
    </row>
    <row r="297" spans="1:27">
      <c r="A297" s="133">
        <v>295</v>
      </c>
      <c r="B297" s="127">
        <f t="shared" si="4"/>
        <v>45677</v>
      </c>
      <c r="C297" s="128">
        <f>YEAR(GC[[#This Row],[Date]])+IF(MONTH(GC[[#This Row],[Date]])&gt;=4,1,0)</f>
        <v>2025</v>
      </c>
      <c r="D297" s="129">
        <f>YEAR(GC[[#This Row],[Date]])</f>
        <v>2025</v>
      </c>
      <c r="E297" s="126" t="s">
        <v>218</v>
      </c>
      <c r="F297" s="126" t="s">
        <v>218</v>
      </c>
      <c r="G297" s="130" t="str">
        <f>TEXT(GC[[#This Row],[Date]],"mmm-yy")</f>
        <v>Jan-25</v>
      </c>
      <c r="H297" s="130">
        <f>DAY(EOMONTH(GC[[#This Row],[Month Year]],0))</f>
        <v>31</v>
      </c>
      <c r="I297" s="133">
        <v>1</v>
      </c>
      <c r="J297" s="133" t="s">
        <v>458</v>
      </c>
      <c r="K297" s="133">
        <v>0</v>
      </c>
      <c r="L297" s="133">
        <v>0</v>
      </c>
      <c r="M297" s="133">
        <v>0</v>
      </c>
      <c r="N297" s="133">
        <v>0</v>
      </c>
      <c r="O297" s="133">
        <v>0</v>
      </c>
      <c r="P297" s="133">
        <v>0</v>
      </c>
      <c r="Q297" s="133">
        <v>0</v>
      </c>
      <c r="R297" s="133">
        <v>0</v>
      </c>
      <c r="S297" s="126">
        <v>0</v>
      </c>
      <c r="T297" s="126">
        <v>0</v>
      </c>
      <c r="U297" s="126">
        <v>31</v>
      </c>
      <c r="V297" s="126">
        <v>0</v>
      </c>
      <c r="W297" s="126">
        <v>0</v>
      </c>
      <c r="X297" s="126">
        <v>0</v>
      </c>
      <c r="Y297" s="4">
        <f>SUM(GC[[#This Row],[ICR1]:[ICR14]])</f>
        <v>31</v>
      </c>
      <c r="Z297" s="133" t="s">
        <v>458</v>
      </c>
      <c r="AA297" s="133" t="s">
        <v>490</v>
      </c>
    </row>
    <row r="298" spans="1:27">
      <c r="A298" s="133">
        <v>296</v>
      </c>
      <c r="B298" s="127">
        <f t="shared" si="4"/>
        <v>45678</v>
      </c>
      <c r="C298" s="128">
        <f>YEAR(GC[[#This Row],[Date]])+IF(MONTH(GC[[#This Row],[Date]])&gt;=4,1,0)</f>
        <v>2025</v>
      </c>
      <c r="D298" s="129">
        <f>YEAR(GC[[#This Row],[Date]])</f>
        <v>2025</v>
      </c>
      <c r="E298" s="126" t="s">
        <v>218</v>
      </c>
      <c r="F298" s="126" t="s">
        <v>218</v>
      </c>
      <c r="G298" s="130" t="str">
        <f>TEXT(GC[[#This Row],[Date]],"mmm-yy")</f>
        <v>Jan-25</v>
      </c>
      <c r="H298" s="130">
        <f>DAY(EOMONTH(GC[[#This Row],[Month Year]],0))</f>
        <v>31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26"/>
      <c r="T298" s="126"/>
      <c r="U298" s="126"/>
      <c r="V298" s="126"/>
      <c r="W298" s="126"/>
      <c r="X298" s="126"/>
      <c r="Y298" s="4">
        <f>SUM(GC[[#This Row],[ICR1]:[ICR14]])</f>
        <v>0</v>
      </c>
      <c r="Z298" s="133"/>
      <c r="AA298" s="133"/>
    </row>
    <row r="299" spans="1:27">
      <c r="A299" s="133">
        <v>297</v>
      </c>
      <c r="B299" s="127">
        <f t="shared" si="4"/>
        <v>45679</v>
      </c>
      <c r="C299" s="128">
        <f>YEAR(GC[[#This Row],[Date]])+IF(MONTH(GC[[#This Row],[Date]])&gt;=4,1,0)</f>
        <v>2025</v>
      </c>
      <c r="D299" s="129">
        <f>YEAR(GC[[#This Row],[Date]])</f>
        <v>2025</v>
      </c>
      <c r="E299" s="126" t="s">
        <v>218</v>
      </c>
      <c r="F299" s="126" t="s">
        <v>218</v>
      </c>
      <c r="G299" s="130" t="str">
        <f>TEXT(GC[[#This Row],[Date]],"mmm-yy")</f>
        <v>Jan-25</v>
      </c>
      <c r="H299" s="130">
        <f>DAY(EOMONTH(GC[[#This Row],[Month Year]],0))</f>
        <v>31</v>
      </c>
      <c r="I299" s="133">
        <v>1</v>
      </c>
      <c r="J299" s="133" t="s">
        <v>458</v>
      </c>
      <c r="K299" s="133">
        <v>0</v>
      </c>
      <c r="L299" s="133">
        <v>0</v>
      </c>
      <c r="M299" s="133">
        <v>0</v>
      </c>
      <c r="N299" s="133">
        <v>0</v>
      </c>
      <c r="O299" s="133">
        <v>0</v>
      </c>
      <c r="P299" s="133">
        <v>0</v>
      </c>
      <c r="Q299" s="133">
        <v>0</v>
      </c>
      <c r="R299" s="133">
        <v>0</v>
      </c>
      <c r="S299" s="126">
        <v>0</v>
      </c>
      <c r="T299" s="126">
        <v>0</v>
      </c>
      <c r="U299" s="126">
        <v>0</v>
      </c>
      <c r="V299" s="126">
        <v>0</v>
      </c>
      <c r="W299" s="126">
        <v>39</v>
      </c>
      <c r="X299" s="126">
        <v>0</v>
      </c>
      <c r="Y299" s="4">
        <f>SUM(GC[[#This Row],[ICR1]:[ICR14]])</f>
        <v>39</v>
      </c>
      <c r="Z299" s="133" t="s">
        <v>458</v>
      </c>
      <c r="AA299" s="133" t="s">
        <v>494</v>
      </c>
    </row>
    <row r="300" spans="1:27">
      <c r="A300" s="133">
        <v>298</v>
      </c>
      <c r="B300" s="127">
        <f t="shared" si="4"/>
        <v>45680</v>
      </c>
      <c r="C300" s="128">
        <f>YEAR(GC[[#This Row],[Date]])+IF(MONTH(GC[[#This Row],[Date]])&gt;=4,1,0)</f>
        <v>2025</v>
      </c>
      <c r="D300" s="129">
        <f>YEAR(GC[[#This Row],[Date]])</f>
        <v>2025</v>
      </c>
      <c r="E300" s="126" t="s">
        <v>218</v>
      </c>
      <c r="F300" s="126" t="s">
        <v>218</v>
      </c>
      <c r="G300" s="130" t="str">
        <f>TEXT(GC[[#This Row],[Date]],"mmm-yy")</f>
        <v>Jan-25</v>
      </c>
      <c r="H300" s="130">
        <f>DAY(EOMONTH(GC[[#This Row],[Month Year]],0))</f>
        <v>31</v>
      </c>
      <c r="I300" s="133">
        <v>1</v>
      </c>
      <c r="J300" s="133" t="s">
        <v>458</v>
      </c>
      <c r="K300" s="133">
        <v>0</v>
      </c>
      <c r="L300" s="133">
        <v>0</v>
      </c>
      <c r="M300" s="133">
        <v>0</v>
      </c>
      <c r="N300" s="133">
        <v>0</v>
      </c>
      <c r="O300" s="133">
        <v>0</v>
      </c>
      <c r="P300" s="133">
        <v>0</v>
      </c>
      <c r="Q300" s="133">
        <v>0</v>
      </c>
      <c r="R300" s="133">
        <v>0</v>
      </c>
      <c r="S300" s="126">
        <v>0</v>
      </c>
      <c r="T300" s="126">
        <v>0</v>
      </c>
      <c r="U300" s="126">
        <v>0</v>
      </c>
      <c r="V300" s="126">
        <v>0</v>
      </c>
      <c r="W300" s="126">
        <v>38</v>
      </c>
      <c r="X300" s="126">
        <v>0</v>
      </c>
      <c r="Y300" s="4">
        <f>SUM(GC[[#This Row],[ICR1]:[ICR14]])</f>
        <v>38</v>
      </c>
      <c r="Z300" s="133" t="s">
        <v>458</v>
      </c>
      <c r="AA300" s="133" t="s">
        <v>495</v>
      </c>
    </row>
    <row r="301" spans="1:27">
      <c r="A301" s="133">
        <v>299</v>
      </c>
      <c r="B301" s="127">
        <f t="shared" si="4"/>
        <v>45681</v>
      </c>
      <c r="C301" s="128">
        <f>YEAR(GC[[#This Row],[Date]])+IF(MONTH(GC[[#This Row],[Date]])&gt;=4,1,0)</f>
        <v>2025</v>
      </c>
      <c r="D301" s="129">
        <f>YEAR(GC[[#This Row],[Date]])</f>
        <v>2025</v>
      </c>
      <c r="E301" s="126" t="s">
        <v>218</v>
      </c>
      <c r="F301" s="126" t="s">
        <v>218</v>
      </c>
      <c r="G301" s="130" t="str">
        <f>TEXT(GC[[#This Row],[Date]],"mmm-yy")</f>
        <v>Jan-25</v>
      </c>
      <c r="H301" s="130">
        <f>DAY(EOMONTH(GC[[#This Row],[Month Year]],0))</f>
        <v>31</v>
      </c>
      <c r="I301" s="133">
        <v>1</v>
      </c>
      <c r="J301" s="133" t="s">
        <v>458</v>
      </c>
      <c r="K301" s="133">
        <v>0</v>
      </c>
      <c r="L301" s="133">
        <v>0</v>
      </c>
      <c r="M301" s="133">
        <v>0</v>
      </c>
      <c r="N301" s="133">
        <v>0</v>
      </c>
      <c r="O301" s="133">
        <v>0</v>
      </c>
      <c r="P301" s="133">
        <v>0</v>
      </c>
      <c r="Q301" s="133">
        <v>0</v>
      </c>
      <c r="R301" s="133">
        <v>0</v>
      </c>
      <c r="S301" s="126">
        <v>0</v>
      </c>
      <c r="T301" s="126">
        <v>0</v>
      </c>
      <c r="U301" s="126">
        <v>0</v>
      </c>
      <c r="V301" s="126">
        <v>0</v>
      </c>
      <c r="W301" s="126">
        <v>35</v>
      </c>
      <c r="X301" s="126">
        <v>0</v>
      </c>
      <c r="Y301" s="4">
        <f>SUM(GC[[#This Row],[ICR1]:[ICR14]])</f>
        <v>35</v>
      </c>
      <c r="Z301" s="133" t="s">
        <v>458</v>
      </c>
      <c r="AA301" s="133" t="s">
        <v>496</v>
      </c>
    </row>
    <row r="302" spans="1:27">
      <c r="A302" s="133">
        <v>300</v>
      </c>
      <c r="B302" s="127">
        <f t="shared" si="4"/>
        <v>45682</v>
      </c>
      <c r="C302" s="128">
        <f>YEAR(GC[[#This Row],[Date]])+IF(MONTH(GC[[#This Row],[Date]])&gt;=4,1,0)</f>
        <v>2025</v>
      </c>
      <c r="D302" s="129">
        <f>YEAR(GC[[#This Row],[Date]])</f>
        <v>2025</v>
      </c>
      <c r="E302" s="126" t="s">
        <v>218</v>
      </c>
      <c r="F302" s="126" t="s">
        <v>218</v>
      </c>
      <c r="G302" s="130" t="str">
        <f>TEXT(GC[[#This Row],[Date]],"mmm-yy")</f>
        <v>Jan-25</v>
      </c>
      <c r="H302" s="130">
        <f>DAY(EOMONTH(GC[[#This Row],[Month Year]],0))</f>
        <v>31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26"/>
      <c r="T302" s="126"/>
      <c r="U302" s="126"/>
      <c r="V302" s="126"/>
      <c r="W302" s="126"/>
      <c r="X302" s="126"/>
      <c r="Y302" s="4">
        <f>SUM(GC[[#This Row],[ICR1]:[ICR14]])</f>
        <v>0</v>
      </c>
      <c r="Z302" s="133"/>
      <c r="AA302" s="133"/>
    </row>
    <row r="303" spans="1:27">
      <c r="A303" s="133">
        <v>301</v>
      </c>
      <c r="B303" s="127">
        <f t="shared" si="4"/>
        <v>45683</v>
      </c>
      <c r="C303" s="128">
        <f>YEAR(GC[[#This Row],[Date]])+IF(MONTH(GC[[#This Row],[Date]])&gt;=4,1,0)</f>
        <v>2025</v>
      </c>
      <c r="D303" s="129">
        <f>YEAR(GC[[#This Row],[Date]])</f>
        <v>2025</v>
      </c>
      <c r="E303" s="126" t="s">
        <v>218</v>
      </c>
      <c r="F303" s="126" t="s">
        <v>218</v>
      </c>
      <c r="G303" s="130" t="str">
        <f>TEXT(GC[[#This Row],[Date]],"mmm-yy")</f>
        <v>Jan-25</v>
      </c>
      <c r="H303" s="130">
        <f>DAY(EOMONTH(GC[[#This Row],[Month Year]],0))</f>
        <v>31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26"/>
      <c r="T303" s="126"/>
      <c r="U303" s="126"/>
      <c r="V303" s="126"/>
      <c r="W303" s="126"/>
      <c r="X303" s="126"/>
      <c r="Y303" s="4">
        <f>SUM(GC[[#This Row],[ICR1]:[ICR14]])</f>
        <v>0</v>
      </c>
      <c r="Z303" s="133"/>
      <c r="AA303" s="133"/>
    </row>
    <row r="304" spans="1:27">
      <c r="A304" s="133">
        <v>302</v>
      </c>
      <c r="B304" s="127">
        <f t="shared" si="4"/>
        <v>45684</v>
      </c>
      <c r="C304" s="128">
        <f>YEAR(GC[[#This Row],[Date]])+IF(MONTH(GC[[#This Row],[Date]])&gt;=4,1,0)</f>
        <v>2025</v>
      </c>
      <c r="D304" s="129">
        <f>YEAR(GC[[#This Row],[Date]])</f>
        <v>2025</v>
      </c>
      <c r="E304" s="126" t="s">
        <v>218</v>
      </c>
      <c r="F304" s="126" t="s">
        <v>218</v>
      </c>
      <c r="G304" s="130" t="str">
        <f>TEXT(GC[[#This Row],[Date]],"mmm-yy")</f>
        <v>Jan-25</v>
      </c>
      <c r="H304" s="130">
        <f>DAY(EOMONTH(GC[[#This Row],[Month Year]],0))</f>
        <v>31</v>
      </c>
      <c r="I304" s="133">
        <v>1</v>
      </c>
      <c r="J304" s="133" t="s">
        <v>458</v>
      </c>
      <c r="K304" s="133">
        <v>0</v>
      </c>
      <c r="L304" s="133">
        <v>0</v>
      </c>
      <c r="M304" s="133">
        <v>0</v>
      </c>
      <c r="N304" s="133">
        <v>0</v>
      </c>
      <c r="O304" s="133">
        <v>0</v>
      </c>
      <c r="P304" s="133">
        <v>0</v>
      </c>
      <c r="Q304" s="133">
        <v>0</v>
      </c>
      <c r="R304" s="133">
        <v>0</v>
      </c>
      <c r="S304" s="126">
        <v>0</v>
      </c>
      <c r="T304" s="126">
        <v>30</v>
      </c>
      <c r="U304" s="126">
        <v>0</v>
      </c>
      <c r="V304" s="126">
        <v>0</v>
      </c>
      <c r="W304" s="126">
        <v>0</v>
      </c>
      <c r="X304" s="126">
        <v>0</v>
      </c>
      <c r="Y304" s="4">
        <f>SUM(GC[[#This Row],[ICR1]:[ICR14]])</f>
        <v>30</v>
      </c>
      <c r="Z304" s="133" t="s">
        <v>458</v>
      </c>
      <c r="AA304" s="133" t="s">
        <v>497</v>
      </c>
    </row>
    <row r="305" spans="1:27">
      <c r="A305" s="133">
        <v>303</v>
      </c>
      <c r="B305" s="127">
        <f t="shared" si="4"/>
        <v>45685</v>
      </c>
      <c r="C305" s="128">
        <f>YEAR(GC[[#This Row],[Date]])+IF(MONTH(GC[[#This Row],[Date]])&gt;=4,1,0)</f>
        <v>2025</v>
      </c>
      <c r="D305" s="129">
        <f>YEAR(GC[[#This Row],[Date]])</f>
        <v>2025</v>
      </c>
      <c r="E305" s="126" t="s">
        <v>218</v>
      </c>
      <c r="F305" s="126" t="s">
        <v>218</v>
      </c>
      <c r="G305" s="130" t="str">
        <f>TEXT(GC[[#This Row],[Date]],"mmm-yy")</f>
        <v>Jan-25</v>
      </c>
      <c r="H305" s="130">
        <f>DAY(EOMONTH(GC[[#This Row],[Month Year]],0))</f>
        <v>31</v>
      </c>
      <c r="I305" s="133">
        <v>1</v>
      </c>
      <c r="J305" s="133" t="s">
        <v>458</v>
      </c>
      <c r="K305" s="133">
        <v>0</v>
      </c>
      <c r="L305" s="133">
        <v>0</v>
      </c>
      <c r="M305" s="133">
        <v>0</v>
      </c>
      <c r="N305" s="133">
        <v>0</v>
      </c>
      <c r="O305" s="133">
        <v>0</v>
      </c>
      <c r="P305" s="133">
        <v>0</v>
      </c>
      <c r="Q305" s="133">
        <v>0</v>
      </c>
      <c r="R305" s="133">
        <v>0</v>
      </c>
      <c r="S305" s="126">
        <v>0</v>
      </c>
      <c r="T305" s="126">
        <v>0</v>
      </c>
      <c r="U305" s="126">
        <v>25</v>
      </c>
      <c r="V305" s="126">
        <v>0</v>
      </c>
      <c r="W305" s="126">
        <v>0</v>
      </c>
      <c r="X305" s="126">
        <v>0</v>
      </c>
      <c r="Y305" s="4">
        <f>SUM(GC[[#This Row],[ICR1]:[ICR14]])</f>
        <v>25</v>
      </c>
      <c r="Z305" s="133" t="s">
        <v>458</v>
      </c>
      <c r="AA305" s="133" t="s">
        <v>498</v>
      </c>
    </row>
    <row r="306" spans="1:27">
      <c r="A306" s="133">
        <v>304</v>
      </c>
      <c r="B306" s="127">
        <f t="shared" si="4"/>
        <v>45686</v>
      </c>
      <c r="C306" s="238">
        <f>YEAR(GC[[#This Row],[Date]])+IF(MONTH(GC[[#This Row],[Date]])&gt;=4,1,0)</f>
        <v>2025</v>
      </c>
      <c r="D306" s="130">
        <f>YEAR(GC[[#This Row],[Date]])</f>
        <v>2025</v>
      </c>
      <c r="E306" s="126" t="s">
        <v>218</v>
      </c>
      <c r="F306" s="126" t="s">
        <v>218</v>
      </c>
      <c r="G306" s="130" t="str">
        <f>TEXT(GC[[#This Row],[Date]],"mmm-yy")</f>
        <v>Jan-25</v>
      </c>
      <c r="H306" s="130">
        <f>DAY(EOMONTH(GC[[#This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4">
        <f>SUM(GC[[#This Row],[ICR1]:[ICR14]])</f>
        <v>0</v>
      </c>
      <c r="Z306" s="133"/>
      <c r="AA306" s="133"/>
    </row>
    <row r="307" spans="1:27">
      <c r="A307" s="133">
        <v>305</v>
      </c>
      <c r="B307" s="127">
        <f t="shared" si="4"/>
        <v>45687</v>
      </c>
      <c r="C307" s="238">
        <f>YEAR(GC[[#This Row],[Date]])+IF(MONTH(GC[[#This Row],[Date]])&gt;=4,1,0)</f>
        <v>2025</v>
      </c>
      <c r="D307" s="130">
        <f>YEAR(GC[[#This Row],[Date]])</f>
        <v>2025</v>
      </c>
      <c r="E307" s="126" t="s">
        <v>218</v>
      </c>
      <c r="F307" s="126" t="s">
        <v>218</v>
      </c>
      <c r="G307" s="130" t="str">
        <f>TEXT(GC[[#This Row],[Date]],"mmm-yy")</f>
        <v>Jan-25</v>
      </c>
      <c r="H307" s="130">
        <f>DAY(EOMONTH(GC[[#This Row],[Month Year]],0))</f>
        <v>31</v>
      </c>
      <c r="I307" s="133">
        <v>1</v>
      </c>
      <c r="J307" s="133" t="s">
        <v>458</v>
      </c>
      <c r="K307" s="133">
        <v>0</v>
      </c>
      <c r="L307" s="133">
        <v>0</v>
      </c>
      <c r="M307" s="133">
        <v>0</v>
      </c>
      <c r="N307" s="133">
        <v>0</v>
      </c>
      <c r="O307" s="133">
        <v>0</v>
      </c>
      <c r="P307" s="133">
        <v>0</v>
      </c>
      <c r="Q307" s="133">
        <v>0</v>
      </c>
      <c r="R307" s="133">
        <v>0</v>
      </c>
      <c r="S307" s="126">
        <v>0</v>
      </c>
      <c r="T307" s="126">
        <v>0</v>
      </c>
      <c r="U307" s="133">
        <v>0</v>
      </c>
      <c r="V307" s="133">
        <v>0</v>
      </c>
      <c r="W307" s="133">
        <v>32</v>
      </c>
      <c r="X307" s="133">
        <v>0</v>
      </c>
      <c r="Y307" s="4">
        <f>SUM(GC[[#This Row],[ICR1]:[ICR14]])</f>
        <v>32</v>
      </c>
      <c r="Z307" s="133" t="s">
        <v>458</v>
      </c>
      <c r="AA307" s="133" t="s">
        <v>466</v>
      </c>
    </row>
    <row r="308" spans="1:27">
      <c r="A308" s="133">
        <v>306</v>
      </c>
      <c r="B308" s="127">
        <f t="shared" si="4"/>
        <v>45688</v>
      </c>
      <c r="C308" s="238">
        <f>YEAR(GC[[#This Row],[Date]])+IF(MONTH(GC[[#This Row],[Date]])&gt;=4,1,0)</f>
        <v>2025</v>
      </c>
      <c r="D308" s="130">
        <f>YEAR(GC[[#This Row],[Date]])</f>
        <v>2025</v>
      </c>
      <c r="E308" s="126" t="s">
        <v>218</v>
      </c>
      <c r="F308" s="126" t="s">
        <v>218</v>
      </c>
      <c r="G308" s="130" t="str">
        <f>TEXT(GC[[#This Row],[Date]],"mmm-yy")</f>
        <v>Jan-25</v>
      </c>
      <c r="H308" s="130">
        <f>DAY(EOMONTH(GC[[#This Row],[Month Year]],0))</f>
        <v>31</v>
      </c>
      <c r="I308" s="133">
        <v>1</v>
      </c>
      <c r="J308" s="133" t="s">
        <v>458</v>
      </c>
      <c r="K308" s="133">
        <v>0</v>
      </c>
      <c r="L308" s="133">
        <v>0</v>
      </c>
      <c r="M308" s="133">
        <v>0</v>
      </c>
      <c r="N308" s="133">
        <v>0</v>
      </c>
      <c r="O308" s="133">
        <v>0</v>
      </c>
      <c r="P308" s="133">
        <v>0</v>
      </c>
      <c r="Q308" s="133">
        <v>0</v>
      </c>
      <c r="R308" s="133">
        <v>0</v>
      </c>
      <c r="S308" s="126">
        <v>0</v>
      </c>
      <c r="T308" s="126">
        <v>32</v>
      </c>
      <c r="U308" s="133">
        <v>0</v>
      </c>
      <c r="V308" s="133">
        <v>6</v>
      </c>
      <c r="W308" s="133">
        <v>4</v>
      </c>
      <c r="X308" s="133">
        <v>0</v>
      </c>
      <c r="Y308" s="4">
        <f>SUM(GC[[#This Row],[ICR1]:[ICR14]])</f>
        <v>42</v>
      </c>
      <c r="Z308" s="133" t="s">
        <v>458</v>
      </c>
      <c r="AA308" s="133" t="s">
        <v>476</v>
      </c>
    </row>
    <row r="309" spans="1:27">
      <c r="A309" s="133">
        <v>307</v>
      </c>
      <c r="B309" s="127">
        <f t="shared" si="4"/>
        <v>45689</v>
      </c>
      <c r="C309" s="238">
        <f>YEAR(GC[[#This Row],[Date]])+IF(MONTH(GC[[#This Row],[Date]])&gt;=4,1,0)</f>
        <v>2025</v>
      </c>
      <c r="D309" s="130">
        <f>YEAR(GC[[#This Row],[Date]])</f>
        <v>2025</v>
      </c>
      <c r="E309" s="126" t="s">
        <v>218</v>
      </c>
      <c r="F309" s="126" t="s">
        <v>218</v>
      </c>
      <c r="G309" s="130" t="str">
        <f>TEXT(GC[[#This Row],[Date]],"mmm-yy")</f>
        <v>Feb-25</v>
      </c>
      <c r="H309" s="130">
        <f>DAY(EOMONTH(GC[[#This Row],[Month Year]],0))</f>
        <v>28</v>
      </c>
      <c r="I309" s="133">
        <v>1</v>
      </c>
      <c r="J309" s="133" t="s">
        <v>458</v>
      </c>
      <c r="K309" s="133">
        <v>0</v>
      </c>
      <c r="L309" s="133">
        <v>0</v>
      </c>
      <c r="M309" s="133">
        <v>0</v>
      </c>
      <c r="N309" s="133">
        <v>0</v>
      </c>
      <c r="O309" s="133">
        <v>0</v>
      </c>
      <c r="P309" s="133">
        <v>0</v>
      </c>
      <c r="Q309" s="133">
        <v>0</v>
      </c>
      <c r="R309" s="133">
        <v>0</v>
      </c>
      <c r="S309" s="133">
        <v>0</v>
      </c>
      <c r="T309" s="133">
        <v>36</v>
      </c>
      <c r="U309" s="133">
        <v>0</v>
      </c>
      <c r="V309" s="133">
        <v>9</v>
      </c>
      <c r="W309" s="133">
        <v>0</v>
      </c>
      <c r="X309" s="133">
        <v>0</v>
      </c>
      <c r="Y309" s="4">
        <f>SUM(GC[[#This Row],[ICR1]:[ICR14]])</f>
        <v>45</v>
      </c>
      <c r="Z309" s="133" t="s">
        <v>458</v>
      </c>
      <c r="AA309" s="133" t="s">
        <v>499</v>
      </c>
    </row>
    <row r="310" spans="1:27">
      <c r="A310" s="133">
        <v>308</v>
      </c>
      <c r="B310" s="127">
        <f t="shared" si="4"/>
        <v>45690</v>
      </c>
      <c r="C310" s="238">
        <f>YEAR(GC[[#This Row],[Date]])+IF(MONTH(GC[[#This Row],[Date]])&gt;=4,1,0)</f>
        <v>2025</v>
      </c>
      <c r="D310" s="130">
        <f>YEAR(GC[[#This Row],[Date]])</f>
        <v>2025</v>
      </c>
      <c r="E310" s="126" t="s">
        <v>218</v>
      </c>
      <c r="F310" s="126" t="s">
        <v>218</v>
      </c>
      <c r="G310" s="130" t="str">
        <f>TEXT(GC[[#This Row],[Date]],"mmm-yy")</f>
        <v>Feb-25</v>
      </c>
      <c r="H310" s="130">
        <f>DAY(EOMONTH(GC[[#This Row],[Month Year]],0))</f>
        <v>28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4">
        <f>SUM(GC[[#This Row],[ICR1]:[ICR14]])</f>
        <v>0</v>
      </c>
      <c r="Z310" s="133"/>
      <c r="AA310" s="133"/>
    </row>
    <row r="311" spans="1:27">
      <c r="A311" s="133">
        <v>309</v>
      </c>
      <c r="B311" s="127">
        <f t="shared" si="4"/>
        <v>45691</v>
      </c>
      <c r="C311" s="238">
        <f>YEAR(GC[[#This Row],[Date]])+IF(MONTH(GC[[#This Row],[Date]])&gt;=4,1,0)</f>
        <v>2025</v>
      </c>
      <c r="D311" s="130">
        <f>YEAR(GC[[#This Row],[Date]])</f>
        <v>2025</v>
      </c>
      <c r="E311" s="126" t="s">
        <v>218</v>
      </c>
      <c r="F311" s="126" t="s">
        <v>218</v>
      </c>
      <c r="G311" s="130" t="str">
        <f>TEXT(GC[[#This Row],[Date]],"mmm-yy")</f>
        <v>Feb-25</v>
      </c>
      <c r="H311" s="130">
        <f>DAY(EOMONTH(GC[[#This Row],[Month Year]],0))</f>
        <v>28</v>
      </c>
      <c r="I311" s="133">
        <v>1</v>
      </c>
      <c r="J311" s="133" t="s">
        <v>458</v>
      </c>
      <c r="K311" s="133">
        <v>0</v>
      </c>
      <c r="L311" s="133">
        <v>0</v>
      </c>
      <c r="M311" s="133">
        <v>0</v>
      </c>
      <c r="N311" s="133">
        <v>0</v>
      </c>
      <c r="O311" s="133">
        <v>0</v>
      </c>
      <c r="P311" s="133">
        <v>0</v>
      </c>
      <c r="Q311" s="133">
        <v>0</v>
      </c>
      <c r="R311" s="133">
        <v>0</v>
      </c>
      <c r="S311" s="133">
        <v>32</v>
      </c>
      <c r="T311" s="133">
        <v>0</v>
      </c>
      <c r="U311" s="133">
        <v>0</v>
      </c>
      <c r="V311" s="133">
        <v>16</v>
      </c>
      <c r="W311" s="133">
        <v>0</v>
      </c>
      <c r="X311" s="133">
        <v>0</v>
      </c>
      <c r="Y311" s="4">
        <f>SUM(GC[[#This Row],[ICR1]:[ICR14]])</f>
        <v>48</v>
      </c>
      <c r="Z311" s="133" t="s">
        <v>458</v>
      </c>
      <c r="AA311" s="133" t="s">
        <v>461</v>
      </c>
    </row>
    <row r="312" spans="1:27">
      <c r="A312" s="133">
        <v>310</v>
      </c>
      <c r="B312" s="127">
        <f t="shared" si="4"/>
        <v>45692</v>
      </c>
      <c r="C312" s="238">
        <f>YEAR(GC[[#This Row],[Date]])+IF(MONTH(GC[[#This Row],[Date]])&gt;=4,1,0)</f>
        <v>2025</v>
      </c>
      <c r="D312" s="130">
        <f>YEAR(GC[[#This Row],[Date]])</f>
        <v>2025</v>
      </c>
      <c r="E312" s="126" t="s">
        <v>218</v>
      </c>
      <c r="F312" s="126" t="s">
        <v>218</v>
      </c>
      <c r="G312" s="130" t="str">
        <f>TEXT(GC[[#This Row],[Date]],"mmm-yy")</f>
        <v>Feb-25</v>
      </c>
      <c r="H312" s="130">
        <f>DAY(EOMONTH(GC[[#This Row],[Month Year]],0))</f>
        <v>28</v>
      </c>
      <c r="I312" s="133">
        <v>1</v>
      </c>
      <c r="J312" s="133" t="s">
        <v>458</v>
      </c>
      <c r="K312" s="133">
        <v>0</v>
      </c>
      <c r="L312" s="133">
        <v>0</v>
      </c>
      <c r="M312" s="133">
        <v>0</v>
      </c>
      <c r="N312" s="133">
        <v>0</v>
      </c>
      <c r="O312" s="133">
        <v>0</v>
      </c>
      <c r="P312" s="133">
        <v>0</v>
      </c>
      <c r="Q312" s="133">
        <v>0</v>
      </c>
      <c r="R312" s="133">
        <v>0</v>
      </c>
      <c r="S312" s="133">
        <v>38</v>
      </c>
      <c r="T312" s="133">
        <v>8</v>
      </c>
      <c r="U312" s="133">
        <v>0</v>
      </c>
      <c r="V312" s="133">
        <v>0</v>
      </c>
      <c r="W312" s="133">
        <v>0</v>
      </c>
      <c r="X312" s="133">
        <v>0</v>
      </c>
      <c r="Y312" s="4">
        <f>SUM(GC[[#This Row],[ICR1]:[ICR14]])</f>
        <v>46</v>
      </c>
      <c r="Z312" s="133" t="s">
        <v>458</v>
      </c>
      <c r="AA312" s="133" t="s">
        <v>475</v>
      </c>
    </row>
    <row r="313" spans="1:27">
      <c r="A313" s="133">
        <v>311</v>
      </c>
      <c r="B313" s="127">
        <f t="shared" si="4"/>
        <v>45693</v>
      </c>
      <c r="C313" s="238">
        <f>YEAR(GC[[#This Row],[Date]])+IF(MONTH(GC[[#This Row],[Date]])&gt;=4,1,0)</f>
        <v>2025</v>
      </c>
      <c r="D313" s="130">
        <f>YEAR(GC[[#This Row],[Date]])</f>
        <v>2025</v>
      </c>
      <c r="E313" s="126" t="s">
        <v>218</v>
      </c>
      <c r="F313" s="126" t="s">
        <v>218</v>
      </c>
      <c r="G313" s="130" t="str">
        <f>TEXT(GC[[#This Row],[Date]],"mmm-yy")</f>
        <v>Feb-25</v>
      </c>
      <c r="H313" s="130">
        <f>DAY(EOMONTH(GC[[#This Row],[Month Year]],0))</f>
        <v>28</v>
      </c>
      <c r="I313" s="133">
        <v>1</v>
      </c>
      <c r="J313" s="133" t="s">
        <v>458</v>
      </c>
      <c r="K313" s="133">
        <v>0</v>
      </c>
      <c r="L313" s="133">
        <v>0</v>
      </c>
      <c r="M313" s="133">
        <v>0</v>
      </c>
      <c r="N313" s="133">
        <v>0</v>
      </c>
      <c r="O313" s="133">
        <v>0</v>
      </c>
      <c r="P313" s="133">
        <v>0</v>
      </c>
      <c r="Q313" s="133">
        <v>0</v>
      </c>
      <c r="R313" s="133">
        <v>0</v>
      </c>
      <c r="S313" s="133">
        <v>17</v>
      </c>
      <c r="T313" s="133">
        <v>40</v>
      </c>
      <c r="U313" s="133">
        <v>0</v>
      </c>
      <c r="V313" s="133">
        <v>0</v>
      </c>
      <c r="W313" s="133">
        <v>0</v>
      </c>
      <c r="X313" s="133">
        <v>0</v>
      </c>
      <c r="Y313" s="4">
        <f>SUM(GC[[#This Row],[ICR1]:[ICR14]])</f>
        <v>57</v>
      </c>
      <c r="Z313" s="133" t="s">
        <v>458</v>
      </c>
      <c r="AA313" s="133" t="s">
        <v>500</v>
      </c>
    </row>
    <row r="314" spans="1:27">
      <c r="A314" s="133">
        <v>312</v>
      </c>
      <c r="B314" s="127">
        <f t="shared" si="4"/>
        <v>45694</v>
      </c>
      <c r="C314" s="238">
        <f>YEAR(GC[[#This Row],[Date]])+IF(MONTH(GC[[#This Row],[Date]])&gt;=4,1,0)</f>
        <v>2025</v>
      </c>
      <c r="D314" s="130">
        <f>YEAR(GC[[#This Row],[Date]])</f>
        <v>2025</v>
      </c>
      <c r="E314" s="126" t="s">
        <v>218</v>
      </c>
      <c r="F314" s="126" t="s">
        <v>218</v>
      </c>
      <c r="G314" s="130" t="str">
        <f>TEXT(GC[[#This Row],[Date]],"mmm-yy")</f>
        <v>Feb-25</v>
      </c>
      <c r="H314" s="130">
        <f>DAY(EOMONTH(GC[[#This Row],[Month Year]],0))</f>
        <v>28</v>
      </c>
      <c r="I314" s="133">
        <v>1</v>
      </c>
      <c r="J314" s="133" t="s">
        <v>458</v>
      </c>
      <c r="K314" s="133">
        <v>0</v>
      </c>
      <c r="L314" s="133">
        <v>0</v>
      </c>
      <c r="M314" s="133">
        <v>0</v>
      </c>
      <c r="N314" s="133">
        <v>0</v>
      </c>
      <c r="O314" s="133">
        <v>0</v>
      </c>
      <c r="P314" s="133">
        <v>0</v>
      </c>
      <c r="Q314" s="133">
        <v>0</v>
      </c>
      <c r="R314" s="133">
        <v>0</v>
      </c>
      <c r="S314" s="133">
        <v>0</v>
      </c>
      <c r="T314" s="133">
        <v>35</v>
      </c>
      <c r="U314" s="133">
        <v>0</v>
      </c>
      <c r="V314" s="133">
        <v>0</v>
      </c>
      <c r="W314" s="133">
        <v>0</v>
      </c>
      <c r="X314" s="133">
        <v>0</v>
      </c>
      <c r="Y314" s="4">
        <f>SUM(GC[[#This Row],[ICR1]:[ICR14]])</f>
        <v>35</v>
      </c>
      <c r="Z314" s="133" t="s">
        <v>458</v>
      </c>
      <c r="AA314" s="133" t="s">
        <v>496</v>
      </c>
    </row>
    <row r="315" spans="1:27">
      <c r="A315" s="133">
        <v>313</v>
      </c>
      <c r="B315" s="127">
        <f t="shared" si="4"/>
        <v>45695</v>
      </c>
      <c r="C315" s="238">
        <f>YEAR(GC[[#This Row],[Date]])+IF(MONTH(GC[[#This Row],[Date]])&gt;=4,1,0)</f>
        <v>2025</v>
      </c>
      <c r="D315" s="130">
        <f>YEAR(GC[[#This Row],[Date]])</f>
        <v>2025</v>
      </c>
      <c r="E315" s="126" t="s">
        <v>218</v>
      </c>
      <c r="F315" s="126" t="s">
        <v>218</v>
      </c>
      <c r="G315" s="130" t="str">
        <f>TEXT(GC[[#This Row],[Date]],"mmm-yy")</f>
        <v>Feb-25</v>
      </c>
      <c r="H315" s="130">
        <f>DAY(EOMONTH(GC[[#This Row],[Month Year]],0))</f>
        <v>28</v>
      </c>
      <c r="I315" s="133">
        <v>1</v>
      </c>
      <c r="J315" s="133" t="s">
        <v>458</v>
      </c>
      <c r="K315" s="133">
        <v>0</v>
      </c>
      <c r="L315" s="133">
        <v>0</v>
      </c>
      <c r="M315" s="133">
        <v>0</v>
      </c>
      <c r="N315" s="133">
        <v>0</v>
      </c>
      <c r="O315" s="133">
        <v>0</v>
      </c>
      <c r="P315" s="133">
        <v>0</v>
      </c>
      <c r="Q315" s="133">
        <v>0</v>
      </c>
      <c r="R315" s="133">
        <v>0</v>
      </c>
      <c r="S315" s="133">
        <v>0</v>
      </c>
      <c r="T315" s="133">
        <v>0</v>
      </c>
      <c r="U315" s="133">
        <v>38</v>
      </c>
      <c r="V315" s="133">
        <v>0</v>
      </c>
      <c r="W315" s="133">
        <v>0</v>
      </c>
      <c r="X315" s="133">
        <v>0</v>
      </c>
      <c r="Y315" s="4">
        <f>SUM(GC[[#This Row],[ICR1]:[ICR14]])</f>
        <v>38</v>
      </c>
      <c r="Z315" s="133" t="s">
        <v>458</v>
      </c>
      <c r="AA315" s="133" t="s">
        <v>495</v>
      </c>
    </row>
    <row r="316" spans="1:27">
      <c r="A316" s="133">
        <v>314</v>
      </c>
      <c r="B316" s="127">
        <f t="shared" si="4"/>
        <v>45696</v>
      </c>
      <c r="C316" s="238">
        <f>YEAR(GC[[#This Row],[Date]])+IF(MONTH(GC[[#This Row],[Date]])&gt;=4,1,0)</f>
        <v>2025</v>
      </c>
      <c r="D316" s="130">
        <f>YEAR(GC[[#This Row],[Date]])</f>
        <v>2025</v>
      </c>
      <c r="E316" s="126" t="s">
        <v>218</v>
      </c>
      <c r="F316" s="126" t="s">
        <v>218</v>
      </c>
      <c r="G316" s="130" t="str">
        <f>TEXT(GC[[#This Row],[Date]],"mmm-yy")</f>
        <v>Feb-25</v>
      </c>
      <c r="H316" s="130">
        <f>DAY(EOMONTH(GC[[#This Row],[Month Year]],0))</f>
        <v>28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4">
        <f>SUM(GC[[#This Row],[ICR1]:[ICR14]])</f>
        <v>0</v>
      </c>
      <c r="Z316" s="133"/>
      <c r="AA316" s="133"/>
    </row>
    <row r="317" spans="1:27">
      <c r="A317" s="133">
        <v>315</v>
      </c>
      <c r="B317" s="127">
        <f t="shared" si="4"/>
        <v>45697</v>
      </c>
      <c r="C317" s="238">
        <f>YEAR(GC[[#This Row],[Date]])+IF(MONTH(GC[[#This Row],[Date]])&gt;=4,1,0)</f>
        <v>2025</v>
      </c>
      <c r="D317" s="130">
        <f>YEAR(GC[[#This Row],[Date]])</f>
        <v>2025</v>
      </c>
      <c r="E317" s="126" t="s">
        <v>218</v>
      </c>
      <c r="F317" s="126" t="s">
        <v>218</v>
      </c>
      <c r="G317" s="130" t="str">
        <f>TEXT(GC[[#This Row],[Date]],"mmm-yy")</f>
        <v>Feb-25</v>
      </c>
      <c r="H317" s="130">
        <f>DAY(EOMONTH(GC[[#This Row],[Month Year]],0))</f>
        <v>28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4">
        <f>SUM(GC[[#This Row],[ICR1]:[ICR14]])</f>
        <v>0</v>
      </c>
      <c r="Z317" s="133"/>
      <c r="AA317" s="133"/>
    </row>
    <row r="318" spans="1:27">
      <c r="A318" s="133">
        <v>316</v>
      </c>
      <c r="B318" s="127">
        <f t="shared" si="4"/>
        <v>45698</v>
      </c>
      <c r="C318" s="238">
        <f>YEAR(GC[[#This Row],[Date]])+IF(MONTH(GC[[#This Row],[Date]])&gt;=4,1,0)</f>
        <v>2025</v>
      </c>
      <c r="D318" s="130">
        <f>YEAR(GC[[#This Row],[Date]])</f>
        <v>2025</v>
      </c>
      <c r="E318" s="126" t="s">
        <v>218</v>
      </c>
      <c r="F318" s="126" t="s">
        <v>218</v>
      </c>
      <c r="G318" s="130" t="str">
        <f>TEXT(GC[[#This Row],[Date]],"mmm-yy")</f>
        <v>Feb-25</v>
      </c>
      <c r="H318" s="130">
        <f>DAY(EOMONTH(GC[[#This Row],[Month Year]],0))</f>
        <v>28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4">
        <f>SUM(GC[[#This Row],[ICR1]:[ICR14]])</f>
        <v>0</v>
      </c>
      <c r="Z318" s="133"/>
      <c r="AA318" s="133"/>
    </row>
    <row r="319" spans="1:27">
      <c r="A319" s="133">
        <v>317</v>
      </c>
      <c r="B319" s="127">
        <f t="shared" si="4"/>
        <v>45699</v>
      </c>
      <c r="C319" s="238">
        <f>YEAR(GC[[#This Row],[Date]])+IF(MONTH(GC[[#This Row],[Date]])&gt;=4,1,0)</f>
        <v>2025</v>
      </c>
      <c r="D319" s="130">
        <f>YEAR(GC[[#This Row],[Date]])</f>
        <v>2025</v>
      </c>
      <c r="E319" s="126" t="s">
        <v>218</v>
      </c>
      <c r="F319" s="126" t="s">
        <v>218</v>
      </c>
      <c r="G319" s="130" t="str">
        <f>TEXT(GC[[#This Row],[Date]],"mmm-yy")</f>
        <v>Feb-25</v>
      </c>
      <c r="H319" s="130">
        <f>DAY(EOMONTH(GC[[#This Row],[Month Year]],0))</f>
        <v>28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4">
        <f>SUM(GC[[#This Row],[ICR1]:[ICR14]])</f>
        <v>0</v>
      </c>
      <c r="Z319" s="133"/>
      <c r="AA319" s="133"/>
    </row>
    <row r="320" spans="1:27">
      <c r="A320" s="133">
        <v>318</v>
      </c>
      <c r="B320" s="127">
        <f t="shared" si="4"/>
        <v>45700</v>
      </c>
      <c r="C320" s="238">
        <f>YEAR(GC[[#This Row],[Date]])+IF(MONTH(GC[[#This Row],[Date]])&gt;=4,1,0)</f>
        <v>2025</v>
      </c>
      <c r="D320" s="130">
        <f>YEAR(GC[[#This Row],[Date]])</f>
        <v>2025</v>
      </c>
      <c r="E320" s="126" t="s">
        <v>218</v>
      </c>
      <c r="F320" s="126" t="s">
        <v>218</v>
      </c>
      <c r="G320" s="130" t="str">
        <f>TEXT(GC[[#This Row],[Date]],"mmm-yy")</f>
        <v>Feb-25</v>
      </c>
      <c r="H320" s="130">
        <f>DAY(EOMONTH(GC[[#This Row],[Month Year]],0))</f>
        <v>28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4">
        <f>SUM(GC[[#This Row],[ICR1]:[ICR14]])</f>
        <v>0</v>
      </c>
      <c r="Z320" s="133"/>
      <c r="AA320" s="133"/>
    </row>
    <row r="321" spans="1:27">
      <c r="A321" s="133">
        <v>319</v>
      </c>
      <c r="B321" s="127">
        <f t="shared" si="4"/>
        <v>45701</v>
      </c>
      <c r="C321" s="238">
        <f>YEAR(GC[[#This Row],[Date]])+IF(MONTH(GC[[#This Row],[Date]])&gt;=4,1,0)</f>
        <v>2025</v>
      </c>
      <c r="D321" s="130">
        <f>YEAR(GC[[#This Row],[Date]])</f>
        <v>2025</v>
      </c>
      <c r="E321" s="126" t="s">
        <v>218</v>
      </c>
      <c r="F321" s="126" t="s">
        <v>218</v>
      </c>
      <c r="G321" s="130" t="str">
        <f>TEXT(GC[[#This Row],[Date]],"mmm-yy")</f>
        <v>Feb-25</v>
      </c>
      <c r="H321" s="130">
        <f>DAY(EOMONTH(GC[[#This Row],[Month Year]],0))</f>
        <v>28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4">
        <f>SUM(GC[[#This Row],[ICR1]:[ICR14]])</f>
        <v>0</v>
      </c>
      <c r="Z321" s="133"/>
      <c r="AA321" s="133"/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E184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501</v>
      </c>
      <c r="D1" s="11" t="s">
        <v>304</v>
      </c>
      <c r="F1" s="11" t="s">
        <v>376</v>
      </c>
      <c r="H1" s="11" t="s">
        <v>374</v>
      </c>
      <c r="J1" s="11" t="s">
        <v>502</v>
      </c>
      <c r="L1" s="11" t="s">
        <v>503</v>
      </c>
      <c r="N1" s="12" t="s">
        <v>503</v>
      </c>
      <c r="O1" s="12" t="s">
        <v>504</v>
      </c>
      <c r="P1" s="12" t="s">
        <v>203</v>
      </c>
      <c r="Q1" s="139" t="s">
        <v>505</v>
      </c>
      <c r="R1" s="12" t="s">
        <v>506</v>
      </c>
      <c r="S1" s="12" t="s">
        <v>507</v>
      </c>
      <c r="T1" s="12" t="s">
        <v>508</v>
      </c>
      <c r="U1" s="139" t="s">
        <v>509</v>
      </c>
      <c r="V1" s="139" t="s">
        <v>510</v>
      </c>
      <c r="X1" s="12" t="s">
        <v>511</v>
      </c>
      <c r="Z1" s="12" t="s">
        <v>213</v>
      </c>
      <c r="AB1" s="12" t="s">
        <v>512</v>
      </c>
      <c r="AE1" s="353" t="s">
        <v>504</v>
      </c>
      <c r="AF1" s="353" t="s">
        <v>513</v>
      </c>
      <c r="AG1" s="353" t="s">
        <v>514</v>
      </c>
      <c r="AH1" s="353" t="s">
        <v>515</v>
      </c>
      <c r="AI1" s="353" t="s">
        <v>516</v>
      </c>
      <c r="AJ1" s="353" t="s">
        <v>517</v>
      </c>
      <c r="AM1" s="353" t="s">
        <v>518</v>
      </c>
      <c r="AN1" s="353" t="s">
        <v>519</v>
      </c>
      <c r="AO1" s="353" t="s">
        <v>203</v>
      </c>
      <c r="AP1" s="353" t="s">
        <v>505</v>
      </c>
      <c r="AQ1" s="353" t="s">
        <v>506</v>
      </c>
    </row>
    <row r="2" spans="2:47">
      <c r="B2" t="s">
        <v>300</v>
      </c>
      <c r="D2" t="s">
        <v>294</v>
      </c>
      <c r="F2" t="s">
        <v>313</v>
      </c>
      <c r="H2" t="s">
        <v>337</v>
      </c>
      <c r="J2" t="s">
        <v>520</v>
      </c>
      <c r="L2" t="s">
        <v>521</v>
      </c>
      <c r="N2" s="2" t="s">
        <v>522</v>
      </c>
      <c r="O2" s="9" t="s">
        <v>35</v>
      </c>
      <c r="Q2" s="1">
        <f>2339.14</f>
        <v>2339.14</v>
      </c>
      <c r="R2" s="10">
        <f ca="1">Q2/$AC$4</f>
        <v>5.9656720224432538E-2</v>
      </c>
      <c r="S2" s="5">
        <f t="shared" ref="S2:S65" si="0">_xlfn.XLOOKUP(O2,AE:AE,AG:AG)</f>
        <v>0</v>
      </c>
      <c r="T2" s="1" t="s">
        <v>523</v>
      </c>
      <c r="U2" s="5" t="s">
        <v>524</v>
      </c>
      <c r="V2" s="1" t="s">
        <v>525</v>
      </c>
      <c r="X2" s="2" t="s">
        <v>376</v>
      </c>
      <c r="Z2" t="s">
        <v>526</v>
      </c>
      <c r="AE2" t="s">
        <v>35</v>
      </c>
      <c r="AF2" t="s">
        <v>527</v>
      </c>
      <c r="AH2">
        <v>19.45</v>
      </c>
      <c r="AI2">
        <v>29.05</v>
      </c>
      <c r="AJ2" s="278">
        <v>45688</v>
      </c>
      <c r="AM2" t="s">
        <v>528</v>
      </c>
      <c r="AP2" s="4">
        <v>0</v>
      </c>
      <c r="AQ2" s="239">
        <f>AP2/$AU$2</f>
        <v>0</v>
      </c>
      <c r="AT2" t="s">
        <v>529</v>
      </c>
      <c r="AU2">
        <v>100</v>
      </c>
    </row>
    <row r="3" spans="2:47">
      <c r="B3" t="s">
        <v>293</v>
      </c>
      <c r="D3" t="s">
        <v>299</v>
      </c>
      <c r="F3" t="s">
        <v>316</v>
      </c>
      <c r="H3" t="s">
        <v>344</v>
      </c>
      <c r="J3" t="s">
        <v>327</v>
      </c>
      <c r="L3" t="s">
        <v>530</v>
      </c>
      <c r="N3" s="2" t="s">
        <v>531</v>
      </c>
      <c r="O3" s="9" t="s">
        <v>35</v>
      </c>
      <c r="Q3" s="1">
        <v>2323.335</v>
      </c>
      <c r="R3" s="10">
        <f t="shared" ref="R3:R67" ca="1" si="1">Q3/$AC$4</f>
        <v>5.9253634276970162E-2</v>
      </c>
      <c r="S3" s="5">
        <f t="shared" si="0"/>
        <v>0</v>
      </c>
      <c r="T3" s="1" t="s">
        <v>523</v>
      </c>
      <c r="U3" s="5" t="s">
        <v>524</v>
      </c>
      <c r="V3" s="1" t="s">
        <v>525</v>
      </c>
      <c r="X3" s="2" t="s">
        <v>349</v>
      </c>
      <c r="Z3" t="s">
        <v>298</v>
      </c>
      <c r="AB3" t="s">
        <v>532</v>
      </c>
      <c r="AC3" s="4">
        <v>135000</v>
      </c>
      <c r="AE3" t="s">
        <v>36</v>
      </c>
      <c r="AF3" s="354" t="s">
        <v>533</v>
      </c>
      <c r="AH3">
        <v>7.53</v>
      </c>
      <c r="AI3" s="141">
        <v>10.165500000000002</v>
      </c>
      <c r="AJ3" s="278">
        <v>45688</v>
      </c>
      <c r="AM3" t="s">
        <v>534</v>
      </c>
      <c r="AP3" s="4">
        <v>100</v>
      </c>
      <c r="AQ3" s="239">
        <f t="shared" ref="AQ3:AQ5" si="2">AP3/$AU$2</f>
        <v>1</v>
      </c>
    </row>
    <row r="4" spans="2:47">
      <c r="B4" t="s">
        <v>302</v>
      </c>
      <c r="D4" t="s">
        <v>535</v>
      </c>
      <c r="F4" t="s">
        <v>320</v>
      </c>
      <c r="H4" t="s">
        <v>326</v>
      </c>
      <c r="J4" t="s">
        <v>357</v>
      </c>
      <c r="L4" t="s">
        <v>536</v>
      </c>
      <c r="N4" s="2" t="s">
        <v>537</v>
      </c>
      <c r="O4" s="9" t="s">
        <v>35</v>
      </c>
      <c r="Q4" s="1">
        <f>2339.14</f>
        <v>2339.14</v>
      </c>
      <c r="R4" s="10">
        <f t="shared" ca="1" si="1"/>
        <v>5.9656720224432538E-2</v>
      </c>
      <c r="S4" s="5">
        <f t="shared" si="0"/>
        <v>0</v>
      </c>
      <c r="T4" s="1" t="s">
        <v>523</v>
      </c>
      <c r="U4" s="5" t="s">
        <v>524</v>
      </c>
      <c r="V4" s="1" t="s">
        <v>525</v>
      </c>
      <c r="X4" s="2" t="s">
        <v>328</v>
      </c>
      <c r="AB4" t="s">
        <v>538</v>
      </c>
      <c r="AC4" s="4">
        <f ca="1">_xlfn.XLOOKUP(TODAY()-1,Input_Raw!$A:$A,Input_Raw!$AU:$AU)*1000</f>
        <v>39210</v>
      </c>
      <c r="AF4" s="354"/>
      <c r="AI4" s="141"/>
      <c r="AM4" t="s">
        <v>525</v>
      </c>
      <c r="AP4" s="4">
        <v>100</v>
      </c>
      <c r="AQ4" s="239">
        <f>AP4/$AU$2</f>
        <v>1</v>
      </c>
    </row>
    <row r="5" spans="2:47">
      <c r="B5" t="s">
        <v>303</v>
      </c>
      <c r="D5" t="s">
        <v>539</v>
      </c>
      <c r="F5" t="s">
        <v>322</v>
      </c>
      <c r="H5" t="s">
        <v>352</v>
      </c>
      <c r="J5" t="s">
        <v>348</v>
      </c>
      <c r="L5" t="s">
        <v>540</v>
      </c>
      <c r="N5" s="2" t="s">
        <v>541</v>
      </c>
      <c r="O5" s="9" t="s">
        <v>35</v>
      </c>
      <c r="Q5" s="1">
        <v>2323.335</v>
      </c>
      <c r="R5" s="10">
        <f t="shared" ca="1" si="1"/>
        <v>5.9253634276970162E-2</v>
      </c>
      <c r="S5" s="5">
        <f t="shared" si="0"/>
        <v>0</v>
      </c>
      <c r="T5" s="1" t="s">
        <v>523</v>
      </c>
      <c r="U5" s="5" t="s">
        <v>524</v>
      </c>
      <c r="V5" s="1" t="s">
        <v>525</v>
      </c>
      <c r="X5" s="2" t="s">
        <v>374</v>
      </c>
      <c r="AF5" s="354"/>
      <c r="AI5" s="141"/>
      <c r="AM5" t="s">
        <v>524</v>
      </c>
      <c r="AP5" s="4">
        <v>100</v>
      </c>
      <c r="AQ5" s="239">
        <f t="shared" si="2"/>
        <v>1</v>
      </c>
    </row>
    <row r="6" spans="2:47">
      <c r="H6" t="s">
        <v>361</v>
      </c>
      <c r="L6" t="s">
        <v>542</v>
      </c>
      <c r="N6" s="2" t="s">
        <v>543</v>
      </c>
      <c r="O6" s="9" t="s">
        <v>35</v>
      </c>
      <c r="Q6" s="1">
        <v>1627.915</v>
      </c>
      <c r="R6" s="10">
        <f t="shared" ca="1" si="1"/>
        <v>4.1517852588625351E-2</v>
      </c>
      <c r="S6" s="5">
        <f t="shared" si="0"/>
        <v>0</v>
      </c>
      <c r="T6" s="1" t="s">
        <v>523</v>
      </c>
      <c r="U6" s="5" t="s">
        <v>524</v>
      </c>
      <c r="V6" s="1" t="s">
        <v>525</v>
      </c>
      <c r="X6" s="2" t="s">
        <v>304</v>
      </c>
      <c r="AF6" s="354"/>
      <c r="AI6" s="141"/>
    </row>
    <row r="7" spans="2:47">
      <c r="H7" t="s">
        <v>331</v>
      </c>
      <c r="L7" t="s">
        <v>544</v>
      </c>
      <c r="N7" s="2" t="s">
        <v>545</v>
      </c>
      <c r="O7" s="9" t="s">
        <v>35</v>
      </c>
      <c r="Q7" s="1">
        <v>1627.915</v>
      </c>
      <c r="R7" s="10">
        <f t="shared" ca="1" si="1"/>
        <v>4.1517852588625351E-2</v>
      </c>
      <c r="S7" s="5">
        <f t="shared" si="0"/>
        <v>0</v>
      </c>
      <c r="T7" s="1" t="s">
        <v>523</v>
      </c>
      <c r="U7" s="5" t="s">
        <v>524</v>
      </c>
      <c r="V7" s="1" t="s">
        <v>525</v>
      </c>
      <c r="X7" s="2" t="s">
        <v>295</v>
      </c>
      <c r="AI7" s="141"/>
      <c r="AP7" s="4"/>
      <c r="AQ7" s="239"/>
    </row>
    <row r="8" spans="2:47">
      <c r="H8" t="s">
        <v>378</v>
      </c>
      <c r="L8" t="s">
        <v>546</v>
      </c>
      <c r="N8" s="2" t="s">
        <v>547</v>
      </c>
      <c r="O8" s="9" t="s">
        <v>35</v>
      </c>
      <c r="Q8" s="1">
        <v>1627.915</v>
      </c>
      <c r="R8" s="10">
        <f t="shared" ca="1" si="1"/>
        <v>4.1517852588625351E-2</v>
      </c>
      <c r="S8" s="5">
        <f t="shared" si="0"/>
        <v>0</v>
      </c>
      <c r="T8" s="1" t="s">
        <v>523</v>
      </c>
      <c r="U8" s="5" t="s">
        <v>524</v>
      </c>
      <c r="V8" s="1" t="s">
        <v>525</v>
      </c>
      <c r="X8" s="2" t="s">
        <v>345</v>
      </c>
      <c r="AP8" s="4"/>
      <c r="AQ8" s="239"/>
    </row>
    <row r="9" spans="2:47">
      <c r="H9" t="s">
        <v>548</v>
      </c>
      <c r="L9" t="s">
        <v>549</v>
      </c>
      <c r="N9" s="2" t="s">
        <v>550</v>
      </c>
      <c r="O9" s="9" t="s">
        <v>35</v>
      </c>
      <c r="Q9" s="1">
        <v>1627.915</v>
      </c>
      <c r="R9" s="10">
        <f t="shared" ca="1" si="1"/>
        <v>4.1517852588625351E-2</v>
      </c>
      <c r="S9" s="5">
        <f t="shared" si="0"/>
        <v>0</v>
      </c>
      <c r="T9" s="1" t="s">
        <v>523</v>
      </c>
      <c r="U9" s="5" t="s">
        <v>524</v>
      </c>
      <c r="V9" s="1" t="s">
        <v>525</v>
      </c>
      <c r="X9" s="2" t="s">
        <v>307</v>
      </c>
      <c r="AP9" s="4"/>
      <c r="AQ9" s="239"/>
    </row>
    <row r="10" spans="2:47">
      <c r="H10" t="s">
        <v>551</v>
      </c>
      <c r="L10" t="s">
        <v>552</v>
      </c>
      <c r="N10" s="2" t="s">
        <v>553</v>
      </c>
      <c r="O10" s="9" t="s">
        <v>35</v>
      </c>
      <c r="Q10" s="1">
        <v>1627.915</v>
      </c>
      <c r="R10" s="10">
        <f t="shared" ca="1" si="1"/>
        <v>4.1517852588625351E-2</v>
      </c>
      <c r="S10" s="5">
        <f t="shared" si="0"/>
        <v>0</v>
      </c>
      <c r="T10" s="1" t="s">
        <v>523</v>
      </c>
      <c r="U10" s="5" t="s">
        <v>524</v>
      </c>
      <c r="V10" s="1" t="s">
        <v>525</v>
      </c>
      <c r="X10" s="2" t="s">
        <v>554</v>
      </c>
      <c r="AP10" s="4"/>
      <c r="AQ10" s="239"/>
    </row>
    <row r="11" spans="2:47">
      <c r="N11" s="2" t="s">
        <v>555</v>
      </c>
      <c r="O11" s="9" t="s">
        <v>35</v>
      </c>
      <c r="Q11" s="1">
        <v>1612.11</v>
      </c>
      <c r="R11" s="10">
        <f t="shared" ca="1" si="1"/>
        <v>4.1114766641162967E-2</v>
      </c>
      <c r="S11" s="5">
        <f t="shared" si="0"/>
        <v>0</v>
      </c>
      <c r="T11" s="1" t="s">
        <v>523</v>
      </c>
      <c r="U11" s="5" t="s">
        <v>524</v>
      </c>
      <c r="V11" s="1" t="s">
        <v>525</v>
      </c>
      <c r="X11" s="2" t="s">
        <v>556</v>
      </c>
      <c r="AP11" s="4"/>
      <c r="AQ11" s="239"/>
    </row>
    <row r="12" spans="2:47">
      <c r="N12" s="2" t="s">
        <v>557</v>
      </c>
      <c r="O12" s="9" t="s">
        <v>35</v>
      </c>
      <c r="Q12" s="1">
        <v>1627.915</v>
      </c>
      <c r="R12" s="10">
        <f t="shared" ca="1" si="1"/>
        <v>4.1517852588625351E-2</v>
      </c>
      <c r="S12" s="5">
        <f t="shared" si="0"/>
        <v>0</v>
      </c>
      <c r="T12" s="1" t="s">
        <v>523</v>
      </c>
      <c r="U12" s="5" t="s">
        <v>524</v>
      </c>
      <c r="V12" s="1" t="s">
        <v>525</v>
      </c>
      <c r="X12" s="2" t="s">
        <v>377</v>
      </c>
      <c r="AP12" s="4"/>
      <c r="AQ12" s="239"/>
    </row>
    <row r="13" spans="2:47">
      <c r="N13" s="2" t="s">
        <v>558</v>
      </c>
      <c r="O13" s="9" t="s">
        <v>35</v>
      </c>
      <c r="Q13" s="1">
        <v>1627.915</v>
      </c>
      <c r="R13" s="10">
        <f t="shared" ca="1" si="1"/>
        <v>4.1517852588625351E-2</v>
      </c>
      <c r="S13" s="5">
        <f t="shared" si="0"/>
        <v>0</v>
      </c>
      <c r="T13" s="1" t="s">
        <v>523</v>
      </c>
      <c r="U13" s="5" t="s">
        <v>524</v>
      </c>
      <c r="V13" s="1" t="s">
        <v>525</v>
      </c>
      <c r="X13" s="2" t="s">
        <v>559</v>
      </c>
    </row>
    <row r="14" spans="2:47">
      <c r="N14" s="2" t="s">
        <v>560</v>
      </c>
      <c r="O14" s="9" t="s">
        <v>35</v>
      </c>
      <c r="Q14" s="1">
        <v>1627.915</v>
      </c>
      <c r="R14" s="10">
        <f t="shared" ca="1" si="1"/>
        <v>4.1517852588625351E-2</v>
      </c>
      <c r="S14" s="5">
        <f t="shared" si="0"/>
        <v>0</v>
      </c>
      <c r="T14" s="1" t="s">
        <v>523</v>
      </c>
      <c r="U14" s="5" t="s">
        <v>524</v>
      </c>
      <c r="V14" s="1" t="s">
        <v>525</v>
      </c>
      <c r="X14" s="2" t="s">
        <v>561</v>
      </c>
      <c r="AE14" s="353" t="s">
        <v>562</v>
      </c>
      <c r="AF14" s="353"/>
      <c r="AG14" s="353"/>
      <c r="AH14" s="353">
        <f>SUM(AH2:AH13)</f>
        <v>26.98</v>
      </c>
      <c r="AI14" s="353">
        <f>SUM(AI2:AI13)</f>
        <v>39.215500000000006</v>
      </c>
      <c r="AJ14" s="353"/>
    </row>
    <row r="15" spans="2:47">
      <c r="N15" s="2" t="s">
        <v>563</v>
      </c>
      <c r="O15" s="9" t="s">
        <v>35</v>
      </c>
      <c r="Q15" s="1">
        <v>1627.915</v>
      </c>
      <c r="R15" s="10">
        <f t="shared" ca="1" si="1"/>
        <v>4.1517852588625351E-2</v>
      </c>
      <c r="S15" s="5">
        <f t="shared" si="0"/>
        <v>0</v>
      </c>
      <c r="T15" s="1" t="s">
        <v>523</v>
      </c>
      <c r="U15" s="5" t="s">
        <v>524</v>
      </c>
      <c r="V15" s="1" t="s">
        <v>525</v>
      </c>
      <c r="X15" s="2" t="s">
        <v>564</v>
      </c>
    </row>
    <row r="16" spans="2:47">
      <c r="N16" s="2" t="s">
        <v>565</v>
      </c>
      <c r="O16" s="9" t="s">
        <v>35</v>
      </c>
      <c r="Q16" s="1">
        <v>1643.7199999999998</v>
      </c>
      <c r="R16" s="10">
        <f t="shared" ca="1" si="1"/>
        <v>4.1920938536087728E-2</v>
      </c>
      <c r="S16" s="5">
        <f t="shared" si="0"/>
        <v>0</v>
      </c>
      <c r="T16" s="1" t="s">
        <v>523</v>
      </c>
      <c r="U16" s="5" t="s">
        <v>524</v>
      </c>
      <c r="V16" s="1" t="s">
        <v>525</v>
      </c>
      <c r="X16" s="2" t="s">
        <v>566</v>
      </c>
    </row>
    <row r="17" spans="14:39">
      <c r="N17" s="2" t="s">
        <v>567</v>
      </c>
      <c r="O17" s="9" t="s">
        <v>35</v>
      </c>
      <c r="Q17" s="1">
        <v>1627.9149999999997</v>
      </c>
      <c r="R17" s="10">
        <f t="shared" ca="1" si="1"/>
        <v>4.1517852588625344E-2</v>
      </c>
      <c r="S17" s="5">
        <f t="shared" si="0"/>
        <v>0</v>
      </c>
      <c r="T17" s="1" t="s">
        <v>523</v>
      </c>
      <c r="U17" s="5" t="s">
        <v>524</v>
      </c>
      <c r="V17" s="1" t="s">
        <v>525</v>
      </c>
      <c r="X17" s="2" t="s">
        <v>568</v>
      </c>
      <c r="AM17" s="276"/>
    </row>
    <row r="18" spans="14:39">
      <c r="N18" s="2" t="s">
        <v>569</v>
      </c>
      <c r="O18" s="9" t="s">
        <v>36</v>
      </c>
      <c r="Q18" s="1">
        <v>1276</v>
      </c>
      <c r="R18" s="10">
        <f t="shared" ca="1" si="1"/>
        <v>3.2542718694210659E-2</v>
      </c>
      <c r="S18" s="5">
        <f t="shared" si="0"/>
        <v>0</v>
      </c>
      <c r="T18" s="1" t="s">
        <v>523</v>
      </c>
      <c r="U18" s="5" t="s">
        <v>524</v>
      </c>
      <c r="V18" s="1" t="s">
        <v>525</v>
      </c>
      <c r="X18" s="2" t="s">
        <v>570</v>
      </c>
    </row>
    <row r="19" spans="14:39">
      <c r="N19" s="2" t="s">
        <v>571</v>
      </c>
      <c r="O19" s="9" t="s">
        <v>36</v>
      </c>
      <c r="Q19" s="1">
        <v>1276</v>
      </c>
      <c r="R19" s="10">
        <f t="shared" ca="1" si="1"/>
        <v>3.2542718694210659E-2</v>
      </c>
      <c r="S19" s="5">
        <f t="shared" si="0"/>
        <v>0</v>
      </c>
      <c r="T19" s="1" t="s">
        <v>523</v>
      </c>
      <c r="U19" s="5" t="s">
        <v>524</v>
      </c>
      <c r="V19" s="1" t="s">
        <v>525</v>
      </c>
      <c r="X19" s="2" t="s">
        <v>572</v>
      </c>
    </row>
    <row r="20" spans="14:39">
      <c r="N20" s="2" t="s">
        <v>573</v>
      </c>
      <c r="O20" s="9" t="s">
        <v>36</v>
      </c>
      <c r="Q20" s="1">
        <v>1276</v>
      </c>
      <c r="R20" s="10">
        <f t="shared" ca="1" si="1"/>
        <v>3.2542718694210659E-2</v>
      </c>
      <c r="S20" s="5">
        <f t="shared" si="0"/>
        <v>0</v>
      </c>
      <c r="T20" s="1" t="s">
        <v>523</v>
      </c>
      <c r="U20" s="5" t="s">
        <v>524</v>
      </c>
      <c r="V20" s="1" t="s">
        <v>525</v>
      </c>
      <c r="X20" s="2" t="s">
        <v>375</v>
      </c>
    </row>
    <row r="21" spans="14:39">
      <c r="N21" s="2" t="s">
        <v>574</v>
      </c>
      <c r="O21" s="9" t="s">
        <v>36</v>
      </c>
      <c r="Q21" s="1">
        <v>1276</v>
      </c>
      <c r="R21" s="10">
        <f t="shared" ca="1" si="1"/>
        <v>3.2542718694210659E-2</v>
      </c>
      <c r="S21" s="5">
        <f t="shared" si="0"/>
        <v>0</v>
      </c>
      <c r="T21" s="1" t="s">
        <v>523</v>
      </c>
      <c r="U21" s="5" t="s">
        <v>524</v>
      </c>
      <c r="V21" s="1" t="s">
        <v>525</v>
      </c>
      <c r="X21" s="2" t="s">
        <v>575</v>
      </c>
    </row>
    <row r="22" spans="14:39">
      <c r="N22" s="2" t="s">
        <v>576</v>
      </c>
      <c r="O22" s="9" t="s">
        <v>36</v>
      </c>
      <c r="Q22" s="1">
        <v>1276</v>
      </c>
      <c r="R22" s="10">
        <f t="shared" ca="1" si="1"/>
        <v>3.2542718694210659E-2</v>
      </c>
      <c r="S22" s="5">
        <f t="shared" si="0"/>
        <v>0</v>
      </c>
      <c r="T22" s="1" t="s">
        <v>523</v>
      </c>
      <c r="U22" s="5" t="s">
        <v>524</v>
      </c>
      <c r="V22" s="1" t="s">
        <v>525</v>
      </c>
    </row>
    <row r="23" spans="14:39">
      <c r="N23" s="2" t="s">
        <v>577</v>
      </c>
      <c r="O23" s="9" t="s">
        <v>36</v>
      </c>
      <c r="Q23" s="1">
        <v>1276</v>
      </c>
      <c r="R23" s="10">
        <f t="shared" ca="1" si="1"/>
        <v>3.2542718694210659E-2</v>
      </c>
      <c r="S23" s="5">
        <f t="shared" si="0"/>
        <v>0</v>
      </c>
      <c r="T23" s="1" t="s">
        <v>523</v>
      </c>
      <c r="U23" s="5" t="s">
        <v>524</v>
      </c>
      <c r="V23" s="1" t="s">
        <v>525</v>
      </c>
    </row>
    <row r="24" spans="14:39">
      <c r="N24" s="2" t="s">
        <v>578</v>
      </c>
      <c r="O24" s="9" t="s">
        <v>36</v>
      </c>
      <c r="Q24" s="1">
        <v>1276</v>
      </c>
      <c r="R24" s="10">
        <f t="shared" ca="1" si="1"/>
        <v>3.2542718694210659E-2</v>
      </c>
      <c r="S24" s="5">
        <f t="shared" si="0"/>
        <v>0</v>
      </c>
      <c r="T24" s="1" t="s">
        <v>523</v>
      </c>
      <c r="U24" s="5" t="s">
        <v>524</v>
      </c>
      <c r="V24" s="1" t="s">
        <v>525</v>
      </c>
    </row>
    <row r="25" spans="14:39">
      <c r="N25" s="2" t="s">
        <v>579</v>
      </c>
      <c r="O25" s="9" t="s">
        <v>36</v>
      </c>
      <c r="Q25" s="1">
        <v>1276</v>
      </c>
      <c r="R25" s="10">
        <f t="shared" ca="1" si="1"/>
        <v>3.2542718694210659E-2</v>
      </c>
      <c r="S25" s="5">
        <f t="shared" si="0"/>
        <v>0</v>
      </c>
      <c r="T25" s="1" t="s">
        <v>523</v>
      </c>
      <c r="U25" s="5" t="s">
        <v>524</v>
      </c>
      <c r="V25" s="1" t="s">
        <v>525</v>
      </c>
    </row>
    <row r="26" spans="14:39">
      <c r="N26" s="2" t="s">
        <v>160</v>
      </c>
      <c r="O26" s="9" t="s">
        <v>35</v>
      </c>
      <c r="Q26" s="1">
        <v>4662.4750000000004</v>
      </c>
      <c r="R26" s="10">
        <f t="shared" ca="1" si="1"/>
        <v>0.11891035450140271</v>
      </c>
      <c r="S26" s="5">
        <f t="shared" si="0"/>
        <v>0</v>
      </c>
      <c r="T26" s="1" t="s">
        <v>523</v>
      </c>
      <c r="U26" s="5" t="s">
        <v>524</v>
      </c>
      <c r="V26" s="1" t="s">
        <v>525</v>
      </c>
    </row>
    <row r="27" spans="14:39">
      <c r="N27" s="2" t="s">
        <v>161</v>
      </c>
      <c r="O27" s="9" t="s">
        <v>35</v>
      </c>
      <c r="Q27" s="1">
        <v>4662.4750000000004</v>
      </c>
      <c r="R27" s="10">
        <f t="shared" ca="1" si="1"/>
        <v>0.11891035450140271</v>
      </c>
      <c r="S27" s="5">
        <f t="shared" si="0"/>
        <v>0</v>
      </c>
      <c r="T27" s="1" t="s">
        <v>523</v>
      </c>
      <c r="U27" s="5" t="s">
        <v>524</v>
      </c>
      <c r="V27" s="1" t="s">
        <v>525</v>
      </c>
    </row>
    <row r="28" spans="14:39">
      <c r="N28" s="2" t="s">
        <v>162</v>
      </c>
      <c r="O28" s="9" t="s">
        <v>35</v>
      </c>
      <c r="Q28" s="1">
        <v>6511.66</v>
      </c>
      <c r="R28" s="10">
        <f t="shared" ca="1" si="1"/>
        <v>0.1660714103545014</v>
      </c>
      <c r="S28" s="5">
        <f t="shared" si="0"/>
        <v>0</v>
      </c>
      <c r="T28" s="1" t="s">
        <v>523</v>
      </c>
      <c r="U28" s="5" t="s">
        <v>524</v>
      </c>
      <c r="V28" s="1" t="s">
        <v>525</v>
      </c>
    </row>
    <row r="29" spans="14:39">
      <c r="N29" s="2" t="s">
        <v>163</v>
      </c>
      <c r="O29" s="9" t="s">
        <v>35</v>
      </c>
      <c r="Q29" s="1">
        <v>6495.8549999999996</v>
      </c>
      <c r="R29" s="10">
        <f t="shared" ca="1" si="1"/>
        <v>0.16566832440703902</v>
      </c>
      <c r="S29" s="5">
        <f t="shared" si="0"/>
        <v>0</v>
      </c>
      <c r="T29" s="1" t="s">
        <v>523</v>
      </c>
      <c r="U29" s="5" t="s">
        <v>524</v>
      </c>
      <c r="V29" s="1" t="s">
        <v>525</v>
      </c>
    </row>
    <row r="30" spans="14:39">
      <c r="N30" s="2" t="s">
        <v>164</v>
      </c>
      <c r="O30" s="9" t="s">
        <v>35</v>
      </c>
      <c r="Q30" s="1">
        <v>6527.4649999999992</v>
      </c>
      <c r="R30" s="10">
        <f t="shared" ca="1" si="1"/>
        <v>0.16647449630196376</v>
      </c>
      <c r="S30" s="5">
        <f t="shared" si="0"/>
        <v>0</v>
      </c>
      <c r="T30" s="1" t="s">
        <v>523</v>
      </c>
      <c r="U30" s="5" t="s">
        <v>524</v>
      </c>
      <c r="V30" s="1" t="s">
        <v>525</v>
      </c>
    </row>
    <row r="31" spans="14:39">
      <c r="N31" s="2" t="s">
        <v>165</v>
      </c>
      <c r="O31" s="9" t="s">
        <v>36</v>
      </c>
      <c r="Q31" s="1">
        <v>5104</v>
      </c>
      <c r="R31" s="10">
        <f t="shared" ca="1" si="1"/>
        <v>0.13017087477684264</v>
      </c>
      <c r="S31" s="5">
        <f t="shared" si="0"/>
        <v>0</v>
      </c>
      <c r="T31" s="1" t="s">
        <v>523</v>
      </c>
      <c r="U31" s="5" t="s">
        <v>524</v>
      </c>
      <c r="V31" s="1" t="s">
        <v>525</v>
      </c>
    </row>
    <row r="32" spans="14:39">
      <c r="N32" s="2" t="s">
        <v>166</v>
      </c>
      <c r="O32" s="9" t="s">
        <v>36</v>
      </c>
      <c r="Q32" s="1">
        <v>5104</v>
      </c>
      <c r="R32" s="10">
        <f t="shared" ca="1" si="1"/>
        <v>0.13017087477684264</v>
      </c>
      <c r="S32" s="5">
        <f t="shared" si="0"/>
        <v>0</v>
      </c>
      <c r="T32" s="1" t="s">
        <v>523</v>
      </c>
      <c r="U32" s="5" t="s">
        <v>524</v>
      </c>
      <c r="V32" s="1" t="s">
        <v>525</v>
      </c>
    </row>
    <row r="33" spans="14:22">
      <c r="N33" s="2" t="s">
        <v>580</v>
      </c>
      <c r="O33" s="9" t="s">
        <v>35</v>
      </c>
      <c r="Q33" s="1">
        <v>252.88</v>
      </c>
      <c r="R33" s="10">
        <f t="shared" ca="1" si="1"/>
        <v>6.449375159398113E-3</v>
      </c>
      <c r="S33" s="5">
        <f t="shared" si="0"/>
        <v>0</v>
      </c>
      <c r="T33" s="1" t="s">
        <v>523</v>
      </c>
      <c r="U33" s="5" t="s">
        <v>524</v>
      </c>
      <c r="V33" s="1" t="s">
        <v>525</v>
      </c>
    </row>
    <row r="34" spans="14:22">
      <c r="N34" s="2" t="s">
        <v>581</v>
      </c>
      <c r="O34" s="9" t="s">
        <v>35</v>
      </c>
      <c r="Q34" s="1">
        <v>252.88</v>
      </c>
      <c r="R34" s="10">
        <f t="shared" ca="1" si="1"/>
        <v>6.449375159398113E-3</v>
      </c>
      <c r="S34" s="5">
        <f t="shared" si="0"/>
        <v>0</v>
      </c>
      <c r="T34" s="1" t="s">
        <v>523</v>
      </c>
      <c r="U34" s="5" t="s">
        <v>524</v>
      </c>
      <c r="V34" s="1" t="s">
        <v>525</v>
      </c>
    </row>
    <row r="35" spans="14:22">
      <c r="N35" s="2" t="s">
        <v>582</v>
      </c>
      <c r="O35" s="9" t="s">
        <v>35</v>
      </c>
      <c r="Q35" s="1">
        <v>252.88</v>
      </c>
      <c r="R35" s="10">
        <f t="shared" ca="1" si="1"/>
        <v>6.449375159398113E-3</v>
      </c>
      <c r="S35" s="5">
        <f t="shared" si="0"/>
        <v>0</v>
      </c>
      <c r="T35" s="1" t="s">
        <v>523</v>
      </c>
      <c r="U35" s="5" t="s">
        <v>524</v>
      </c>
      <c r="V35" s="1" t="s">
        <v>525</v>
      </c>
    </row>
    <row r="36" spans="14:22">
      <c r="N36" s="2" t="s">
        <v>583</v>
      </c>
      <c r="O36" s="9" t="s">
        <v>35</v>
      </c>
      <c r="Q36" s="1">
        <v>266.22000000000003</v>
      </c>
      <c r="R36" s="10">
        <f t="shared" ca="1" si="1"/>
        <v>6.789594491201225E-3</v>
      </c>
      <c r="S36" s="5">
        <f t="shared" si="0"/>
        <v>0</v>
      </c>
      <c r="T36" s="1" t="s">
        <v>523</v>
      </c>
      <c r="U36" s="5" t="s">
        <v>524</v>
      </c>
      <c r="V36" s="1" t="s">
        <v>525</v>
      </c>
    </row>
    <row r="37" spans="14:22">
      <c r="N37" s="2" t="s">
        <v>584</v>
      </c>
      <c r="O37" s="9" t="s">
        <v>35</v>
      </c>
      <c r="Q37" s="1">
        <v>266.22000000000003</v>
      </c>
      <c r="R37" s="10">
        <f t="shared" ca="1" si="1"/>
        <v>6.789594491201225E-3</v>
      </c>
      <c r="S37" s="5">
        <f t="shared" si="0"/>
        <v>0</v>
      </c>
      <c r="T37" s="1" t="s">
        <v>523</v>
      </c>
      <c r="U37" s="5" t="s">
        <v>524</v>
      </c>
      <c r="V37" s="1" t="s">
        <v>525</v>
      </c>
    </row>
    <row r="38" spans="14:22">
      <c r="N38" s="2" t="s">
        <v>585</v>
      </c>
      <c r="O38" s="9" t="s">
        <v>35</v>
      </c>
      <c r="Q38" s="1">
        <v>266.22000000000003</v>
      </c>
      <c r="R38" s="10">
        <f t="shared" ca="1" si="1"/>
        <v>6.789594491201225E-3</v>
      </c>
      <c r="S38" s="5">
        <f t="shared" si="0"/>
        <v>0</v>
      </c>
      <c r="T38" s="1" t="s">
        <v>523</v>
      </c>
      <c r="U38" s="5" t="s">
        <v>524</v>
      </c>
      <c r="V38" s="1" t="s">
        <v>525</v>
      </c>
    </row>
    <row r="39" spans="14:22">
      <c r="N39" s="2" t="s">
        <v>586</v>
      </c>
      <c r="O39" s="9" t="s">
        <v>35</v>
      </c>
      <c r="Q39" s="1">
        <v>266.22000000000003</v>
      </c>
      <c r="R39" s="10">
        <f t="shared" ca="1" si="1"/>
        <v>6.789594491201225E-3</v>
      </c>
      <c r="S39" s="5">
        <f t="shared" si="0"/>
        <v>0</v>
      </c>
      <c r="T39" s="1" t="s">
        <v>523</v>
      </c>
      <c r="U39" s="5" t="s">
        <v>524</v>
      </c>
      <c r="V39" s="1" t="s">
        <v>525</v>
      </c>
    </row>
    <row r="40" spans="14:22">
      <c r="N40" s="2" t="s">
        <v>587</v>
      </c>
      <c r="O40" s="9" t="s">
        <v>35</v>
      </c>
      <c r="Q40" s="1">
        <v>266.22000000000003</v>
      </c>
      <c r="R40" s="10">
        <f t="shared" ca="1" si="1"/>
        <v>6.789594491201225E-3</v>
      </c>
      <c r="S40" s="5">
        <f t="shared" si="0"/>
        <v>0</v>
      </c>
      <c r="T40" s="1" t="s">
        <v>523</v>
      </c>
      <c r="U40" s="5" t="s">
        <v>524</v>
      </c>
      <c r="V40" s="1" t="s">
        <v>525</v>
      </c>
    </row>
    <row r="41" spans="14:22">
      <c r="N41" s="2" t="s">
        <v>588</v>
      </c>
      <c r="O41" s="9" t="s">
        <v>35</v>
      </c>
      <c r="Q41" s="1">
        <v>268.685</v>
      </c>
      <c r="R41" s="10">
        <f t="shared" ca="1" si="1"/>
        <v>6.8524611068604951E-3</v>
      </c>
      <c r="S41" s="5">
        <f t="shared" si="0"/>
        <v>0</v>
      </c>
      <c r="T41" s="1" t="s">
        <v>523</v>
      </c>
      <c r="U41" s="5" t="s">
        <v>524</v>
      </c>
      <c r="V41" s="1" t="s">
        <v>525</v>
      </c>
    </row>
    <row r="42" spans="14:22">
      <c r="N42" s="2" t="s">
        <v>589</v>
      </c>
      <c r="O42" s="9" t="s">
        <v>35</v>
      </c>
      <c r="Q42" s="1">
        <v>252.88</v>
      </c>
      <c r="R42" s="10">
        <f t="shared" ca="1" si="1"/>
        <v>6.449375159398113E-3</v>
      </c>
      <c r="S42" s="5">
        <f t="shared" si="0"/>
        <v>0</v>
      </c>
      <c r="T42" s="1" t="s">
        <v>523</v>
      </c>
      <c r="U42" s="5" t="s">
        <v>524</v>
      </c>
      <c r="V42" s="1" t="s">
        <v>525</v>
      </c>
    </row>
    <row r="43" spans="14:22">
      <c r="N43" s="2" t="s">
        <v>590</v>
      </c>
      <c r="O43" s="9" t="s">
        <v>35</v>
      </c>
      <c r="Q43" s="1">
        <v>252.88</v>
      </c>
      <c r="R43" s="10">
        <f t="shared" ca="1" si="1"/>
        <v>6.449375159398113E-3</v>
      </c>
      <c r="S43" s="5">
        <f t="shared" si="0"/>
        <v>0</v>
      </c>
      <c r="T43" s="1" t="s">
        <v>523</v>
      </c>
      <c r="U43" s="5" t="s">
        <v>524</v>
      </c>
      <c r="V43" s="1" t="s">
        <v>525</v>
      </c>
    </row>
    <row r="44" spans="14:22">
      <c r="N44" s="2" t="s">
        <v>591</v>
      </c>
      <c r="O44" s="9" t="s">
        <v>35</v>
      </c>
      <c r="Q44" s="1">
        <v>268.685</v>
      </c>
      <c r="R44" s="10">
        <f t="shared" ca="1" si="1"/>
        <v>6.8524611068604951E-3</v>
      </c>
      <c r="S44" s="5">
        <f t="shared" si="0"/>
        <v>0</v>
      </c>
      <c r="T44" s="1" t="s">
        <v>523</v>
      </c>
      <c r="U44" s="5" t="s">
        <v>524</v>
      </c>
      <c r="V44" s="1" t="s">
        <v>525</v>
      </c>
    </row>
    <row r="45" spans="14:22">
      <c r="N45" s="2" t="s">
        <v>592</v>
      </c>
      <c r="O45" s="9" t="s">
        <v>35</v>
      </c>
      <c r="Q45" s="1">
        <v>252.88</v>
      </c>
      <c r="R45" s="10">
        <f t="shared" ca="1" si="1"/>
        <v>6.449375159398113E-3</v>
      </c>
      <c r="S45" s="5">
        <f t="shared" si="0"/>
        <v>0</v>
      </c>
      <c r="T45" s="1" t="s">
        <v>523</v>
      </c>
      <c r="U45" s="5" t="s">
        <v>524</v>
      </c>
      <c r="V45" s="1" t="s">
        <v>525</v>
      </c>
    </row>
    <row r="46" spans="14:22">
      <c r="N46" s="2" t="s">
        <v>593</v>
      </c>
      <c r="O46" s="9" t="s">
        <v>35</v>
      </c>
      <c r="Q46" s="1">
        <v>252.88</v>
      </c>
      <c r="R46" s="10">
        <f t="shared" ca="1" si="1"/>
        <v>6.449375159398113E-3</v>
      </c>
      <c r="S46" s="5">
        <f t="shared" si="0"/>
        <v>0</v>
      </c>
      <c r="T46" s="1" t="s">
        <v>523</v>
      </c>
      <c r="U46" s="5" t="s">
        <v>524</v>
      </c>
      <c r="V46" s="1" t="s">
        <v>525</v>
      </c>
    </row>
    <row r="47" spans="14:22">
      <c r="N47" s="2" t="s">
        <v>594</v>
      </c>
      <c r="O47" s="9" t="s">
        <v>35</v>
      </c>
      <c r="Q47" s="1">
        <v>252.88</v>
      </c>
      <c r="R47" s="10">
        <f t="shared" ca="1" si="1"/>
        <v>6.449375159398113E-3</v>
      </c>
      <c r="S47" s="5">
        <f t="shared" si="0"/>
        <v>0</v>
      </c>
      <c r="T47" s="1" t="s">
        <v>523</v>
      </c>
      <c r="U47" s="5" t="s">
        <v>524</v>
      </c>
      <c r="V47" s="1" t="s">
        <v>525</v>
      </c>
    </row>
    <row r="48" spans="14:22">
      <c r="N48" s="2" t="s">
        <v>595</v>
      </c>
      <c r="O48" s="9" t="s">
        <v>35</v>
      </c>
      <c r="Q48" s="1">
        <v>252.88</v>
      </c>
      <c r="R48" s="10">
        <f t="shared" ca="1" si="1"/>
        <v>6.449375159398113E-3</v>
      </c>
      <c r="S48" s="5">
        <f t="shared" si="0"/>
        <v>0</v>
      </c>
      <c r="T48" s="1" t="s">
        <v>523</v>
      </c>
      <c r="U48" s="5" t="s">
        <v>524</v>
      </c>
      <c r="V48" s="1" t="s">
        <v>525</v>
      </c>
    </row>
    <row r="49" spans="14:22">
      <c r="N49" s="2" t="s">
        <v>596</v>
      </c>
      <c r="O49" s="9" t="s">
        <v>35</v>
      </c>
      <c r="Q49" s="1">
        <v>252.88</v>
      </c>
      <c r="R49" s="10">
        <f t="shared" ca="1" si="1"/>
        <v>6.449375159398113E-3</v>
      </c>
      <c r="S49" s="5">
        <f t="shared" si="0"/>
        <v>0</v>
      </c>
      <c r="T49" s="1" t="s">
        <v>523</v>
      </c>
      <c r="U49" s="5" t="s">
        <v>524</v>
      </c>
      <c r="V49" s="1" t="s">
        <v>525</v>
      </c>
    </row>
    <row r="50" spans="14:22">
      <c r="N50" s="2" t="s">
        <v>597</v>
      </c>
      <c r="O50" s="9" t="s">
        <v>35</v>
      </c>
      <c r="Q50" s="1">
        <v>252.88</v>
      </c>
      <c r="R50" s="10">
        <f t="shared" ca="1" si="1"/>
        <v>6.449375159398113E-3</v>
      </c>
      <c r="S50" s="5">
        <f t="shared" si="0"/>
        <v>0</v>
      </c>
      <c r="T50" s="1" t="s">
        <v>523</v>
      </c>
      <c r="U50" s="5" t="s">
        <v>524</v>
      </c>
      <c r="V50" s="1" t="s">
        <v>525</v>
      </c>
    </row>
    <row r="51" spans="14:22">
      <c r="N51" s="2" t="s">
        <v>598</v>
      </c>
      <c r="O51" s="9" t="s">
        <v>35</v>
      </c>
      <c r="Q51" s="1">
        <v>268.685</v>
      </c>
      <c r="R51" s="10">
        <f t="shared" ca="1" si="1"/>
        <v>6.8524611068604951E-3</v>
      </c>
      <c r="S51" s="5">
        <f t="shared" si="0"/>
        <v>0</v>
      </c>
      <c r="T51" s="1" t="s">
        <v>523</v>
      </c>
      <c r="U51" s="5" t="s">
        <v>524</v>
      </c>
      <c r="V51" s="1" t="s">
        <v>525</v>
      </c>
    </row>
    <row r="52" spans="14:22">
      <c r="N52" s="2" t="s">
        <v>599</v>
      </c>
      <c r="O52" s="9" t="s">
        <v>35</v>
      </c>
      <c r="Q52" s="1">
        <v>252.88</v>
      </c>
      <c r="R52" s="10">
        <f t="shared" ca="1" si="1"/>
        <v>6.449375159398113E-3</v>
      </c>
      <c r="S52" s="5">
        <f t="shared" si="0"/>
        <v>0</v>
      </c>
      <c r="T52" s="1" t="s">
        <v>523</v>
      </c>
      <c r="U52" s="5" t="s">
        <v>524</v>
      </c>
      <c r="V52" s="1" t="s">
        <v>525</v>
      </c>
    </row>
    <row r="53" spans="14:22">
      <c r="N53" s="2" t="s">
        <v>600</v>
      </c>
      <c r="O53" s="9" t="s">
        <v>35</v>
      </c>
      <c r="Q53" s="1">
        <v>252.88</v>
      </c>
      <c r="R53" s="10">
        <f t="shared" ca="1" si="1"/>
        <v>6.449375159398113E-3</v>
      </c>
      <c r="S53" s="5">
        <f t="shared" si="0"/>
        <v>0</v>
      </c>
      <c r="T53" s="1" t="s">
        <v>523</v>
      </c>
      <c r="U53" s="5" t="s">
        <v>524</v>
      </c>
      <c r="V53" s="1" t="s">
        <v>525</v>
      </c>
    </row>
    <row r="54" spans="14:22">
      <c r="N54" s="2" t="s">
        <v>601</v>
      </c>
      <c r="O54" s="9" t="s">
        <v>35</v>
      </c>
      <c r="Q54" s="1">
        <v>252.88</v>
      </c>
      <c r="R54" s="10">
        <f t="shared" ca="1" si="1"/>
        <v>6.449375159398113E-3</v>
      </c>
      <c r="S54" s="5">
        <f t="shared" si="0"/>
        <v>0</v>
      </c>
      <c r="T54" s="1" t="s">
        <v>523</v>
      </c>
      <c r="U54" s="5" t="s">
        <v>524</v>
      </c>
      <c r="V54" s="1" t="s">
        <v>525</v>
      </c>
    </row>
    <row r="55" spans="14:22">
      <c r="N55" s="2" t="s">
        <v>602</v>
      </c>
      <c r="O55" s="9" t="s">
        <v>35</v>
      </c>
      <c r="Q55" s="1">
        <v>252.88</v>
      </c>
      <c r="R55" s="10">
        <f t="shared" ca="1" si="1"/>
        <v>6.449375159398113E-3</v>
      </c>
      <c r="S55" s="5">
        <f t="shared" si="0"/>
        <v>0</v>
      </c>
      <c r="T55" s="1" t="s">
        <v>523</v>
      </c>
      <c r="U55" s="5" t="s">
        <v>524</v>
      </c>
      <c r="V55" s="1" t="s">
        <v>525</v>
      </c>
    </row>
    <row r="56" spans="14:22">
      <c r="N56" s="2" t="s">
        <v>603</v>
      </c>
      <c r="O56" s="9" t="s">
        <v>35</v>
      </c>
      <c r="Q56" s="1">
        <v>252.88</v>
      </c>
      <c r="R56" s="10">
        <f t="shared" ca="1" si="1"/>
        <v>6.449375159398113E-3</v>
      </c>
      <c r="S56" s="5">
        <f t="shared" si="0"/>
        <v>0</v>
      </c>
      <c r="T56" s="1" t="s">
        <v>523</v>
      </c>
      <c r="U56" s="5" t="s">
        <v>524</v>
      </c>
      <c r="V56" s="1" t="s">
        <v>525</v>
      </c>
    </row>
    <row r="57" spans="14:22">
      <c r="N57" s="2" t="s">
        <v>604</v>
      </c>
      <c r="O57" s="9" t="s">
        <v>35</v>
      </c>
      <c r="Q57" s="1">
        <v>268.685</v>
      </c>
      <c r="R57" s="10">
        <f t="shared" ca="1" si="1"/>
        <v>6.8524611068604951E-3</v>
      </c>
      <c r="S57" s="5">
        <f t="shared" si="0"/>
        <v>0</v>
      </c>
      <c r="T57" s="1" t="s">
        <v>523</v>
      </c>
      <c r="U57" s="5" t="s">
        <v>524</v>
      </c>
      <c r="V57" s="1" t="s">
        <v>525</v>
      </c>
    </row>
    <row r="58" spans="14:22">
      <c r="N58" s="2" t="s">
        <v>605</v>
      </c>
      <c r="O58" s="9" t="s">
        <v>35</v>
      </c>
      <c r="Q58" s="1">
        <v>268.685</v>
      </c>
      <c r="R58" s="10">
        <f t="shared" ca="1" si="1"/>
        <v>6.8524611068604951E-3</v>
      </c>
      <c r="S58" s="5">
        <f t="shared" si="0"/>
        <v>0</v>
      </c>
      <c r="T58" s="1" t="s">
        <v>523</v>
      </c>
      <c r="U58" s="5" t="s">
        <v>524</v>
      </c>
      <c r="V58" s="1" t="s">
        <v>525</v>
      </c>
    </row>
    <row r="59" spans="14:22">
      <c r="N59" s="2" t="s">
        <v>606</v>
      </c>
      <c r="O59" s="9" t="s">
        <v>35</v>
      </c>
      <c r="Q59" s="1">
        <v>268.685</v>
      </c>
      <c r="R59" s="10">
        <f t="shared" ca="1" si="1"/>
        <v>6.8524611068604951E-3</v>
      </c>
      <c r="S59" s="5">
        <f t="shared" si="0"/>
        <v>0</v>
      </c>
      <c r="T59" s="1" t="s">
        <v>523</v>
      </c>
      <c r="U59" s="5" t="s">
        <v>524</v>
      </c>
      <c r="V59" s="1" t="s">
        <v>525</v>
      </c>
    </row>
    <row r="60" spans="14:22">
      <c r="N60" s="2" t="s">
        <v>607</v>
      </c>
      <c r="O60" s="9" t="s">
        <v>35</v>
      </c>
      <c r="Q60" s="1">
        <v>252.88</v>
      </c>
      <c r="R60" s="10">
        <f t="shared" ca="1" si="1"/>
        <v>6.449375159398113E-3</v>
      </c>
      <c r="S60" s="5">
        <f t="shared" si="0"/>
        <v>0</v>
      </c>
      <c r="T60" s="1" t="s">
        <v>523</v>
      </c>
      <c r="U60" s="5" t="s">
        <v>524</v>
      </c>
      <c r="V60" s="1" t="s">
        <v>525</v>
      </c>
    </row>
    <row r="61" spans="14:22">
      <c r="N61" s="2" t="s">
        <v>608</v>
      </c>
      <c r="O61" s="9" t="s">
        <v>35</v>
      </c>
      <c r="Q61" s="1">
        <v>252.88</v>
      </c>
      <c r="R61" s="10">
        <f t="shared" ca="1" si="1"/>
        <v>6.449375159398113E-3</v>
      </c>
      <c r="S61" s="5">
        <f t="shared" si="0"/>
        <v>0</v>
      </c>
      <c r="T61" s="1" t="s">
        <v>523</v>
      </c>
      <c r="U61" s="5" t="s">
        <v>524</v>
      </c>
      <c r="V61" s="1" t="s">
        <v>525</v>
      </c>
    </row>
    <row r="62" spans="14:22">
      <c r="N62" s="2" t="s">
        <v>609</v>
      </c>
      <c r="O62" s="9" t="s">
        <v>35</v>
      </c>
      <c r="Q62" s="1">
        <v>252.88</v>
      </c>
      <c r="R62" s="10">
        <f t="shared" ca="1" si="1"/>
        <v>6.449375159398113E-3</v>
      </c>
      <c r="S62" s="5">
        <f t="shared" si="0"/>
        <v>0</v>
      </c>
      <c r="T62" s="1" t="s">
        <v>523</v>
      </c>
      <c r="U62" s="5" t="s">
        <v>524</v>
      </c>
      <c r="V62" s="1" t="s">
        <v>525</v>
      </c>
    </row>
    <row r="63" spans="14:22">
      <c r="N63" s="2" t="s">
        <v>610</v>
      </c>
      <c r="O63" s="9" t="s">
        <v>35</v>
      </c>
      <c r="Q63" s="1">
        <v>252.88</v>
      </c>
      <c r="R63" s="10">
        <f t="shared" ca="1" si="1"/>
        <v>6.449375159398113E-3</v>
      </c>
      <c r="S63" s="5">
        <f t="shared" si="0"/>
        <v>0</v>
      </c>
      <c r="T63" s="1" t="s">
        <v>523</v>
      </c>
      <c r="U63" s="5" t="s">
        <v>524</v>
      </c>
      <c r="V63" s="1" t="s">
        <v>525</v>
      </c>
    </row>
    <row r="64" spans="14:22">
      <c r="N64" s="2" t="s">
        <v>611</v>
      </c>
      <c r="O64" s="9" t="s">
        <v>35</v>
      </c>
      <c r="Q64" s="1">
        <v>252.88</v>
      </c>
      <c r="R64" s="10">
        <f t="shared" ca="1" si="1"/>
        <v>6.449375159398113E-3</v>
      </c>
      <c r="S64" s="5">
        <f t="shared" si="0"/>
        <v>0</v>
      </c>
      <c r="T64" s="1" t="s">
        <v>523</v>
      </c>
      <c r="U64" s="5" t="s">
        <v>524</v>
      </c>
      <c r="V64" s="1" t="s">
        <v>525</v>
      </c>
    </row>
    <row r="65" spans="14:22">
      <c r="N65" s="2" t="s">
        <v>612</v>
      </c>
      <c r="O65" s="9" t="s">
        <v>35</v>
      </c>
      <c r="Q65" s="1">
        <v>252.88</v>
      </c>
      <c r="R65" s="10">
        <f t="shared" ca="1" si="1"/>
        <v>6.449375159398113E-3</v>
      </c>
      <c r="S65" s="5">
        <f t="shared" si="0"/>
        <v>0</v>
      </c>
      <c r="T65" s="1" t="s">
        <v>523</v>
      </c>
      <c r="U65" s="5" t="s">
        <v>524</v>
      </c>
      <c r="V65" s="1" t="s">
        <v>525</v>
      </c>
    </row>
    <row r="66" spans="14:22">
      <c r="N66" s="2" t="s">
        <v>613</v>
      </c>
      <c r="O66" s="9" t="s">
        <v>35</v>
      </c>
      <c r="Q66" s="1">
        <v>268.685</v>
      </c>
      <c r="R66" s="10">
        <f t="shared" ca="1" si="1"/>
        <v>6.8524611068604951E-3</v>
      </c>
      <c r="S66" s="5">
        <f t="shared" ref="S66:S129" si="3">_xlfn.XLOOKUP(O66,AE:AE,AG:AG)</f>
        <v>0</v>
      </c>
      <c r="T66" s="1" t="s">
        <v>523</v>
      </c>
      <c r="U66" s="5" t="s">
        <v>524</v>
      </c>
      <c r="V66" s="1" t="s">
        <v>525</v>
      </c>
    </row>
    <row r="67" spans="14:22">
      <c r="N67" s="2" t="s">
        <v>614</v>
      </c>
      <c r="O67" s="9" t="s">
        <v>35</v>
      </c>
      <c r="Q67" s="1">
        <v>268.685</v>
      </c>
      <c r="R67" s="10">
        <f t="shared" ca="1" si="1"/>
        <v>6.8524611068604951E-3</v>
      </c>
      <c r="S67" s="5">
        <f t="shared" si="3"/>
        <v>0</v>
      </c>
      <c r="T67" s="1" t="s">
        <v>523</v>
      </c>
      <c r="U67" s="5" t="s">
        <v>524</v>
      </c>
      <c r="V67" s="1" t="s">
        <v>525</v>
      </c>
    </row>
    <row r="68" spans="14:22">
      <c r="N68" s="2" t="s">
        <v>615</v>
      </c>
      <c r="O68" s="9" t="s">
        <v>35</v>
      </c>
      <c r="Q68" s="1">
        <v>268.685</v>
      </c>
      <c r="R68" s="10">
        <f t="shared" ref="R68:R131" ca="1" si="4">Q68/$AC$4</f>
        <v>6.8524611068604951E-3</v>
      </c>
      <c r="S68" s="5">
        <f t="shared" si="3"/>
        <v>0</v>
      </c>
      <c r="T68" s="1" t="s">
        <v>523</v>
      </c>
      <c r="U68" s="5" t="s">
        <v>524</v>
      </c>
      <c r="V68" s="1" t="s">
        <v>525</v>
      </c>
    </row>
    <row r="69" spans="14:22">
      <c r="N69" s="2" t="s">
        <v>616</v>
      </c>
      <c r="O69" s="9" t="s">
        <v>35</v>
      </c>
      <c r="Q69" s="1">
        <v>271.14999999999998</v>
      </c>
      <c r="R69" s="10">
        <f t="shared" ca="1" si="4"/>
        <v>6.9153277225197651E-3</v>
      </c>
      <c r="S69" s="5">
        <f t="shared" si="3"/>
        <v>0</v>
      </c>
      <c r="T69" s="1" t="s">
        <v>523</v>
      </c>
      <c r="U69" s="5" t="s">
        <v>524</v>
      </c>
      <c r="V69" s="1" t="s">
        <v>525</v>
      </c>
    </row>
    <row r="70" spans="14:22">
      <c r="N70" s="2" t="s">
        <v>617</v>
      </c>
      <c r="O70" s="9" t="s">
        <v>35</v>
      </c>
      <c r="Q70" s="1">
        <v>271.14999999999998</v>
      </c>
      <c r="R70" s="10">
        <f t="shared" ca="1" si="4"/>
        <v>6.9153277225197651E-3</v>
      </c>
      <c r="S70" s="5">
        <f t="shared" si="3"/>
        <v>0</v>
      </c>
      <c r="T70" s="1" t="s">
        <v>523</v>
      </c>
      <c r="U70" s="5" t="s">
        <v>524</v>
      </c>
      <c r="V70" s="1" t="s">
        <v>525</v>
      </c>
    </row>
    <row r="71" spans="14:22">
      <c r="N71" s="2" t="s">
        <v>618</v>
      </c>
      <c r="O71" s="9" t="s">
        <v>35</v>
      </c>
      <c r="Q71" s="1">
        <v>271.14999999999998</v>
      </c>
      <c r="R71" s="10">
        <f t="shared" ca="1" si="4"/>
        <v>6.9153277225197651E-3</v>
      </c>
      <c r="S71" s="5">
        <f t="shared" si="3"/>
        <v>0</v>
      </c>
      <c r="T71" s="1" t="s">
        <v>523</v>
      </c>
      <c r="U71" s="5" t="s">
        <v>524</v>
      </c>
      <c r="V71" s="1" t="s">
        <v>525</v>
      </c>
    </row>
    <row r="72" spans="14:22">
      <c r="N72" s="2" t="s">
        <v>619</v>
      </c>
      <c r="O72" s="9" t="s">
        <v>35</v>
      </c>
      <c r="Q72" s="1">
        <v>271.14999999999998</v>
      </c>
      <c r="R72" s="10">
        <f t="shared" ca="1" si="4"/>
        <v>6.9153277225197651E-3</v>
      </c>
      <c r="S72" s="5">
        <f t="shared" si="3"/>
        <v>0</v>
      </c>
      <c r="T72" s="1" t="s">
        <v>523</v>
      </c>
      <c r="U72" s="5" t="s">
        <v>524</v>
      </c>
      <c r="V72" s="1" t="s">
        <v>525</v>
      </c>
    </row>
    <row r="73" spans="14:22">
      <c r="N73" s="2" t="s">
        <v>620</v>
      </c>
      <c r="O73" s="9" t="s">
        <v>35</v>
      </c>
      <c r="Q73" s="1">
        <v>287.10000000000002</v>
      </c>
      <c r="R73" s="10">
        <f t="shared" ca="1" si="4"/>
        <v>7.3221117061973992E-3</v>
      </c>
      <c r="S73" s="5">
        <f t="shared" si="3"/>
        <v>0</v>
      </c>
      <c r="T73" s="1" t="s">
        <v>523</v>
      </c>
      <c r="U73" s="5" t="s">
        <v>524</v>
      </c>
      <c r="V73" s="1" t="s">
        <v>525</v>
      </c>
    </row>
    <row r="74" spans="14:22">
      <c r="N74" s="2" t="s">
        <v>621</v>
      </c>
      <c r="O74" s="9" t="s">
        <v>35</v>
      </c>
      <c r="Q74" s="1">
        <v>271.14999999999998</v>
      </c>
      <c r="R74" s="10">
        <f t="shared" ca="1" si="4"/>
        <v>6.9153277225197651E-3</v>
      </c>
      <c r="S74" s="5">
        <f t="shared" si="3"/>
        <v>0</v>
      </c>
      <c r="T74" s="1" t="s">
        <v>523</v>
      </c>
      <c r="U74" s="5" t="s">
        <v>524</v>
      </c>
      <c r="V74" s="1" t="s">
        <v>525</v>
      </c>
    </row>
    <row r="75" spans="14:22">
      <c r="N75" s="2" t="s">
        <v>622</v>
      </c>
      <c r="O75" s="9" t="s">
        <v>35</v>
      </c>
      <c r="Q75" s="1">
        <v>271.14999999999998</v>
      </c>
      <c r="R75" s="10">
        <f t="shared" ca="1" si="4"/>
        <v>6.9153277225197651E-3</v>
      </c>
      <c r="S75" s="5">
        <f t="shared" si="3"/>
        <v>0</v>
      </c>
      <c r="T75" s="1" t="s">
        <v>523</v>
      </c>
      <c r="U75" s="5" t="s">
        <v>524</v>
      </c>
      <c r="V75" s="1" t="s">
        <v>525</v>
      </c>
    </row>
    <row r="76" spans="14:22">
      <c r="N76" s="2" t="s">
        <v>623</v>
      </c>
      <c r="O76" s="9" t="s">
        <v>35</v>
      </c>
      <c r="Q76" s="1">
        <v>271.14999999999998</v>
      </c>
      <c r="R76" s="10">
        <f t="shared" ca="1" si="4"/>
        <v>6.9153277225197651E-3</v>
      </c>
      <c r="S76" s="5">
        <f t="shared" si="3"/>
        <v>0</v>
      </c>
      <c r="T76" s="1" t="s">
        <v>523</v>
      </c>
      <c r="U76" s="5" t="s">
        <v>524</v>
      </c>
      <c r="V76" s="1" t="s">
        <v>525</v>
      </c>
    </row>
    <row r="77" spans="14:22">
      <c r="N77" s="2" t="s">
        <v>624</v>
      </c>
      <c r="O77" s="9" t="s">
        <v>35</v>
      </c>
      <c r="Q77" s="1">
        <v>271.14999999999998</v>
      </c>
      <c r="R77" s="10">
        <f t="shared" ca="1" si="4"/>
        <v>6.9153277225197651E-3</v>
      </c>
      <c r="S77" s="5">
        <f t="shared" si="3"/>
        <v>0</v>
      </c>
      <c r="T77" s="1" t="s">
        <v>523</v>
      </c>
      <c r="U77" s="5" t="s">
        <v>524</v>
      </c>
      <c r="V77" s="1" t="s">
        <v>525</v>
      </c>
    </row>
    <row r="78" spans="14:22">
      <c r="N78" s="2" t="s">
        <v>625</v>
      </c>
      <c r="O78" s="9" t="s">
        <v>35</v>
      </c>
      <c r="Q78" s="1">
        <v>271.14999999999998</v>
      </c>
      <c r="R78" s="10">
        <f t="shared" ca="1" si="4"/>
        <v>6.9153277225197651E-3</v>
      </c>
      <c r="S78" s="5">
        <f t="shared" si="3"/>
        <v>0</v>
      </c>
      <c r="T78" s="1" t="s">
        <v>523</v>
      </c>
      <c r="U78" s="5" t="s">
        <v>524</v>
      </c>
      <c r="V78" s="1" t="s">
        <v>525</v>
      </c>
    </row>
    <row r="79" spans="14:22">
      <c r="N79" s="2" t="s">
        <v>626</v>
      </c>
      <c r="O79" s="9" t="s">
        <v>35</v>
      </c>
      <c r="Q79" s="1">
        <v>287.10000000000002</v>
      </c>
      <c r="R79" s="10">
        <f t="shared" ca="1" si="4"/>
        <v>7.3221117061973992E-3</v>
      </c>
      <c r="S79" s="5">
        <f t="shared" si="3"/>
        <v>0</v>
      </c>
      <c r="T79" s="1" t="s">
        <v>523</v>
      </c>
      <c r="U79" s="5" t="s">
        <v>524</v>
      </c>
      <c r="V79" s="1" t="s">
        <v>525</v>
      </c>
    </row>
    <row r="80" spans="14:22">
      <c r="N80" s="2" t="s">
        <v>627</v>
      </c>
      <c r="O80" s="9" t="s">
        <v>35</v>
      </c>
      <c r="Q80" s="1">
        <v>271.14999999999998</v>
      </c>
      <c r="R80" s="10">
        <f t="shared" ca="1" si="4"/>
        <v>6.9153277225197651E-3</v>
      </c>
      <c r="S80" s="5">
        <f t="shared" si="3"/>
        <v>0</v>
      </c>
      <c r="T80" s="1" t="s">
        <v>523</v>
      </c>
      <c r="U80" s="5" t="s">
        <v>524</v>
      </c>
      <c r="V80" s="1" t="s">
        <v>525</v>
      </c>
    </row>
    <row r="81" spans="14:22">
      <c r="N81" s="2" t="s">
        <v>628</v>
      </c>
      <c r="O81" s="9" t="s">
        <v>35</v>
      </c>
      <c r="Q81" s="1">
        <v>271.14999999999998</v>
      </c>
      <c r="R81" s="10">
        <f t="shared" ca="1" si="4"/>
        <v>6.9153277225197651E-3</v>
      </c>
      <c r="S81" s="5">
        <f t="shared" si="3"/>
        <v>0</v>
      </c>
      <c r="T81" s="1" t="s">
        <v>523</v>
      </c>
      <c r="U81" s="5" t="s">
        <v>524</v>
      </c>
      <c r="V81" s="1" t="s">
        <v>525</v>
      </c>
    </row>
    <row r="82" spans="14:22">
      <c r="N82" s="2" t="s">
        <v>629</v>
      </c>
      <c r="O82" s="9" t="s">
        <v>35</v>
      </c>
      <c r="Q82" s="1">
        <v>271.14999999999998</v>
      </c>
      <c r="R82" s="10">
        <f t="shared" ca="1" si="4"/>
        <v>6.9153277225197651E-3</v>
      </c>
      <c r="S82" s="5">
        <f t="shared" si="3"/>
        <v>0</v>
      </c>
      <c r="T82" s="1" t="s">
        <v>523</v>
      </c>
      <c r="U82" s="5" t="s">
        <v>524</v>
      </c>
      <c r="V82" s="1" t="s">
        <v>525</v>
      </c>
    </row>
    <row r="83" spans="14:22">
      <c r="N83" s="2" t="s">
        <v>630</v>
      </c>
      <c r="O83" s="9" t="s">
        <v>35</v>
      </c>
      <c r="Q83" s="1">
        <v>271.14999999999998</v>
      </c>
      <c r="R83" s="10">
        <f t="shared" ca="1" si="4"/>
        <v>6.9153277225197651E-3</v>
      </c>
      <c r="S83" s="5">
        <f t="shared" si="3"/>
        <v>0</v>
      </c>
      <c r="T83" s="1" t="s">
        <v>523</v>
      </c>
      <c r="U83" s="5" t="s">
        <v>524</v>
      </c>
      <c r="V83" s="1" t="s">
        <v>525</v>
      </c>
    </row>
    <row r="84" spans="14:22">
      <c r="N84" s="2" t="s">
        <v>631</v>
      </c>
      <c r="O84" s="9" t="s">
        <v>35</v>
      </c>
      <c r="Q84" s="1">
        <v>271.14999999999998</v>
      </c>
      <c r="R84" s="10">
        <f t="shared" ca="1" si="4"/>
        <v>6.9153277225197651E-3</v>
      </c>
      <c r="S84" s="5">
        <f t="shared" si="3"/>
        <v>0</v>
      </c>
      <c r="T84" s="1" t="s">
        <v>523</v>
      </c>
      <c r="U84" s="5" t="s">
        <v>524</v>
      </c>
      <c r="V84" s="1" t="s">
        <v>525</v>
      </c>
    </row>
    <row r="85" spans="14:22">
      <c r="N85" s="2" t="s">
        <v>632</v>
      </c>
      <c r="O85" s="9" t="s">
        <v>35</v>
      </c>
      <c r="Q85" s="1">
        <v>271.14999999999998</v>
      </c>
      <c r="R85" s="10">
        <f t="shared" ca="1" si="4"/>
        <v>6.9153277225197651E-3</v>
      </c>
      <c r="S85" s="5">
        <f t="shared" si="3"/>
        <v>0</v>
      </c>
      <c r="T85" s="1" t="s">
        <v>523</v>
      </c>
      <c r="U85" s="5" t="s">
        <v>524</v>
      </c>
      <c r="V85" s="1" t="s">
        <v>525</v>
      </c>
    </row>
    <row r="86" spans="14:22">
      <c r="N86" s="2" t="s">
        <v>633</v>
      </c>
      <c r="O86" s="9" t="s">
        <v>35</v>
      </c>
      <c r="Q86" s="1">
        <v>287.10000000000002</v>
      </c>
      <c r="R86" s="10">
        <f t="shared" ca="1" si="4"/>
        <v>7.3221117061973992E-3</v>
      </c>
      <c r="S86" s="5">
        <f t="shared" si="3"/>
        <v>0</v>
      </c>
      <c r="T86" s="1" t="s">
        <v>523</v>
      </c>
      <c r="U86" s="5" t="s">
        <v>524</v>
      </c>
      <c r="V86" s="1" t="s">
        <v>525</v>
      </c>
    </row>
    <row r="87" spans="14:22">
      <c r="N87" s="2" t="s">
        <v>634</v>
      </c>
      <c r="O87" s="9" t="s">
        <v>35</v>
      </c>
      <c r="Q87" s="1">
        <v>271.14999999999998</v>
      </c>
      <c r="R87" s="10">
        <f t="shared" ca="1" si="4"/>
        <v>6.9153277225197651E-3</v>
      </c>
      <c r="S87" s="5">
        <f t="shared" si="3"/>
        <v>0</v>
      </c>
      <c r="T87" s="1" t="s">
        <v>523</v>
      </c>
      <c r="U87" s="5" t="s">
        <v>524</v>
      </c>
      <c r="V87" s="1" t="s">
        <v>525</v>
      </c>
    </row>
    <row r="88" spans="14:22">
      <c r="N88" s="2" t="s">
        <v>635</v>
      </c>
      <c r="O88" s="9" t="s">
        <v>35</v>
      </c>
      <c r="Q88" s="1">
        <v>271.14999999999998</v>
      </c>
      <c r="R88" s="10">
        <f t="shared" ca="1" si="4"/>
        <v>6.9153277225197651E-3</v>
      </c>
      <c r="S88" s="5">
        <f t="shared" si="3"/>
        <v>0</v>
      </c>
      <c r="T88" s="1" t="s">
        <v>523</v>
      </c>
      <c r="U88" s="5" t="s">
        <v>524</v>
      </c>
      <c r="V88" s="1" t="s">
        <v>525</v>
      </c>
    </row>
    <row r="89" spans="14:22">
      <c r="N89" s="2" t="s">
        <v>636</v>
      </c>
      <c r="O89" s="9" t="s">
        <v>35</v>
      </c>
      <c r="Q89" s="1">
        <v>287.10000000000002</v>
      </c>
      <c r="R89" s="10">
        <f t="shared" ca="1" si="4"/>
        <v>7.3221117061973992E-3</v>
      </c>
      <c r="S89" s="5">
        <f t="shared" si="3"/>
        <v>0</v>
      </c>
      <c r="T89" s="1" t="s">
        <v>523</v>
      </c>
      <c r="U89" s="5" t="s">
        <v>524</v>
      </c>
      <c r="V89" s="1" t="s">
        <v>525</v>
      </c>
    </row>
    <row r="90" spans="14:22">
      <c r="N90" s="2" t="s">
        <v>637</v>
      </c>
      <c r="O90" s="9" t="s">
        <v>35</v>
      </c>
      <c r="Q90" s="1">
        <v>271.14999999999998</v>
      </c>
      <c r="R90" s="10">
        <f t="shared" ca="1" si="4"/>
        <v>6.9153277225197651E-3</v>
      </c>
      <c r="S90" s="5">
        <f t="shared" si="3"/>
        <v>0</v>
      </c>
      <c r="T90" s="1" t="s">
        <v>523</v>
      </c>
      <c r="U90" s="5" t="s">
        <v>524</v>
      </c>
      <c r="V90" s="1" t="s">
        <v>525</v>
      </c>
    </row>
    <row r="91" spans="14:22">
      <c r="N91" s="2" t="s">
        <v>638</v>
      </c>
      <c r="O91" s="9" t="s">
        <v>35</v>
      </c>
      <c r="Q91" s="1">
        <v>271.14999999999998</v>
      </c>
      <c r="R91" s="10">
        <f t="shared" ca="1" si="4"/>
        <v>6.9153277225197651E-3</v>
      </c>
      <c r="S91" s="5">
        <f t="shared" si="3"/>
        <v>0</v>
      </c>
      <c r="T91" s="1" t="s">
        <v>523</v>
      </c>
      <c r="U91" s="5" t="s">
        <v>524</v>
      </c>
      <c r="V91" s="1" t="s">
        <v>525</v>
      </c>
    </row>
    <row r="92" spans="14:22">
      <c r="N92" s="2" t="s">
        <v>639</v>
      </c>
      <c r="O92" s="9" t="s">
        <v>35</v>
      </c>
      <c r="Q92" s="1">
        <v>255.2</v>
      </c>
      <c r="R92" s="10">
        <f t="shared" ca="1" si="4"/>
        <v>6.5085437388421319E-3</v>
      </c>
      <c r="S92" s="5">
        <f t="shared" si="3"/>
        <v>0</v>
      </c>
      <c r="T92" s="1" t="s">
        <v>523</v>
      </c>
      <c r="U92" s="5" t="s">
        <v>524</v>
      </c>
      <c r="V92" s="1" t="s">
        <v>525</v>
      </c>
    </row>
    <row r="93" spans="14:22">
      <c r="N93" s="2" t="s">
        <v>640</v>
      </c>
      <c r="O93" s="9" t="s">
        <v>35</v>
      </c>
      <c r="Q93" s="1">
        <v>271.14999999999998</v>
      </c>
      <c r="R93" s="10">
        <f t="shared" ca="1" si="4"/>
        <v>6.9153277225197651E-3</v>
      </c>
      <c r="S93" s="5">
        <f t="shared" si="3"/>
        <v>0</v>
      </c>
      <c r="T93" s="1" t="s">
        <v>523</v>
      </c>
      <c r="U93" s="5" t="s">
        <v>524</v>
      </c>
      <c r="V93" s="1" t="s">
        <v>525</v>
      </c>
    </row>
    <row r="94" spans="14:22">
      <c r="N94" s="2" t="s">
        <v>641</v>
      </c>
      <c r="O94" s="9" t="s">
        <v>35</v>
      </c>
      <c r="Q94" s="1">
        <v>271.14999999999998</v>
      </c>
      <c r="R94" s="10">
        <f t="shared" ca="1" si="4"/>
        <v>6.9153277225197651E-3</v>
      </c>
      <c r="S94" s="5">
        <f t="shared" si="3"/>
        <v>0</v>
      </c>
      <c r="T94" s="1" t="s">
        <v>523</v>
      </c>
      <c r="U94" s="5" t="s">
        <v>524</v>
      </c>
      <c r="V94" s="1" t="s">
        <v>525</v>
      </c>
    </row>
    <row r="95" spans="14:22">
      <c r="N95" s="2" t="s">
        <v>642</v>
      </c>
      <c r="O95" s="9" t="s">
        <v>35</v>
      </c>
      <c r="Q95" s="1">
        <v>271.14999999999998</v>
      </c>
      <c r="R95" s="10">
        <f t="shared" ca="1" si="4"/>
        <v>6.9153277225197651E-3</v>
      </c>
      <c r="S95" s="5">
        <f t="shared" si="3"/>
        <v>0</v>
      </c>
      <c r="T95" s="1" t="s">
        <v>523</v>
      </c>
      <c r="U95" s="5" t="s">
        <v>524</v>
      </c>
      <c r="V95" s="1" t="s">
        <v>525</v>
      </c>
    </row>
    <row r="96" spans="14:22">
      <c r="N96" s="2" t="s">
        <v>643</v>
      </c>
      <c r="O96" s="9" t="s">
        <v>35</v>
      </c>
      <c r="Q96" s="1">
        <v>287.10000000000002</v>
      </c>
      <c r="R96" s="10">
        <f t="shared" ca="1" si="4"/>
        <v>7.3221117061973992E-3</v>
      </c>
      <c r="S96" s="5">
        <f t="shared" si="3"/>
        <v>0</v>
      </c>
      <c r="T96" s="1" t="s">
        <v>523</v>
      </c>
      <c r="U96" s="5" t="s">
        <v>524</v>
      </c>
      <c r="V96" s="1" t="s">
        <v>525</v>
      </c>
    </row>
    <row r="97" spans="14:22">
      <c r="N97" s="2" t="s">
        <v>644</v>
      </c>
      <c r="O97" s="9" t="s">
        <v>35</v>
      </c>
      <c r="Q97" s="1">
        <v>271.14999999999998</v>
      </c>
      <c r="R97" s="10">
        <f t="shared" ca="1" si="4"/>
        <v>6.9153277225197651E-3</v>
      </c>
      <c r="S97" s="5">
        <f t="shared" si="3"/>
        <v>0</v>
      </c>
      <c r="T97" s="1" t="s">
        <v>523</v>
      </c>
      <c r="U97" s="5" t="s">
        <v>524</v>
      </c>
      <c r="V97" s="1" t="s">
        <v>525</v>
      </c>
    </row>
    <row r="98" spans="14:22">
      <c r="N98" s="2" t="s">
        <v>645</v>
      </c>
      <c r="O98" s="9" t="s">
        <v>35</v>
      </c>
      <c r="Q98" s="1">
        <v>271.14999999999998</v>
      </c>
      <c r="R98" s="10">
        <f t="shared" ca="1" si="4"/>
        <v>6.9153277225197651E-3</v>
      </c>
      <c r="S98" s="5">
        <f t="shared" si="3"/>
        <v>0</v>
      </c>
      <c r="T98" s="1" t="s">
        <v>523</v>
      </c>
      <c r="U98" s="5" t="s">
        <v>524</v>
      </c>
      <c r="V98" s="1" t="s">
        <v>525</v>
      </c>
    </row>
    <row r="99" spans="14:22">
      <c r="N99" s="2" t="s">
        <v>646</v>
      </c>
      <c r="O99" s="9" t="s">
        <v>35</v>
      </c>
      <c r="Q99" s="1">
        <v>271.14999999999998</v>
      </c>
      <c r="R99" s="10">
        <f t="shared" ca="1" si="4"/>
        <v>6.9153277225197651E-3</v>
      </c>
      <c r="S99" s="5">
        <f t="shared" si="3"/>
        <v>0</v>
      </c>
      <c r="T99" s="1" t="s">
        <v>523</v>
      </c>
      <c r="U99" s="5" t="s">
        <v>524</v>
      </c>
      <c r="V99" s="1" t="s">
        <v>525</v>
      </c>
    </row>
    <row r="100" spans="14:22">
      <c r="N100" s="2" t="s">
        <v>647</v>
      </c>
      <c r="O100" s="9" t="s">
        <v>35</v>
      </c>
      <c r="Q100" s="1">
        <v>287.10000000000002</v>
      </c>
      <c r="R100" s="10">
        <f t="shared" ca="1" si="4"/>
        <v>7.3221117061973992E-3</v>
      </c>
      <c r="S100" s="5">
        <f t="shared" si="3"/>
        <v>0</v>
      </c>
      <c r="T100" s="1" t="s">
        <v>523</v>
      </c>
      <c r="U100" s="5" t="s">
        <v>524</v>
      </c>
      <c r="V100" s="1" t="s">
        <v>525</v>
      </c>
    </row>
    <row r="101" spans="14:22">
      <c r="N101" s="2" t="s">
        <v>648</v>
      </c>
      <c r="O101" s="9" t="s">
        <v>35</v>
      </c>
      <c r="Q101" s="1">
        <v>271.14999999999998</v>
      </c>
      <c r="R101" s="10">
        <f t="shared" ca="1" si="4"/>
        <v>6.9153277225197651E-3</v>
      </c>
      <c r="S101" s="5">
        <f t="shared" si="3"/>
        <v>0</v>
      </c>
      <c r="T101" s="1" t="s">
        <v>523</v>
      </c>
      <c r="U101" s="5" t="s">
        <v>524</v>
      </c>
      <c r="V101" s="1" t="s">
        <v>525</v>
      </c>
    </row>
    <row r="102" spans="14:22">
      <c r="N102" s="2" t="s">
        <v>649</v>
      </c>
      <c r="O102" s="9" t="s">
        <v>35</v>
      </c>
      <c r="Q102" s="1">
        <v>271.14999999999998</v>
      </c>
      <c r="R102" s="10">
        <f t="shared" ca="1" si="4"/>
        <v>6.9153277225197651E-3</v>
      </c>
      <c r="S102" s="5">
        <f t="shared" si="3"/>
        <v>0</v>
      </c>
      <c r="T102" s="1" t="s">
        <v>523</v>
      </c>
      <c r="U102" s="5" t="s">
        <v>524</v>
      </c>
      <c r="V102" s="1" t="s">
        <v>525</v>
      </c>
    </row>
    <row r="103" spans="14:22">
      <c r="N103" s="2" t="s">
        <v>650</v>
      </c>
      <c r="O103" s="9" t="s">
        <v>35</v>
      </c>
      <c r="Q103" s="1">
        <v>271.14999999999998</v>
      </c>
      <c r="R103" s="10">
        <f t="shared" ca="1" si="4"/>
        <v>6.9153277225197651E-3</v>
      </c>
      <c r="S103" s="5">
        <f t="shared" si="3"/>
        <v>0</v>
      </c>
      <c r="T103" s="1" t="s">
        <v>523</v>
      </c>
      <c r="U103" s="5" t="s">
        <v>524</v>
      </c>
      <c r="V103" s="1" t="s">
        <v>525</v>
      </c>
    </row>
    <row r="104" spans="14:22">
      <c r="N104" s="2" t="s">
        <v>651</v>
      </c>
      <c r="O104" s="9" t="s">
        <v>35</v>
      </c>
      <c r="Q104" s="1">
        <v>271.14999999999998</v>
      </c>
      <c r="R104" s="10">
        <f t="shared" ca="1" si="4"/>
        <v>6.9153277225197651E-3</v>
      </c>
      <c r="S104" s="5">
        <f t="shared" si="3"/>
        <v>0</v>
      </c>
      <c r="T104" s="1" t="s">
        <v>523</v>
      </c>
      <c r="U104" s="5" t="s">
        <v>524</v>
      </c>
      <c r="V104" s="1" t="s">
        <v>525</v>
      </c>
    </row>
    <row r="105" spans="14:22">
      <c r="N105" s="2" t="s">
        <v>652</v>
      </c>
      <c r="O105" s="9" t="s">
        <v>35</v>
      </c>
      <c r="Q105" s="1">
        <v>271.14999999999998</v>
      </c>
      <c r="R105" s="10">
        <f t="shared" ca="1" si="4"/>
        <v>6.9153277225197651E-3</v>
      </c>
      <c r="S105" s="5">
        <f t="shared" si="3"/>
        <v>0</v>
      </c>
      <c r="T105" s="1" t="s">
        <v>523</v>
      </c>
      <c r="U105" s="5" t="s">
        <v>524</v>
      </c>
      <c r="V105" s="1" t="s">
        <v>525</v>
      </c>
    </row>
    <row r="106" spans="14:22">
      <c r="N106" s="2" t="s">
        <v>653</v>
      </c>
      <c r="O106" s="9" t="s">
        <v>35</v>
      </c>
      <c r="Q106" s="1">
        <v>271.14999999999998</v>
      </c>
      <c r="R106" s="10">
        <f t="shared" ca="1" si="4"/>
        <v>6.9153277225197651E-3</v>
      </c>
      <c r="S106" s="5">
        <f t="shared" si="3"/>
        <v>0</v>
      </c>
      <c r="T106" s="1" t="s">
        <v>523</v>
      </c>
      <c r="U106" s="5" t="s">
        <v>524</v>
      </c>
      <c r="V106" s="1" t="s">
        <v>525</v>
      </c>
    </row>
    <row r="107" spans="14:22">
      <c r="N107" s="2" t="s">
        <v>654</v>
      </c>
      <c r="O107" s="9" t="s">
        <v>35</v>
      </c>
      <c r="Q107" s="1">
        <v>271.14999999999998</v>
      </c>
      <c r="R107" s="10">
        <f t="shared" ca="1" si="4"/>
        <v>6.9153277225197651E-3</v>
      </c>
      <c r="S107" s="5">
        <f t="shared" si="3"/>
        <v>0</v>
      </c>
      <c r="T107" s="1" t="s">
        <v>523</v>
      </c>
      <c r="U107" s="5" t="s">
        <v>524</v>
      </c>
      <c r="V107" s="1" t="s">
        <v>525</v>
      </c>
    </row>
    <row r="108" spans="14:22">
      <c r="N108" s="2" t="s">
        <v>655</v>
      </c>
      <c r="O108" s="9" t="s">
        <v>35</v>
      </c>
      <c r="Q108" s="1">
        <v>287.10000000000002</v>
      </c>
      <c r="R108" s="10">
        <f t="shared" ca="1" si="4"/>
        <v>7.3221117061973992E-3</v>
      </c>
      <c r="S108" s="5">
        <f t="shared" si="3"/>
        <v>0</v>
      </c>
      <c r="T108" s="1" t="s">
        <v>523</v>
      </c>
      <c r="U108" s="5" t="s">
        <v>524</v>
      </c>
      <c r="V108" s="1" t="s">
        <v>525</v>
      </c>
    </row>
    <row r="109" spans="14:22">
      <c r="N109" s="2" t="s">
        <v>656</v>
      </c>
      <c r="O109" s="9" t="s">
        <v>35</v>
      </c>
      <c r="Q109" s="1">
        <v>271.14999999999998</v>
      </c>
      <c r="R109" s="10">
        <f t="shared" ca="1" si="4"/>
        <v>6.9153277225197651E-3</v>
      </c>
      <c r="S109" s="5">
        <f t="shared" si="3"/>
        <v>0</v>
      </c>
      <c r="T109" s="1" t="s">
        <v>523</v>
      </c>
      <c r="U109" s="5" t="s">
        <v>524</v>
      </c>
      <c r="V109" s="1" t="s">
        <v>525</v>
      </c>
    </row>
    <row r="110" spans="14:22">
      <c r="N110" s="2" t="s">
        <v>657</v>
      </c>
      <c r="O110" s="9" t="s">
        <v>35</v>
      </c>
      <c r="Q110" s="1">
        <v>271.14999999999998</v>
      </c>
      <c r="R110" s="10">
        <f t="shared" ca="1" si="4"/>
        <v>6.9153277225197651E-3</v>
      </c>
      <c r="S110" s="5">
        <f t="shared" si="3"/>
        <v>0</v>
      </c>
      <c r="T110" s="1" t="s">
        <v>523</v>
      </c>
      <c r="U110" s="5" t="s">
        <v>524</v>
      </c>
      <c r="V110" s="1" t="s">
        <v>525</v>
      </c>
    </row>
    <row r="111" spans="14:22">
      <c r="N111" s="2" t="s">
        <v>658</v>
      </c>
      <c r="O111" s="9" t="s">
        <v>35</v>
      </c>
      <c r="Q111" s="1">
        <v>271.14999999999998</v>
      </c>
      <c r="R111" s="10">
        <f t="shared" ca="1" si="4"/>
        <v>6.9153277225197651E-3</v>
      </c>
      <c r="S111" s="5">
        <f t="shared" si="3"/>
        <v>0</v>
      </c>
      <c r="T111" s="1" t="s">
        <v>523</v>
      </c>
      <c r="U111" s="5" t="s">
        <v>524</v>
      </c>
      <c r="V111" s="1" t="s">
        <v>525</v>
      </c>
    </row>
    <row r="112" spans="14:22">
      <c r="N112" s="2" t="s">
        <v>659</v>
      </c>
      <c r="O112" s="9" t="s">
        <v>35</v>
      </c>
      <c r="Q112" s="1">
        <v>271.14999999999998</v>
      </c>
      <c r="R112" s="10">
        <f t="shared" ca="1" si="4"/>
        <v>6.9153277225197651E-3</v>
      </c>
      <c r="S112" s="5">
        <f t="shared" si="3"/>
        <v>0</v>
      </c>
      <c r="T112" s="1" t="s">
        <v>523</v>
      </c>
      <c r="U112" s="5" t="s">
        <v>524</v>
      </c>
      <c r="V112" s="1" t="s">
        <v>525</v>
      </c>
    </row>
    <row r="113" spans="14:22">
      <c r="N113" s="2" t="s">
        <v>660</v>
      </c>
      <c r="O113" s="9" t="s">
        <v>35</v>
      </c>
      <c r="Q113" s="1">
        <v>255.2</v>
      </c>
      <c r="R113" s="10">
        <f t="shared" ca="1" si="4"/>
        <v>6.5085437388421319E-3</v>
      </c>
      <c r="S113" s="5">
        <f t="shared" si="3"/>
        <v>0</v>
      </c>
      <c r="T113" s="1" t="s">
        <v>523</v>
      </c>
      <c r="U113" s="5" t="s">
        <v>524</v>
      </c>
      <c r="V113" s="1" t="s">
        <v>525</v>
      </c>
    </row>
    <row r="114" spans="14:22">
      <c r="N114" s="2" t="s">
        <v>661</v>
      </c>
      <c r="O114" s="9" t="s">
        <v>35</v>
      </c>
      <c r="Q114" s="1">
        <v>271.14999999999998</v>
      </c>
      <c r="R114" s="10">
        <f t="shared" ca="1" si="4"/>
        <v>6.9153277225197651E-3</v>
      </c>
      <c r="S114" s="5">
        <f t="shared" si="3"/>
        <v>0</v>
      </c>
      <c r="T114" s="1" t="s">
        <v>523</v>
      </c>
      <c r="U114" s="5" t="s">
        <v>524</v>
      </c>
      <c r="V114" s="1" t="s">
        <v>525</v>
      </c>
    </row>
    <row r="115" spans="14:22">
      <c r="N115" s="2" t="s">
        <v>662</v>
      </c>
      <c r="O115" s="9" t="s">
        <v>35</v>
      </c>
      <c r="Q115" s="1">
        <v>287.10000000000002</v>
      </c>
      <c r="R115" s="10">
        <f t="shared" ca="1" si="4"/>
        <v>7.3221117061973992E-3</v>
      </c>
      <c r="S115" s="5">
        <f t="shared" si="3"/>
        <v>0</v>
      </c>
      <c r="T115" s="1" t="s">
        <v>523</v>
      </c>
      <c r="U115" s="5" t="s">
        <v>524</v>
      </c>
      <c r="V115" s="1" t="s">
        <v>525</v>
      </c>
    </row>
    <row r="116" spans="14:22">
      <c r="N116" s="2" t="s">
        <v>663</v>
      </c>
      <c r="O116" s="9" t="s">
        <v>35</v>
      </c>
      <c r="Q116" s="1">
        <v>287.10000000000002</v>
      </c>
      <c r="R116" s="10">
        <f t="shared" ca="1" si="4"/>
        <v>7.3221117061973992E-3</v>
      </c>
      <c r="S116" s="5">
        <f t="shared" si="3"/>
        <v>0</v>
      </c>
      <c r="T116" s="1" t="s">
        <v>523</v>
      </c>
      <c r="U116" s="5" t="s">
        <v>524</v>
      </c>
      <c r="V116" s="1" t="s">
        <v>525</v>
      </c>
    </row>
    <row r="117" spans="14:22">
      <c r="N117" s="2" t="s">
        <v>664</v>
      </c>
      <c r="O117" s="9" t="s">
        <v>35</v>
      </c>
      <c r="Q117" s="1">
        <v>271.14999999999998</v>
      </c>
      <c r="R117" s="10">
        <f t="shared" ca="1" si="4"/>
        <v>6.9153277225197651E-3</v>
      </c>
      <c r="S117" s="5">
        <f t="shared" si="3"/>
        <v>0</v>
      </c>
      <c r="T117" s="1" t="s">
        <v>523</v>
      </c>
      <c r="U117" s="5" t="s">
        <v>524</v>
      </c>
      <c r="V117" s="1" t="s">
        <v>525</v>
      </c>
    </row>
    <row r="118" spans="14:22">
      <c r="N118" s="2" t="s">
        <v>665</v>
      </c>
      <c r="O118" s="9" t="s">
        <v>35</v>
      </c>
      <c r="Q118" s="1">
        <v>287.10000000000002</v>
      </c>
      <c r="R118" s="10">
        <f t="shared" ca="1" si="4"/>
        <v>7.3221117061973992E-3</v>
      </c>
      <c r="S118" s="5">
        <f t="shared" si="3"/>
        <v>0</v>
      </c>
      <c r="T118" s="1" t="s">
        <v>523</v>
      </c>
      <c r="U118" s="5" t="s">
        <v>524</v>
      </c>
      <c r="V118" s="1" t="s">
        <v>525</v>
      </c>
    </row>
    <row r="119" spans="14:22">
      <c r="N119" s="2" t="s">
        <v>666</v>
      </c>
      <c r="O119" s="9" t="s">
        <v>35</v>
      </c>
      <c r="Q119" s="1">
        <v>287.10000000000002</v>
      </c>
      <c r="R119" s="10">
        <f t="shared" ca="1" si="4"/>
        <v>7.3221117061973992E-3</v>
      </c>
      <c r="S119" s="5">
        <f t="shared" si="3"/>
        <v>0</v>
      </c>
      <c r="T119" s="1" t="s">
        <v>523</v>
      </c>
      <c r="U119" s="5" t="s">
        <v>524</v>
      </c>
      <c r="V119" s="1" t="s">
        <v>525</v>
      </c>
    </row>
    <row r="120" spans="14:22">
      <c r="N120" s="2" t="s">
        <v>667</v>
      </c>
      <c r="O120" s="9" t="s">
        <v>35</v>
      </c>
      <c r="Q120" s="1">
        <v>287.10000000000002</v>
      </c>
      <c r="R120" s="10">
        <f t="shared" ca="1" si="4"/>
        <v>7.3221117061973992E-3</v>
      </c>
      <c r="S120" s="5">
        <f t="shared" si="3"/>
        <v>0</v>
      </c>
      <c r="T120" s="1" t="s">
        <v>523</v>
      </c>
      <c r="U120" s="5" t="s">
        <v>524</v>
      </c>
      <c r="V120" s="1" t="s">
        <v>525</v>
      </c>
    </row>
    <row r="121" spans="14:22">
      <c r="N121" s="2" t="s">
        <v>668</v>
      </c>
      <c r="O121" s="9" t="s">
        <v>35</v>
      </c>
      <c r="Q121" s="1">
        <v>287.10000000000002</v>
      </c>
      <c r="R121" s="10">
        <f t="shared" ca="1" si="4"/>
        <v>7.3221117061973992E-3</v>
      </c>
      <c r="S121" s="5">
        <f t="shared" si="3"/>
        <v>0</v>
      </c>
      <c r="T121" s="1" t="s">
        <v>523</v>
      </c>
      <c r="U121" s="5" t="s">
        <v>524</v>
      </c>
      <c r="V121" s="1" t="s">
        <v>525</v>
      </c>
    </row>
    <row r="122" spans="14:22">
      <c r="N122" s="2" t="s">
        <v>669</v>
      </c>
      <c r="O122" s="9" t="s">
        <v>35</v>
      </c>
      <c r="Q122" s="1">
        <v>239.25</v>
      </c>
      <c r="R122" s="10">
        <f t="shared" ca="1" si="4"/>
        <v>6.1017597551644986E-3</v>
      </c>
      <c r="S122" s="5">
        <f t="shared" si="3"/>
        <v>0</v>
      </c>
      <c r="T122" s="1" t="s">
        <v>523</v>
      </c>
      <c r="U122" s="5" t="s">
        <v>524</v>
      </c>
      <c r="V122" s="1" t="s">
        <v>525</v>
      </c>
    </row>
    <row r="123" spans="14:22">
      <c r="N123" s="2" t="s">
        <v>670</v>
      </c>
      <c r="O123" s="9" t="s">
        <v>35</v>
      </c>
      <c r="Q123" s="1">
        <v>223.3</v>
      </c>
      <c r="R123" s="10">
        <f t="shared" ca="1" si="4"/>
        <v>5.6949757714868663E-3</v>
      </c>
      <c r="S123" s="5">
        <f t="shared" si="3"/>
        <v>0</v>
      </c>
      <c r="T123" s="1" t="s">
        <v>523</v>
      </c>
      <c r="U123" s="5" t="s">
        <v>524</v>
      </c>
      <c r="V123" s="1" t="s">
        <v>525</v>
      </c>
    </row>
    <row r="124" spans="14:22">
      <c r="N124" s="2" t="s">
        <v>671</v>
      </c>
      <c r="O124" s="9" t="s">
        <v>35</v>
      </c>
      <c r="Q124" s="1">
        <v>255.2</v>
      </c>
      <c r="R124" s="10">
        <f t="shared" ca="1" si="4"/>
        <v>6.5085437388421319E-3</v>
      </c>
      <c r="S124" s="5">
        <f t="shared" si="3"/>
        <v>0</v>
      </c>
      <c r="T124" s="1" t="s">
        <v>523</v>
      </c>
      <c r="U124" s="5" t="s">
        <v>524</v>
      </c>
      <c r="V124" s="1" t="s">
        <v>525</v>
      </c>
    </row>
    <row r="125" spans="14:22">
      <c r="N125" s="2" t="s">
        <v>672</v>
      </c>
      <c r="O125" s="9" t="s">
        <v>35</v>
      </c>
      <c r="Q125" s="1">
        <v>271.14999999999998</v>
      </c>
      <c r="R125" s="10">
        <f t="shared" ca="1" si="4"/>
        <v>6.9153277225197651E-3</v>
      </c>
      <c r="S125" s="5">
        <f t="shared" si="3"/>
        <v>0</v>
      </c>
      <c r="T125" s="1" t="s">
        <v>523</v>
      </c>
      <c r="U125" s="5" t="s">
        <v>524</v>
      </c>
      <c r="V125" s="1" t="s">
        <v>525</v>
      </c>
    </row>
    <row r="126" spans="14:22">
      <c r="N126" s="2" t="s">
        <v>673</v>
      </c>
      <c r="O126" s="9" t="s">
        <v>35</v>
      </c>
      <c r="Q126" s="1">
        <v>271.14999999999998</v>
      </c>
      <c r="R126" s="10">
        <f t="shared" ca="1" si="4"/>
        <v>6.9153277225197651E-3</v>
      </c>
      <c r="S126" s="5">
        <f t="shared" si="3"/>
        <v>0</v>
      </c>
      <c r="T126" s="1" t="s">
        <v>523</v>
      </c>
      <c r="U126" s="5" t="s">
        <v>524</v>
      </c>
      <c r="V126" s="1" t="s">
        <v>525</v>
      </c>
    </row>
    <row r="127" spans="14:22">
      <c r="N127" s="2" t="s">
        <v>674</v>
      </c>
      <c r="O127" s="9" t="s">
        <v>35</v>
      </c>
      <c r="Q127" s="1">
        <v>287.10000000000002</v>
      </c>
      <c r="R127" s="10">
        <f t="shared" ca="1" si="4"/>
        <v>7.3221117061973992E-3</v>
      </c>
      <c r="S127" s="5">
        <f t="shared" si="3"/>
        <v>0</v>
      </c>
      <c r="T127" s="1" t="s">
        <v>523</v>
      </c>
      <c r="U127" s="5" t="s">
        <v>524</v>
      </c>
      <c r="V127" s="1" t="s">
        <v>525</v>
      </c>
    </row>
    <row r="128" spans="14:22">
      <c r="N128" s="2" t="s">
        <v>675</v>
      </c>
      <c r="O128" s="9" t="s">
        <v>35</v>
      </c>
      <c r="Q128" s="1">
        <v>287.10000000000002</v>
      </c>
      <c r="R128" s="10">
        <f t="shared" ca="1" si="4"/>
        <v>7.3221117061973992E-3</v>
      </c>
      <c r="S128" s="5">
        <f t="shared" si="3"/>
        <v>0</v>
      </c>
      <c r="T128" s="1" t="s">
        <v>523</v>
      </c>
      <c r="U128" s="5" t="s">
        <v>524</v>
      </c>
      <c r="V128" s="1" t="s">
        <v>525</v>
      </c>
    </row>
    <row r="129" spans="14:22">
      <c r="N129" s="2" t="s">
        <v>676</v>
      </c>
      <c r="O129" s="9" t="s">
        <v>35</v>
      </c>
      <c r="Q129" s="1">
        <v>287.10000000000002</v>
      </c>
      <c r="R129" s="10">
        <f t="shared" ca="1" si="4"/>
        <v>7.3221117061973992E-3</v>
      </c>
      <c r="S129" s="5">
        <f t="shared" si="3"/>
        <v>0</v>
      </c>
      <c r="T129" s="1" t="s">
        <v>523</v>
      </c>
      <c r="U129" s="5" t="s">
        <v>524</v>
      </c>
      <c r="V129" s="1" t="s">
        <v>525</v>
      </c>
    </row>
    <row r="130" spans="14:22">
      <c r="N130" s="2" t="s">
        <v>677</v>
      </c>
      <c r="O130" s="9" t="s">
        <v>35</v>
      </c>
      <c r="Q130" s="1">
        <v>287.10000000000002</v>
      </c>
      <c r="R130" s="10">
        <f t="shared" ca="1" si="4"/>
        <v>7.3221117061973992E-3</v>
      </c>
      <c r="S130" s="5">
        <f t="shared" ref="S130:S193" si="5">_xlfn.XLOOKUP(O130,AE:AE,AG:AG)</f>
        <v>0</v>
      </c>
      <c r="T130" s="1" t="s">
        <v>523</v>
      </c>
      <c r="U130" s="5" t="s">
        <v>524</v>
      </c>
      <c r="V130" s="1" t="s">
        <v>525</v>
      </c>
    </row>
    <row r="131" spans="14:22">
      <c r="N131" s="2" t="s">
        <v>678</v>
      </c>
      <c r="O131" s="9" t="s">
        <v>35</v>
      </c>
      <c r="Q131" s="1">
        <v>287.10000000000002</v>
      </c>
      <c r="R131" s="10">
        <f t="shared" ca="1" si="4"/>
        <v>7.3221117061973992E-3</v>
      </c>
      <c r="S131" s="5">
        <f t="shared" si="5"/>
        <v>0</v>
      </c>
      <c r="T131" s="1" t="s">
        <v>523</v>
      </c>
      <c r="U131" s="5" t="s">
        <v>524</v>
      </c>
      <c r="V131" s="1" t="s">
        <v>525</v>
      </c>
    </row>
    <row r="132" spans="14:22">
      <c r="N132" s="2" t="s">
        <v>679</v>
      </c>
      <c r="O132" s="9" t="s">
        <v>35</v>
      </c>
      <c r="Q132" s="1">
        <v>271.14999999999998</v>
      </c>
      <c r="R132" s="10">
        <f t="shared" ref="R132:R195" ca="1" si="6">Q132/$AC$4</f>
        <v>6.9153277225197651E-3</v>
      </c>
      <c r="S132" s="5">
        <f t="shared" si="5"/>
        <v>0</v>
      </c>
      <c r="T132" s="1" t="s">
        <v>523</v>
      </c>
      <c r="U132" s="5" t="s">
        <v>524</v>
      </c>
      <c r="V132" s="1" t="s">
        <v>525</v>
      </c>
    </row>
    <row r="133" spans="14:22">
      <c r="N133" s="2" t="s">
        <v>680</v>
      </c>
      <c r="O133" s="9" t="s">
        <v>35</v>
      </c>
      <c r="Q133" s="1">
        <v>271.14999999999998</v>
      </c>
      <c r="R133" s="10">
        <f t="shared" ca="1" si="6"/>
        <v>6.9153277225197651E-3</v>
      </c>
      <c r="S133" s="5">
        <f t="shared" si="5"/>
        <v>0</v>
      </c>
      <c r="T133" s="1" t="s">
        <v>523</v>
      </c>
      <c r="U133" s="5" t="s">
        <v>524</v>
      </c>
      <c r="V133" s="1" t="s">
        <v>525</v>
      </c>
    </row>
    <row r="134" spans="14:22">
      <c r="N134" s="2" t="s">
        <v>681</v>
      </c>
      <c r="O134" s="9" t="s">
        <v>35</v>
      </c>
      <c r="Q134" s="1">
        <v>271.14999999999998</v>
      </c>
      <c r="R134" s="10">
        <f t="shared" ca="1" si="6"/>
        <v>6.9153277225197651E-3</v>
      </c>
      <c r="S134" s="5">
        <f t="shared" si="5"/>
        <v>0</v>
      </c>
      <c r="T134" s="1" t="s">
        <v>523</v>
      </c>
      <c r="U134" s="5" t="s">
        <v>524</v>
      </c>
      <c r="V134" s="1" t="s">
        <v>525</v>
      </c>
    </row>
    <row r="135" spans="14:22">
      <c r="N135" s="2" t="s">
        <v>682</v>
      </c>
      <c r="O135" s="9" t="s">
        <v>35</v>
      </c>
      <c r="Q135" s="1">
        <v>287.10000000000002</v>
      </c>
      <c r="R135" s="10">
        <f t="shared" ca="1" si="6"/>
        <v>7.3221117061973992E-3</v>
      </c>
      <c r="S135" s="5">
        <f t="shared" si="5"/>
        <v>0</v>
      </c>
      <c r="T135" s="1" t="s">
        <v>523</v>
      </c>
      <c r="U135" s="5" t="s">
        <v>524</v>
      </c>
      <c r="V135" s="1" t="s">
        <v>525</v>
      </c>
    </row>
    <row r="136" spans="14:22">
      <c r="N136" s="2" t="s">
        <v>683</v>
      </c>
      <c r="O136" s="9" t="s">
        <v>35</v>
      </c>
      <c r="Q136" s="1">
        <v>271.14999999999998</v>
      </c>
      <c r="R136" s="10">
        <f t="shared" ca="1" si="6"/>
        <v>6.9153277225197651E-3</v>
      </c>
      <c r="S136" s="5">
        <f t="shared" si="5"/>
        <v>0</v>
      </c>
      <c r="T136" s="1" t="s">
        <v>523</v>
      </c>
      <c r="U136" s="5" t="s">
        <v>524</v>
      </c>
      <c r="V136" s="1" t="s">
        <v>525</v>
      </c>
    </row>
    <row r="137" spans="14:22">
      <c r="N137" s="2" t="s">
        <v>684</v>
      </c>
      <c r="O137" s="9" t="s">
        <v>35</v>
      </c>
      <c r="Q137" s="1">
        <v>271.14999999999998</v>
      </c>
      <c r="R137" s="10">
        <f t="shared" ca="1" si="6"/>
        <v>6.9153277225197651E-3</v>
      </c>
      <c r="S137" s="5">
        <f t="shared" si="5"/>
        <v>0</v>
      </c>
      <c r="T137" s="1" t="s">
        <v>523</v>
      </c>
      <c r="U137" s="5" t="s">
        <v>524</v>
      </c>
      <c r="V137" s="1" t="s">
        <v>525</v>
      </c>
    </row>
    <row r="138" spans="14:22">
      <c r="N138" s="2" t="s">
        <v>685</v>
      </c>
      <c r="O138" s="9" t="s">
        <v>35</v>
      </c>
      <c r="Q138" s="1">
        <v>271.14999999999998</v>
      </c>
      <c r="R138" s="10">
        <f t="shared" ca="1" si="6"/>
        <v>6.9153277225197651E-3</v>
      </c>
      <c r="S138" s="5">
        <f t="shared" si="5"/>
        <v>0</v>
      </c>
      <c r="T138" s="1" t="s">
        <v>523</v>
      </c>
      <c r="U138" s="5" t="s">
        <v>524</v>
      </c>
      <c r="V138" s="1" t="s">
        <v>525</v>
      </c>
    </row>
    <row r="139" spans="14:22">
      <c r="N139" s="2" t="s">
        <v>686</v>
      </c>
      <c r="O139" s="9" t="s">
        <v>35</v>
      </c>
      <c r="Q139" s="1">
        <v>271.14999999999998</v>
      </c>
      <c r="R139" s="10">
        <f t="shared" ca="1" si="6"/>
        <v>6.9153277225197651E-3</v>
      </c>
      <c r="S139" s="5">
        <f t="shared" si="5"/>
        <v>0</v>
      </c>
      <c r="T139" s="1" t="s">
        <v>523</v>
      </c>
      <c r="U139" s="5" t="s">
        <v>524</v>
      </c>
      <c r="V139" s="1" t="s">
        <v>525</v>
      </c>
    </row>
    <row r="140" spans="14:22">
      <c r="N140" s="2" t="s">
        <v>687</v>
      </c>
      <c r="O140" s="9" t="s">
        <v>35</v>
      </c>
      <c r="Q140" s="1">
        <v>271.14999999999998</v>
      </c>
      <c r="R140" s="10">
        <f t="shared" ca="1" si="6"/>
        <v>6.9153277225197651E-3</v>
      </c>
      <c r="S140" s="5">
        <f t="shared" si="5"/>
        <v>0</v>
      </c>
      <c r="T140" s="1" t="s">
        <v>523</v>
      </c>
      <c r="U140" s="5" t="s">
        <v>524</v>
      </c>
      <c r="V140" s="1" t="s">
        <v>525</v>
      </c>
    </row>
    <row r="141" spans="14:22">
      <c r="N141" s="2" t="s">
        <v>688</v>
      </c>
      <c r="O141" s="9" t="s">
        <v>36</v>
      </c>
      <c r="Q141" s="1">
        <v>191.4</v>
      </c>
      <c r="R141" s="10">
        <f t="shared" ca="1" si="6"/>
        <v>4.8814078041315989E-3</v>
      </c>
      <c r="S141" s="5">
        <f t="shared" si="5"/>
        <v>0</v>
      </c>
      <c r="T141" s="1" t="s">
        <v>523</v>
      </c>
      <c r="U141" s="5" t="s">
        <v>524</v>
      </c>
      <c r="V141" s="1" t="s">
        <v>525</v>
      </c>
    </row>
    <row r="142" spans="14:22">
      <c r="N142" s="2" t="s">
        <v>689</v>
      </c>
      <c r="O142" s="9" t="s">
        <v>36</v>
      </c>
      <c r="Q142" s="1">
        <v>191.4</v>
      </c>
      <c r="R142" s="10">
        <f t="shared" ca="1" si="6"/>
        <v>4.8814078041315989E-3</v>
      </c>
      <c r="S142" s="5">
        <f t="shared" si="5"/>
        <v>0</v>
      </c>
      <c r="T142" s="1" t="s">
        <v>523</v>
      </c>
      <c r="U142" s="5" t="s">
        <v>524</v>
      </c>
      <c r="V142" s="1" t="s">
        <v>525</v>
      </c>
    </row>
    <row r="143" spans="14:22">
      <c r="N143" s="2" t="s">
        <v>690</v>
      </c>
      <c r="O143" s="9" t="s">
        <v>36</v>
      </c>
      <c r="Q143" s="1">
        <v>223.3</v>
      </c>
      <c r="R143" s="10">
        <f t="shared" ca="1" si="6"/>
        <v>5.6949757714868663E-3</v>
      </c>
      <c r="S143" s="5">
        <f t="shared" si="5"/>
        <v>0</v>
      </c>
      <c r="T143" s="1" t="s">
        <v>523</v>
      </c>
      <c r="U143" s="5" t="s">
        <v>524</v>
      </c>
      <c r="V143" s="1" t="s">
        <v>525</v>
      </c>
    </row>
    <row r="144" spans="14:22">
      <c r="N144" s="2" t="s">
        <v>691</v>
      </c>
      <c r="O144" s="9" t="s">
        <v>36</v>
      </c>
      <c r="Q144" s="1">
        <v>221.27</v>
      </c>
      <c r="R144" s="10">
        <f t="shared" ca="1" si="6"/>
        <v>5.6432032644733489E-3</v>
      </c>
      <c r="S144" s="5">
        <f t="shared" si="5"/>
        <v>0</v>
      </c>
      <c r="T144" s="1" t="s">
        <v>523</v>
      </c>
      <c r="U144" s="5" t="s">
        <v>524</v>
      </c>
      <c r="V144" s="1" t="s">
        <v>525</v>
      </c>
    </row>
    <row r="145" spans="14:22">
      <c r="N145" s="2" t="s">
        <v>692</v>
      </c>
      <c r="O145" s="9" t="s">
        <v>36</v>
      </c>
      <c r="Q145" s="1">
        <v>221.27</v>
      </c>
      <c r="R145" s="10">
        <f t="shared" ca="1" si="6"/>
        <v>5.6432032644733489E-3</v>
      </c>
      <c r="S145" s="5">
        <f t="shared" si="5"/>
        <v>0</v>
      </c>
      <c r="T145" s="1" t="s">
        <v>523</v>
      </c>
      <c r="U145" s="5" t="s">
        <v>524</v>
      </c>
      <c r="V145" s="1" t="s">
        <v>525</v>
      </c>
    </row>
    <row r="146" spans="14:22">
      <c r="N146" s="2" t="s">
        <v>693</v>
      </c>
      <c r="O146" s="9" t="s">
        <v>36</v>
      </c>
      <c r="Q146" s="1">
        <v>221.27</v>
      </c>
      <c r="R146" s="10">
        <f t="shared" ca="1" si="6"/>
        <v>5.6432032644733489E-3</v>
      </c>
      <c r="S146" s="5">
        <f t="shared" si="5"/>
        <v>0</v>
      </c>
      <c r="T146" s="1" t="s">
        <v>523</v>
      </c>
      <c r="U146" s="5" t="s">
        <v>524</v>
      </c>
      <c r="V146" s="1" t="s">
        <v>525</v>
      </c>
    </row>
    <row r="147" spans="14:22">
      <c r="N147" s="2" t="s">
        <v>694</v>
      </c>
      <c r="O147" s="9" t="s">
        <v>36</v>
      </c>
      <c r="Q147" s="1">
        <v>191.4</v>
      </c>
      <c r="R147" s="10">
        <f t="shared" ca="1" si="6"/>
        <v>4.8814078041315989E-3</v>
      </c>
      <c r="S147" s="5">
        <f t="shared" si="5"/>
        <v>0</v>
      </c>
      <c r="T147" s="1" t="s">
        <v>523</v>
      </c>
      <c r="U147" s="5" t="s">
        <v>524</v>
      </c>
      <c r="V147" s="1" t="s">
        <v>525</v>
      </c>
    </row>
    <row r="148" spans="14:22">
      <c r="N148" s="2" t="s">
        <v>695</v>
      </c>
      <c r="O148" s="9" t="s">
        <v>36</v>
      </c>
      <c r="Q148" s="1">
        <v>223.3</v>
      </c>
      <c r="R148" s="10">
        <f t="shared" ca="1" si="6"/>
        <v>5.6949757714868663E-3</v>
      </c>
      <c r="S148" s="5">
        <f t="shared" si="5"/>
        <v>0</v>
      </c>
      <c r="T148" s="1" t="s">
        <v>523</v>
      </c>
      <c r="U148" s="5" t="s">
        <v>524</v>
      </c>
      <c r="V148" s="1" t="s">
        <v>525</v>
      </c>
    </row>
    <row r="149" spans="14:22">
      <c r="N149" s="2" t="s">
        <v>696</v>
      </c>
      <c r="O149" s="9" t="s">
        <v>36</v>
      </c>
      <c r="Q149" s="1">
        <v>223.3</v>
      </c>
      <c r="R149" s="10">
        <f t="shared" ca="1" si="6"/>
        <v>5.6949757714868663E-3</v>
      </c>
      <c r="S149" s="5">
        <f t="shared" si="5"/>
        <v>0</v>
      </c>
      <c r="T149" s="1" t="s">
        <v>523</v>
      </c>
      <c r="U149" s="5" t="s">
        <v>524</v>
      </c>
      <c r="V149" s="1" t="s">
        <v>525</v>
      </c>
    </row>
    <row r="150" spans="14:22">
      <c r="N150" s="2" t="s">
        <v>697</v>
      </c>
      <c r="O150" s="9" t="s">
        <v>36</v>
      </c>
      <c r="Q150" s="1">
        <v>223.3</v>
      </c>
      <c r="R150" s="10">
        <f t="shared" ca="1" si="6"/>
        <v>5.6949757714868663E-3</v>
      </c>
      <c r="S150" s="5">
        <f t="shared" si="5"/>
        <v>0</v>
      </c>
      <c r="T150" s="1" t="s">
        <v>523</v>
      </c>
      <c r="U150" s="5" t="s">
        <v>524</v>
      </c>
      <c r="V150" s="1" t="s">
        <v>525</v>
      </c>
    </row>
    <row r="151" spans="14:22">
      <c r="N151" s="2" t="s">
        <v>698</v>
      </c>
      <c r="O151" s="9" t="s">
        <v>36</v>
      </c>
      <c r="Q151" s="1">
        <v>191.4</v>
      </c>
      <c r="R151" s="10">
        <f t="shared" ca="1" si="6"/>
        <v>4.8814078041315989E-3</v>
      </c>
      <c r="S151" s="5">
        <f t="shared" si="5"/>
        <v>0</v>
      </c>
      <c r="T151" s="1" t="s">
        <v>523</v>
      </c>
      <c r="U151" s="5" t="s">
        <v>524</v>
      </c>
      <c r="V151" s="1" t="s">
        <v>525</v>
      </c>
    </row>
    <row r="152" spans="14:22">
      <c r="N152" s="2" t="s">
        <v>699</v>
      </c>
      <c r="O152" s="9" t="s">
        <v>36</v>
      </c>
      <c r="Q152" s="1">
        <v>223.3</v>
      </c>
      <c r="R152" s="10">
        <f t="shared" ca="1" si="6"/>
        <v>5.6949757714868663E-3</v>
      </c>
      <c r="S152" s="5">
        <f t="shared" si="5"/>
        <v>0</v>
      </c>
      <c r="T152" s="1" t="s">
        <v>523</v>
      </c>
      <c r="U152" s="5" t="s">
        <v>524</v>
      </c>
      <c r="V152" s="1" t="s">
        <v>525</v>
      </c>
    </row>
    <row r="153" spans="14:22">
      <c r="N153" s="2" t="s">
        <v>700</v>
      </c>
      <c r="O153" s="9" t="s">
        <v>36</v>
      </c>
      <c r="Q153" s="1">
        <v>223.3</v>
      </c>
      <c r="R153" s="10">
        <f t="shared" ca="1" si="6"/>
        <v>5.6949757714868663E-3</v>
      </c>
      <c r="S153" s="5">
        <f t="shared" si="5"/>
        <v>0</v>
      </c>
      <c r="T153" s="1" t="s">
        <v>523</v>
      </c>
      <c r="U153" s="5" t="s">
        <v>524</v>
      </c>
      <c r="V153" s="1" t="s">
        <v>525</v>
      </c>
    </row>
    <row r="154" spans="14:22">
      <c r="N154" s="2" t="s">
        <v>701</v>
      </c>
      <c r="O154" s="9" t="s">
        <v>36</v>
      </c>
      <c r="Q154" s="1">
        <v>223.3</v>
      </c>
      <c r="R154" s="10">
        <f t="shared" ca="1" si="6"/>
        <v>5.6949757714868663E-3</v>
      </c>
      <c r="S154" s="5">
        <f t="shared" si="5"/>
        <v>0</v>
      </c>
      <c r="T154" s="1" t="s">
        <v>523</v>
      </c>
      <c r="U154" s="5" t="s">
        <v>524</v>
      </c>
      <c r="V154" s="1" t="s">
        <v>525</v>
      </c>
    </row>
    <row r="155" spans="14:22">
      <c r="N155" s="2" t="s">
        <v>702</v>
      </c>
      <c r="O155" s="9" t="s">
        <v>36</v>
      </c>
      <c r="Q155" s="1">
        <v>191.4</v>
      </c>
      <c r="R155" s="10">
        <f t="shared" ca="1" si="6"/>
        <v>4.8814078041315989E-3</v>
      </c>
      <c r="S155" s="5">
        <f t="shared" si="5"/>
        <v>0</v>
      </c>
      <c r="T155" s="1" t="s">
        <v>523</v>
      </c>
      <c r="U155" s="5" t="s">
        <v>524</v>
      </c>
      <c r="V155" s="1" t="s">
        <v>525</v>
      </c>
    </row>
    <row r="156" spans="14:22">
      <c r="N156" s="2" t="s">
        <v>703</v>
      </c>
      <c r="O156" s="9" t="s">
        <v>36</v>
      </c>
      <c r="Q156" s="1">
        <v>223.3</v>
      </c>
      <c r="R156" s="10">
        <f t="shared" ca="1" si="6"/>
        <v>5.6949757714868663E-3</v>
      </c>
      <c r="S156" s="5">
        <f t="shared" si="5"/>
        <v>0</v>
      </c>
      <c r="T156" s="1" t="s">
        <v>523</v>
      </c>
      <c r="U156" s="5" t="s">
        <v>524</v>
      </c>
      <c r="V156" s="1" t="s">
        <v>525</v>
      </c>
    </row>
    <row r="157" spans="14:22">
      <c r="N157" s="2" t="s">
        <v>704</v>
      </c>
      <c r="O157" s="9" t="s">
        <v>36</v>
      </c>
      <c r="Q157" s="1">
        <v>191.4</v>
      </c>
      <c r="R157" s="10">
        <f t="shared" ca="1" si="6"/>
        <v>4.8814078041315989E-3</v>
      </c>
      <c r="S157" s="5">
        <f t="shared" si="5"/>
        <v>0</v>
      </c>
      <c r="T157" s="1" t="s">
        <v>523</v>
      </c>
      <c r="U157" s="5" t="s">
        <v>524</v>
      </c>
      <c r="V157" s="1" t="s">
        <v>525</v>
      </c>
    </row>
    <row r="158" spans="14:22">
      <c r="N158" s="2" t="s">
        <v>705</v>
      </c>
      <c r="O158" s="9" t="s">
        <v>36</v>
      </c>
      <c r="Q158" s="1">
        <v>223.3</v>
      </c>
      <c r="R158" s="10">
        <f t="shared" ca="1" si="6"/>
        <v>5.6949757714868663E-3</v>
      </c>
      <c r="S158" s="5">
        <f t="shared" si="5"/>
        <v>0</v>
      </c>
      <c r="T158" s="1" t="s">
        <v>523</v>
      </c>
      <c r="U158" s="5" t="s">
        <v>524</v>
      </c>
      <c r="V158" s="1" t="s">
        <v>525</v>
      </c>
    </row>
    <row r="159" spans="14:22">
      <c r="N159" s="2" t="s">
        <v>706</v>
      </c>
      <c r="O159" s="9" t="s">
        <v>36</v>
      </c>
      <c r="Q159" s="1">
        <v>223.3</v>
      </c>
      <c r="R159" s="10">
        <f t="shared" ca="1" si="6"/>
        <v>5.6949757714868663E-3</v>
      </c>
      <c r="S159" s="5">
        <f t="shared" si="5"/>
        <v>0</v>
      </c>
      <c r="T159" s="1" t="s">
        <v>523</v>
      </c>
      <c r="U159" s="5" t="s">
        <v>524</v>
      </c>
      <c r="V159" s="1" t="s">
        <v>525</v>
      </c>
    </row>
    <row r="160" spans="14:22">
      <c r="N160" s="2" t="s">
        <v>707</v>
      </c>
      <c r="O160" s="9" t="s">
        <v>36</v>
      </c>
      <c r="Q160" s="1">
        <v>191.4</v>
      </c>
      <c r="R160" s="10">
        <f t="shared" ca="1" si="6"/>
        <v>4.8814078041315989E-3</v>
      </c>
      <c r="S160" s="5">
        <f t="shared" si="5"/>
        <v>0</v>
      </c>
      <c r="T160" s="1" t="s">
        <v>523</v>
      </c>
      <c r="U160" s="5" t="s">
        <v>524</v>
      </c>
      <c r="V160" s="1" t="s">
        <v>525</v>
      </c>
    </row>
    <row r="161" spans="14:22">
      <c r="N161" s="2" t="s">
        <v>708</v>
      </c>
      <c r="O161" s="9" t="s">
        <v>36</v>
      </c>
      <c r="Q161" s="1">
        <v>191.4</v>
      </c>
      <c r="R161" s="10">
        <f t="shared" ca="1" si="6"/>
        <v>4.8814078041315989E-3</v>
      </c>
      <c r="S161" s="5">
        <f t="shared" si="5"/>
        <v>0</v>
      </c>
      <c r="T161" s="1" t="s">
        <v>523</v>
      </c>
      <c r="U161" s="5" t="s">
        <v>524</v>
      </c>
      <c r="V161" s="1" t="s">
        <v>525</v>
      </c>
    </row>
    <row r="162" spans="14:22">
      <c r="N162" s="2" t="s">
        <v>709</v>
      </c>
      <c r="O162" s="9" t="s">
        <v>36</v>
      </c>
      <c r="Q162" s="1">
        <v>239.25</v>
      </c>
      <c r="R162" s="10">
        <f t="shared" ca="1" si="6"/>
        <v>6.1017597551644986E-3</v>
      </c>
      <c r="S162" s="5">
        <f t="shared" si="5"/>
        <v>0</v>
      </c>
      <c r="T162" s="1" t="s">
        <v>523</v>
      </c>
      <c r="U162" s="5" t="s">
        <v>524</v>
      </c>
      <c r="V162" s="1" t="s">
        <v>525</v>
      </c>
    </row>
    <row r="163" spans="14:22">
      <c r="N163" s="2" t="s">
        <v>710</v>
      </c>
      <c r="O163" s="9" t="s">
        <v>36</v>
      </c>
      <c r="Q163" s="1">
        <v>207.35</v>
      </c>
      <c r="R163" s="10">
        <f t="shared" ca="1" si="6"/>
        <v>5.2881917878092322E-3</v>
      </c>
      <c r="S163" s="5">
        <f t="shared" si="5"/>
        <v>0</v>
      </c>
      <c r="T163" s="1" t="s">
        <v>523</v>
      </c>
      <c r="U163" s="5" t="s">
        <v>524</v>
      </c>
      <c r="V163" s="1" t="s">
        <v>525</v>
      </c>
    </row>
    <row r="164" spans="14:22">
      <c r="N164" s="2" t="s">
        <v>711</v>
      </c>
      <c r="O164" s="9" t="s">
        <v>36</v>
      </c>
      <c r="Q164" s="1">
        <v>223.3</v>
      </c>
      <c r="R164" s="10">
        <f t="shared" ca="1" si="6"/>
        <v>5.6949757714868663E-3</v>
      </c>
      <c r="S164" s="5">
        <f t="shared" si="5"/>
        <v>0</v>
      </c>
      <c r="T164" s="1" t="s">
        <v>523</v>
      </c>
      <c r="U164" s="5" t="s">
        <v>524</v>
      </c>
      <c r="V164" s="1" t="s">
        <v>525</v>
      </c>
    </row>
    <row r="165" spans="14:22">
      <c r="N165" s="2" t="s">
        <v>712</v>
      </c>
      <c r="O165" s="9" t="s">
        <v>36</v>
      </c>
      <c r="Q165" s="1">
        <v>191.4</v>
      </c>
      <c r="R165" s="10">
        <f t="shared" ca="1" si="6"/>
        <v>4.8814078041315989E-3</v>
      </c>
      <c r="S165" s="5">
        <f t="shared" si="5"/>
        <v>0</v>
      </c>
      <c r="T165" s="1" t="s">
        <v>523</v>
      </c>
      <c r="U165" s="5" t="s">
        <v>524</v>
      </c>
      <c r="V165" s="1" t="s">
        <v>525</v>
      </c>
    </row>
    <row r="166" spans="14:22">
      <c r="N166" s="2" t="s">
        <v>713</v>
      </c>
      <c r="O166" s="9" t="s">
        <v>36</v>
      </c>
      <c r="Q166" s="1">
        <v>223.3</v>
      </c>
      <c r="R166" s="10">
        <f t="shared" ca="1" si="6"/>
        <v>5.6949757714868663E-3</v>
      </c>
      <c r="S166" s="5">
        <f t="shared" si="5"/>
        <v>0</v>
      </c>
      <c r="T166" s="1" t="s">
        <v>523</v>
      </c>
      <c r="U166" s="5" t="s">
        <v>524</v>
      </c>
      <c r="V166" s="1" t="s">
        <v>525</v>
      </c>
    </row>
    <row r="167" spans="14:22">
      <c r="N167" s="2" t="s">
        <v>714</v>
      </c>
      <c r="O167" s="9" t="s">
        <v>36</v>
      </c>
      <c r="Q167" s="1">
        <v>223.3</v>
      </c>
      <c r="R167" s="10">
        <f t="shared" ca="1" si="6"/>
        <v>5.6949757714868663E-3</v>
      </c>
      <c r="S167" s="5">
        <f t="shared" si="5"/>
        <v>0</v>
      </c>
      <c r="T167" s="1" t="s">
        <v>523</v>
      </c>
      <c r="U167" s="5" t="s">
        <v>524</v>
      </c>
      <c r="V167" s="1" t="s">
        <v>525</v>
      </c>
    </row>
    <row r="168" spans="14:22">
      <c r="N168" s="2" t="s">
        <v>715</v>
      </c>
      <c r="O168" s="9" t="s">
        <v>36</v>
      </c>
      <c r="Q168" s="1">
        <v>223.3</v>
      </c>
      <c r="R168" s="10">
        <f t="shared" ca="1" si="6"/>
        <v>5.6949757714868663E-3</v>
      </c>
      <c r="S168" s="5">
        <f t="shared" si="5"/>
        <v>0</v>
      </c>
      <c r="T168" s="1" t="s">
        <v>523</v>
      </c>
      <c r="U168" s="5" t="s">
        <v>524</v>
      </c>
      <c r="V168" s="1" t="s">
        <v>525</v>
      </c>
    </row>
    <row r="169" spans="14:22">
      <c r="N169" s="2" t="s">
        <v>716</v>
      </c>
      <c r="O169" s="9" t="s">
        <v>36</v>
      </c>
      <c r="Q169" s="1">
        <v>223.3</v>
      </c>
      <c r="R169" s="10">
        <f t="shared" ca="1" si="6"/>
        <v>5.6949757714868663E-3</v>
      </c>
      <c r="S169" s="5">
        <f t="shared" si="5"/>
        <v>0</v>
      </c>
      <c r="T169" s="1" t="s">
        <v>523</v>
      </c>
      <c r="U169" s="5" t="s">
        <v>524</v>
      </c>
      <c r="V169" s="1" t="s">
        <v>525</v>
      </c>
    </row>
    <row r="170" spans="14:22">
      <c r="N170" s="2" t="s">
        <v>717</v>
      </c>
      <c r="O170" s="9" t="s">
        <v>36</v>
      </c>
      <c r="Q170" s="1">
        <v>191.4</v>
      </c>
      <c r="R170" s="10">
        <f t="shared" ca="1" si="6"/>
        <v>4.8814078041315989E-3</v>
      </c>
      <c r="S170" s="5">
        <f t="shared" si="5"/>
        <v>0</v>
      </c>
      <c r="T170" s="1" t="s">
        <v>523</v>
      </c>
      <c r="U170" s="5" t="s">
        <v>524</v>
      </c>
      <c r="V170" s="1" t="s">
        <v>525</v>
      </c>
    </row>
    <row r="171" spans="14:22">
      <c r="N171" s="2" t="s">
        <v>718</v>
      </c>
      <c r="O171" s="9" t="s">
        <v>36</v>
      </c>
      <c r="Q171" s="1">
        <v>191.4</v>
      </c>
      <c r="R171" s="10">
        <f t="shared" ca="1" si="6"/>
        <v>4.8814078041315989E-3</v>
      </c>
      <c r="S171" s="5">
        <f t="shared" si="5"/>
        <v>0</v>
      </c>
      <c r="T171" s="1" t="s">
        <v>523</v>
      </c>
      <c r="U171" s="5" t="s">
        <v>524</v>
      </c>
      <c r="V171" s="1" t="s">
        <v>525</v>
      </c>
    </row>
    <row r="172" spans="14:22">
      <c r="N172" s="2" t="s">
        <v>719</v>
      </c>
      <c r="O172" s="9" t="s">
        <v>36</v>
      </c>
      <c r="Q172" s="1">
        <v>223.3</v>
      </c>
      <c r="R172" s="10">
        <f t="shared" ca="1" si="6"/>
        <v>5.6949757714868663E-3</v>
      </c>
      <c r="S172" s="5">
        <f t="shared" si="5"/>
        <v>0</v>
      </c>
      <c r="T172" s="1" t="s">
        <v>523</v>
      </c>
      <c r="U172" s="5" t="s">
        <v>524</v>
      </c>
      <c r="V172" s="1" t="s">
        <v>525</v>
      </c>
    </row>
    <row r="173" spans="14:22">
      <c r="N173" s="2" t="s">
        <v>720</v>
      </c>
      <c r="O173" s="9" t="s">
        <v>36</v>
      </c>
      <c r="Q173" s="1">
        <v>223.3</v>
      </c>
      <c r="R173" s="10">
        <f t="shared" ca="1" si="6"/>
        <v>5.6949757714868663E-3</v>
      </c>
      <c r="S173" s="5">
        <f t="shared" si="5"/>
        <v>0</v>
      </c>
      <c r="T173" s="1" t="s">
        <v>523</v>
      </c>
      <c r="U173" s="5" t="s">
        <v>524</v>
      </c>
      <c r="V173" s="1" t="s">
        <v>525</v>
      </c>
    </row>
    <row r="174" spans="14:22">
      <c r="N174" s="2" t="s">
        <v>721</v>
      </c>
      <c r="O174" s="9" t="s">
        <v>36</v>
      </c>
      <c r="Q174" s="1">
        <v>191.4</v>
      </c>
      <c r="R174" s="10">
        <f t="shared" ca="1" si="6"/>
        <v>4.8814078041315989E-3</v>
      </c>
      <c r="S174" s="5">
        <f t="shared" si="5"/>
        <v>0</v>
      </c>
      <c r="T174" s="1" t="s">
        <v>523</v>
      </c>
      <c r="U174" s="5" t="s">
        <v>524</v>
      </c>
      <c r="V174" s="1" t="s">
        <v>525</v>
      </c>
    </row>
    <row r="175" spans="14:22">
      <c r="N175" s="2" t="s">
        <v>722</v>
      </c>
      <c r="O175" s="9" t="s">
        <v>36</v>
      </c>
      <c r="Q175" s="1">
        <v>223.3</v>
      </c>
      <c r="R175" s="10">
        <f t="shared" ca="1" si="6"/>
        <v>5.6949757714868663E-3</v>
      </c>
      <c r="S175" s="5">
        <f t="shared" si="5"/>
        <v>0</v>
      </c>
      <c r="T175" s="1" t="s">
        <v>523</v>
      </c>
      <c r="U175" s="5" t="s">
        <v>524</v>
      </c>
      <c r="V175" s="1" t="s">
        <v>525</v>
      </c>
    </row>
    <row r="176" spans="14:22">
      <c r="N176" s="2" t="s">
        <v>723</v>
      </c>
      <c r="O176" s="9" t="s">
        <v>36</v>
      </c>
      <c r="Q176" s="1">
        <v>223.3</v>
      </c>
      <c r="R176" s="10">
        <f t="shared" ca="1" si="6"/>
        <v>5.6949757714868663E-3</v>
      </c>
      <c r="S176" s="5">
        <f t="shared" si="5"/>
        <v>0</v>
      </c>
      <c r="T176" s="1" t="s">
        <v>523</v>
      </c>
      <c r="U176" s="5" t="s">
        <v>524</v>
      </c>
      <c r="V176" s="1" t="s">
        <v>525</v>
      </c>
    </row>
    <row r="177" spans="14:22">
      <c r="N177" s="2" t="s">
        <v>724</v>
      </c>
      <c r="O177" s="9" t="s">
        <v>36</v>
      </c>
      <c r="Q177" s="1">
        <v>223.3</v>
      </c>
      <c r="R177" s="10">
        <f t="shared" ca="1" si="6"/>
        <v>5.6949757714868663E-3</v>
      </c>
      <c r="S177" s="5">
        <f t="shared" si="5"/>
        <v>0</v>
      </c>
      <c r="T177" s="1" t="s">
        <v>523</v>
      </c>
      <c r="U177" s="5" t="s">
        <v>524</v>
      </c>
      <c r="V177" s="1" t="s">
        <v>525</v>
      </c>
    </row>
    <row r="178" spans="14:22">
      <c r="N178" s="2" t="s">
        <v>725</v>
      </c>
      <c r="O178" s="9" t="s">
        <v>36</v>
      </c>
      <c r="Q178" s="1">
        <v>223.3</v>
      </c>
      <c r="R178" s="10">
        <f t="shared" ca="1" si="6"/>
        <v>5.6949757714868663E-3</v>
      </c>
      <c r="S178" s="5">
        <f t="shared" si="5"/>
        <v>0</v>
      </c>
      <c r="T178" s="1" t="s">
        <v>523</v>
      </c>
      <c r="U178" s="5" t="s">
        <v>524</v>
      </c>
      <c r="V178" s="1" t="s">
        <v>525</v>
      </c>
    </row>
    <row r="179" spans="14:22">
      <c r="N179" s="2" t="s">
        <v>726</v>
      </c>
      <c r="O179" s="9" t="s">
        <v>36</v>
      </c>
      <c r="Q179" s="1">
        <v>191.4</v>
      </c>
      <c r="R179" s="10">
        <f t="shared" ca="1" si="6"/>
        <v>4.8814078041315989E-3</v>
      </c>
      <c r="S179" s="5">
        <f t="shared" si="5"/>
        <v>0</v>
      </c>
      <c r="T179" s="1" t="s">
        <v>523</v>
      </c>
      <c r="U179" s="5" t="s">
        <v>524</v>
      </c>
      <c r="V179" s="1" t="s">
        <v>525</v>
      </c>
    </row>
    <row r="180" spans="14:22">
      <c r="N180" s="2" t="s">
        <v>727</v>
      </c>
      <c r="O180" s="9" t="s">
        <v>36</v>
      </c>
      <c r="Q180" s="1">
        <v>223.3</v>
      </c>
      <c r="R180" s="10">
        <f t="shared" ca="1" si="6"/>
        <v>5.6949757714868663E-3</v>
      </c>
      <c r="S180" s="5">
        <f t="shared" si="5"/>
        <v>0</v>
      </c>
      <c r="T180" s="1" t="s">
        <v>523</v>
      </c>
      <c r="U180" s="5" t="s">
        <v>524</v>
      </c>
      <c r="V180" s="1" t="s">
        <v>525</v>
      </c>
    </row>
    <row r="181" spans="14:22">
      <c r="N181" s="2" t="s">
        <v>728</v>
      </c>
      <c r="O181" s="9" t="s">
        <v>36</v>
      </c>
      <c r="Q181" s="1">
        <v>223.3</v>
      </c>
      <c r="R181" s="10">
        <f t="shared" ca="1" si="6"/>
        <v>5.6949757714868663E-3</v>
      </c>
      <c r="S181" s="5">
        <f t="shared" si="5"/>
        <v>0</v>
      </c>
      <c r="T181" s="1" t="s">
        <v>523</v>
      </c>
      <c r="U181" s="5" t="s">
        <v>524</v>
      </c>
      <c r="V181" s="1" t="s">
        <v>525</v>
      </c>
    </row>
    <row r="182" spans="14:22">
      <c r="N182" s="2" t="s">
        <v>729</v>
      </c>
      <c r="O182" s="9" t="s">
        <v>36</v>
      </c>
      <c r="Q182" s="1">
        <v>191.4</v>
      </c>
      <c r="R182" s="10">
        <f t="shared" ca="1" si="6"/>
        <v>4.8814078041315989E-3</v>
      </c>
      <c r="S182" s="5">
        <f t="shared" si="5"/>
        <v>0</v>
      </c>
      <c r="T182" s="1" t="s">
        <v>523</v>
      </c>
      <c r="U182" s="5" t="s">
        <v>524</v>
      </c>
      <c r="V182" s="1" t="s">
        <v>525</v>
      </c>
    </row>
    <row r="183" spans="14:22">
      <c r="N183" s="2" t="s">
        <v>730</v>
      </c>
      <c r="O183" s="9" t="s">
        <v>36</v>
      </c>
      <c r="Q183" s="1">
        <v>191.4</v>
      </c>
      <c r="R183" s="10">
        <f t="shared" ca="1" si="6"/>
        <v>4.8814078041315989E-3</v>
      </c>
      <c r="S183" s="5">
        <f t="shared" si="5"/>
        <v>0</v>
      </c>
      <c r="T183" s="1" t="s">
        <v>523</v>
      </c>
      <c r="U183" s="5" t="s">
        <v>524</v>
      </c>
      <c r="V183" s="1" t="s">
        <v>525</v>
      </c>
    </row>
    <row r="184" spans="14:22">
      <c r="N184" s="2" t="s">
        <v>731</v>
      </c>
      <c r="O184" s="9" t="s">
        <v>36</v>
      </c>
      <c r="Q184" s="1">
        <v>191.4</v>
      </c>
      <c r="R184" s="10">
        <f t="shared" ca="1" si="6"/>
        <v>4.8814078041315989E-3</v>
      </c>
      <c r="S184" s="5">
        <f t="shared" si="5"/>
        <v>0</v>
      </c>
      <c r="T184" s="1" t="s">
        <v>523</v>
      </c>
      <c r="U184" s="5" t="s">
        <v>524</v>
      </c>
      <c r="V184" s="1" t="s">
        <v>525</v>
      </c>
    </row>
    <row r="185" spans="14:22">
      <c r="N185" s="2" t="s">
        <v>732</v>
      </c>
      <c r="O185" s="9" t="s">
        <v>36</v>
      </c>
      <c r="Q185" s="1">
        <v>223.3</v>
      </c>
      <c r="R185" s="10">
        <f t="shared" ca="1" si="6"/>
        <v>5.6949757714868663E-3</v>
      </c>
      <c r="S185" s="5">
        <f t="shared" si="5"/>
        <v>0</v>
      </c>
      <c r="T185" s="1" t="s">
        <v>523</v>
      </c>
      <c r="U185" s="5" t="s">
        <v>524</v>
      </c>
      <c r="V185" s="1" t="s">
        <v>525</v>
      </c>
    </row>
    <row r="186" spans="14:22">
      <c r="N186" s="2" t="s">
        <v>733</v>
      </c>
      <c r="O186" s="9" t="s">
        <v>36</v>
      </c>
      <c r="Q186" s="1">
        <v>223.3</v>
      </c>
      <c r="R186" s="10">
        <f t="shared" ca="1" si="6"/>
        <v>5.6949757714868663E-3</v>
      </c>
      <c r="S186" s="5">
        <f t="shared" si="5"/>
        <v>0</v>
      </c>
      <c r="T186" s="1" t="s">
        <v>523</v>
      </c>
      <c r="U186" s="5" t="s">
        <v>524</v>
      </c>
      <c r="V186" s="1" t="s">
        <v>525</v>
      </c>
    </row>
    <row r="187" spans="14:22">
      <c r="N187" s="2" t="s">
        <v>734</v>
      </c>
      <c r="O187" s="9" t="s">
        <v>36</v>
      </c>
      <c r="Q187" s="1">
        <v>223.3</v>
      </c>
      <c r="R187" s="10">
        <f t="shared" ca="1" si="6"/>
        <v>5.6949757714868663E-3</v>
      </c>
      <c r="S187" s="5">
        <f t="shared" si="5"/>
        <v>0</v>
      </c>
      <c r="T187" s="1" t="s">
        <v>523</v>
      </c>
      <c r="U187" s="5" t="s">
        <v>524</v>
      </c>
      <c r="V187" s="1" t="s">
        <v>525</v>
      </c>
    </row>
    <row r="188" spans="14:22">
      <c r="N188" s="2" t="s">
        <v>735</v>
      </c>
      <c r="O188" s="9" t="s">
        <v>36</v>
      </c>
      <c r="Q188" s="1">
        <v>223.3</v>
      </c>
      <c r="R188" s="10">
        <f t="shared" ca="1" si="6"/>
        <v>5.6949757714868663E-3</v>
      </c>
      <c r="S188" s="5">
        <f t="shared" si="5"/>
        <v>0</v>
      </c>
      <c r="T188" s="1" t="s">
        <v>523</v>
      </c>
      <c r="U188" s="5" t="s">
        <v>524</v>
      </c>
      <c r="V188" s="1" t="s">
        <v>525</v>
      </c>
    </row>
    <row r="189" spans="14:22">
      <c r="N189" s="2" t="s">
        <v>520</v>
      </c>
      <c r="Q189" s="1">
        <v>15.805</v>
      </c>
      <c r="R189" s="10">
        <f t="shared" ca="1" si="6"/>
        <v>4.0308594746238206E-4</v>
      </c>
      <c r="S189" s="5">
        <f t="shared" si="5"/>
        <v>0</v>
      </c>
      <c r="T189" s="1"/>
      <c r="U189" s="5"/>
    </row>
    <row r="190" spans="14:22">
      <c r="N190" s="2" t="s">
        <v>327</v>
      </c>
      <c r="Q190" s="1">
        <v>15.95</v>
      </c>
      <c r="R190" s="10">
        <f t="shared" ca="1" si="6"/>
        <v>4.0678398367763324E-4</v>
      </c>
      <c r="S190" s="5">
        <f t="shared" si="5"/>
        <v>0</v>
      </c>
      <c r="T190" s="1"/>
      <c r="U190" s="5"/>
    </row>
    <row r="191" spans="14:22">
      <c r="N191" s="2" t="s">
        <v>357</v>
      </c>
      <c r="Q191" s="1">
        <v>31.61</v>
      </c>
      <c r="R191" s="10">
        <f t="shared" ca="1" si="6"/>
        <v>8.0617189492476413E-4</v>
      </c>
      <c r="S191" s="5">
        <f t="shared" si="5"/>
        <v>0</v>
      </c>
      <c r="T191" s="1"/>
      <c r="U191" s="5"/>
    </row>
    <row r="192" spans="14:22">
      <c r="N192" s="2" t="s">
        <v>348</v>
      </c>
      <c r="Q192" s="1">
        <v>31.9</v>
      </c>
      <c r="R192" s="10">
        <f t="shared" ca="1" si="6"/>
        <v>8.1356796735526649E-4</v>
      </c>
      <c r="S192" s="5">
        <f t="shared" si="5"/>
        <v>0</v>
      </c>
      <c r="T192" s="1"/>
      <c r="U192" s="5"/>
    </row>
    <row r="193" spans="14:21">
      <c r="N193" s="2" t="s">
        <v>348</v>
      </c>
      <c r="R193" s="10">
        <f t="shared" ca="1" si="6"/>
        <v>0</v>
      </c>
      <c r="S193" s="5">
        <f t="shared" si="5"/>
        <v>0</v>
      </c>
      <c r="T193" s="1"/>
      <c r="U193" s="5"/>
    </row>
    <row r="194" spans="14:21">
      <c r="N194" s="2" t="s">
        <v>521</v>
      </c>
      <c r="R194" s="10">
        <f t="shared" ca="1" si="6"/>
        <v>0</v>
      </c>
      <c r="S194" s="5">
        <f t="shared" ref="S194:S257" si="7">_xlfn.XLOOKUP(O194,AE:AE,AG:AG)</f>
        <v>0</v>
      </c>
      <c r="T194" s="1"/>
      <c r="U194" s="5"/>
    </row>
    <row r="195" spans="14:21">
      <c r="N195" s="2" t="s">
        <v>530</v>
      </c>
      <c r="R195" s="10">
        <f t="shared" ca="1" si="6"/>
        <v>0</v>
      </c>
      <c r="S195" s="5">
        <f t="shared" si="7"/>
        <v>0</v>
      </c>
      <c r="T195" s="1"/>
      <c r="U195" s="5"/>
    </row>
    <row r="196" spans="14:21">
      <c r="N196" s="2" t="s">
        <v>536</v>
      </c>
      <c r="R196" s="10">
        <f t="shared" ref="R196:R259" ca="1" si="8">Q196/$AC$4</f>
        <v>0</v>
      </c>
      <c r="S196" s="5">
        <f t="shared" si="7"/>
        <v>0</v>
      </c>
      <c r="T196" s="1"/>
      <c r="U196" s="5"/>
    </row>
    <row r="197" spans="14:21">
      <c r="N197" s="2" t="s">
        <v>540</v>
      </c>
      <c r="R197" s="10">
        <f t="shared" ca="1" si="8"/>
        <v>0</v>
      </c>
      <c r="S197" s="5">
        <f t="shared" si="7"/>
        <v>0</v>
      </c>
      <c r="T197" s="1"/>
      <c r="U197" s="5"/>
    </row>
    <row r="198" spans="14:21">
      <c r="N198" s="2" t="s">
        <v>542</v>
      </c>
      <c r="R198" s="10">
        <f t="shared" ca="1" si="8"/>
        <v>0</v>
      </c>
      <c r="S198" s="5">
        <f t="shared" si="7"/>
        <v>0</v>
      </c>
      <c r="T198" s="1"/>
      <c r="U198" s="5"/>
    </row>
    <row r="199" spans="14:21">
      <c r="N199" s="2" t="s">
        <v>544</v>
      </c>
      <c r="R199" s="10">
        <f t="shared" ca="1" si="8"/>
        <v>0</v>
      </c>
      <c r="S199" s="5">
        <f t="shared" si="7"/>
        <v>0</v>
      </c>
      <c r="T199" s="1"/>
      <c r="U199" s="5"/>
    </row>
    <row r="200" spans="14:21">
      <c r="N200" s="2" t="s">
        <v>546</v>
      </c>
      <c r="R200" s="10">
        <f t="shared" ca="1" si="8"/>
        <v>0</v>
      </c>
      <c r="S200" s="5">
        <f t="shared" si="7"/>
        <v>0</v>
      </c>
      <c r="T200" s="1"/>
      <c r="U200" s="5"/>
    </row>
    <row r="201" spans="14:21">
      <c r="N201" s="2" t="s">
        <v>549</v>
      </c>
      <c r="R201" s="10">
        <f t="shared" ca="1" si="8"/>
        <v>0</v>
      </c>
      <c r="S201" s="5">
        <f t="shared" si="7"/>
        <v>0</v>
      </c>
      <c r="T201" s="1"/>
      <c r="U201" s="5"/>
    </row>
    <row r="202" spans="14:21">
      <c r="N202" s="2" t="s">
        <v>552</v>
      </c>
      <c r="R202" s="10">
        <f t="shared" ca="1" si="8"/>
        <v>0</v>
      </c>
      <c r="S202" s="5">
        <f t="shared" si="7"/>
        <v>0</v>
      </c>
      <c r="T202" s="1"/>
      <c r="U202" s="5"/>
    </row>
    <row r="203" spans="14:21">
      <c r="R203" s="10">
        <f t="shared" ca="1" si="8"/>
        <v>0</v>
      </c>
      <c r="S203" s="5">
        <f t="shared" si="7"/>
        <v>0</v>
      </c>
      <c r="T203" s="1"/>
      <c r="U203" s="5"/>
    </row>
    <row r="204" spans="14:21">
      <c r="R204" s="10">
        <f t="shared" ca="1" si="8"/>
        <v>0</v>
      </c>
      <c r="S204" s="5">
        <f t="shared" si="7"/>
        <v>0</v>
      </c>
      <c r="T204" s="1"/>
      <c r="U204" s="5"/>
    </row>
    <row r="205" spans="14:21">
      <c r="R205" s="10">
        <f t="shared" ca="1" si="8"/>
        <v>0</v>
      </c>
      <c r="S205" s="5">
        <f t="shared" si="7"/>
        <v>0</v>
      </c>
      <c r="T205" s="1"/>
      <c r="U205" s="5"/>
    </row>
    <row r="206" spans="14:21">
      <c r="R206" s="10">
        <f t="shared" ca="1" si="8"/>
        <v>0</v>
      </c>
      <c r="S206" s="5">
        <f t="shared" si="7"/>
        <v>0</v>
      </c>
      <c r="T206" s="1"/>
      <c r="U206" s="5"/>
    </row>
    <row r="207" spans="14:21">
      <c r="R207" s="10">
        <f t="shared" ca="1" si="8"/>
        <v>0</v>
      </c>
      <c r="S207" s="5">
        <f t="shared" si="7"/>
        <v>0</v>
      </c>
      <c r="T207" s="1"/>
      <c r="U207" s="5"/>
    </row>
    <row r="208" spans="14:21">
      <c r="R208" s="10">
        <f t="shared" ca="1" si="8"/>
        <v>0</v>
      </c>
      <c r="S208" s="5">
        <f t="shared" si="7"/>
        <v>0</v>
      </c>
      <c r="T208" s="1"/>
      <c r="U208" s="5"/>
    </row>
    <row r="209" spans="18:21">
      <c r="R209" s="10">
        <f t="shared" ca="1" si="8"/>
        <v>0</v>
      </c>
      <c r="S209" s="5">
        <f t="shared" si="7"/>
        <v>0</v>
      </c>
      <c r="T209" s="1"/>
      <c r="U209" s="5"/>
    </row>
    <row r="210" spans="18:21">
      <c r="R210" s="10">
        <f t="shared" ca="1" si="8"/>
        <v>0</v>
      </c>
      <c r="S210" s="5">
        <f t="shared" si="7"/>
        <v>0</v>
      </c>
      <c r="T210" s="1"/>
      <c r="U210" s="5"/>
    </row>
    <row r="211" spans="18:21">
      <c r="R211" s="10">
        <f t="shared" ca="1" si="8"/>
        <v>0</v>
      </c>
      <c r="S211" s="5">
        <f t="shared" si="7"/>
        <v>0</v>
      </c>
      <c r="T211" s="1"/>
      <c r="U211" s="5"/>
    </row>
    <row r="212" spans="18:21">
      <c r="R212" s="10">
        <f t="shared" ca="1" si="8"/>
        <v>0</v>
      </c>
      <c r="S212" s="5">
        <f t="shared" si="7"/>
        <v>0</v>
      </c>
      <c r="T212" s="1"/>
      <c r="U212" s="5"/>
    </row>
    <row r="213" spans="18:21">
      <c r="R213" s="10">
        <f t="shared" ca="1" si="8"/>
        <v>0</v>
      </c>
      <c r="S213" s="5">
        <f t="shared" si="7"/>
        <v>0</v>
      </c>
      <c r="T213" s="1"/>
      <c r="U213" s="5"/>
    </row>
    <row r="214" spans="18:21">
      <c r="R214" s="10">
        <f t="shared" ca="1" si="8"/>
        <v>0</v>
      </c>
      <c r="S214" s="5">
        <f t="shared" si="7"/>
        <v>0</v>
      </c>
      <c r="T214" s="1"/>
      <c r="U214" s="5"/>
    </row>
    <row r="215" spans="18:21">
      <c r="R215" s="10">
        <f t="shared" ca="1" si="8"/>
        <v>0</v>
      </c>
      <c r="S215" s="5">
        <f t="shared" si="7"/>
        <v>0</v>
      </c>
      <c r="T215" s="1"/>
      <c r="U215" s="5"/>
    </row>
    <row r="216" spans="18:21">
      <c r="R216" s="10">
        <f t="shared" ca="1" si="8"/>
        <v>0</v>
      </c>
      <c r="S216" s="5">
        <f t="shared" si="7"/>
        <v>0</v>
      </c>
      <c r="T216" s="1"/>
      <c r="U216" s="5"/>
    </row>
    <row r="217" spans="18:21">
      <c r="R217" s="10">
        <f t="shared" ca="1" si="8"/>
        <v>0</v>
      </c>
      <c r="S217" s="5">
        <f t="shared" si="7"/>
        <v>0</v>
      </c>
      <c r="T217" s="1"/>
      <c r="U217" s="5"/>
    </row>
    <row r="218" spans="18:21">
      <c r="R218" s="10">
        <f t="shared" ca="1" si="8"/>
        <v>0</v>
      </c>
      <c r="S218" s="5">
        <f t="shared" si="7"/>
        <v>0</v>
      </c>
      <c r="T218" s="1"/>
      <c r="U218" s="5"/>
    </row>
    <row r="219" spans="18:21">
      <c r="R219" s="10">
        <f t="shared" ca="1" si="8"/>
        <v>0</v>
      </c>
      <c r="S219" s="5">
        <f t="shared" si="7"/>
        <v>0</v>
      </c>
      <c r="T219" s="1"/>
      <c r="U219" s="5"/>
    </row>
    <row r="220" spans="18:21">
      <c r="R220" s="10">
        <f t="shared" ca="1" si="8"/>
        <v>0</v>
      </c>
      <c r="S220" s="5">
        <f t="shared" si="7"/>
        <v>0</v>
      </c>
      <c r="T220" s="1"/>
      <c r="U220" s="5"/>
    </row>
    <row r="221" spans="18:21">
      <c r="R221" s="10">
        <f t="shared" ca="1" si="8"/>
        <v>0</v>
      </c>
      <c r="S221" s="5">
        <f t="shared" si="7"/>
        <v>0</v>
      </c>
      <c r="T221" s="1"/>
      <c r="U221" s="5"/>
    </row>
    <row r="222" spans="18:21">
      <c r="R222" s="10">
        <f t="shared" ca="1" si="8"/>
        <v>0</v>
      </c>
      <c r="S222" s="5">
        <f t="shared" si="7"/>
        <v>0</v>
      </c>
      <c r="T222" s="1"/>
      <c r="U222" s="5"/>
    </row>
    <row r="223" spans="18:21">
      <c r="R223" s="10">
        <f t="shared" ca="1" si="8"/>
        <v>0</v>
      </c>
      <c r="S223" s="5">
        <f t="shared" si="7"/>
        <v>0</v>
      </c>
      <c r="T223" s="1"/>
      <c r="U223" s="5"/>
    </row>
    <row r="224" spans="18:21">
      <c r="R224" s="10">
        <f t="shared" ca="1" si="8"/>
        <v>0</v>
      </c>
      <c r="S224" s="5">
        <f t="shared" si="7"/>
        <v>0</v>
      </c>
      <c r="T224" s="1"/>
      <c r="U224" s="5"/>
    </row>
    <row r="225" spans="18:21">
      <c r="R225" s="10">
        <f t="shared" ca="1" si="8"/>
        <v>0</v>
      </c>
      <c r="S225" s="5">
        <f t="shared" si="7"/>
        <v>0</v>
      </c>
      <c r="T225" s="1"/>
      <c r="U225" s="5"/>
    </row>
    <row r="226" spans="18:21">
      <c r="R226" s="10">
        <f t="shared" ca="1" si="8"/>
        <v>0</v>
      </c>
      <c r="S226" s="5">
        <f t="shared" si="7"/>
        <v>0</v>
      </c>
      <c r="T226" s="1"/>
      <c r="U226" s="5"/>
    </row>
    <row r="227" spans="18:21">
      <c r="R227" s="10">
        <f t="shared" ca="1" si="8"/>
        <v>0</v>
      </c>
      <c r="S227" s="5">
        <f t="shared" si="7"/>
        <v>0</v>
      </c>
      <c r="T227" s="1"/>
      <c r="U227" s="5"/>
    </row>
    <row r="228" spans="18:21">
      <c r="R228" s="10">
        <f t="shared" ca="1" si="8"/>
        <v>0</v>
      </c>
      <c r="S228" s="5">
        <f t="shared" si="7"/>
        <v>0</v>
      </c>
      <c r="T228" s="1"/>
      <c r="U228" s="5"/>
    </row>
    <row r="229" spans="18:21">
      <c r="R229" s="10">
        <f t="shared" ca="1" si="8"/>
        <v>0</v>
      </c>
      <c r="S229" s="5">
        <f t="shared" si="7"/>
        <v>0</v>
      </c>
      <c r="T229" s="1"/>
      <c r="U229" s="5"/>
    </row>
    <row r="230" spans="18:21">
      <c r="R230" s="10">
        <f t="shared" ca="1" si="8"/>
        <v>0</v>
      </c>
      <c r="S230" s="5">
        <f t="shared" si="7"/>
        <v>0</v>
      </c>
      <c r="T230" s="1"/>
      <c r="U230" s="5"/>
    </row>
    <row r="231" spans="18:21">
      <c r="R231" s="10">
        <f t="shared" ca="1" si="8"/>
        <v>0</v>
      </c>
      <c r="S231" s="5">
        <f t="shared" si="7"/>
        <v>0</v>
      </c>
      <c r="T231" s="1"/>
      <c r="U231" s="5"/>
    </row>
    <row r="232" spans="18:21">
      <c r="R232" s="10">
        <f t="shared" ca="1" si="8"/>
        <v>0</v>
      </c>
      <c r="S232" s="5">
        <f t="shared" si="7"/>
        <v>0</v>
      </c>
      <c r="T232" s="1"/>
      <c r="U232" s="5"/>
    </row>
    <row r="233" spans="18:21">
      <c r="R233" s="10">
        <f t="shared" ca="1" si="8"/>
        <v>0</v>
      </c>
      <c r="S233" s="5">
        <f t="shared" si="7"/>
        <v>0</v>
      </c>
      <c r="T233" s="1"/>
      <c r="U233" s="5"/>
    </row>
    <row r="234" spans="18:21">
      <c r="R234" s="10">
        <f t="shared" ca="1" si="8"/>
        <v>0</v>
      </c>
      <c r="S234" s="5">
        <f t="shared" si="7"/>
        <v>0</v>
      </c>
      <c r="T234" s="1"/>
      <c r="U234" s="5"/>
    </row>
    <row r="235" spans="18:21">
      <c r="R235" s="10">
        <f t="shared" ca="1" si="8"/>
        <v>0</v>
      </c>
      <c r="S235" s="5">
        <f t="shared" si="7"/>
        <v>0</v>
      </c>
      <c r="T235" s="1"/>
      <c r="U235" s="5"/>
    </row>
    <row r="236" spans="18:21">
      <c r="R236" s="10">
        <f t="shared" ca="1" si="8"/>
        <v>0</v>
      </c>
      <c r="S236" s="5">
        <f t="shared" si="7"/>
        <v>0</v>
      </c>
      <c r="T236" s="1"/>
      <c r="U236" s="5"/>
    </row>
    <row r="237" spans="18:21">
      <c r="R237" s="10">
        <f t="shared" ca="1" si="8"/>
        <v>0</v>
      </c>
      <c r="S237" s="5">
        <f t="shared" si="7"/>
        <v>0</v>
      </c>
      <c r="T237" s="1"/>
      <c r="U237" s="5"/>
    </row>
    <row r="238" spans="18:21">
      <c r="R238" s="10">
        <f t="shared" ca="1" si="8"/>
        <v>0</v>
      </c>
      <c r="S238" s="5">
        <f t="shared" si="7"/>
        <v>0</v>
      </c>
      <c r="T238" s="1"/>
      <c r="U238" s="5"/>
    </row>
    <row r="239" spans="18:21">
      <c r="R239" s="10">
        <f t="shared" ca="1" si="8"/>
        <v>0</v>
      </c>
      <c r="S239" s="5">
        <f t="shared" si="7"/>
        <v>0</v>
      </c>
      <c r="T239" s="1"/>
      <c r="U239" s="5"/>
    </row>
    <row r="240" spans="18:21">
      <c r="R240" s="10">
        <f t="shared" ca="1" si="8"/>
        <v>0</v>
      </c>
      <c r="S240" s="5">
        <f t="shared" si="7"/>
        <v>0</v>
      </c>
      <c r="T240" s="1"/>
      <c r="U240" s="5"/>
    </row>
    <row r="241" spans="18:21">
      <c r="R241" s="10">
        <f t="shared" ca="1" si="8"/>
        <v>0</v>
      </c>
      <c r="S241" s="5">
        <f t="shared" si="7"/>
        <v>0</v>
      </c>
      <c r="T241" s="1"/>
      <c r="U241" s="5"/>
    </row>
    <row r="242" spans="18:21">
      <c r="R242" s="10">
        <f t="shared" ca="1" si="8"/>
        <v>0</v>
      </c>
      <c r="S242" s="5">
        <f t="shared" si="7"/>
        <v>0</v>
      </c>
      <c r="T242" s="1"/>
      <c r="U242" s="5"/>
    </row>
    <row r="243" spans="18:21">
      <c r="R243" s="10">
        <f t="shared" ca="1" si="8"/>
        <v>0</v>
      </c>
      <c r="S243" s="5">
        <f t="shared" si="7"/>
        <v>0</v>
      </c>
      <c r="T243" s="1"/>
      <c r="U243" s="5"/>
    </row>
    <row r="244" spans="18:21">
      <c r="R244" s="10">
        <f t="shared" ca="1" si="8"/>
        <v>0</v>
      </c>
      <c r="S244" s="5">
        <f t="shared" si="7"/>
        <v>0</v>
      </c>
      <c r="T244" s="1"/>
      <c r="U244" s="5"/>
    </row>
    <row r="245" spans="18:21">
      <c r="R245" s="10">
        <f t="shared" ca="1" si="8"/>
        <v>0</v>
      </c>
      <c r="S245" s="5">
        <f t="shared" si="7"/>
        <v>0</v>
      </c>
      <c r="T245" s="1"/>
      <c r="U245" s="5"/>
    </row>
    <row r="246" spans="18:21">
      <c r="R246" s="10">
        <f t="shared" ca="1" si="8"/>
        <v>0</v>
      </c>
      <c r="S246" s="5">
        <f t="shared" si="7"/>
        <v>0</v>
      </c>
      <c r="T246" s="1"/>
      <c r="U246" s="5"/>
    </row>
    <row r="247" spans="18:21">
      <c r="R247" s="10">
        <f t="shared" ca="1" si="8"/>
        <v>0</v>
      </c>
      <c r="S247" s="5">
        <f t="shared" si="7"/>
        <v>0</v>
      </c>
      <c r="T247" s="1"/>
      <c r="U247" s="5"/>
    </row>
    <row r="248" spans="18:21">
      <c r="R248" s="10">
        <f t="shared" ca="1" si="8"/>
        <v>0</v>
      </c>
      <c r="S248" s="5">
        <f t="shared" si="7"/>
        <v>0</v>
      </c>
      <c r="T248" s="1"/>
      <c r="U248" s="5"/>
    </row>
    <row r="249" spans="18:21">
      <c r="R249" s="10">
        <f t="shared" ca="1" si="8"/>
        <v>0</v>
      </c>
      <c r="S249" s="5">
        <f t="shared" si="7"/>
        <v>0</v>
      </c>
      <c r="T249" s="1"/>
      <c r="U249" s="5"/>
    </row>
    <row r="250" spans="18:21">
      <c r="R250" s="10">
        <f t="shared" ca="1" si="8"/>
        <v>0</v>
      </c>
      <c r="S250" s="5">
        <f t="shared" si="7"/>
        <v>0</v>
      </c>
      <c r="T250" s="1"/>
      <c r="U250" s="5"/>
    </row>
    <row r="251" spans="18:21">
      <c r="R251" s="10">
        <f t="shared" ca="1" si="8"/>
        <v>0</v>
      </c>
      <c r="S251" s="5">
        <f t="shared" si="7"/>
        <v>0</v>
      </c>
      <c r="T251" s="1"/>
      <c r="U251" s="5"/>
    </row>
    <row r="252" spans="18:21">
      <c r="R252" s="10">
        <f t="shared" ca="1" si="8"/>
        <v>0</v>
      </c>
      <c r="S252" s="5">
        <f t="shared" si="7"/>
        <v>0</v>
      </c>
      <c r="T252" s="1"/>
      <c r="U252" s="5"/>
    </row>
    <row r="253" spans="18:21">
      <c r="R253" s="10">
        <f t="shared" ca="1" si="8"/>
        <v>0</v>
      </c>
      <c r="S253" s="5">
        <f t="shared" si="7"/>
        <v>0</v>
      </c>
      <c r="T253" s="1"/>
      <c r="U253" s="5"/>
    </row>
    <row r="254" spans="18:21">
      <c r="R254" s="10">
        <f t="shared" ca="1" si="8"/>
        <v>0</v>
      </c>
      <c r="S254" s="5">
        <f t="shared" si="7"/>
        <v>0</v>
      </c>
      <c r="T254" s="1"/>
      <c r="U254" s="5"/>
    </row>
    <row r="255" spans="18:21">
      <c r="R255" s="10">
        <f t="shared" ca="1" si="8"/>
        <v>0</v>
      </c>
      <c r="S255" s="5">
        <f t="shared" si="7"/>
        <v>0</v>
      </c>
      <c r="T255" s="1"/>
      <c r="U255" s="5"/>
    </row>
    <row r="256" spans="18:21">
      <c r="R256" s="10">
        <f t="shared" ca="1" si="8"/>
        <v>0</v>
      </c>
      <c r="S256" s="5">
        <f t="shared" si="7"/>
        <v>0</v>
      </c>
      <c r="T256" s="1"/>
      <c r="U256" s="5"/>
    </row>
    <row r="257" spans="18:21">
      <c r="R257" s="10">
        <f t="shared" ca="1" si="8"/>
        <v>0</v>
      </c>
      <c r="S257" s="5">
        <f t="shared" si="7"/>
        <v>0</v>
      </c>
      <c r="T257" s="1"/>
      <c r="U257" s="5"/>
    </row>
    <row r="258" spans="18:21">
      <c r="R258" s="10">
        <f t="shared" ca="1" si="8"/>
        <v>0</v>
      </c>
      <c r="S258" s="5">
        <f t="shared" ref="S258:S321" si="9">_xlfn.XLOOKUP(O258,AE:AE,AG:AG)</f>
        <v>0</v>
      </c>
      <c r="T258" s="1"/>
      <c r="U258" s="5"/>
    </row>
    <row r="259" spans="18:21">
      <c r="R259" s="10">
        <f t="shared" ca="1" si="8"/>
        <v>0</v>
      </c>
      <c r="S259" s="5">
        <f t="shared" si="9"/>
        <v>0</v>
      </c>
      <c r="T259" s="1"/>
      <c r="U259" s="5"/>
    </row>
    <row r="260" spans="18:21">
      <c r="R260" s="10">
        <f t="shared" ref="R260:R324" ca="1" si="10">Q260/$AC$4</f>
        <v>0</v>
      </c>
      <c r="S260" s="5">
        <f t="shared" si="9"/>
        <v>0</v>
      </c>
      <c r="T260" s="1"/>
      <c r="U260" s="5"/>
    </row>
    <row r="261" spans="18:21">
      <c r="R261" s="10">
        <f t="shared" ca="1" si="10"/>
        <v>0</v>
      </c>
      <c r="S261" s="5">
        <f t="shared" si="9"/>
        <v>0</v>
      </c>
      <c r="T261" s="1"/>
      <c r="U261" s="5"/>
    </row>
    <row r="262" spans="18:21">
      <c r="R262" s="10">
        <f t="shared" ca="1" si="10"/>
        <v>0</v>
      </c>
      <c r="S262" s="5">
        <f t="shared" si="9"/>
        <v>0</v>
      </c>
      <c r="T262" s="1"/>
      <c r="U262" s="5"/>
    </row>
    <row r="263" spans="18:21">
      <c r="R263" s="10">
        <f t="shared" ca="1" si="10"/>
        <v>0</v>
      </c>
      <c r="S263" s="5">
        <f t="shared" si="9"/>
        <v>0</v>
      </c>
      <c r="T263" s="1"/>
      <c r="U263" s="5"/>
    </row>
    <row r="264" spans="18:21">
      <c r="R264" s="10">
        <f t="shared" ca="1" si="10"/>
        <v>0</v>
      </c>
      <c r="S264" s="5">
        <f t="shared" si="9"/>
        <v>0</v>
      </c>
      <c r="T264" s="1"/>
      <c r="U264" s="5"/>
    </row>
    <row r="265" spans="18:21">
      <c r="R265" s="10">
        <f t="shared" ca="1" si="10"/>
        <v>0</v>
      </c>
      <c r="S265" s="5">
        <f t="shared" si="9"/>
        <v>0</v>
      </c>
      <c r="T265" s="1"/>
      <c r="U265" s="5"/>
    </row>
    <row r="266" spans="18:21">
      <c r="R266" s="10">
        <f t="shared" ca="1" si="10"/>
        <v>0</v>
      </c>
      <c r="S266" s="5">
        <f t="shared" si="9"/>
        <v>0</v>
      </c>
      <c r="T266" s="1"/>
      <c r="U266" s="5"/>
    </row>
    <row r="267" spans="18:21">
      <c r="R267" s="10">
        <f t="shared" ca="1" si="10"/>
        <v>0</v>
      </c>
      <c r="S267" s="5">
        <f t="shared" si="9"/>
        <v>0</v>
      </c>
      <c r="T267" s="1"/>
      <c r="U267" s="5"/>
    </row>
    <row r="268" spans="18:21">
      <c r="R268" s="10">
        <f t="shared" ca="1" si="10"/>
        <v>0</v>
      </c>
      <c r="S268" s="5">
        <f t="shared" si="9"/>
        <v>0</v>
      </c>
      <c r="T268" s="1"/>
      <c r="U268" s="5"/>
    </row>
    <row r="269" spans="18:21">
      <c r="R269" s="10">
        <f t="shared" ca="1" si="10"/>
        <v>0</v>
      </c>
      <c r="S269" s="5">
        <f t="shared" si="9"/>
        <v>0</v>
      </c>
      <c r="T269" s="1"/>
      <c r="U269" s="5"/>
    </row>
    <row r="270" spans="18:21">
      <c r="R270" s="10">
        <f t="shared" ca="1" si="10"/>
        <v>0</v>
      </c>
      <c r="S270" s="5">
        <f t="shared" si="9"/>
        <v>0</v>
      </c>
      <c r="T270" s="1"/>
      <c r="U270" s="5"/>
    </row>
    <row r="271" spans="18:21">
      <c r="R271" s="10">
        <f t="shared" ca="1" si="10"/>
        <v>0</v>
      </c>
      <c r="S271" s="5">
        <f t="shared" si="9"/>
        <v>0</v>
      </c>
      <c r="T271" s="1"/>
      <c r="U271" s="5"/>
    </row>
    <row r="272" spans="18:21">
      <c r="R272" s="10">
        <f t="shared" ca="1" si="10"/>
        <v>0</v>
      </c>
      <c r="S272" s="5">
        <f t="shared" si="9"/>
        <v>0</v>
      </c>
      <c r="T272" s="1"/>
      <c r="U272" s="5"/>
    </row>
    <row r="273" spans="18:21">
      <c r="R273" s="10">
        <f t="shared" ca="1" si="10"/>
        <v>0</v>
      </c>
      <c r="S273" s="5">
        <f t="shared" si="9"/>
        <v>0</v>
      </c>
      <c r="T273" s="1"/>
      <c r="U273" s="5"/>
    </row>
    <row r="274" spans="18:21">
      <c r="R274" s="10">
        <f t="shared" ca="1" si="10"/>
        <v>0</v>
      </c>
      <c r="S274" s="5">
        <f t="shared" si="9"/>
        <v>0</v>
      </c>
      <c r="T274" s="1"/>
      <c r="U274" s="5"/>
    </row>
    <row r="275" spans="18:21">
      <c r="R275" s="10">
        <f t="shared" ca="1" si="10"/>
        <v>0</v>
      </c>
      <c r="S275" s="5">
        <f t="shared" si="9"/>
        <v>0</v>
      </c>
      <c r="T275" s="1"/>
      <c r="U275" s="5"/>
    </row>
    <row r="276" spans="18:21">
      <c r="R276" s="10">
        <f t="shared" ca="1" si="10"/>
        <v>0</v>
      </c>
      <c r="S276" s="5">
        <f t="shared" si="9"/>
        <v>0</v>
      </c>
      <c r="T276" s="1"/>
      <c r="U276" s="5"/>
    </row>
    <row r="277" spans="18:21">
      <c r="R277" s="10">
        <f t="shared" ca="1" si="10"/>
        <v>0</v>
      </c>
      <c r="S277" s="5">
        <f t="shared" si="9"/>
        <v>0</v>
      </c>
      <c r="T277" s="1"/>
      <c r="U277" s="5"/>
    </row>
    <row r="278" spans="18:21">
      <c r="R278" s="10">
        <f t="shared" ca="1" si="10"/>
        <v>0</v>
      </c>
      <c r="S278" s="5">
        <f t="shared" si="9"/>
        <v>0</v>
      </c>
      <c r="T278" s="1"/>
      <c r="U278" s="5"/>
    </row>
    <row r="279" spans="18:21">
      <c r="R279" s="10">
        <f t="shared" ca="1" si="10"/>
        <v>0</v>
      </c>
      <c r="S279" s="5">
        <f t="shared" si="9"/>
        <v>0</v>
      </c>
      <c r="T279" s="1"/>
      <c r="U279" s="5"/>
    </row>
    <row r="280" spans="18:21">
      <c r="R280" s="10">
        <f t="shared" ca="1" si="10"/>
        <v>0</v>
      </c>
      <c r="S280" s="5">
        <f t="shared" si="9"/>
        <v>0</v>
      </c>
      <c r="T280" s="1"/>
      <c r="U280" s="5"/>
    </row>
    <row r="281" spans="18:21">
      <c r="R281" s="10">
        <f t="shared" ca="1" si="10"/>
        <v>0</v>
      </c>
      <c r="S281" s="5">
        <f t="shared" si="9"/>
        <v>0</v>
      </c>
      <c r="T281" s="1"/>
      <c r="U281" s="5"/>
    </row>
    <row r="282" spans="18:21">
      <c r="R282" s="10">
        <f t="shared" ca="1" si="10"/>
        <v>0</v>
      </c>
      <c r="S282" s="5">
        <f t="shared" si="9"/>
        <v>0</v>
      </c>
      <c r="T282" s="1"/>
      <c r="U282" s="5"/>
    </row>
    <row r="283" spans="18:21">
      <c r="R283" s="10">
        <f t="shared" ca="1" si="10"/>
        <v>0</v>
      </c>
      <c r="S283" s="5">
        <f t="shared" si="9"/>
        <v>0</v>
      </c>
      <c r="T283" s="1"/>
      <c r="U283" s="5"/>
    </row>
    <row r="284" spans="18:21">
      <c r="R284" s="10">
        <f t="shared" ca="1" si="10"/>
        <v>0</v>
      </c>
      <c r="S284" s="5">
        <f t="shared" si="9"/>
        <v>0</v>
      </c>
      <c r="T284" s="1"/>
      <c r="U284" s="5"/>
    </row>
    <row r="285" spans="18:21">
      <c r="R285" s="10">
        <f t="shared" ca="1" si="10"/>
        <v>0</v>
      </c>
      <c r="S285" s="5">
        <f t="shared" si="9"/>
        <v>0</v>
      </c>
      <c r="T285" s="1"/>
      <c r="U285" s="5"/>
    </row>
    <row r="286" spans="18:21">
      <c r="R286" s="10">
        <f t="shared" ca="1" si="10"/>
        <v>0</v>
      </c>
      <c r="S286" s="5">
        <f t="shared" si="9"/>
        <v>0</v>
      </c>
      <c r="T286" s="1"/>
      <c r="U286" s="5"/>
    </row>
    <row r="287" spans="18:21">
      <c r="R287" s="10">
        <f t="shared" ca="1" si="10"/>
        <v>0</v>
      </c>
      <c r="S287" s="5">
        <f t="shared" si="9"/>
        <v>0</v>
      </c>
      <c r="T287" s="1"/>
      <c r="U287" s="5"/>
    </row>
    <row r="288" spans="18:21">
      <c r="R288" s="10">
        <f t="shared" ca="1" si="10"/>
        <v>0</v>
      </c>
      <c r="S288" s="5">
        <f t="shared" si="9"/>
        <v>0</v>
      </c>
      <c r="T288" s="1"/>
      <c r="U288" s="5"/>
    </row>
    <row r="289" spans="18:21">
      <c r="R289" s="10">
        <f t="shared" ca="1" si="10"/>
        <v>0</v>
      </c>
      <c r="S289" s="5">
        <f t="shared" si="9"/>
        <v>0</v>
      </c>
      <c r="T289" s="1"/>
      <c r="U289" s="5"/>
    </row>
    <row r="290" spans="18:21">
      <c r="R290" s="10">
        <f t="shared" ca="1" si="10"/>
        <v>0</v>
      </c>
      <c r="S290" s="5">
        <f t="shared" si="9"/>
        <v>0</v>
      </c>
      <c r="T290" s="1"/>
      <c r="U290" s="5"/>
    </row>
    <row r="291" spans="18:21">
      <c r="R291" s="10">
        <f t="shared" ca="1" si="10"/>
        <v>0</v>
      </c>
      <c r="S291" s="5">
        <f t="shared" si="9"/>
        <v>0</v>
      </c>
      <c r="T291" s="1"/>
      <c r="U291" s="5"/>
    </row>
    <row r="292" spans="18:21">
      <c r="R292" s="10">
        <f t="shared" ca="1" si="10"/>
        <v>0</v>
      </c>
      <c r="S292" s="5">
        <f t="shared" si="9"/>
        <v>0</v>
      </c>
      <c r="T292" s="1"/>
      <c r="U292" s="5"/>
    </row>
    <row r="293" spans="18:21">
      <c r="R293" s="10">
        <f t="shared" ca="1" si="10"/>
        <v>0</v>
      </c>
      <c r="S293" s="5">
        <f t="shared" si="9"/>
        <v>0</v>
      </c>
      <c r="T293" s="1"/>
      <c r="U293" s="5"/>
    </row>
    <row r="294" spans="18:21">
      <c r="R294" s="10">
        <f t="shared" ca="1" si="10"/>
        <v>0</v>
      </c>
      <c r="S294" s="5">
        <f t="shared" si="9"/>
        <v>0</v>
      </c>
      <c r="T294" s="1"/>
      <c r="U294" s="5"/>
    </row>
    <row r="295" spans="18:21">
      <c r="R295" s="10">
        <f t="shared" ca="1" si="10"/>
        <v>0</v>
      </c>
      <c r="S295" s="5">
        <f t="shared" si="9"/>
        <v>0</v>
      </c>
      <c r="T295" s="1"/>
      <c r="U295" s="5"/>
    </row>
    <row r="296" spans="18:21">
      <c r="R296" s="10">
        <f t="shared" ca="1" si="10"/>
        <v>0</v>
      </c>
      <c r="S296" s="5">
        <f t="shared" si="9"/>
        <v>0</v>
      </c>
      <c r="T296" s="1"/>
      <c r="U296" s="5"/>
    </row>
    <row r="297" spans="18:21">
      <c r="R297" s="10">
        <f t="shared" ca="1" si="10"/>
        <v>0</v>
      </c>
      <c r="S297" s="5">
        <f t="shared" si="9"/>
        <v>0</v>
      </c>
      <c r="T297" s="1"/>
      <c r="U297" s="5"/>
    </row>
    <row r="298" spans="18:21">
      <c r="R298" s="10">
        <f t="shared" ca="1" si="10"/>
        <v>0</v>
      </c>
      <c r="S298" s="5">
        <f t="shared" si="9"/>
        <v>0</v>
      </c>
      <c r="T298" s="1"/>
      <c r="U298" s="5"/>
    </row>
    <row r="299" spans="18:21">
      <c r="R299" s="10">
        <f t="shared" ca="1" si="10"/>
        <v>0</v>
      </c>
      <c r="S299" s="5">
        <f t="shared" si="9"/>
        <v>0</v>
      </c>
      <c r="T299" s="1"/>
      <c r="U299" s="5"/>
    </row>
    <row r="300" spans="18:21">
      <c r="R300" s="10">
        <f t="shared" ca="1" si="10"/>
        <v>0</v>
      </c>
      <c r="S300" s="5">
        <f t="shared" si="9"/>
        <v>0</v>
      </c>
      <c r="T300" s="1"/>
      <c r="U300" s="5"/>
    </row>
    <row r="301" spans="18:21">
      <c r="R301" s="10">
        <f t="shared" ca="1" si="10"/>
        <v>0</v>
      </c>
      <c r="S301" s="5">
        <f t="shared" si="9"/>
        <v>0</v>
      </c>
      <c r="T301" s="1"/>
      <c r="U301" s="5"/>
    </row>
    <row r="302" spans="18:21">
      <c r="R302" s="10">
        <f t="shared" ca="1" si="10"/>
        <v>0</v>
      </c>
      <c r="S302" s="5">
        <f t="shared" si="9"/>
        <v>0</v>
      </c>
      <c r="T302" s="1"/>
      <c r="U302" s="5"/>
    </row>
    <row r="303" spans="18:21">
      <c r="R303" s="10">
        <f t="shared" ca="1" si="10"/>
        <v>0</v>
      </c>
      <c r="S303" s="5">
        <f t="shared" si="9"/>
        <v>0</v>
      </c>
      <c r="T303" s="1"/>
      <c r="U303" s="5"/>
    </row>
    <row r="304" spans="18:21">
      <c r="R304" s="10">
        <f t="shared" ca="1" si="10"/>
        <v>0</v>
      </c>
      <c r="S304" s="5">
        <f t="shared" si="9"/>
        <v>0</v>
      </c>
      <c r="T304" s="1"/>
      <c r="U304" s="5"/>
    </row>
    <row r="305" spans="18:21">
      <c r="R305" s="10">
        <f t="shared" ca="1" si="10"/>
        <v>0</v>
      </c>
      <c r="S305" s="5">
        <f t="shared" si="9"/>
        <v>0</v>
      </c>
      <c r="T305" s="1"/>
      <c r="U305" s="5"/>
    </row>
    <row r="306" spans="18:21">
      <c r="R306" s="10">
        <f t="shared" ca="1" si="10"/>
        <v>0</v>
      </c>
      <c r="S306" s="5">
        <f t="shared" si="9"/>
        <v>0</v>
      </c>
      <c r="T306" s="1"/>
      <c r="U306" s="5"/>
    </row>
    <row r="307" spans="18:21">
      <c r="R307" s="10">
        <f t="shared" ca="1" si="10"/>
        <v>0</v>
      </c>
      <c r="S307" s="5">
        <f t="shared" si="9"/>
        <v>0</v>
      </c>
      <c r="T307" s="1"/>
      <c r="U307" s="5"/>
    </row>
    <row r="308" spans="18:21">
      <c r="R308" s="10">
        <f t="shared" ca="1" si="10"/>
        <v>0</v>
      </c>
      <c r="S308" s="5">
        <f t="shared" si="9"/>
        <v>0</v>
      </c>
      <c r="T308" s="1"/>
      <c r="U308" s="5"/>
    </row>
    <row r="309" spans="18:21">
      <c r="R309" s="10">
        <f t="shared" ca="1" si="10"/>
        <v>0</v>
      </c>
      <c r="S309" s="5">
        <f t="shared" si="9"/>
        <v>0</v>
      </c>
      <c r="T309" s="1"/>
      <c r="U309" s="5"/>
    </row>
    <row r="310" spans="18:21">
      <c r="R310" s="10">
        <f t="shared" ca="1" si="10"/>
        <v>0</v>
      </c>
      <c r="S310" s="5">
        <f t="shared" si="9"/>
        <v>0</v>
      </c>
      <c r="T310" s="1"/>
      <c r="U310" s="5"/>
    </row>
    <row r="311" spans="18:21">
      <c r="R311" s="10">
        <f t="shared" ca="1" si="10"/>
        <v>0</v>
      </c>
      <c r="S311" s="5">
        <f t="shared" si="9"/>
        <v>0</v>
      </c>
      <c r="T311" s="1"/>
      <c r="U311" s="5"/>
    </row>
    <row r="312" spans="18:21">
      <c r="R312" s="10">
        <f t="shared" ca="1" si="10"/>
        <v>0</v>
      </c>
      <c r="S312" s="5">
        <f t="shared" si="9"/>
        <v>0</v>
      </c>
      <c r="T312" s="1"/>
      <c r="U312" s="5"/>
    </row>
    <row r="313" spans="18:21">
      <c r="R313" s="10">
        <f t="shared" ca="1" si="10"/>
        <v>0</v>
      </c>
      <c r="S313" s="5">
        <f t="shared" si="9"/>
        <v>0</v>
      </c>
      <c r="T313" s="1"/>
      <c r="U313" s="5"/>
    </row>
    <row r="314" spans="18:21">
      <c r="R314" s="10">
        <f t="shared" ca="1" si="10"/>
        <v>0</v>
      </c>
      <c r="S314" s="5">
        <f t="shared" si="9"/>
        <v>0</v>
      </c>
      <c r="T314" s="1"/>
      <c r="U314" s="5"/>
    </row>
    <row r="315" spans="18:21">
      <c r="R315" s="10">
        <f t="shared" ca="1" si="10"/>
        <v>0</v>
      </c>
      <c r="S315" s="5">
        <f t="shared" si="9"/>
        <v>0</v>
      </c>
      <c r="T315" s="1"/>
      <c r="U315" s="5"/>
    </row>
    <row r="316" spans="18:21">
      <c r="R316" s="10">
        <f t="shared" ca="1" si="10"/>
        <v>0</v>
      </c>
      <c r="S316" s="5">
        <f t="shared" si="9"/>
        <v>0</v>
      </c>
      <c r="T316" s="1"/>
      <c r="U316" s="5"/>
    </row>
    <row r="317" spans="18:21">
      <c r="R317" s="10">
        <f t="shared" ca="1" si="10"/>
        <v>0</v>
      </c>
      <c r="S317" s="5">
        <f t="shared" si="9"/>
        <v>0</v>
      </c>
      <c r="T317" s="1"/>
      <c r="U317" s="5"/>
    </row>
    <row r="318" spans="18:21">
      <c r="R318" s="10">
        <f t="shared" ca="1" si="10"/>
        <v>0</v>
      </c>
      <c r="S318" s="5">
        <f t="shared" si="9"/>
        <v>0</v>
      </c>
      <c r="T318" s="1"/>
      <c r="U318" s="5"/>
    </row>
    <row r="319" spans="18:21">
      <c r="R319" s="10">
        <f t="shared" ca="1" si="10"/>
        <v>0</v>
      </c>
      <c r="S319" s="5">
        <f t="shared" si="9"/>
        <v>0</v>
      </c>
      <c r="T319" s="1"/>
      <c r="U319" s="5"/>
    </row>
    <row r="320" spans="18:21">
      <c r="R320" s="10">
        <f t="shared" ca="1" si="10"/>
        <v>0</v>
      </c>
      <c r="S320" s="5">
        <f t="shared" si="9"/>
        <v>0</v>
      </c>
      <c r="T320" s="1"/>
      <c r="U320" s="5"/>
    </row>
    <row r="321" spans="18:21">
      <c r="R321" s="10">
        <f t="shared" ca="1" si="10"/>
        <v>0</v>
      </c>
      <c r="S321" s="5">
        <f t="shared" si="9"/>
        <v>0</v>
      </c>
      <c r="T321" s="1"/>
      <c r="U321" s="5"/>
    </row>
    <row r="322" spans="18:21">
      <c r="R322" s="10">
        <f t="shared" ca="1" si="10"/>
        <v>0</v>
      </c>
      <c r="S322" s="5">
        <f t="shared" ref="S322:S385" si="11">_xlfn.XLOOKUP(O322,AE:AE,AG:AG)</f>
        <v>0</v>
      </c>
      <c r="T322" s="1"/>
      <c r="U322" s="5"/>
    </row>
    <row r="323" spans="18:21">
      <c r="R323" s="10">
        <f t="shared" ca="1" si="10"/>
        <v>0</v>
      </c>
      <c r="S323" s="5">
        <f t="shared" si="11"/>
        <v>0</v>
      </c>
      <c r="T323" s="1"/>
      <c r="U323" s="5"/>
    </row>
    <row r="324" spans="18:21">
      <c r="R324" s="10">
        <f t="shared" ca="1" si="10"/>
        <v>0</v>
      </c>
      <c r="S324" s="5">
        <f t="shared" si="11"/>
        <v>0</v>
      </c>
      <c r="T324" s="1"/>
      <c r="U324" s="5"/>
    </row>
    <row r="325" spans="18:21">
      <c r="R325" s="10">
        <f t="shared" ref="R325:R677" ca="1" si="12">Q325/$AC$4</f>
        <v>0</v>
      </c>
      <c r="S325" s="5">
        <f t="shared" si="11"/>
        <v>0</v>
      </c>
      <c r="T325" s="1"/>
      <c r="U325" s="5"/>
    </row>
    <row r="326" spans="18:21">
      <c r="R326" s="10">
        <f t="shared" ca="1" si="12"/>
        <v>0</v>
      </c>
      <c r="S326" s="5">
        <f t="shared" si="11"/>
        <v>0</v>
      </c>
      <c r="T326" s="1"/>
      <c r="U326" s="5"/>
    </row>
    <row r="327" spans="18:21">
      <c r="R327" s="10">
        <f t="shared" ca="1" si="12"/>
        <v>0</v>
      </c>
      <c r="S327" s="5">
        <f t="shared" si="11"/>
        <v>0</v>
      </c>
      <c r="T327" s="1"/>
      <c r="U327" s="5"/>
    </row>
    <row r="328" spans="18:21">
      <c r="R328" s="10">
        <f t="shared" ca="1" si="12"/>
        <v>0</v>
      </c>
      <c r="S328" s="5">
        <f t="shared" si="11"/>
        <v>0</v>
      </c>
      <c r="T328" s="1"/>
      <c r="U328" s="5"/>
    </row>
    <row r="329" spans="18:21">
      <c r="R329" s="10">
        <f t="shared" ca="1" si="12"/>
        <v>0</v>
      </c>
      <c r="S329" s="5">
        <f t="shared" si="11"/>
        <v>0</v>
      </c>
      <c r="T329" s="1"/>
      <c r="U329" s="5"/>
    </row>
    <row r="330" spans="18:21">
      <c r="R330" s="10">
        <f t="shared" ca="1" si="12"/>
        <v>0</v>
      </c>
      <c r="S330" s="5">
        <f t="shared" si="11"/>
        <v>0</v>
      </c>
      <c r="T330" s="1"/>
      <c r="U330" s="5"/>
    </row>
    <row r="331" spans="18:21">
      <c r="R331" s="10">
        <f t="shared" ca="1" si="12"/>
        <v>0</v>
      </c>
      <c r="S331" s="5">
        <f t="shared" si="11"/>
        <v>0</v>
      </c>
      <c r="T331" s="1"/>
      <c r="U331" s="5"/>
    </row>
    <row r="332" spans="18:21">
      <c r="R332" s="10">
        <f t="shared" ca="1" si="12"/>
        <v>0</v>
      </c>
      <c r="S332" s="5">
        <f t="shared" si="11"/>
        <v>0</v>
      </c>
      <c r="T332" s="1"/>
      <c r="U332" s="5"/>
    </row>
    <row r="333" spans="18:21">
      <c r="R333" s="10">
        <f t="shared" ca="1" si="12"/>
        <v>0</v>
      </c>
      <c r="S333" s="5">
        <f t="shared" si="11"/>
        <v>0</v>
      </c>
      <c r="T333" s="1"/>
      <c r="U333" s="5"/>
    </row>
    <row r="334" spans="18:21">
      <c r="R334" s="10">
        <f t="shared" ca="1" si="12"/>
        <v>0</v>
      </c>
      <c r="S334" s="5">
        <f t="shared" si="11"/>
        <v>0</v>
      </c>
      <c r="T334" s="1"/>
      <c r="U334" s="5"/>
    </row>
    <row r="335" spans="18:21">
      <c r="R335" s="10">
        <f t="shared" ca="1" si="12"/>
        <v>0</v>
      </c>
      <c r="S335" s="5">
        <f t="shared" si="11"/>
        <v>0</v>
      </c>
      <c r="T335" s="1"/>
      <c r="U335" s="5"/>
    </row>
    <row r="336" spans="18:21">
      <c r="R336" s="10">
        <f t="shared" ca="1" si="12"/>
        <v>0</v>
      </c>
      <c r="S336" s="5">
        <f t="shared" si="11"/>
        <v>0</v>
      </c>
      <c r="T336" s="1"/>
      <c r="U336" s="5"/>
    </row>
    <row r="337" spans="18:21">
      <c r="R337" s="10">
        <f t="shared" ca="1" si="12"/>
        <v>0</v>
      </c>
      <c r="S337" s="5">
        <f t="shared" si="11"/>
        <v>0</v>
      </c>
      <c r="T337" s="1"/>
      <c r="U337" s="5"/>
    </row>
    <row r="338" spans="18:21">
      <c r="R338" s="10">
        <f t="shared" ca="1" si="12"/>
        <v>0</v>
      </c>
      <c r="S338" s="5">
        <f t="shared" si="11"/>
        <v>0</v>
      </c>
      <c r="T338" s="1"/>
      <c r="U338" s="5"/>
    </row>
    <row r="339" spans="18:21">
      <c r="R339" s="10">
        <f t="shared" ca="1" si="12"/>
        <v>0</v>
      </c>
      <c r="S339" s="5">
        <f t="shared" si="11"/>
        <v>0</v>
      </c>
      <c r="T339" s="1"/>
      <c r="U339" s="5"/>
    </row>
    <row r="340" spans="18:21">
      <c r="R340" s="10">
        <f t="shared" ca="1" si="12"/>
        <v>0</v>
      </c>
      <c r="S340" s="5">
        <f t="shared" si="11"/>
        <v>0</v>
      </c>
      <c r="T340" s="1"/>
      <c r="U340" s="5"/>
    </row>
    <row r="341" spans="18:21">
      <c r="R341" s="10">
        <f t="shared" ca="1" si="12"/>
        <v>0</v>
      </c>
      <c r="S341" s="5">
        <f t="shared" si="11"/>
        <v>0</v>
      </c>
      <c r="T341" s="1"/>
      <c r="U341" s="5"/>
    </row>
    <row r="342" spans="18:21">
      <c r="R342" s="10">
        <f t="shared" ca="1" si="12"/>
        <v>0</v>
      </c>
      <c r="S342" s="5">
        <f t="shared" si="11"/>
        <v>0</v>
      </c>
      <c r="T342" s="1"/>
      <c r="U342" s="5"/>
    </row>
    <row r="343" spans="18:21">
      <c r="R343" s="10">
        <f t="shared" ca="1" si="12"/>
        <v>0</v>
      </c>
      <c r="S343" s="5">
        <f t="shared" si="11"/>
        <v>0</v>
      </c>
      <c r="T343" s="1"/>
      <c r="U343" s="5"/>
    </row>
    <row r="344" spans="18:21">
      <c r="R344" s="10">
        <f t="shared" ca="1" si="12"/>
        <v>0</v>
      </c>
      <c r="S344" s="5">
        <f t="shared" si="11"/>
        <v>0</v>
      </c>
      <c r="T344" s="1"/>
      <c r="U344" s="5"/>
    </row>
    <row r="345" spans="18:21">
      <c r="R345" s="10">
        <f t="shared" ca="1" si="12"/>
        <v>0</v>
      </c>
      <c r="S345" s="5">
        <f t="shared" si="11"/>
        <v>0</v>
      </c>
      <c r="T345" s="1"/>
      <c r="U345" s="5"/>
    </row>
    <row r="346" spans="18:21">
      <c r="R346" s="10">
        <f t="shared" ca="1" si="12"/>
        <v>0</v>
      </c>
      <c r="S346" s="5">
        <f t="shared" si="11"/>
        <v>0</v>
      </c>
      <c r="T346" s="1"/>
      <c r="U346" s="5"/>
    </row>
    <row r="347" spans="18:21">
      <c r="R347" s="10">
        <f t="shared" ca="1" si="12"/>
        <v>0</v>
      </c>
      <c r="S347" s="5">
        <f t="shared" si="11"/>
        <v>0</v>
      </c>
      <c r="T347" s="1"/>
      <c r="U347" s="5"/>
    </row>
    <row r="348" spans="18:21">
      <c r="R348" s="10">
        <f t="shared" ca="1" si="12"/>
        <v>0</v>
      </c>
      <c r="S348" s="5">
        <f t="shared" si="11"/>
        <v>0</v>
      </c>
      <c r="T348" s="1"/>
      <c r="U348" s="5"/>
    </row>
    <row r="349" spans="18:21">
      <c r="R349" s="10">
        <f t="shared" ca="1" si="12"/>
        <v>0</v>
      </c>
      <c r="S349" s="5">
        <f t="shared" si="11"/>
        <v>0</v>
      </c>
      <c r="T349" s="1"/>
      <c r="U349" s="5"/>
    </row>
    <row r="350" spans="18:21">
      <c r="R350" s="10">
        <f t="shared" ca="1" si="12"/>
        <v>0</v>
      </c>
      <c r="S350" s="5">
        <f t="shared" si="11"/>
        <v>0</v>
      </c>
      <c r="T350" s="1"/>
      <c r="U350" s="5"/>
    </row>
    <row r="351" spans="18:21">
      <c r="R351" s="10">
        <f t="shared" ca="1" si="12"/>
        <v>0</v>
      </c>
      <c r="S351" s="5">
        <f t="shared" si="11"/>
        <v>0</v>
      </c>
      <c r="T351" s="1"/>
      <c r="U351" s="5"/>
    </row>
    <row r="352" spans="18:21">
      <c r="R352" s="10">
        <f t="shared" ca="1" si="12"/>
        <v>0</v>
      </c>
      <c r="S352" s="5">
        <f t="shared" si="11"/>
        <v>0</v>
      </c>
      <c r="T352" s="1"/>
      <c r="U352" s="5"/>
    </row>
    <row r="353" spans="18:21">
      <c r="R353" s="10">
        <f t="shared" ca="1" si="12"/>
        <v>0</v>
      </c>
      <c r="S353" s="5">
        <f t="shared" si="11"/>
        <v>0</v>
      </c>
      <c r="T353" s="1"/>
      <c r="U353" s="5"/>
    </row>
    <row r="354" spans="18:21">
      <c r="R354" s="10">
        <f t="shared" ca="1" si="12"/>
        <v>0</v>
      </c>
      <c r="S354" s="5">
        <f t="shared" si="11"/>
        <v>0</v>
      </c>
      <c r="T354" s="1"/>
      <c r="U354" s="5"/>
    </row>
    <row r="355" spans="18:21">
      <c r="R355" s="10">
        <f t="shared" ca="1" si="12"/>
        <v>0</v>
      </c>
      <c r="S355" s="5">
        <f t="shared" si="11"/>
        <v>0</v>
      </c>
      <c r="T355" s="1"/>
      <c r="U355" s="5"/>
    </row>
    <row r="356" spans="18:21">
      <c r="R356" s="10">
        <f t="shared" ca="1" si="12"/>
        <v>0</v>
      </c>
      <c r="S356" s="5">
        <f t="shared" si="11"/>
        <v>0</v>
      </c>
      <c r="T356" s="1"/>
      <c r="U356" s="5"/>
    </row>
    <row r="357" spans="18:21">
      <c r="R357" s="10">
        <f t="shared" ca="1" si="12"/>
        <v>0</v>
      </c>
      <c r="S357" s="5">
        <f t="shared" si="11"/>
        <v>0</v>
      </c>
      <c r="T357" s="1"/>
      <c r="U357" s="5"/>
    </row>
    <row r="358" spans="18:21">
      <c r="R358" s="10">
        <f t="shared" ca="1" si="12"/>
        <v>0</v>
      </c>
      <c r="S358" s="5">
        <f t="shared" si="11"/>
        <v>0</v>
      </c>
      <c r="T358" s="1"/>
      <c r="U358" s="5"/>
    </row>
    <row r="359" spans="18:21">
      <c r="R359" s="10">
        <f t="shared" ca="1" si="12"/>
        <v>0</v>
      </c>
      <c r="S359" s="5">
        <f t="shared" si="11"/>
        <v>0</v>
      </c>
      <c r="T359" s="1"/>
      <c r="U359" s="5"/>
    </row>
    <row r="360" spans="18:21">
      <c r="R360" s="10">
        <f t="shared" ca="1" si="12"/>
        <v>0</v>
      </c>
      <c r="S360" s="5">
        <f t="shared" si="11"/>
        <v>0</v>
      </c>
      <c r="T360" s="1"/>
      <c r="U360" s="5"/>
    </row>
    <row r="361" spans="18:21">
      <c r="R361" s="10">
        <f t="shared" ca="1" si="12"/>
        <v>0</v>
      </c>
      <c r="S361" s="5">
        <f t="shared" si="11"/>
        <v>0</v>
      </c>
      <c r="T361" s="1"/>
      <c r="U361" s="5"/>
    </row>
    <row r="362" spans="18:21">
      <c r="R362" s="10">
        <f t="shared" ca="1" si="12"/>
        <v>0</v>
      </c>
      <c r="S362" s="5">
        <f t="shared" si="11"/>
        <v>0</v>
      </c>
      <c r="T362" s="1"/>
      <c r="U362" s="5"/>
    </row>
    <row r="363" spans="18:21">
      <c r="R363" s="10">
        <f t="shared" ca="1" si="12"/>
        <v>0</v>
      </c>
      <c r="S363" s="5">
        <f t="shared" si="11"/>
        <v>0</v>
      </c>
      <c r="T363" s="1"/>
      <c r="U363" s="5"/>
    </row>
    <row r="364" spans="18:21">
      <c r="R364" s="10">
        <f t="shared" ca="1" si="12"/>
        <v>0</v>
      </c>
      <c r="S364" s="5">
        <f t="shared" si="11"/>
        <v>0</v>
      </c>
      <c r="T364" s="1"/>
      <c r="U364" s="5"/>
    </row>
    <row r="365" spans="18:21">
      <c r="R365" s="10">
        <f t="shared" ca="1" si="12"/>
        <v>0</v>
      </c>
      <c r="S365" s="5">
        <f t="shared" si="11"/>
        <v>0</v>
      </c>
      <c r="T365" s="1"/>
      <c r="U365" s="5"/>
    </row>
    <row r="366" spans="18:21">
      <c r="R366" s="10">
        <f t="shared" ca="1" si="12"/>
        <v>0</v>
      </c>
      <c r="S366" s="5">
        <f t="shared" si="11"/>
        <v>0</v>
      </c>
      <c r="T366" s="1"/>
      <c r="U366" s="5"/>
    </row>
    <row r="367" spans="18:21">
      <c r="R367" s="10">
        <f t="shared" ca="1" si="12"/>
        <v>0</v>
      </c>
      <c r="S367" s="5">
        <f t="shared" si="11"/>
        <v>0</v>
      </c>
      <c r="T367" s="1"/>
      <c r="U367" s="5"/>
    </row>
    <row r="368" spans="18:21">
      <c r="R368" s="10">
        <f t="shared" ca="1" si="12"/>
        <v>0</v>
      </c>
      <c r="S368" s="5">
        <f t="shared" si="11"/>
        <v>0</v>
      </c>
      <c r="T368" s="1"/>
      <c r="U368" s="5"/>
    </row>
    <row r="369" spans="15:21">
      <c r="R369" s="10">
        <f t="shared" ca="1" si="12"/>
        <v>0</v>
      </c>
      <c r="S369" s="5">
        <f t="shared" si="11"/>
        <v>0</v>
      </c>
      <c r="T369" s="1"/>
      <c r="U369" s="5"/>
    </row>
    <row r="370" spans="15:21">
      <c r="R370" s="10">
        <f t="shared" ca="1" si="12"/>
        <v>0</v>
      </c>
      <c r="S370" s="5">
        <f t="shared" si="11"/>
        <v>0</v>
      </c>
      <c r="T370" s="1"/>
      <c r="U370" s="5"/>
    </row>
    <row r="371" spans="15:21">
      <c r="R371" s="10">
        <f t="shared" ca="1" si="12"/>
        <v>0</v>
      </c>
      <c r="S371" s="5">
        <f t="shared" si="11"/>
        <v>0</v>
      </c>
      <c r="T371" s="1"/>
      <c r="U371" s="5"/>
    </row>
    <row r="372" spans="15:21">
      <c r="R372" s="10">
        <f t="shared" ca="1" si="12"/>
        <v>0</v>
      </c>
      <c r="S372" s="5">
        <f t="shared" si="11"/>
        <v>0</v>
      </c>
      <c r="T372" s="1"/>
      <c r="U372" s="5"/>
    </row>
    <row r="373" spans="15:21">
      <c r="R373" s="10">
        <f t="shared" ca="1" si="12"/>
        <v>0</v>
      </c>
      <c r="S373" s="5">
        <f t="shared" si="11"/>
        <v>0</v>
      </c>
      <c r="T373" s="1"/>
      <c r="U373" s="5"/>
    </row>
    <row r="374" spans="15:21">
      <c r="R374" s="10">
        <f t="shared" ca="1" si="12"/>
        <v>0</v>
      </c>
      <c r="S374" s="5">
        <f t="shared" si="11"/>
        <v>0</v>
      </c>
      <c r="T374" s="1"/>
      <c r="U374" s="5"/>
    </row>
    <row r="375" spans="15:21">
      <c r="O375" s="9"/>
      <c r="R375" s="10">
        <f t="shared" ca="1" si="12"/>
        <v>0</v>
      </c>
      <c r="S375" s="5">
        <f t="shared" si="11"/>
        <v>0</v>
      </c>
      <c r="T375" s="1"/>
      <c r="U375" s="5"/>
    </row>
    <row r="376" spans="15:21">
      <c r="O376" s="9"/>
      <c r="R376" s="10">
        <f t="shared" ref="R376:R439" ca="1" si="13">Q376/$AC$4</f>
        <v>0</v>
      </c>
      <c r="S376" s="5">
        <f t="shared" si="11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1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1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1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1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1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1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1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1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1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ca="1" si="13"/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3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3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3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3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3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3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3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3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3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3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3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3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3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3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3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3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3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3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3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ref="R440:R503" ca="1" si="15">Q440/$AC$4</f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ca="1" si="15"/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5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5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5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5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5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5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5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5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5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5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5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5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5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5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ca="1" si="15"/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5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5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5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5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ref="R504:R518" ca="1" si="17">Q504/$AC$4</f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7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7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ca="1" si="17"/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7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7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7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7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7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7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7"/>
        <v>0</v>
      </c>
      <c r="S514" s="5">
        <f t="shared" ref="S514:S577" si="18">_xlfn.XLOOKUP(O514,AE:AE,AG:AG)</f>
        <v>0</v>
      </c>
      <c r="T514" s="1"/>
      <c r="U514" s="5"/>
    </row>
    <row r="515" spans="15:21">
      <c r="O515" s="9"/>
      <c r="R515" s="10">
        <f t="shared" ca="1" si="17"/>
        <v>0</v>
      </c>
      <c r="S515" s="5">
        <f t="shared" si="18"/>
        <v>0</v>
      </c>
      <c r="T515" s="1"/>
      <c r="U515" s="5"/>
    </row>
    <row r="516" spans="15:21">
      <c r="O516" s="9"/>
      <c r="R516" s="10">
        <f t="shared" ca="1" si="17"/>
        <v>0</v>
      </c>
      <c r="S516" s="5">
        <f t="shared" si="18"/>
        <v>0</v>
      </c>
      <c r="T516" s="1"/>
      <c r="U516" s="5"/>
    </row>
    <row r="517" spans="15:21">
      <c r="O517" s="9"/>
      <c r="R517" s="10">
        <f t="shared" ca="1" si="17"/>
        <v>0</v>
      </c>
      <c r="S517" s="5">
        <f t="shared" si="18"/>
        <v>0</v>
      </c>
      <c r="T517" s="1"/>
      <c r="U517" s="5"/>
    </row>
    <row r="518" spans="15:21">
      <c r="O518" s="9"/>
      <c r="R518" s="10">
        <f t="shared" ca="1" si="17"/>
        <v>0</v>
      </c>
      <c r="S518" s="5">
        <f t="shared" si="18"/>
        <v>0</v>
      </c>
      <c r="T518" s="1"/>
      <c r="U518" s="5"/>
    </row>
    <row r="519" spans="15:21">
      <c r="O519" s="9"/>
      <c r="R519" s="10">
        <f t="shared" ref="R519:R526" ca="1" si="19">Q519/$AC$4</f>
        <v>0</v>
      </c>
      <c r="S519" s="5">
        <f t="shared" si="18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18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18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18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18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18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18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18"/>
        <v>0</v>
      </c>
      <c r="T526" s="1"/>
      <c r="U526" s="5"/>
    </row>
    <row r="527" spans="15:21">
      <c r="O527" s="9"/>
      <c r="R527" s="10">
        <f t="shared" ref="R527:R550" ca="1" si="20">Q527/$AC$4</f>
        <v>0</v>
      </c>
      <c r="S527" s="5">
        <f t="shared" si="18"/>
        <v>0</v>
      </c>
      <c r="T527" s="1"/>
      <c r="U527" s="5"/>
    </row>
    <row r="528" spans="15:21">
      <c r="O528" s="9"/>
      <c r="R528" s="10">
        <f t="shared" ca="1" si="20"/>
        <v>0</v>
      </c>
      <c r="S528" s="5">
        <f t="shared" si="18"/>
        <v>0</v>
      </c>
      <c r="T528" s="1"/>
      <c r="U528" s="5"/>
    </row>
    <row r="529" spans="15:21">
      <c r="O529" s="9"/>
      <c r="R529" s="10">
        <f t="shared" ca="1" si="20"/>
        <v>0</v>
      </c>
      <c r="S529" s="5">
        <f t="shared" si="18"/>
        <v>0</v>
      </c>
      <c r="T529" s="1"/>
      <c r="U529" s="5"/>
    </row>
    <row r="530" spans="15:21">
      <c r="O530" s="9"/>
      <c r="R530" s="10">
        <f t="shared" ca="1" si="20"/>
        <v>0</v>
      </c>
      <c r="S530" s="5">
        <f t="shared" si="18"/>
        <v>0</v>
      </c>
      <c r="T530" s="1"/>
      <c r="U530" s="5"/>
    </row>
    <row r="531" spans="15:21">
      <c r="O531" s="9"/>
      <c r="R531" s="10">
        <f t="shared" ca="1" si="20"/>
        <v>0</v>
      </c>
      <c r="S531" s="5">
        <f t="shared" si="18"/>
        <v>0</v>
      </c>
      <c r="T531" s="1"/>
      <c r="U531" s="5"/>
    </row>
    <row r="532" spans="15:21">
      <c r="O532" s="9"/>
      <c r="R532" s="10">
        <f t="shared" ca="1" si="20"/>
        <v>0</v>
      </c>
      <c r="S532" s="5">
        <f t="shared" si="18"/>
        <v>0</v>
      </c>
      <c r="T532" s="1"/>
      <c r="U532" s="5"/>
    </row>
    <row r="533" spans="15:21">
      <c r="O533" s="9"/>
      <c r="R533" s="10">
        <f t="shared" ca="1" si="20"/>
        <v>0</v>
      </c>
      <c r="S533" s="5">
        <f t="shared" si="18"/>
        <v>0</v>
      </c>
      <c r="T533" s="1"/>
      <c r="U533" s="5"/>
    </row>
    <row r="534" spans="15:21">
      <c r="O534" s="9"/>
      <c r="R534" s="10">
        <f t="shared" ca="1" si="20"/>
        <v>0</v>
      </c>
      <c r="S534" s="5">
        <f t="shared" si="18"/>
        <v>0</v>
      </c>
      <c r="T534" s="1"/>
      <c r="U534" s="5"/>
    </row>
    <row r="535" spans="15:21">
      <c r="O535" s="9"/>
      <c r="R535" s="10">
        <f t="shared" ca="1" si="20"/>
        <v>0</v>
      </c>
      <c r="S535" s="5">
        <f t="shared" si="18"/>
        <v>0</v>
      </c>
      <c r="T535" s="1"/>
      <c r="U535" s="5"/>
    </row>
    <row r="536" spans="15:21">
      <c r="O536" s="9"/>
      <c r="R536" s="10">
        <f t="shared" ca="1" si="20"/>
        <v>0</v>
      </c>
      <c r="S536" s="5">
        <f t="shared" si="18"/>
        <v>0</v>
      </c>
      <c r="T536" s="1"/>
      <c r="U536" s="5"/>
    </row>
    <row r="537" spans="15:21">
      <c r="O537" s="9"/>
      <c r="R537" s="10">
        <f t="shared" ca="1" si="20"/>
        <v>0</v>
      </c>
      <c r="S537" s="5">
        <f t="shared" si="18"/>
        <v>0</v>
      </c>
      <c r="T537" s="1"/>
      <c r="U537" s="5"/>
    </row>
    <row r="538" spans="15:21">
      <c r="O538" s="9"/>
      <c r="R538" s="10">
        <f t="shared" ca="1" si="20"/>
        <v>0</v>
      </c>
      <c r="S538" s="5">
        <f t="shared" si="18"/>
        <v>0</v>
      </c>
      <c r="T538" s="1"/>
      <c r="U538" s="5"/>
    </row>
    <row r="539" spans="15:21">
      <c r="O539" s="9"/>
      <c r="R539" s="10">
        <f t="shared" ca="1" si="20"/>
        <v>0</v>
      </c>
      <c r="S539" s="5">
        <f t="shared" si="18"/>
        <v>0</v>
      </c>
      <c r="T539" s="1"/>
      <c r="U539" s="5"/>
    </row>
    <row r="540" spans="15:21">
      <c r="O540" s="9"/>
      <c r="R540" s="10">
        <f t="shared" ca="1" si="20"/>
        <v>0</v>
      </c>
      <c r="S540" s="5">
        <f t="shared" si="18"/>
        <v>0</v>
      </c>
      <c r="T540" s="1"/>
      <c r="U540" s="5"/>
    </row>
    <row r="541" spans="15:21">
      <c r="O541" s="9"/>
      <c r="R541" s="10">
        <f t="shared" ca="1" si="20"/>
        <v>0</v>
      </c>
      <c r="S541" s="5">
        <f t="shared" si="18"/>
        <v>0</v>
      </c>
      <c r="T541" s="1"/>
      <c r="U541" s="5"/>
    </row>
    <row r="542" spans="15:21">
      <c r="O542" s="9"/>
      <c r="R542" s="10">
        <f t="shared" ca="1" si="20"/>
        <v>0</v>
      </c>
      <c r="S542" s="5">
        <f t="shared" si="18"/>
        <v>0</v>
      </c>
      <c r="T542" s="1"/>
      <c r="U542" s="5"/>
    </row>
    <row r="543" spans="15:21">
      <c r="O543" s="9"/>
      <c r="R543" s="10">
        <f t="shared" ca="1" si="20"/>
        <v>0</v>
      </c>
      <c r="S543" s="5">
        <f t="shared" si="18"/>
        <v>0</v>
      </c>
      <c r="T543" s="1"/>
      <c r="U543" s="5"/>
    </row>
    <row r="544" spans="15:21">
      <c r="O544" s="9"/>
      <c r="R544" s="10">
        <f t="shared" ca="1" si="20"/>
        <v>0</v>
      </c>
      <c r="S544" s="5">
        <f t="shared" si="18"/>
        <v>0</v>
      </c>
      <c r="T544" s="1"/>
      <c r="U544" s="5"/>
    </row>
    <row r="545" spans="15:21">
      <c r="O545" s="9"/>
      <c r="R545" s="10">
        <f t="shared" ca="1" si="20"/>
        <v>0</v>
      </c>
      <c r="S545" s="5">
        <f t="shared" si="18"/>
        <v>0</v>
      </c>
      <c r="T545" s="1"/>
      <c r="U545" s="5"/>
    </row>
    <row r="546" spans="15:21">
      <c r="O546" s="9"/>
      <c r="R546" s="10">
        <f t="shared" ca="1" si="20"/>
        <v>0</v>
      </c>
      <c r="S546" s="5">
        <f t="shared" si="18"/>
        <v>0</v>
      </c>
      <c r="T546" s="1"/>
      <c r="U546" s="5"/>
    </row>
    <row r="547" spans="15:21">
      <c r="O547" s="9"/>
      <c r="R547" s="10">
        <f t="shared" ca="1" si="20"/>
        <v>0</v>
      </c>
      <c r="S547" s="5">
        <f t="shared" si="18"/>
        <v>0</v>
      </c>
      <c r="T547" s="1"/>
      <c r="U547" s="5"/>
    </row>
    <row r="548" spans="15:21">
      <c r="O548" s="9"/>
      <c r="R548" s="10">
        <f t="shared" ca="1" si="20"/>
        <v>0</v>
      </c>
      <c r="S548" s="5">
        <f t="shared" si="18"/>
        <v>0</v>
      </c>
      <c r="T548" s="1"/>
      <c r="U548" s="5"/>
    </row>
    <row r="549" spans="15:21">
      <c r="O549" s="9"/>
      <c r="R549" s="10">
        <f t="shared" ca="1" si="20"/>
        <v>0</v>
      </c>
      <c r="S549" s="5">
        <f t="shared" si="18"/>
        <v>0</v>
      </c>
      <c r="T549" s="1"/>
      <c r="U549" s="5"/>
    </row>
    <row r="550" spans="15:21">
      <c r="O550" s="9"/>
      <c r="R550" s="10">
        <f t="shared" ca="1" si="20"/>
        <v>0</v>
      </c>
      <c r="S550" s="5">
        <f t="shared" si="18"/>
        <v>0</v>
      </c>
      <c r="T550" s="1"/>
      <c r="U550" s="5"/>
    </row>
    <row r="551" spans="15:21">
      <c r="O551" s="9"/>
      <c r="R551" s="10">
        <f t="shared" ref="R551:R614" ca="1" si="21">Q551/$AC$4</f>
        <v>0</v>
      </c>
      <c r="S551" s="5">
        <f t="shared" si="18"/>
        <v>0</v>
      </c>
      <c r="T551" s="1"/>
      <c r="U551" s="5"/>
    </row>
    <row r="552" spans="15:21">
      <c r="O552" s="9"/>
      <c r="R552" s="10">
        <f t="shared" ca="1" si="21"/>
        <v>0</v>
      </c>
      <c r="S552" s="5">
        <f t="shared" si="18"/>
        <v>0</v>
      </c>
      <c r="T552" s="1"/>
      <c r="U552" s="5"/>
    </row>
    <row r="553" spans="15:21">
      <c r="O553" s="9"/>
      <c r="R553" s="10">
        <f t="shared" ca="1" si="21"/>
        <v>0</v>
      </c>
      <c r="S553" s="5">
        <f t="shared" si="18"/>
        <v>0</v>
      </c>
      <c r="T553" s="1"/>
      <c r="U553" s="5"/>
    </row>
    <row r="554" spans="15:21">
      <c r="O554" s="9"/>
      <c r="R554" s="10">
        <f t="shared" ca="1" si="21"/>
        <v>0</v>
      </c>
      <c r="S554" s="5">
        <f t="shared" si="18"/>
        <v>0</v>
      </c>
      <c r="T554" s="1"/>
      <c r="U554" s="5"/>
    </row>
    <row r="555" spans="15:21">
      <c r="O555" s="9"/>
      <c r="R555" s="10">
        <f t="shared" ca="1" si="21"/>
        <v>0</v>
      </c>
      <c r="S555" s="5">
        <f t="shared" si="18"/>
        <v>0</v>
      </c>
      <c r="T555" s="1"/>
      <c r="U555" s="5"/>
    </row>
    <row r="556" spans="15:21">
      <c r="O556" s="9"/>
      <c r="R556" s="10">
        <f t="shared" ca="1" si="21"/>
        <v>0</v>
      </c>
      <c r="S556" s="5">
        <f t="shared" si="18"/>
        <v>0</v>
      </c>
      <c r="T556" s="1"/>
      <c r="U556" s="5"/>
    </row>
    <row r="557" spans="15:21">
      <c r="O557" s="9"/>
      <c r="R557" s="10">
        <f t="shared" ca="1" si="21"/>
        <v>0</v>
      </c>
      <c r="S557" s="5">
        <f t="shared" si="18"/>
        <v>0</v>
      </c>
      <c r="T557" s="1"/>
      <c r="U557" s="5"/>
    </row>
    <row r="558" spans="15:21">
      <c r="O558" s="9"/>
      <c r="R558" s="10">
        <f t="shared" ca="1" si="21"/>
        <v>0</v>
      </c>
      <c r="S558" s="5">
        <f t="shared" si="18"/>
        <v>0</v>
      </c>
      <c r="T558" s="1"/>
      <c r="U558" s="5"/>
    </row>
    <row r="559" spans="15:21">
      <c r="O559" s="9"/>
      <c r="R559" s="10">
        <f t="shared" ca="1" si="21"/>
        <v>0</v>
      </c>
      <c r="S559" s="5">
        <f t="shared" si="18"/>
        <v>0</v>
      </c>
      <c r="T559" s="1"/>
      <c r="U559" s="5"/>
    </row>
    <row r="560" spans="15:21">
      <c r="O560" s="9"/>
      <c r="R560" s="10">
        <f t="shared" ca="1" si="21"/>
        <v>0</v>
      </c>
      <c r="S560" s="5">
        <f t="shared" si="18"/>
        <v>0</v>
      </c>
      <c r="T560" s="1"/>
      <c r="U560" s="5"/>
    </row>
    <row r="561" spans="15:21">
      <c r="O561" s="9"/>
      <c r="R561" s="10">
        <f t="shared" ca="1" si="21"/>
        <v>0</v>
      </c>
      <c r="S561" s="5">
        <f t="shared" si="18"/>
        <v>0</v>
      </c>
      <c r="T561" s="1"/>
      <c r="U561" s="5"/>
    </row>
    <row r="562" spans="15:21">
      <c r="O562" s="9"/>
      <c r="R562" s="10">
        <f t="shared" ca="1" si="21"/>
        <v>0</v>
      </c>
      <c r="S562" s="5">
        <f t="shared" si="18"/>
        <v>0</v>
      </c>
      <c r="T562" s="1"/>
      <c r="U562" s="5"/>
    </row>
    <row r="563" spans="15:21">
      <c r="O563" s="9"/>
      <c r="R563" s="10">
        <f t="shared" ca="1" si="21"/>
        <v>0</v>
      </c>
      <c r="S563" s="5">
        <f t="shared" si="18"/>
        <v>0</v>
      </c>
      <c r="T563" s="1"/>
      <c r="U563" s="5"/>
    </row>
    <row r="564" spans="15:21">
      <c r="O564" s="9"/>
      <c r="R564" s="10">
        <f t="shared" ca="1" si="21"/>
        <v>0</v>
      </c>
      <c r="S564" s="5">
        <f t="shared" si="18"/>
        <v>0</v>
      </c>
      <c r="T564" s="1"/>
      <c r="U564" s="5"/>
    </row>
    <row r="565" spans="15:21">
      <c r="O565" s="9"/>
      <c r="R565" s="10">
        <f t="shared" ca="1" si="21"/>
        <v>0</v>
      </c>
      <c r="S565" s="5">
        <f t="shared" si="18"/>
        <v>0</v>
      </c>
      <c r="T565" s="1"/>
      <c r="U565" s="5"/>
    </row>
    <row r="566" spans="15:21">
      <c r="O566" s="9"/>
      <c r="R566" s="10">
        <f t="shared" ca="1" si="21"/>
        <v>0</v>
      </c>
      <c r="S566" s="5">
        <f t="shared" si="18"/>
        <v>0</v>
      </c>
      <c r="T566" s="1"/>
      <c r="U566" s="5"/>
    </row>
    <row r="567" spans="15:21">
      <c r="R567" s="10">
        <f t="shared" ca="1" si="21"/>
        <v>0</v>
      </c>
      <c r="S567" s="5">
        <f t="shared" si="18"/>
        <v>0</v>
      </c>
      <c r="T567" s="1"/>
      <c r="U567" s="5"/>
    </row>
    <row r="568" spans="15:21">
      <c r="R568" s="10">
        <f t="shared" ca="1" si="21"/>
        <v>0</v>
      </c>
      <c r="S568" s="5">
        <f t="shared" si="18"/>
        <v>0</v>
      </c>
      <c r="T568" s="1"/>
      <c r="U568" s="5"/>
    </row>
    <row r="569" spans="15:21">
      <c r="R569" s="10">
        <f t="shared" ca="1" si="21"/>
        <v>0</v>
      </c>
      <c r="S569" s="5">
        <f t="shared" si="18"/>
        <v>0</v>
      </c>
      <c r="T569" s="1"/>
      <c r="U569" s="5"/>
    </row>
    <row r="570" spans="15:21">
      <c r="R570" s="10">
        <f t="shared" ca="1" si="21"/>
        <v>0</v>
      </c>
      <c r="S570" s="5">
        <f t="shared" si="18"/>
        <v>0</v>
      </c>
      <c r="T570" s="1"/>
      <c r="U570" s="5"/>
    </row>
    <row r="571" spans="15:21">
      <c r="R571" s="10">
        <f t="shared" ca="1" si="21"/>
        <v>0</v>
      </c>
      <c r="S571" s="5">
        <f t="shared" si="18"/>
        <v>0</v>
      </c>
      <c r="T571" s="1"/>
      <c r="U571" s="5"/>
    </row>
    <row r="572" spans="15:21">
      <c r="R572" s="10">
        <f t="shared" ca="1" si="21"/>
        <v>0</v>
      </c>
      <c r="S572" s="5">
        <f t="shared" si="18"/>
        <v>0</v>
      </c>
      <c r="T572" s="1"/>
      <c r="U572" s="5"/>
    </row>
    <row r="573" spans="15:21">
      <c r="R573" s="10">
        <f t="shared" ca="1" si="21"/>
        <v>0</v>
      </c>
      <c r="S573" s="5">
        <f t="shared" si="18"/>
        <v>0</v>
      </c>
      <c r="T573" s="1"/>
      <c r="U573" s="5"/>
    </row>
    <row r="574" spans="15:21">
      <c r="R574" s="10">
        <f t="shared" ca="1" si="21"/>
        <v>0</v>
      </c>
      <c r="S574" s="5">
        <f t="shared" si="18"/>
        <v>0</v>
      </c>
      <c r="T574" s="1"/>
      <c r="U574" s="5"/>
    </row>
    <row r="575" spans="15:21">
      <c r="R575" s="10">
        <f t="shared" ca="1" si="21"/>
        <v>0</v>
      </c>
      <c r="S575" s="5">
        <f t="shared" si="18"/>
        <v>0</v>
      </c>
      <c r="T575" s="1"/>
      <c r="U575" s="5"/>
    </row>
    <row r="576" spans="15:21">
      <c r="R576" s="10">
        <f t="shared" ca="1" si="21"/>
        <v>0</v>
      </c>
      <c r="S576" s="5">
        <f t="shared" si="18"/>
        <v>0</v>
      </c>
      <c r="T576" s="1"/>
      <c r="U576" s="5"/>
    </row>
    <row r="577" spans="18:21">
      <c r="R577" s="10">
        <f t="shared" ca="1" si="21"/>
        <v>0</v>
      </c>
      <c r="S577" s="5">
        <f t="shared" si="18"/>
        <v>0</v>
      </c>
      <c r="T577" s="1"/>
      <c r="U577" s="5"/>
    </row>
    <row r="578" spans="18:21">
      <c r="R578" s="10">
        <f t="shared" ca="1" si="21"/>
        <v>0</v>
      </c>
      <c r="S578" s="5">
        <f t="shared" ref="S578:S638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ca="1" si="21"/>
        <v>0</v>
      </c>
      <c r="S595" s="5">
        <f t="shared" si="22"/>
        <v>0</v>
      </c>
      <c r="T595" s="1"/>
      <c r="U595" s="5"/>
    </row>
    <row r="596" spans="18:21">
      <c r="R596" s="10">
        <f t="shared" ca="1" si="21"/>
        <v>0</v>
      </c>
      <c r="S596" s="5">
        <f t="shared" si="22"/>
        <v>0</v>
      </c>
      <c r="T596" s="1"/>
      <c r="U596" s="5"/>
    </row>
    <row r="597" spans="18:21">
      <c r="R597" s="10">
        <f t="shared" ca="1" si="21"/>
        <v>0</v>
      </c>
      <c r="S597" s="5">
        <f t="shared" si="22"/>
        <v>0</v>
      </c>
      <c r="T597" s="1"/>
      <c r="U597" s="5"/>
    </row>
    <row r="598" spans="18:21">
      <c r="R598" s="10">
        <f t="shared" ca="1" si="21"/>
        <v>0</v>
      </c>
      <c r="S598" s="5">
        <f t="shared" si="22"/>
        <v>0</v>
      </c>
      <c r="T598" s="1"/>
      <c r="U598" s="5"/>
    </row>
    <row r="599" spans="18:21">
      <c r="R599" s="10">
        <f t="shared" ca="1" si="21"/>
        <v>0</v>
      </c>
      <c r="S599" s="5">
        <f t="shared" si="22"/>
        <v>0</v>
      </c>
      <c r="T599" s="1"/>
      <c r="U599" s="5"/>
    </row>
    <row r="600" spans="18:21">
      <c r="R600" s="10">
        <f t="shared" ca="1" si="21"/>
        <v>0</v>
      </c>
      <c r="S600" s="5">
        <f t="shared" si="22"/>
        <v>0</v>
      </c>
      <c r="T600" s="1"/>
      <c r="U600" s="5"/>
    </row>
    <row r="601" spans="18:21">
      <c r="R601" s="10">
        <f t="shared" ca="1" si="21"/>
        <v>0</v>
      </c>
      <c r="S601" s="5">
        <f t="shared" si="22"/>
        <v>0</v>
      </c>
      <c r="T601" s="1"/>
      <c r="U601" s="5"/>
    </row>
    <row r="602" spans="18:21">
      <c r="R602" s="10">
        <f t="shared" ca="1" si="21"/>
        <v>0</v>
      </c>
      <c r="S602" s="5">
        <f t="shared" si="22"/>
        <v>0</v>
      </c>
      <c r="T602" s="1"/>
      <c r="U602" s="5"/>
    </row>
    <row r="603" spans="18:21">
      <c r="R603" s="10">
        <f t="shared" ca="1" si="21"/>
        <v>0</v>
      </c>
      <c r="S603" s="5">
        <f t="shared" si="22"/>
        <v>0</v>
      </c>
      <c r="T603" s="1"/>
      <c r="U603" s="5"/>
    </row>
    <row r="604" spans="18:21">
      <c r="R604" s="10">
        <f t="shared" ca="1" si="21"/>
        <v>0</v>
      </c>
      <c r="S604" s="5">
        <f t="shared" si="22"/>
        <v>0</v>
      </c>
      <c r="T604" s="1"/>
      <c r="U604" s="5"/>
    </row>
    <row r="605" spans="18:21">
      <c r="R605" s="10">
        <f t="shared" ca="1" si="21"/>
        <v>0</v>
      </c>
      <c r="S605" s="5">
        <f t="shared" si="22"/>
        <v>0</v>
      </c>
      <c r="T605" s="1"/>
      <c r="U605" s="5"/>
    </row>
    <row r="606" spans="18:21">
      <c r="R606" s="10">
        <f t="shared" ca="1" si="21"/>
        <v>0</v>
      </c>
      <c r="S606" s="5">
        <f t="shared" si="22"/>
        <v>0</v>
      </c>
      <c r="T606" s="1"/>
      <c r="U606" s="5"/>
    </row>
    <row r="607" spans="18:21">
      <c r="R607" s="10">
        <f t="shared" ca="1" si="21"/>
        <v>0</v>
      </c>
      <c r="S607" s="5">
        <f t="shared" si="22"/>
        <v>0</v>
      </c>
      <c r="T607" s="1"/>
      <c r="U607" s="5"/>
    </row>
    <row r="608" spans="18:21">
      <c r="R608" s="10">
        <f t="shared" ca="1" si="21"/>
        <v>0</v>
      </c>
      <c r="S608" s="5">
        <f t="shared" si="22"/>
        <v>0</v>
      </c>
      <c r="T608" s="1"/>
      <c r="U608" s="5"/>
    </row>
    <row r="609" spans="18:21">
      <c r="R609" s="10">
        <f t="shared" ca="1" si="21"/>
        <v>0</v>
      </c>
      <c r="S609" s="5">
        <f t="shared" si="22"/>
        <v>0</v>
      </c>
      <c r="T609" s="1"/>
      <c r="U609" s="5"/>
    </row>
    <row r="610" spans="18:21">
      <c r="R610" s="10">
        <f t="shared" ca="1" si="21"/>
        <v>0</v>
      </c>
      <c r="S610" s="5">
        <f t="shared" si="22"/>
        <v>0</v>
      </c>
      <c r="T610" s="1"/>
      <c r="U610" s="5"/>
    </row>
    <row r="611" spans="18:21">
      <c r="R611" s="10">
        <f t="shared" ca="1" si="21"/>
        <v>0</v>
      </c>
      <c r="S611" s="5">
        <f t="shared" si="22"/>
        <v>0</v>
      </c>
      <c r="T611" s="1"/>
      <c r="U611" s="5"/>
    </row>
    <row r="612" spans="18:21">
      <c r="R612" s="10">
        <f t="shared" ca="1" si="21"/>
        <v>0</v>
      </c>
      <c r="S612" s="5">
        <f t="shared" si="22"/>
        <v>0</v>
      </c>
      <c r="T612" s="1"/>
      <c r="U612" s="5"/>
    </row>
    <row r="613" spans="18:21">
      <c r="R613" s="10">
        <f t="shared" ca="1" si="21"/>
        <v>0</v>
      </c>
      <c r="S613" s="5">
        <f t="shared" si="22"/>
        <v>0</v>
      </c>
      <c r="T613" s="1"/>
      <c r="U613" s="5"/>
    </row>
    <row r="614" spans="18:21">
      <c r="R614" s="10">
        <f t="shared" ca="1" si="21"/>
        <v>0</v>
      </c>
      <c r="S614" s="5">
        <f t="shared" si="22"/>
        <v>0</v>
      </c>
      <c r="T614" s="1"/>
      <c r="U614" s="5"/>
    </row>
    <row r="615" spans="18:21">
      <c r="R615" s="10">
        <f t="shared" ref="R615:R662" ca="1" si="23">Q615/$AC$4</f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ref="S639:S662" si="24">_xlfn.XLOOKUP(O639,AE:AE,AG:AG)</f>
        <v>0</v>
      </c>
      <c r="T639" s="1"/>
      <c r="U639" s="5"/>
    </row>
    <row r="640" spans="18:21">
      <c r="R640" s="10">
        <f t="shared" ca="1" si="23"/>
        <v>0</v>
      </c>
      <c r="S640" s="5">
        <f t="shared" si="24"/>
        <v>0</v>
      </c>
      <c r="T640" s="1"/>
      <c r="U640" s="5"/>
    </row>
    <row r="641" spans="18:21">
      <c r="R641" s="10">
        <f t="shared" ca="1" si="23"/>
        <v>0</v>
      </c>
      <c r="S641" s="5">
        <f t="shared" si="24"/>
        <v>0</v>
      </c>
      <c r="T641" s="1"/>
      <c r="U641" s="5"/>
    </row>
    <row r="642" spans="18:21">
      <c r="R642" s="10">
        <f t="shared" ca="1" si="23"/>
        <v>0</v>
      </c>
      <c r="S642" s="5">
        <f t="shared" si="24"/>
        <v>0</v>
      </c>
      <c r="T642" s="1"/>
      <c r="U642" s="5"/>
    </row>
    <row r="643" spans="18:21">
      <c r="R643" s="10">
        <f t="shared" ca="1" si="23"/>
        <v>0</v>
      </c>
      <c r="S643" s="5">
        <f t="shared" si="24"/>
        <v>0</v>
      </c>
      <c r="T643" s="1"/>
      <c r="U643" s="5"/>
    </row>
    <row r="644" spans="18:21">
      <c r="R644" s="10">
        <f t="shared" ca="1" si="23"/>
        <v>0</v>
      </c>
      <c r="S644" s="5">
        <f t="shared" si="24"/>
        <v>0</v>
      </c>
      <c r="T644" s="1"/>
      <c r="U644" s="5"/>
    </row>
    <row r="645" spans="18:21">
      <c r="R645" s="10">
        <f t="shared" ca="1" si="23"/>
        <v>0</v>
      </c>
      <c r="S645" s="5">
        <f t="shared" si="24"/>
        <v>0</v>
      </c>
      <c r="T645" s="1"/>
      <c r="U645" s="5"/>
    </row>
    <row r="646" spans="18:21">
      <c r="R646" s="10">
        <f t="shared" ca="1" si="23"/>
        <v>0</v>
      </c>
      <c r="S646" s="5">
        <f t="shared" si="24"/>
        <v>0</v>
      </c>
      <c r="T646" s="1"/>
      <c r="U646" s="5"/>
    </row>
    <row r="647" spans="18:21">
      <c r="R647" s="10">
        <f t="shared" ca="1" si="23"/>
        <v>0</v>
      </c>
      <c r="S647" s="5">
        <f t="shared" si="24"/>
        <v>0</v>
      </c>
      <c r="T647" s="1"/>
      <c r="U647" s="5"/>
    </row>
    <row r="648" spans="18:21">
      <c r="R648" s="10">
        <f t="shared" ca="1" si="23"/>
        <v>0</v>
      </c>
      <c r="S648" s="5">
        <f t="shared" si="24"/>
        <v>0</v>
      </c>
      <c r="T648" s="1"/>
      <c r="U648" s="5"/>
    </row>
    <row r="649" spans="18:21">
      <c r="R649" s="10">
        <f t="shared" ca="1" si="23"/>
        <v>0</v>
      </c>
      <c r="S649" s="5">
        <f t="shared" si="24"/>
        <v>0</v>
      </c>
      <c r="T649" s="1"/>
      <c r="U649" s="5"/>
    </row>
    <row r="650" spans="18:21">
      <c r="R650" s="10">
        <f t="shared" ca="1" si="23"/>
        <v>0</v>
      </c>
      <c r="S650" s="5">
        <f t="shared" si="24"/>
        <v>0</v>
      </c>
      <c r="T650" s="1"/>
      <c r="U650" s="5"/>
    </row>
    <row r="651" spans="18:21">
      <c r="R651" s="10">
        <f t="shared" ca="1" si="23"/>
        <v>0</v>
      </c>
      <c r="S651" s="5">
        <f t="shared" si="24"/>
        <v>0</v>
      </c>
      <c r="T651" s="1"/>
      <c r="U651" s="5"/>
    </row>
    <row r="652" spans="18:21">
      <c r="R652" s="10">
        <f t="shared" ca="1" si="23"/>
        <v>0</v>
      </c>
      <c r="S652" s="5">
        <f t="shared" si="24"/>
        <v>0</v>
      </c>
      <c r="T652" s="1"/>
      <c r="U652" s="5"/>
    </row>
    <row r="653" spans="18:21">
      <c r="R653" s="10">
        <f t="shared" ca="1" si="23"/>
        <v>0</v>
      </c>
      <c r="S653" s="5">
        <f t="shared" si="24"/>
        <v>0</v>
      </c>
      <c r="T653" s="1"/>
      <c r="U653" s="5"/>
    </row>
    <row r="654" spans="18:21">
      <c r="R654" s="10">
        <f t="shared" ca="1" si="23"/>
        <v>0</v>
      </c>
      <c r="S654" s="5">
        <f t="shared" si="24"/>
        <v>0</v>
      </c>
      <c r="T654" s="1"/>
      <c r="U654" s="5"/>
    </row>
    <row r="655" spans="18:21">
      <c r="R655" s="10">
        <f t="shared" ca="1" si="23"/>
        <v>0</v>
      </c>
      <c r="S655" s="5">
        <f t="shared" si="24"/>
        <v>0</v>
      </c>
      <c r="T655" s="1"/>
      <c r="U655" s="5"/>
    </row>
    <row r="656" spans="18:21">
      <c r="R656" s="10">
        <f t="shared" ca="1" si="23"/>
        <v>0</v>
      </c>
      <c r="S656" s="5">
        <f t="shared" si="24"/>
        <v>0</v>
      </c>
      <c r="T656" s="1"/>
      <c r="U656" s="5"/>
    </row>
    <row r="657" spans="18:21">
      <c r="R657" s="10">
        <f t="shared" ca="1" si="23"/>
        <v>0</v>
      </c>
      <c r="S657" s="5">
        <f t="shared" si="24"/>
        <v>0</v>
      </c>
      <c r="T657" s="1"/>
      <c r="U657" s="5"/>
    </row>
    <row r="658" spans="18:21">
      <c r="R658" s="10">
        <f t="shared" ca="1" si="23"/>
        <v>0</v>
      </c>
      <c r="S658" s="5">
        <f t="shared" si="24"/>
        <v>0</v>
      </c>
      <c r="T658" s="1"/>
      <c r="U658" s="5"/>
    </row>
    <row r="659" spans="18:21">
      <c r="R659" s="10">
        <f t="shared" ca="1" si="23"/>
        <v>0</v>
      </c>
      <c r="S659" s="5">
        <f t="shared" si="24"/>
        <v>0</v>
      </c>
      <c r="T659" s="1"/>
      <c r="U659" s="5"/>
    </row>
    <row r="660" spans="18:21">
      <c r="R660" s="10">
        <f t="shared" ca="1" si="23"/>
        <v>0</v>
      </c>
      <c r="S660" s="5">
        <f t="shared" si="24"/>
        <v>0</v>
      </c>
      <c r="T660" s="1"/>
      <c r="U660" s="5"/>
    </row>
    <row r="661" spans="18:21">
      <c r="R661" s="10">
        <f t="shared" ca="1" si="23"/>
        <v>0</v>
      </c>
      <c r="S661" s="5">
        <f t="shared" si="24"/>
        <v>0</v>
      </c>
      <c r="T661" s="1"/>
      <c r="U661" s="5"/>
    </row>
    <row r="662" spans="18:21">
      <c r="R662" s="10">
        <f t="shared" ca="1" si="23"/>
        <v>0</v>
      </c>
      <c r="S662" s="5">
        <f t="shared" si="24"/>
        <v>0</v>
      </c>
      <c r="T662" s="1"/>
      <c r="U662" s="5"/>
    </row>
    <row r="663" spans="18:21">
      <c r="R663" s="10">
        <f t="shared" ca="1" si="12"/>
        <v>0</v>
      </c>
      <c r="S663" s="5">
        <f t="shared" ref="S663:S694" si="25">_xlfn.XLOOKUP(O663,AE:AE,AG:AG)</f>
        <v>0</v>
      </c>
      <c r="T663" s="1"/>
      <c r="U663" s="5"/>
    </row>
    <row r="664" spans="18:21">
      <c r="R664" s="10">
        <f t="shared" ca="1" si="12"/>
        <v>0</v>
      </c>
      <c r="S664" s="5">
        <f t="shared" si="25"/>
        <v>0</v>
      </c>
      <c r="T664" s="1"/>
      <c r="U664" s="5"/>
    </row>
    <row r="665" spans="18:21">
      <c r="R665" s="10">
        <f t="shared" ca="1" si="12"/>
        <v>0</v>
      </c>
      <c r="S665" s="5">
        <f t="shared" si="25"/>
        <v>0</v>
      </c>
      <c r="T665" s="1"/>
      <c r="U665" s="5"/>
    </row>
    <row r="666" spans="18:21">
      <c r="R666" s="10">
        <f t="shared" ca="1" si="12"/>
        <v>0</v>
      </c>
      <c r="S666" s="5">
        <f t="shared" si="25"/>
        <v>0</v>
      </c>
      <c r="T666" s="1"/>
      <c r="U666" s="5"/>
    </row>
    <row r="667" spans="18:21">
      <c r="R667" s="10">
        <f t="shared" ca="1" si="12"/>
        <v>0</v>
      </c>
      <c r="S667" s="5">
        <f t="shared" si="25"/>
        <v>0</v>
      </c>
      <c r="T667" s="1"/>
      <c r="U667" s="5"/>
    </row>
    <row r="668" spans="18:21">
      <c r="R668" s="10">
        <f t="shared" ca="1" si="12"/>
        <v>0</v>
      </c>
      <c r="S668" s="5">
        <f t="shared" si="25"/>
        <v>0</v>
      </c>
      <c r="T668" s="1"/>
      <c r="U668" s="5"/>
    </row>
    <row r="669" spans="18:21">
      <c r="R669" s="10">
        <f t="shared" ca="1" si="12"/>
        <v>0</v>
      </c>
      <c r="S669" s="5">
        <f t="shared" si="25"/>
        <v>0</v>
      </c>
      <c r="T669" s="1"/>
      <c r="U669" s="5"/>
    </row>
    <row r="670" spans="18:21">
      <c r="R670" s="10">
        <f t="shared" ca="1" si="12"/>
        <v>0</v>
      </c>
      <c r="S670" s="5">
        <f t="shared" si="25"/>
        <v>0</v>
      </c>
      <c r="T670" s="1"/>
      <c r="U670" s="5"/>
    </row>
    <row r="671" spans="18:21">
      <c r="R671" s="10">
        <f t="shared" ca="1" si="12"/>
        <v>0</v>
      </c>
      <c r="S671" s="5">
        <f t="shared" si="25"/>
        <v>0</v>
      </c>
      <c r="T671" s="1"/>
      <c r="U671" s="5"/>
    </row>
    <row r="672" spans="18:21">
      <c r="R672" s="10">
        <f t="shared" ca="1" si="12"/>
        <v>0</v>
      </c>
      <c r="S672" s="5">
        <f t="shared" si="25"/>
        <v>0</v>
      </c>
      <c r="T672" s="1"/>
      <c r="U672" s="5"/>
    </row>
    <row r="673" spans="18:21">
      <c r="R673" s="10">
        <f t="shared" ca="1" si="12"/>
        <v>0</v>
      </c>
      <c r="S673" s="5">
        <f t="shared" si="25"/>
        <v>0</v>
      </c>
      <c r="T673" s="1"/>
      <c r="U673" s="5"/>
    </row>
    <row r="674" spans="18:21">
      <c r="R674" s="10">
        <f t="shared" ca="1" si="12"/>
        <v>0</v>
      </c>
      <c r="S674" s="5">
        <f t="shared" si="25"/>
        <v>0</v>
      </c>
      <c r="T674" s="1"/>
      <c r="U674" s="5"/>
    </row>
    <row r="675" spans="18:21">
      <c r="R675" s="10">
        <f t="shared" ca="1" si="12"/>
        <v>0</v>
      </c>
      <c r="S675" s="5">
        <f t="shared" si="25"/>
        <v>0</v>
      </c>
      <c r="T675" s="1"/>
      <c r="U675" s="5"/>
    </row>
    <row r="676" spans="18:21">
      <c r="R676" s="10">
        <f t="shared" ca="1" si="12"/>
        <v>0</v>
      </c>
      <c r="S676" s="5">
        <f t="shared" si="25"/>
        <v>0</v>
      </c>
      <c r="T676" s="1"/>
      <c r="U676" s="5"/>
    </row>
    <row r="677" spans="18:21">
      <c r="R677" s="10">
        <f t="shared" ca="1" si="12"/>
        <v>0</v>
      </c>
      <c r="S677" s="5">
        <f t="shared" si="25"/>
        <v>0</v>
      </c>
      <c r="T677" s="1"/>
      <c r="U677" s="5"/>
    </row>
    <row r="678" spans="18:21">
      <c r="R678" s="10">
        <f t="shared" ref="R678:R727" ca="1" si="26">Q678/$AC$4</f>
        <v>0</v>
      </c>
      <c r="S678" s="5">
        <f t="shared" si="25"/>
        <v>0</v>
      </c>
      <c r="T678" s="1"/>
      <c r="U678" s="5"/>
    </row>
    <row r="679" spans="18:21">
      <c r="R679" s="10">
        <f t="shared" ca="1" si="26"/>
        <v>0</v>
      </c>
      <c r="S679" s="5">
        <f t="shared" si="25"/>
        <v>0</v>
      </c>
      <c r="T679" s="1"/>
      <c r="U679" s="5"/>
    </row>
    <row r="680" spans="18:21">
      <c r="R680" s="10">
        <f t="shared" ca="1" si="26"/>
        <v>0</v>
      </c>
      <c r="S680" s="5">
        <f t="shared" si="25"/>
        <v>0</v>
      </c>
      <c r="T680" s="1"/>
      <c r="U680" s="5"/>
    </row>
    <row r="681" spans="18:21">
      <c r="R681" s="10">
        <f t="shared" ca="1" si="26"/>
        <v>0</v>
      </c>
      <c r="S681" s="5">
        <f t="shared" si="25"/>
        <v>0</v>
      </c>
      <c r="T681" s="1"/>
      <c r="U681" s="5"/>
    </row>
    <row r="682" spans="18:21">
      <c r="R682" s="10">
        <f t="shared" ca="1" si="26"/>
        <v>0</v>
      </c>
      <c r="S682" s="5">
        <f t="shared" si="25"/>
        <v>0</v>
      </c>
      <c r="T682" s="1"/>
      <c r="U682" s="5"/>
    </row>
    <row r="683" spans="18:21">
      <c r="R683" s="10">
        <f t="shared" ca="1" si="26"/>
        <v>0</v>
      </c>
      <c r="S683" s="5">
        <f t="shared" si="25"/>
        <v>0</v>
      </c>
      <c r="T683" s="1"/>
      <c r="U683" s="5"/>
    </row>
    <row r="684" spans="18:21">
      <c r="R684" s="10">
        <f t="shared" ca="1" si="26"/>
        <v>0</v>
      </c>
      <c r="S684" s="5">
        <f t="shared" si="25"/>
        <v>0</v>
      </c>
      <c r="T684" s="1"/>
      <c r="U684" s="5"/>
    </row>
    <row r="685" spans="18:21">
      <c r="R685" s="10">
        <f t="shared" ca="1" si="26"/>
        <v>0</v>
      </c>
      <c r="S685" s="5">
        <f t="shared" si="25"/>
        <v>0</v>
      </c>
      <c r="T685" s="1"/>
      <c r="U685" s="5"/>
    </row>
    <row r="686" spans="18:21">
      <c r="R686" s="10">
        <f t="shared" ca="1" si="26"/>
        <v>0</v>
      </c>
      <c r="S686" s="5">
        <f t="shared" si="25"/>
        <v>0</v>
      </c>
      <c r="T686" s="1"/>
      <c r="U686" s="5"/>
    </row>
    <row r="687" spans="18:21">
      <c r="R687" s="10">
        <f t="shared" ca="1" si="26"/>
        <v>0</v>
      </c>
      <c r="S687" s="5">
        <f t="shared" si="25"/>
        <v>0</v>
      </c>
      <c r="T687" s="1"/>
      <c r="U687" s="5"/>
    </row>
    <row r="688" spans="18:21">
      <c r="R688" s="10">
        <f t="shared" ca="1" si="26"/>
        <v>0</v>
      </c>
      <c r="S688" s="5">
        <f t="shared" si="25"/>
        <v>0</v>
      </c>
      <c r="T688" s="1"/>
      <c r="U688" s="5"/>
    </row>
    <row r="689" spans="18:21">
      <c r="R689" s="10">
        <f t="shared" ca="1" si="26"/>
        <v>0</v>
      </c>
      <c r="S689" s="5">
        <f t="shared" si="25"/>
        <v>0</v>
      </c>
      <c r="T689" s="1"/>
      <c r="U689" s="5"/>
    </row>
    <row r="690" spans="18:21">
      <c r="R690" s="10">
        <f t="shared" ca="1" si="26"/>
        <v>0</v>
      </c>
      <c r="S690" s="5">
        <f t="shared" si="25"/>
        <v>0</v>
      </c>
      <c r="T690" s="1"/>
      <c r="U690" s="5"/>
    </row>
    <row r="691" spans="18:21">
      <c r="R691" s="10">
        <f t="shared" ca="1" si="26"/>
        <v>0</v>
      </c>
      <c r="S691" s="5">
        <f t="shared" si="25"/>
        <v>0</v>
      </c>
      <c r="T691" s="1"/>
      <c r="U691" s="5"/>
    </row>
    <row r="692" spans="18:21">
      <c r="R692" s="10">
        <f t="shared" ca="1" si="26"/>
        <v>0</v>
      </c>
      <c r="S692" s="5">
        <f t="shared" si="25"/>
        <v>0</v>
      </c>
      <c r="T692" s="1"/>
      <c r="U692" s="5"/>
    </row>
    <row r="693" spans="18:21">
      <c r="R693" s="10">
        <f t="shared" ca="1" si="26"/>
        <v>0</v>
      </c>
      <c r="S693" s="5">
        <f t="shared" si="25"/>
        <v>0</v>
      </c>
      <c r="T693" s="1"/>
      <c r="U693" s="5"/>
    </row>
    <row r="694" spans="18:21">
      <c r="R694" s="10">
        <f t="shared" ca="1" si="26"/>
        <v>0</v>
      </c>
      <c r="S694" s="5">
        <f t="shared" si="25"/>
        <v>0</v>
      </c>
      <c r="T694" s="1"/>
      <c r="U694" s="5"/>
    </row>
    <row r="695" spans="18:21">
      <c r="R695" s="10">
        <f t="shared" ca="1" si="26"/>
        <v>0</v>
      </c>
      <c r="S695" s="5">
        <f t="shared" ref="S695:S727" si="27">_xlfn.XLOOKUP(O695,AE:AE,AG:AG)</f>
        <v>0</v>
      </c>
      <c r="T695" s="1"/>
      <c r="U695" s="5"/>
    </row>
    <row r="696" spans="18:21">
      <c r="R696" s="10">
        <f t="shared" ca="1" si="26"/>
        <v>0</v>
      </c>
      <c r="S696" s="5">
        <f t="shared" si="27"/>
        <v>0</v>
      </c>
      <c r="T696" s="1"/>
      <c r="U696" s="5"/>
    </row>
    <row r="697" spans="18:21">
      <c r="R697" s="10">
        <f t="shared" ca="1" si="26"/>
        <v>0</v>
      </c>
      <c r="S697" s="5">
        <f t="shared" si="27"/>
        <v>0</v>
      </c>
      <c r="T697" s="1"/>
      <c r="U697" s="5"/>
    </row>
    <row r="698" spans="18:21">
      <c r="R698" s="10">
        <f t="shared" ca="1" si="26"/>
        <v>0</v>
      </c>
      <c r="S698" s="5">
        <f t="shared" si="27"/>
        <v>0</v>
      </c>
      <c r="T698" s="1"/>
      <c r="U698" s="5"/>
    </row>
    <row r="699" spans="18:21">
      <c r="R699" s="10">
        <f t="shared" ca="1" si="26"/>
        <v>0</v>
      </c>
      <c r="S699" s="5">
        <f t="shared" si="27"/>
        <v>0</v>
      </c>
      <c r="T699" s="1"/>
      <c r="U699" s="5"/>
    </row>
    <row r="700" spans="18:21">
      <c r="R700" s="10">
        <f t="shared" ca="1" si="26"/>
        <v>0</v>
      </c>
      <c r="S700" s="5">
        <f t="shared" si="27"/>
        <v>0</v>
      </c>
      <c r="T700" s="1"/>
      <c r="U700" s="5"/>
    </row>
    <row r="701" spans="18:21">
      <c r="R701" s="10">
        <f t="shared" ca="1" si="26"/>
        <v>0</v>
      </c>
      <c r="S701" s="5">
        <f t="shared" si="27"/>
        <v>0</v>
      </c>
      <c r="T701" s="1"/>
      <c r="U701" s="5"/>
    </row>
    <row r="702" spans="18:21">
      <c r="R702" s="10">
        <f t="shared" ca="1" si="26"/>
        <v>0</v>
      </c>
      <c r="S702" s="5">
        <f t="shared" si="27"/>
        <v>0</v>
      </c>
      <c r="T702" s="1"/>
      <c r="U702" s="5"/>
    </row>
    <row r="703" spans="18:21">
      <c r="R703" s="10">
        <f t="shared" ca="1" si="26"/>
        <v>0</v>
      </c>
      <c r="S703" s="5">
        <f t="shared" si="27"/>
        <v>0</v>
      </c>
      <c r="T703" s="1"/>
      <c r="U703" s="5"/>
    </row>
    <row r="704" spans="18:21">
      <c r="R704" s="10">
        <f t="shared" ca="1" si="26"/>
        <v>0</v>
      </c>
      <c r="S704" s="5">
        <f t="shared" si="27"/>
        <v>0</v>
      </c>
      <c r="T704" s="1"/>
      <c r="U704" s="5"/>
    </row>
    <row r="705" spans="18:21">
      <c r="R705" s="10">
        <f t="shared" ca="1" si="26"/>
        <v>0</v>
      </c>
      <c r="S705" s="5">
        <f t="shared" si="27"/>
        <v>0</v>
      </c>
      <c r="T705" s="1"/>
      <c r="U705" s="5"/>
    </row>
    <row r="706" spans="18:21">
      <c r="R706" s="10">
        <f t="shared" ca="1" si="26"/>
        <v>0</v>
      </c>
      <c r="S706" s="5">
        <f t="shared" si="27"/>
        <v>0</v>
      </c>
      <c r="T706" s="1"/>
      <c r="U706" s="5"/>
    </row>
    <row r="707" spans="18:21">
      <c r="R707" s="10">
        <f t="shared" ca="1" si="26"/>
        <v>0</v>
      </c>
      <c r="S707" s="5">
        <f t="shared" si="27"/>
        <v>0</v>
      </c>
      <c r="T707" s="1"/>
      <c r="U707" s="5"/>
    </row>
    <row r="708" spans="18:21">
      <c r="R708" s="10">
        <f t="shared" ca="1" si="26"/>
        <v>0</v>
      </c>
      <c r="S708" s="5">
        <f t="shared" si="27"/>
        <v>0</v>
      </c>
      <c r="T708" s="1"/>
      <c r="U708" s="5"/>
    </row>
    <row r="709" spans="18:21">
      <c r="R709" s="10">
        <f t="shared" ca="1" si="26"/>
        <v>0</v>
      </c>
      <c r="S709" s="5">
        <f t="shared" si="27"/>
        <v>0</v>
      </c>
      <c r="T709" s="1"/>
      <c r="U709" s="5"/>
    </row>
    <row r="710" spans="18:21">
      <c r="R710" s="10">
        <f t="shared" ca="1" si="26"/>
        <v>0</v>
      </c>
      <c r="S710" s="5">
        <f t="shared" si="27"/>
        <v>0</v>
      </c>
      <c r="T710" s="1"/>
      <c r="U710" s="5"/>
    </row>
    <row r="711" spans="18:21">
      <c r="R711" s="10">
        <f t="shared" ca="1" si="26"/>
        <v>0</v>
      </c>
      <c r="S711" s="5">
        <f t="shared" si="27"/>
        <v>0</v>
      </c>
      <c r="T711" s="1"/>
      <c r="U711" s="5"/>
    </row>
    <row r="712" spans="18:21">
      <c r="R712" s="10">
        <f t="shared" ca="1" si="26"/>
        <v>0</v>
      </c>
      <c r="S712" s="5">
        <f t="shared" si="27"/>
        <v>0</v>
      </c>
      <c r="T712" s="1"/>
      <c r="U712" s="5"/>
    </row>
    <row r="713" spans="18:21">
      <c r="R713" s="10">
        <f t="shared" ca="1" si="26"/>
        <v>0</v>
      </c>
      <c r="S713" s="5">
        <f t="shared" si="27"/>
        <v>0</v>
      </c>
      <c r="T713" s="1"/>
      <c r="U713" s="5"/>
    </row>
    <row r="714" spans="18:21">
      <c r="R714" s="10">
        <f t="shared" ca="1" si="26"/>
        <v>0</v>
      </c>
      <c r="S714" s="5">
        <f t="shared" si="27"/>
        <v>0</v>
      </c>
      <c r="T714" s="1"/>
      <c r="U714" s="5"/>
    </row>
    <row r="715" spans="18:21">
      <c r="R715" s="10">
        <f t="shared" ca="1" si="26"/>
        <v>0</v>
      </c>
      <c r="S715" s="5">
        <f t="shared" si="27"/>
        <v>0</v>
      </c>
      <c r="T715" s="1"/>
      <c r="U715" s="5"/>
    </row>
    <row r="716" spans="18:21">
      <c r="R716" s="10">
        <f t="shared" ca="1" si="26"/>
        <v>0</v>
      </c>
      <c r="S716" s="5">
        <f t="shared" si="27"/>
        <v>0</v>
      </c>
      <c r="T716" s="1"/>
      <c r="U716" s="5"/>
    </row>
    <row r="717" spans="18:21">
      <c r="R717" s="10">
        <f t="shared" ca="1" si="26"/>
        <v>0</v>
      </c>
      <c r="S717" s="5">
        <f t="shared" si="27"/>
        <v>0</v>
      </c>
      <c r="T717" s="1"/>
      <c r="U717" s="5"/>
    </row>
    <row r="718" spans="18:21">
      <c r="R718" s="10">
        <f t="shared" ca="1" si="26"/>
        <v>0</v>
      </c>
      <c r="S718" s="5">
        <f t="shared" si="27"/>
        <v>0</v>
      </c>
      <c r="T718" s="1"/>
      <c r="U718" s="5"/>
    </row>
    <row r="719" spans="18:21">
      <c r="R719" s="10">
        <f t="shared" ca="1" si="26"/>
        <v>0</v>
      </c>
      <c r="S719" s="5">
        <f t="shared" si="27"/>
        <v>0</v>
      </c>
      <c r="T719" s="1"/>
      <c r="U719" s="5"/>
    </row>
    <row r="720" spans="18:21">
      <c r="R720" s="10">
        <f t="shared" ca="1" si="26"/>
        <v>0</v>
      </c>
      <c r="S720" s="5">
        <f t="shared" si="27"/>
        <v>0</v>
      </c>
      <c r="T720" s="1"/>
      <c r="U720" s="5"/>
    </row>
    <row r="721" spans="18:21">
      <c r="R721" s="10">
        <f t="shared" ca="1" si="26"/>
        <v>0</v>
      </c>
      <c r="S721" s="5">
        <f t="shared" si="27"/>
        <v>0</v>
      </c>
      <c r="T721" s="1"/>
      <c r="U721" s="5"/>
    </row>
    <row r="722" spans="18:21">
      <c r="R722" s="10">
        <f t="shared" ca="1" si="26"/>
        <v>0</v>
      </c>
      <c r="S722" s="5">
        <f t="shared" si="27"/>
        <v>0</v>
      </c>
      <c r="T722" s="1"/>
      <c r="U722" s="5"/>
    </row>
    <row r="723" spans="18:21">
      <c r="R723" s="10">
        <f t="shared" ca="1" si="26"/>
        <v>0</v>
      </c>
      <c r="S723" s="5">
        <f t="shared" si="27"/>
        <v>0</v>
      </c>
      <c r="T723" s="1"/>
      <c r="U723" s="5"/>
    </row>
    <row r="724" spans="18:21">
      <c r="R724" s="10">
        <f t="shared" ca="1" si="26"/>
        <v>0</v>
      </c>
      <c r="S724" s="5">
        <f t="shared" si="27"/>
        <v>0</v>
      </c>
      <c r="T724" s="1"/>
      <c r="U724" s="5"/>
    </row>
    <row r="725" spans="18:21">
      <c r="R725" s="10">
        <f t="shared" ca="1" si="26"/>
        <v>0</v>
      </c>
      <c r="S725" s="5">
        <f t="shared" si="27"/>
        <v>0</v>
      </c>
      <c r="T725" s="1"/>
      <c r="U725" s="5"/>
    </row>
    <row r="726" spans="18:21">
      <c r="R726" s="10">
        <f t="shared" ca="1" si="26"/>
        <v>0</v>
      </c>
      <c r="S726" s="5">
        <f t="shared" si="27"/>
        <v>0</v>
      </c>
      <c r="T726" s="1"/>
      <c r="U726" s="5"/>
    </row>
    <row r="727" spans="18:21">
      <c r="R727" s="10">
        <f t="shared" ca="1" si="26"/>
        <v>0</v>
      </c>
      <c r="S727" s="5">
        <f t="shared" si="27"/>
        <v>0</v>
      </c>
      <c r="T727" s="1"/>
      <c r="U727" s="5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Punamchand Bopulkar</cp:lastModifiedBy>
  <cp:revision/>
  <dcterms:created xsi:type="dcterms:W3CDTF">2022-12-28T09:03:00Z</dcterms:created>
  <dcterms:modified xsi:type="dcterms:W3CDTF">2025-07-27T16:30:35Z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