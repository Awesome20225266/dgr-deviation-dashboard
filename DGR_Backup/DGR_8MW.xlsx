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esktop\OneDrive_2_23-07-2025\"/>
    </mc:Choice>
  </mc:AlternateContent>
  <xr:revisionPtr revIDLastSave="0" documentId="13_ncr:1_{EEC1CC98-1E59-4640-A1CC-699C9B1B22A2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F45" i="7"/>
  <c r="G45" i="7" s="1"/>
  <c r="F46" i="7"/>
  <c r="G46" i="7" s="1"/>
  <c r="F47" i="7"/>
  <c r="G47" i="7" s="1"/>
  <c r="F48" i="7"/>
  <c r="G48" i="7" s="1"/>
  <c r="F49" i="7"/>
  <c r="F50" i="7"/>
  <c r="G50" i="7" s="1"/>
  <c r="F51" i="7"/>
  <c r="F52" i="7"/>
  <c r="F53" i="7"/>
  <c r="F54" i="7"/>
  <c r="F55" i="7"/>
  <c r="F56" i="7"/>
  <c r="F57" i="7"/>
  <c r="F58" i="7"/>
  <c r="F59" i="7"/>
  <c r="G59" i="7" s="1"/>
  <c r="F60" i="7"/>
  <c r="G60" i="7" s="1"/>
  <c r="F61" i="7"/>
  <c r="G61" i="7" s="1"/>
  <c r="F62" i="7"/>
  <c r="G62" i="7" s="1"/>
  <c r="F63" i="7"/>
  <c r="G63" i="7" s="1"/>
  <c r="F64" i="7"/>
  <c r="G64" i="7" s="1"/>
  <c r="F65" i="7"/>
  <c r="F66" i="7"/>
  <c r="G66" i="7" s="1"/>
  <c r="F67" i="7"/>
  <c r="F68" i="7"/>
  <c r="F69" i="7"/>
  <c r="F70" i="7"/>
  <c r="F71" i="7"/>
  <c r="F72" i="7"/>
  <c r="F73" i="7"/>
  <c r="F74" i="7"/>
  <c r="F75" i="7"/>
  <c r="G75" i="7" s="1"/>
  <c r="F76" i="7"/>
  <c r="G76" i="7" s="1"/>
  <c r="F77" i="7"/>
  <c r="G77" i="7" s="1"/>
  <c r="F78" i="7"/>
  <c r="G78" i="7" s="1"/>
  <c r="F79" i="7"/>
  <c r="G79" i="7" s="1"/>
  <c r="F80" i="7"/>
  <c r="G80" i="7" s="1"/>
  <c r="F81" i="7"/>
  <c r="F82" i="7"/>
  <c r="G82" i="7" s="1"/>
  <c r="F83" i="7"/>
  <c r="F84" i="7"/>
  <c r="F85" i="7"/>
  <c r="F86" i="7"/>
  <c r="F87" i="7"/>
  <c r="F88" i="7"/>
  <c r="F89" i="7"/>
  <c r="F90" i="7"/>
  <c r="F91" i="7"/>
  <c r="G91" i="7" s="1"/>
  <c r="F92" i="7"/>
  <c r="G92" i="7" s="1"/>
  <c r="F93" i="7"/>
  <c r="G93" i="7" s="1"/>
  <c r="F94" i="7"/>
  <c r="G94" i="7" s="1"/>
  <c r="F95" i="7"/>
  <c r="G95" i="7" s="1"/>
  <c r="F96" i="7"/>
  <c r="G96" i="7" s="1"/>
  <c r="F97" i="7"/>
  <c r="F98" i="7"/>
  <c r="G98" i="7" s="1"/>
  <c r="F99" i="7"/>
  <c r="F100" i="7"/>
  <c r="F101" i="7"/>
  <c r="F102" i="7"/>
  <c r="F103" i="7"/>
  <c r="F104" i="7"/>
  <c r="F105" i="7"/>
  <c r="F106" i="7"/>
  <c r="F107" i="7"/>
  <c r="G107" i="7" s="1"/>
  <c r="F108" i="7"/>
  <c r="G108" i="7" s="1"/>
  <c r="F109" i="7"/>
  <c r="G109" i="7" s="1"/>
  <c r="F110" i="7"/>
  <c r="G110" i="7" s="1"/>
  <c r="F111" i="7"/>
  <c r="G111" i="7" s="1"/>
  <c r="F112" i="7"/>
  <c r="G112" i="7" s="1"/>
  <c r="F113" i="7"/>
  <c r="F114" i="7"/>
  <c r="G114" i="7" s="1"/>
  <c r="F115" i="7"/>
  <c r="F116" i="7"/>
  <c r="F117" i="7"/>
  <c r="F118" i="7"/>
  <c r="F119" i="7"/>
  <c r="F120" i="7"/>
  <c r="F121" i="7"/>
  <c r="F122" i="7"/>
  <c r="F123" i="7"/>
  <c r="G123" i="7" s="1"/>
  <c r="F124" i="7"/>
  <c r="G124" i="7" s="1"/>
  <c r="F125" i="7"/>
  <c r="G125" i="7" s="1"/>
  <c r="F126" i="7"/>
  <c r="G126" i="7" s="1"/>
  <c r="F127" i="7"/>
  <c r="G127" i="7" s="1"/>
  <c r="F128" i="7"/>
  <c r="G128" i="7" s="1"/>
  <c r="F129" i="7"/>
  <c r="F130" i="7"/>
  <c r="G130" i="7" s="1"/>
  <c r="F131" i="7"/>
  <c r="F132" i="7"/>
  <c r="F133" i="7"/>
  <c r="F134" i="7"/>
  <c r="F135" i="7"/>
  <c r="F136" i="7"/>
  <c r="F137" i="7"/>
  <c r="F138" i="7"/>
  <c r="F139" i="7"/>
  <c r="G139" i="7" s="1"/>
  <c r="F140" i="7"/>
  <c r="G140" i="7" s="1"/>
  <c r="F141" i="7"/>
  <c r="G141" i="7" s="1"/>
  <c r="F142" i="7"/>
  <c r="G142" i="7" s="1"/>
  <c r="F143" i="7"/>
  <c r="G143" i="7" s="1"/>
  <c r="F144" i="7"/>
  <c r="G144" i="7" s="1"/>
  <c r="F145" i="7"/>
  <c r="F146" i="7"/>
  <c r="G146" i="7" s="1"/>
  <c r="F147" i="7"/>
  <c r="F148" i="7"/>
  <c r="F149" i="7"/>
  <c r="F150" i="7"/>
  <c r="F151" i="7"/>
  <c r="F152" i="7"/>
  <c r="F153" i="7"/>
  <c r="F154" i="7"/>
  <c r="F155" i="7"/>
  <c r="G155" i="7" s="1"/>
  <c r="F156" i="7"/>
  <c r="G156" i="7" s="1"/>
  <c r="F157" i="7"/>
  <c r="G157" i="7" s="1"/>
  <c r="F158" i="7"/>
  <c r="G158" i="7" s="1"/>
  <c r="F159" i="7"/>
  <c r="G159" i="7" s="1"/>
  <c r="F160" i="7"/>
  <c r="G160" i="7" s="1"/>
  <c r="F161" i="7"/>
  <c r="F162" i="7"/>
  <c r="G162" i="7" s="1"/>
  <c r="F163" i="7"/>
  <c r="F164" i="7"/>
  <c r="F165" i="7"/>
  <c r="F166" i="7"/>
  <c r="F167" i="7"/>
  <c r="F168" i="7"/>
  <c r="F169" i="7"/>
  <c r="F170" i="7"/>
  <c r="F171" i="7"/>
  <c r="G171" i="7" s="1"/>
  <c r="F172" i="7"/>
  <c r="G172" i="7" s="1"/>
  <c r="F173" i="7"/>
  <c r="G173" i="7" s="1"/>
  <c r="F174" i="7"/>
  <c r="G174" i="7" s="1"/>
  <c r="F175" i="7"/>
  <c r="G175" i="7" s="1"/>
  <c r="F176" i="7"/>
  <c r="G176" i="7" s="1"/>
  <c r="F177" i="7"/>
  <c r="F178" i="7"/>
  <c r="G178" i="7" s="1"/>
  <c r="F179" i="7"/>
  <c r="F180" i="7"/>
  <c r="F181" i="7"/>
  <c r="F182" i="7"/>
  <c r="F183" i="7"/>
  <c r="F184" i="7"/>
  <c r="F185" i="7"/>
  <c r="F186" i="7"/>
  <c r="F187" i="7"/>
  <c r="G187" i="7" s="1"/>
  <c r="F188" i="7"/>
  <c r="G188" i="7" s="1"/>
  <c r="F189" i="7"/>
  <c r="G189" i="7" s="1"/>
  <c r="F190" i="7"/>
  <c r="G190" i="7" s="1"/>
  <c r="F191" i="7"/>
  <c r="G191" i="7" s="1"/>
  <c r="F192" i="7"/>
  <c r="G192" i="7" s="1"/>
  <c r="F193" i="7"/>
  <c r="F194" i="7"/>
  <c r="G194" i="7" s="1"/>
  <c r="F195" i="7"/>
  <c r="F196" i="7"/>
  <c r="F197" i="7"/>
  <c r="F198" i="7"/>
  <c r="F199" i="7"/>
  <c r="F200" i="7"/>
  <c r="F201" i="7"/>
  <c r="F202" i="7"/>
  <c r="F203" i="7"/>
  <c r="G203" i="7" s="1"/>
  <c r="F204" i="7"/>
  <c r="G204" i="7" s="1"/>
  <c r="F205" i="7"/>
  <c r="G205" i="7" s="1"/>
  <c r="F206" i="7"/>
  <c r="G206" i="7" s="1"/>
  <c r="F207" i="7"/>
  <c r="G207" i="7" s="1"/>
  <c r="F208" i="7"/>
  <c r="G208" i="7" s="1"/>
  <c r="F209" i="7"/>
  <c r="G49" i="7"/>
  <c r="G51" i="7"/>
  <c r="G52" i="7"/>
  <c r="G53" i="7"/>
  <c r="G54" i="7"/>
  <c r="G55" i="7"/>
  <c r="G56" i="7"/>
  <c r="G57" i="7"/>
  <c r="G58" i="7"/>
  <c r="G65" i="7"/>
  <c r="G67" i="7"/>
  <c r="G68" i="7"/>
  <c r="G69" i="7"/>
  <c r="G70" i="7"/>
  <c r="G71" i="7"/>
  <c r="G72" i="7"/>
  <c r="G73" i="7"/>
  <c r="G74" i="7"/>
  <c r="G81" i="7"/>
  <c r="G83" i="7"/>
  <c r="G84" i="7"/>
  <c r="G85" i="7"/>
  <c r="G86" i="7"/>
  <c r="G87" i="7"/>
  <c r="G88" i="7"/>
  <c r="G89" i="7"/>
  <c r="G90" i="7"/>
  <c r="G97" i="7"/>
  <c r="G99" i="7"/>
  <c r="G100" i="7"/>
  <c r="G101" i="7"/>
  <c r="G102" i="7"/>
  <c r="G103" i="7"/>
  <c r="G104" i="7"/>
  <c r="G105" i="7"/>
  <c r="G106" i="7"/>
  <c r="G113" i="7"/>
  <c r="G115" i="7"/>
  <c r="G116" i="7"/>
  <c r="G117" i="7"/>
  <c r="G118" i="7"/>
  <c r="G119" i="7"/>
  <c r="G120" i="7"/>
  <c r="G121" i="7"/>
  <c r="G122" i="7"/>
  <c r="G129" i="7"/>
  <c r="G131" i="7"/>
  <c r="G132" i="7"/>
  <c r="G133" i="7"/>
  <c r="G134" i="7"/>
  <c r="G135" i="7"/>
  <c r="G136" i="7"/>
  <c r="G137" i="7"/>
  <c r="G138" i="7"/>
  <c r="G145" i="7"/>
  <c r="G147" i="7"/>
  <c r="G148" i="7"/>
  <c r="G149" i="7"/>
  <c r="G150" i="7"/>
  <c r="G151" i="7"/>
  <c r="G152" i="7"/>
  <c r="G153" i="7"/>
  <c r="G154" i="7"/>
  <c r="G161" i="7"/>
  <c r="G163" i="7"/>
  <c r="G164" i="7"/>
  <c r="G165" i="7"/>
  <c r="G166" i="7"/>
  <c r="G167" i="7"/>
  <c r="G168" i="7"/>
  <c r="G169" i="7"/>
  <c r="G170" i="7"/>
  <c r="G177" i="7"/>
  <c r="G179" i="7"/>
  <c r="G180" i="7"/>
  <c r="G181" i="7"/>
  <c r="G182" i="7"/>
  <c r="G183" i="7"/>
  <c r="G184" i="7"/>
  <c r="G185" i="7"/>
  <c r="G186" i="7"/>
  <c r="G193" i="7"/>
  <c r="G195" i="7"/>
  <c r="G196" i="7"/>
  <c r="G197" i="7"/>
  <c r="G198" i="7"/>
  <c r="G199" i="7"/>
  <c r="G200" i="7"/>
  <c r="G201" i="7"/>
  <c r="G202" i="7"/>
  <c r="G209" i="7"/>
  <c r="H45" i="7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Y37" i="6" s="1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Y38" i="6" s="1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Y39" i="6" s="1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Z40" i="6" s="1"/>
  <c r="X40" i="6"/>
  <c r="Y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 s="1"/>
  <c r="Z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Z49" i="6" s="1"/>
  <c r="W49" i="6"/>
  <c r="X49" i="6"/>
  <c r="Y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Y50" i="6" s="1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Y51" i="6" s="1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Z52" i="6" s="1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Y53" i="6" s="1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Y54" i="6" s="1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Y55" i="6" s="1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Z56" i="6" s="1"/>
  <c r="X56" i="6"/>
  <c r="Y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 s="1"/>
  <c r="Z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Z65" i="6" s="1"/>
  <c r="W65" i="6"/>
  <c r="X65" i="6"/>
  <c r="Y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Y66" i="6" s="1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Y67" i="6" s="1"/>
  <c r="W67" i="6"/>
  <c r="X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Z68" i="6" s="1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Y69" i="6" s="1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Y71" i="6" s="1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 s="1"/>
  <c r="Z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Z81" i="6" s="1"/>
  <c r="W81" i="6"/>
  <c r="X81" i="6"/>
  <c r="Y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Y82" i="6" s="1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Y83" i="6" s="1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Z84" i="6" s="1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Y85" i="6" s="1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Y86" i="6" s="1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Y87" i="6" s="1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 s="1"/>
  <c r="Z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Z97" i="6" s="1"/>
  <c r="W97" i="6"/>
  <c r="X97" i="6"/>
  <c r="Y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Y98" i="6" s="1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Y99" i="6" s="1"/>
  <c r="W99" i="6"/>
  <c r="X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Z100" i="6" s="1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Y101" i="6" s="1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Y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Z104" i="6" s="1"/>
  <c r="Y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 s="1"/>
  <c r="Z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Z113" i="6" s="1"/>
  <c r="W113" i="6"/>
  <c r="X113" i="6"/>
  <c r="Y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Y114" i="6" s="1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Y115" i="6" s="1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Z116" i="6" s="1"/>
  <c r="W116" i="6"/>
  <c r="X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Y117" i="6" s="1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 s="1"/>
  <c r="Z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Z129" i="6" s="1"/>
  <c r="W129" i="6"/>
  <c r="X129" i="6"/>
  <c r="Y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Y130" i="6" s="1"/>
  <c r="W130" i="6"/>
  <c r="X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Y131" i="6" s="1"/>
  <c r="W131" i="6"/>
  <c r="X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Z132" i="6" s="1"/>
  <c r="W132" i="6"/>
  <c r="X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Y135" i="6" s="1"/>
  <c r="W135" i="6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Z136" i="6" s="1"/>
  <c r="W136" i="6"/>
  <c r="X136" i="6"/>
  <c r="Y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 s="1"/>
  <c r="Z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Z145" i="6" s="1"/>
  <c r="W145" i="6"/>
  <c r="X145" i="6"/>
  <c r="Y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Y146" i="6" s="1"/>
  <c r="W146" i="6"/>
  <c r="X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Y147" i="6" s="1"/>
  <c r="W147" i="6"/>
  <c r="X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Z148" i="6" s="1"/>
  <c r="W148" i="6"/>
  <c r="X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Y149" i="6" s="1"/>
  <c r="W149" i="6"/>
  <c r="X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Y150" i="6" s="1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Y151" i="6" s="1"/>
  <c r="W151" i="6"/>
  <c r="X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Z152" i="6" s="1"/>
  <c r="W152" i="6"/>
  <c r="X152" i="6"/>
  <c r="Y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 s="1"/>
  <c r="X153" i="6"/>
  <c r="Z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Z161" i="6" s="1"/>
  <c r="W161" i="6"/>
  <c r="X161" i="6"/>
  <c r="Y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Y162" i="6" s="1"/>
  <c r="W162" i="6"/>
  <c r="X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Y163" i="6" s="1"/>
  <c r="W163" i="6"/>
  <c r="X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Z164" i="6" s="1"/>
  <c r="W164" i="6"/>
  <c r="X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Y165" i="6" s="1"/>
  <c r="W165" i="6"/>
  <c r="X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Y166" i="6" s="1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Y167" i="6" s="1"/>
  <c r="W167" i="6"/>
  <c r="X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Z168" i="6" s="1"/>
  <c r="Y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 s="1"/>
  <c r="X169" i="6"/>
  <c r="Z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Z177" i="6" s="1"/>
  <c r="W177" i="6"/>
  <c r="X177" i="6"/>
  <c r="Y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Y178" i="6" s="1"/>
  <c r="W178" i="6"/>
  <c r="X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Y179" i="6" s="1"/>
  <c r="W179" i="6"/>
  <c r="X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Z180" i="6" s="1"/>
  <c r="W180" i="6"/>
  <c r="X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Y181" i="6" s="1"/>
  <c r="W181" i="6"/>
  <c r="X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Y182" i="6" s="1"/>
  <c r="W182" i="6"/>
  <c r="X182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Y183" i="6" s="1"/>
  <c r="W183" i="6"/>
  <c r="X183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Z184" i="6" s="1"/>
  <c r="Y184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 s="1"/>
  <c r="Z185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Z193" i="6" s="1"/>
  <c r="W193" i="6"/>
  <c r="X193" i="6"/>
  <c r="Y193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Y194" i="6" s="1"/>
  <c r="W194" i="6"/>
  <c r="X194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Y195" i="6" s="1"/>
  <c r="W195" i="6"/>
  <c r="X195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Z196" i="6" s="1"/>
  <c r="W196" i="6"/>
  <c r="X196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Y197" i="6" s="1"/>
  <c r="W197" i="6"/>
  <c r="X197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Y198" i="6" s="1"/>
  <c r="W198" i="6"/>
  <c r="X198" i="6"/>
  <c r="Z198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Z199" i="6" s="1"/>
  <c r="W199" i="6"/>
  <c r="X199" i="6"/>
  <c r="Y199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 s="1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 s="1"/>
  <c r="X201" i="6"/>
  <c r="Z201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Z209" i="6" s="1"/>
  <c r="W209" i="6"/>
  <c r="X209" i="6"/>
  <c r="Y209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Y210" i="6" s="1"/>
  <c r="W210" i="6"/>
  <c r="X210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Y211" i="6" s="1"/>
  <c r="W211" i="6"/>
  <c r="X211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Z212" i="6" s="1"/>
  <c r="W212" i="6"/>
  <c r="X212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Y213" i="6" s="1"/>
  <c r="W213" i="6"/>
  <c r="X213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Y214" i="6" s="1"/>
  <c r="W214" i="6"/>
  <c r="X214" i="6"/>
  <c r="Z214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Z215" i="6" s="1"/>
  <c r="W215" i="6"/>
  <c r="X215" i="6"/>
  <c r="Y215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 s="1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Y217" i="6" s="1"/>
  <c r="X217" i="6"/>
  <c r="Z217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Z225" i="6" s="1"/>
  <c r="W225" i="6"/>
  <c r="X225" i="6"/>
  <c r="Y225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Y226" i="6" s="1"/>
  <c r="W226" i="6"/>
  <c r="X226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Y227" i="6" s="1"/>
  <c r="W227" i="6"/>
  <c r="X227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Z228" i="6" s="1"/>
  <c r="W228" i="6"/>
  <c r="X228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Y229" i="6" s="1"/>
  <c r="W229" i="6"/>
  <c r="X229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Y230" i="6" s="1"/>
  <c r="W230" i="6"/>
  <c r="X230" i="6"/>
  <c r="Z230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 s="1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Y233" i="6" s="1"/>
  <c r="X233" i="6"/>
  <c r="Z233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Z241" i="6" s="1"/>
  <c r="W241" i="6"/>
  <c r="X241" i="6"/>
  <c r="Y241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Y242" i="6" s="1"/>
  <c r="W242" i="6"/>
  <c r="X242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Y243" i="6" s="1"/>
  <c r="W243" i="6"/>
  <c r="X243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Z244" i="6" s="1"/>
  <c r="W244" i="6"/>
  <c r="X244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Y245" i="6" s="1"/>
  <c r="W245" i="6"/>
  <c r="X245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Y246" i="6" s="1"/>
  <c r="W246" i="6"/>
  <c r="X246" i="6"/>
  <c r="Z246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 s="1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Y249" i="6" s="1"/>
  <c r="X249" i="6"/>
  <c r="Z249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Z257" i="6" s="1"/>
  <c r="W257" i="6"/>
  <c r="X257" i="6"/>
  <c r="Y257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Y258" i="6" s="1"/>
  <c r="W258" i="6"/>
  <c r="X258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Y259" i="6" s="1"/>
  <c r="W259" i="6"/>
  <c r="X259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F36" i="6"/>
  <c r="F37" i="6"/>
  <c r="F38" i="6"/>
  <c r="F39" i="6"/>
  <c r="F40" i="6"/>
  <c r="F41" i="6"/>
  <c r="F42" i="6"/>
  <c r="F43" i="6"/>
  <c r="F44" i="6"/>
  <c r="F45" i="6"/>
  <c r="F46" i="6"/>
  <c r="G46" i="6" s="1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G111" i="6" s="1"/>
  <c r="F112" i="6"/>
  <c r="F113" i="6"/>
  <c r="F114" i="6"/>
  <c r="F115" i="6"/>
  <c r="F116" i="6"/>
  <c r="F117" i="6"/>
  <c r="F118" i="6"/>
  <c r="F119" i="6"/>
  <c r="F120" i="6"/>
  <c r="F121" i="6"/>
  <c r="F122" i="6"/>
  <c r="F123" i="6"/>
  <c r="G123" i="6" s="1"/>
  <c r="F124" i="6"/>
  <c r="F125" i="6"/>
  <c r="G125" i="6" s="1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G158" i="6" s="1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G237" i="6" s="1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G36" i="6"/>
  <c r="G37" i="6"/>
  <c r="G38" i="6"/>
  <c r="G39" i="6"/>
  <c r="G40" i="6"/>
  <c r="G41" i="6"/>
  <c r="G42" i="6"/>
  <c r="G43" i="6"/>
  <c r="G44" i="6"/>
  <c r="G45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2" i="6"/>
  <c r="G113" i="6"/>
  <c r="G114" i="6"/>
  <c r="G115" i="6"/>
  <c r="G116" i="6"/>
  <c r="G117" i="6"/>
  <c r="G118" i="6"/>
  <c r="G119" i="6"/>
  <c r="G120" i="6"/>
  <c r="G121" i="6"/>
  <c r="G122" i="6"/>
  <c r="G124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P65" i="11"/>
  <c r="M65" i="11"/>
  <c r="AD65" i="11" s="1"/>
  <c r="B65" i="11"/>
  <c r="C65" i="11"/>
  <c r="F65" i="11"/>
  <c r="G65" i="11"/>
  <c r="I65" i="11"/>
  <c r="J65" i="11"/>
  <c r="K65" i="11"/>
  <c r="Y65" i="11"/>
  <c r="AK119" i="1"/>
  <c r="Y119" i="1"/>
  <c r="X119" i="1"/>
  <c r="W119" i="1"/>
  <c r="AI119" i="1" s="1"/>
  <c r="H119" i="1"/>
  <c r="A119" i="1"/>
  <c r="B119" i="1"/>
  <c r="E119" i="1"/>
  <c r="F119" i="1" s="1"/>
  <c r="AJ119" i="1"/>
  <c r="AL119" i="1" s="1"/>
  <c r="AM119" i="1"/>
  <c r="C221" i="3"/>
  <c r="B221" i="3"/>
  <c r="F221" i="3"/>
  <c r="G221" i="3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 s="1"/>
  <c r="Y64" i="11"/>
  <c r="AK118" i="1"/>
  <c r="AL118" i="1" s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C220" i="3"/>
  <c r="B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F61" i="11"/>
  <c r="G61" i="11" s="1"/>
  <c r="Y61" i="11"/>
  <c r="AB61" i="11" s="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Z259" i="6" l="1"/>
  <c r="Y244" i="6"/>
  <c r="Z243" i="6"/>
  <c r="Y228" i="6"/>
  <c r="Z227" i="6"/>
  <c r="Y212" i="6"/>
  <c r="Z211" i="6"/>
  <c r="Y196" i="6"/>
  <c r="Z195" i="6"/>
  <c r="Y180" i="6"/>
  <c r="Z179" i="6"/>
  <c r="Y164" i="6"/>
  <c r="Z163" i="6"/>
  <c r="Y148" i="6"/>
  <c r="Z147" i="6"/>
  <c r="Y132" i="6"/>
  <c r="Z131" i="6"/>
  <c r="Y116" i="6"/>
  <c r="Z115" i="6"/>
  <c r="Y100" i="6"/>
  <c r="Z99" i="6"/>
  <c r="Y84" i="6"/>
  <c r="Z83" i="6"/>
  <c r="Y68" i="6"/>
  <c r="Z67" i="6"/>
  <c r="Y52" i="6"/>
  <c r="Z51" i="6"/>
  <c r="Y36" i="6"/>
  <c r="Z258" i="6"/>
  <c r="Z242" i="6"/>
  <c r="Z226" i="6"/>
  <c r="Z210" i="6"/>
  <c r="Z194" i="6"/>
  <c r="Z178" i="6"/>
  <c r="Z162" i="6"/>
  <c r="Z146" i="6"/>
  <c r="Z130" i="6"/>
  <c r="Z114" i="6"/>
  <c r="Z98" i="6"/>
  <c r="Z82" i="6"/>
  <c r="Z66" i="6"/>
  <c r="Z50" i="6"/>
  <c r="Z248" i="6"/>
  <c r="Z232" i="6"/>
  <c r="Z216" i="6"/>
  <c r="Z200" i="6"/>
  <c r="Z183" i="6"/>
  <c r="Z167" i="6"/>
  <c r="Z151" i="6"/>
  <c r="Z135" i="6"/>
  <c r="Z119" i="6"/>
  <c r="Z103" i="6"/>
  <c r="Z87" i="6"/>
  <c r="Z71" i="6"/>
  <c r="Z55" i="6"/>
  <c r="Z39" i="6"/>
  <c r="Z182" i="6"/>
  <c r="Z166" i="6"/>
  <c r="Z150" i="6"/>
  <c r="Z134" i="6"/>
  <c r="Z118" i="6"/>
  <c r="Z102" i="6"/>
  <c r="Z86" i="6"/>
  <c r="Z70" i="6"/>
  <c r="Z54" i="6"/>
  <c r="Z38" i="6"/>
  <c r="Z245" i="6"/>
  <c r="Z229" i="6"/>
  <c r="Z213" i="6"/>
  <c r="Z197" i="6"/>
  <c r="Z181" i="6"/>
  <c r="Z165" i="6"/>
  <c r="Z149" i="6"/>
  <c r="Z133" i="6"/>
  <c r="Z117" i="6"/>
  <c r="Z101" i="6"/>
  <c r="Z85" i="6"/>
  <c r="Z69" i="6"/>
  <c r="Z53" i="6"/>
  <c r="Z37" i="6"/>
  <c r="AB65" i="11"/>
  <c r="AB63" i="11"/>
  <c r="AB64" i="11"/>
  <c r="AI118" i="1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L111" i="1" l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P56" i="11" l="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B56" i="11" l="1"/>
  <c r="AL100" i="1"/>
  <c r="AI100" i="1"/>
  <c r="AL98" i="1"/>
  <c r="AI99" i="1"/>
  <c r="AL97" i="1"/>
  <c r="AI98" i="1"/>
  <c r="AI97" i="1"/>
  <c r="AL96" i="1"/>
  <c r="AI96" i="1"/>
  <c r="AK95" i="1" l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AB55" i="11" l="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AL89" i="1" l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AK69" i="1" l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AL68" i="1" l="1"/>
  <c r="AB39" i="11"/>
  <c r="AL67" i="1"/>
  <c r="AI68" i="1"/>
  <c r="AL66" i="1"/>
  <c r="AI67" i="1"/>
  <c r="AI66" i="1"/>
  <c r="AI65" i="1"/>
  <c r="AL65" i="1"/>
  <c r="AB38" i="11"/>
  <c r="AK64" i="1" l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AE219" i="3" l="1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P31" i="11" l="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AE216" i="3" l="1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P25" i="11" l="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AB24" i="11" l="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AE211" i="3" l="1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A5" i="1" l="1"/>
  <c r="G6" i="1"/>
  <c r="AB19" i="11"/>
  <c r="H16" i="15"/>
  <c r="H8" i="19"/>
  <c r="B7" i="19"/>
  <c r="C7" i="19"/>
  <c r="C6" i="19"/>
  <c r="AB18" i="11"/>
  <c r="G7" i="1" l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A7" i="1" l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A8" i="1" l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A9" i="1" l="1"/>
  <c r="G10" i="1"/>
  <c r="H20" i="15"/>
  <c r="F19" i="15"/>
  <c r="C19" i="15"/>
  <c r="B19" i="15"/>
  <c r="H12" i="19"/>
  <c r="C11" i="19"/>
  <c r="B11" i="19"/>
  <c r="AB9" i="11"/>
  <c r="AB8" i="11"/>
  <c r="A10" i="1" l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AE205" i="3" l="1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AC199" i="3" l="1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AC186" i="3" s="1"/>
  <c r="G183" i="3"/>
  <c r="J183" i="3"/>
  <c r="M183" i="3"/>
  <c r="AE183" i="3" s="1"/>
  <c r="N183" i="3"/>
  <c r="W183" i="3"/>
  <c r="X183" i="3"/>
  <c r="Y183" i="3"/>
  <c r="Z183" i="3"/>
  <c r="G182" i="3"/>
  <c r="I182" i="3"/>
  <c r="M182" i="3"/>
  <c r="AE182" i="3" s="1"/>
  <c r="N182" i="3"/>
  <c r="W182" i="3"/>
  <c r="X182" i="3"/>
  <c r="Y182" i="3"/>
  <c r="Z182" i="3"/>
  <c r="G181" i="3"/>
  <c r="M181" i="3"/>
  <c r="AE181" i="3" s="1"/>
  <c r="N181" i="3"/>
  <c r="W181" i="3"/>
  <c r="X181" i="3"/>
  <c r="Y181" i="3"/>
  <c r="Z181" i="3"/>
  <c r="G180" i="3"/>
  <c r="M180" i="3"/>
  <c r="AE180" i="3" s="1"/>
  <c r="N180" i="3"/>
  <c r="W180" i="3"/>
  <c r="X180" i="3"/>
  <c r="Y180" i="3"/>
  <c r="Z180" i="3"/>
  <c r="G179" i="3"/>
  <c r="M179" i="3"/>
  <c r="AE179" i="3" s="1"/>
  <c r="N179" i="3"/>
  <c r="W179" i="3"/>
  <c r="X179" i="3"/>
  <c r="Y179" i="3"/>
  <c r="Z179" i="3"/>
  <c r="G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J178" i="3" l="1"/>
  <c r="I179" i="3"/>
  <c r="J180" i="3"/>
  <c r="I181" i="3"/>
  <c r="J182" i="3"/>
  <c r="K182" i="3" s="1"/>
  <c r="I185" i="3"/>
  <c r="I183" i="3"/>
  <c r="K183" i="3" s="1"/>
  <c r="J186" i="3"/>
  <c r="I186" i="3"/>
  <c r="I178" i="3"/>
  <c r="J179" i="3"/>
  <c r="J184" i="3"/>
  <c r="K184" i="3" s="1"/>
  <c r="AC184" i="3"/>
  <c r="I180" i="3"/>
  <c r="J181" i="3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K178" i="3" l="1"/>
  <c r="K179" i="3"/>
  <c r="K180" i="3"/>
  <c r="K181" i="3"/>
  <c r="K185" i="3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C17" i="3" l="1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J5" i="11" l="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J196" i="3" l="1"/>
  <c r="I195" i="3"/>
  <c r="K195" i="3" s="1"/>
  <c r="I196" i="3"/>
  <c r="A17" i="1"/>
  <c r="G18" i="1"/>
  <c r="C19" i="19"/>
  <c r="B19" i="19"/>
  <c r="H20" i="19"/>
  <c r="F19" i="19"/>
  <c r="G19" i="19" s="1"/>
  <c r="C1" i="12"/>
  <c r="K196" i="3" l="1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K198" i="3" l="1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K199" i="3" l="1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K202" i="3" l="1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K7" i="11" l="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K205" i="3" l="1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G25" i="1" l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A25" i="1" l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G27" i="1" l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G28" i="1" l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G29" i="1" l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G30" i="1" l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G31" i="1" l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G32" i="1" l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A32" i="1" l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A33" i="1" l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A34" i="1" l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A35" i="1" l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A36" i="1" l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G38" i="1" l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G39" i="1" l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G40" i="1" l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40" i="1" l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A41" i="1" l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G43" i="1" l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A43" i="1" l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A44" i="1" l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A45" i="1" l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G47" i="1" l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A47" i="1" l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A48" i="1" l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G50" i="1" l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G51" i="1" l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A51" i="1" l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A52" i="1" l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G54" i="1" l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A54" i="1" l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G56" i="1" l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K212" i="3" l="1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G58" i="1" l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G59" i="1" l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K33" i="11" l="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G61" i="1" l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K36" i="11" l="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G63" i="1" l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G64" i="1" l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G65" i="1" l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G66" i="1" l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G67" i="1" l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G68" i="1" l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G69" i="1" l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G71" i="1" l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G72" i="1" l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G73" i="1" l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G74" i="1" l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G75" i="1" l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G76" i="1" l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G77" i="1" l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G78" i="1" l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G79" i="1" l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G80" i="1" l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G82" i="1" l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G83" i="1" l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G84" i="1" l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G85" i="1" l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G86" i="1" l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G87" i="1" l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G88" i="1" l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G89" i="1" l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G90" i="1" l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G91" i="1" l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G92" i="1" l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G93" i="1" l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G94" i="1" l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G95" i="1" l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G96" i="1" l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G97" i="1" l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G98" i="1" l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G99" i="1" l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G100" i="1" l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G101" i="1" l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G102" i="1" l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G104" i="1" l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G105" i="1" l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G106" i="1" l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G107" i="1" l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G108" i="1" l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G109" i="1" l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G111" i="1" l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G112" i="1" l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G113" i="1" l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G115" i="1" l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G116" i="1" l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G117" i="1" l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G118" i="1" l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G119" i="1" l="1"/>
  <c r="E118" i="1"/>
  <c r="F118" i="1" s="1"/>
  <c r="B118" i="1"/>
  <c r="A118" i="1"/>
  <c r="J64" i="11"/>
  <c r="I64" i="11"/>
  <c r="J221" i="3"/>
  <c r="I221" i="3"/>
  <c r="O87" i="2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K221" i="3" l="1"/>
  <c r="K64" i="11"/>
  <c r="O88" i="2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O89" i="21" l="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O90" i="21" l="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O91" i="21" l="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O92" i="21" l="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O93" i="21" l="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R94" i="21" l="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O95" i="21" l="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O96" i="21" l="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O97" i="21" l="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O98" i="21" l="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O99" i="21" l="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O100" i="21" l="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O101" i="21" l="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O102" i="21" l="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O103" i="21" l="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O104" i="21" l="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O105" i="21" l="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O106" i="21" l="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O107" i="21" l="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O108" i="21" l="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O109" i="21" l="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O110" i="21" l="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O111" i="21" l="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O112" i="21" l="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O113" i="21" l="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O114" i="21" l="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O115" i="21" l="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O116" i="21" l="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O117" i="21" l="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O118" i="21" l="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O119" i="21" l="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O120" i="21" l="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O121" i="21" l="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O122" i="21" l="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O123" i="21" l="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O124" i="21" l="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O125" i="21" l="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O126" i="21" l="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O127" i="21" l="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O128" i="21" l="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O129" i="21" l="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O130" i="21" l="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O131" i="21" l="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O132" i="21" l="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O133" i="21" l="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O134" i="21" l="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O135" i="21" l="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O136" i="21" l="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O137" i="21" l="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O138" i="21" l="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O139" i="21" l="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O140" i="21" l="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O141" i="21" l="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R142" i="21" l="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O143" i="21" l="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O144" i="21" l="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O145" i="21" l="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O146" i="21" l="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O147" i="21" l="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O148" i="21" l="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O149" i="21" l="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O150" i="21" l="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O151" i="21" l="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O152" i="21" l="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O153" i="21" l="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O154" i="21" l="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O155" i="21" l="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O156" i="21" l="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O157" i="21" l="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R158" i="21" l="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O159" i="21" l="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O160" i="21" l="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O161" i="21" l="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O162" i="21" l="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O163" i="21" l="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O164" i="21" l="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O165" i="21" l="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O166" i="21" l="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O167" i="21" l="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O168" i="21" l="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O169" i="21" l="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O170" i="21" l="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O171" i="21" l="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O172" i="21" l="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O173" i="21" l="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O174" i="21" l="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O175" i="21" l="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O176" i="21" l="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O177" i="21" l="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O178" i="21" l="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O179" i="21" l="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O180" i="21" l="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O181" i="21" l="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O182" i="21" l="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O183" i="21" l="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O184" i="21" l="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O185" i="21" l="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O186" i="21" l="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O187" i="21" l="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O188" i="21" l="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O189" i="21" l="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O190" i="21" l="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O191" i="21" l="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O192" i="21" l="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O193" i="21" l="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O194" i="21" l="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O195" i="21" l="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O196" i="21" l="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O197" i="21" l="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O198" i="21" l="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O199" i="21" l="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O200" i="21" l="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O201" i="21" l="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O202" i="21" l="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O203" i="21" l="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O204" i="21" l="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O205" i="21" l="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R206" i="21" l="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O207" i="21" l="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O208" i="21" l="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O209" i="21" l="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O210" i="21" l="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O211" i="21" l="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O212" i="21" l="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O213" i="21" l="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O214" i="21" l="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O215" i="21" l="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O216" i="21" l="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O217" i="21" l="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O218" i="21" l="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J19" i="7" l="1"/>
  <c r="AM3" i="7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C34" i="6"/>
  <c r="F34" i="6"/>
  <c r="G34" i="6" s="1"/>
  <c r="H21" i="7" l="1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<sst xmlns="http://schemas.openxmlformats.org/spreadsheetml/2006/main" count="4355" uniqueCount="1209">
  <si>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</si>
  <si>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</si>
  <si>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</si>
  <si>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</si>
  <si>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</si>
  <si>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</si>
  <si>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</si>
  <si>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</si>
  <si>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</si>
  <si>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</si>
  <si>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</si>
  <si>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</si>
  <si>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</si>
  <si>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</si>
  <si>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</si>
  <si>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</si>
  <si>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</si>
  <si>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</si>
  <si>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</si>
  <si>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</si>
  <si>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</si>
  <si>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</si>
  <si>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</si>
  <si>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</si>
  <si>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</si>
  <si>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</si>
  <si>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</si>
  <si>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</si>
  <si>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</si>
  <si>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</si>
  <si>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</si>
  <si>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</si>
  <si>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</si>
  <si>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</si>
  <si>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</si>
  <si>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</si>
  <si>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</si>
  <si>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</si>
  <si>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</si>
  <si>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</si>
  <si>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</si>
  <si>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</si>
  <si>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</si>
  <si>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</si>
  <si>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</si>
  <si>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</si>
  <si>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</si>
  <si>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</si>
  <si>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</si>
  <si>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</si>
  <si>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</si>
  <si>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</si>
  <si>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</si>
  <si>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</si>
  <si>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</si>
  <si>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</si>
  <si>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</si>
  <si>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</si>
  <si>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</si>
  <si>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</si>
  <si>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</si>
  <si>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</si>
  <si>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</si>
  <si>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</si>
  <si>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</si>
  <si>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</si>
  <si>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</si>
  <si>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</si>
  <si>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</si>
  <si>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</si>
  <si>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</si>
  <si>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</si>
  <si>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</si>
  <si>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</si>
  <si>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</si>
  <si>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</si>
  <si>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</si>
  <si>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</si>
  <si>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</si>
  <si>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</si>
  <si>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</si>
  <si>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</si>
  <si>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</si>
  <si>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</si>
  <si>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</si>
  <si>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</si>
  <si>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</si>
  <si>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</si>
  <si>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</si>
  <si>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</si>
  <si>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</si>
  <si>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</si>
  <si>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</si>
  <si>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</si>
  <si>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</si>
  <si>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</si>
  <si>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</si>
  <si>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</si>
  <si>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</si>
  <si>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</si>
  <si>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</si>
  <si>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</si>
  <si>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</si>
  <si>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</si>
  <si>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</si>
  <si>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</si>
  <si>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</si>
  <si>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</si>
  <si>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</si>
  <si>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</si>
  <si>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</si>
  <si>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</si>
  <si>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</si>
  <si>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</si>
  <si>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</si>
  <si>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</si>
  <si>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</si>
  <si>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</si>
  <si>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</si>
  <si>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</si>
  <si>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</si>
  <si>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</si>
  <si>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</si>
  <si>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</si>
  <si>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</si>
  <si>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</si>
  <si>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</si>
  <si>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</si>
  <si>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</si>
  <si>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</si>
  <si>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</si>
  <si>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</si>
  <si>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</si>
  <si>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</si>
  <si>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</si>
  <si>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</si>
  <si>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</si>
  <si>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</si>
  <si>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</si>
  <si>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</si>
  <si>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</si>
  <si>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</si>
  <si>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</si>
  <si>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</si>
  <si>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</si>
  <si>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</si>
  <si>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</si>
  <si>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</si>
  <si>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</si>
  <si>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</si>
  <si>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</si>
  <si>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</si>
  <si>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</si>
  <si>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</si>
  <si>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</si>
  <si>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</si>
  <si>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</si>
  <si>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</si>
  <si>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</si>
  <si>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</si>
  <si>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</si>
  <si>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</si>
  <si>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</si>
  <si>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</si>
  <si>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</si>
  <si>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</si>
  <si>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</si>
  <si>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</si>
  <si>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</si>
  <si>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</si>
  <si>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</si>
  <si>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</si>
  <si>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</si>
  <si>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</si>
  <si>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</si>
  <si>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</si>
  <si>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</si>
  <si>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</si>
  <si>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</si>
  <si>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</si>
  <si>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</si>
  <si>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</si>
  <si>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</si>
  <si>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</si>
  <si>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</si>
  <si>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</si>
  <si>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</si>
  <si>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</si>
  <si>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</si>
  <si>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</si>
  <si>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</si>
  <si>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</si>
  <si>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</si>
  <si>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</si>
  <si>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</si>
  <si>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</si>
  <si>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</si>
  <si>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</si>
  <si>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</si>
  <si>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</si>
  <si>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</si>
  <si>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</si>
  <si>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</si>
  <si>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</si>
  <si>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</si>
  <si>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</si>
  <si>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</si>
  <si>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</si>
  <si>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</si>
  <si>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</si>
  <si>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</si>
  <si>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</si>
  <si>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</si>
  <si>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</si>
  <si>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</si>
  <si>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</si>
  <si>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</si>
  <si>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</si>
  <si>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</si>
  <si>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</si>
  <si>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</si>
  <si>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</si>
  <si>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</si>
  <si>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</si>
  <si>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</si>
  <si>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</si>
  <si>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</si>
  <si>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</si>
  <si>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</si>
  <si>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</si>
  <si>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</si>
  <si>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</si>
  <si>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</si>
  <si>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</si>
  <si>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</si>
  <si>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</si>
  <si>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</si>
  <si>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</si>
  <si>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</si>
  <si>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</si>
  <si>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</si>
  <si>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</si>
  <si>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</si>
  <si>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</si>
  <si>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</si>
  <si>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</si>
  <si>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</si>
  <si>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</si>
  <si>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</si>
  <si>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</si>
  <si>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</si>
  <si>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</si>
  <si>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</si>
  <si>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</si>
  <si>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</si>
  <si>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</si>
  <si>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</si>
  <si>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</si>
  <si>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</si>
  <si>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</si>
  <si>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</si>
  <si>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</si>
  <si>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</si>
  <si>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</si>
  <si>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</si>
  <si>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</si>
  <si>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</si>
  <si>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</si>
  <si>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</si>
  <si>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</si>
  <si>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</si>
  <si>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</si>
  <si>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</si>
  <si>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</si>
  <si>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</si>
  <si>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</si>
  <si>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</si>
  <si>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</si>
  <si>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</si>
  <si>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</si>
  <si>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</si>
  <si>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</si>
  <si>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</si>
  <si>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</si>
  <si>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</si>
  <si>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</si>
  <si>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</si>
  <si>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</si>
  <si>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</si>
  <si>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</si>
  <si>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</si>
  <si>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</si>
  <si>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</si>
  <si>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</si>
  <si>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</si>
  <si>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</si>
  <si>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</si>
  <si>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</si>
  <si>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</si>
  <si>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</si>
  <si>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</si>
  <si>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</si>
  <si>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</si>
  <si>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</si>
  <si>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</si>
  <si>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</si>
  <si>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</si>
  <si>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</si>
  <si>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</si>
  <si>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</si>
  <si>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</si>
  <si>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</si>
  <si>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</si>
  <si>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</si>
  <si>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</si>
  <si>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</si>
  <si>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</si>
  <si>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</si>
  <si>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</si>
  <si>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</si>
  <si>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</si>
  <si>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</si>
  <si>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</si>
  <si>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</si>
  <si>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</si>
  <si>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</si>
  <si>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</si>
  <si>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</si>
  <si>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</si>
  <si>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</si>
  <si>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</si>
  <si>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</si>
  <si>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</si>
  <si>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</si>
  <si>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</si>
  <si>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</si>
  <si>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</si>
  <si>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</si>
  <si>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</si>
  <si>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</si>
  <si>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</si>
  <si>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</si>
  <si>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</si>
  <si>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</si>
  <si>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</si>
  <si>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</si>
  <si>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</si>
  <si>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</si>
  <si>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</si>
  <si>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</si>
  <si>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</si>
  <si>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</si>
  <si>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</si>
  <si>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</si>
  <si>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</si>
  <si>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</si>
  <si>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</si>
  <si>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</si>
  <si>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</si>
  <si>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</si>
  <si>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</si>
  <si>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</si>
  <si>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</si>
  <si>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</si>
  <si>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</si>
  <si>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</si>
  <si>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</si>
  <si>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</si>
  <si>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</si>
  <si>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</si>
  <si>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</si>
  <si>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</si>
  <si>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</si>
  <si>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</si>
  <si>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</si>
  <si>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</si>
  <si>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</si>
  <si>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</si>
  <si>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</si>
  <si>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</si>
  <si>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</si>
  <si>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</si>
  <si>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</si>
  <si>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</si>
  <si>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</si>
  <si>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</si>
  <si>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</si>
  <si>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</si>
  <si>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</si>
  <si>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</si>
  <si>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</si>
  <si>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</si>
  <si>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</si>
  <si>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</si>
  <si>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</si>
  <si>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</si>
  <si>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</si>
  <si>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</si>
  <si>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</si>
  <si>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</si>
  <si>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</si>
  <si>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</si>
  <si>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</si>
  <si>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</si>
  <si>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</si>
  <si>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</si>
  <si>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</si>
  <si>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</si>
  <si>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</si>
  <si>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</si>
  <si>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</si>
  <si>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</si>
  <si>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</si>
  <si>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</si>
  <si>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</si>
  <si>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</si>
  <si>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</si>
  <si>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</si>
  <si>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</si>
  <si>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</si>
  <si>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</si>
  <si>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</si>
  <si>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</si>
  <si>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</si>
  <si>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</si>
  <si>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</si>
  <si>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</si>
  <si>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</si>
  <si>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</si>
  <si>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</si>
  <si>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</si>
  <si>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</si>
  <si>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</si>
  <si>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</si>
  <si>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</si>
  <si>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</si>
  <si>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</si>
  <si>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</si>
  <si>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</si>
  <si>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</si>
  <si>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</si>
  <si>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</si>
  <si>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</si>
  <si>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</si>
  <si>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</si>
  <si>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</si>
  <si>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</si>
  <si>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</si>
  <si>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</si>
  <si>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</si>
  <si>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</si>
  <si>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</si>
  <si>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</si>
  <si>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</si>
  <si>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</si>
  <si>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</si>
  <si>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</si>
  <si>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</si>
  <si>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</si>
  <si>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</si>
  <si>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</si>
  <si>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</si>
  <si>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</si>
  <si>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</si>
  <si>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</si>
  <si>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</si>
  <si>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</si>
  <si>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</si>
  <si>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</si>
  <si>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</si>
  <si>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</si>
  <si>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</si>
  <si>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</si>
  <si>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</si>
  <si>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</si>
  <si>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</si>
  <si>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</si>
  <si>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</si>
  <si>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</si>
  <si>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</si>
  <si>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</si>
  <si>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</si>
  <si>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</si>
  <si>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</si>
  <si>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</si>
  <si>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</si>
  <si>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</si>
  <si>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</si>
  <si>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</si>
  <si>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</si>
  <si>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</si>
  <si>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</si>
  <si>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</si>
  <si>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</si>
  <si>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</si>
  <si>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</si>
  <si>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</si>
  <si>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</si>
  <si>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</si>
  <si>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</si>
  <si>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</si>
  <si>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</si>
  <si>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</si>
  <si>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</si>
  <si>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</si>
  <si>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</si>
  <si>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</si>
  <si>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</si>
  <si>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</si>
  <si>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</si>
  <si>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</si>
  <si>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</si>
  <si>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</si>
  <si>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</si>
  <si>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</si>
  <si>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</si>
  <si>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</si>
  <si>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</si>
  <si>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</si>
  <si>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</si>
  <si>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</si>
  <si>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</si>
  <si>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</si>
  <si>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</si>
  <si>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</si>
  <si>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</si>
  <si>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</si>
  <si>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</si>
  <si>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</si>
  <si>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</si>
  <si>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</si>
  <si>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</si>
  <si>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</si>
  <si>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</si>
  <si>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</si>
  <si>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</si>
  <si>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</si>
  <si>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</si>
  <si>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</si>
  <si>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</si>
  <si>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</si>
  <si>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</si>
  <si>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</si>
  <si>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</si>
  <si>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</si>
  <si>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</si>
  <si>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</si>
  <si>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</si>
  <si>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</si>
  <si>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</si>
  <si>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</si>
  <si>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</si>
  <si>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</si>
  <si>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</si>
  <si>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</si>
  <si>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</si>
  <si>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</si>
  <si>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</si>
  <si>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</si>
  <si>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</si>
  <si>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</si>
  <si>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</si>
  <si>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</si>
  <si>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</si>
  <si>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</si>
  <si>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</si>
  <si>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</si>
  <si>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</si>
  <si>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</si>
  <si>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</si>
  <si>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</si>
  <si>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</si>
  <si>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</si>
  <si>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</si>
  <si>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</si>
  <si>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</si>
  <si>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</si>
  <si>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</si>
  <si>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</si>
  <si>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</si>
  <si>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</si>
  <si>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</si>
  <si>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</si>
  <si>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</si>
  <si>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</si>
  <si>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</si>
  <si>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</si>
  <si>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</si>
  <si>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</si>
  <si>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</si>
  <si>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</si>
  <si>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</si>
  <si>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</si>
  <si>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</si>
  <si>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</si>
  <si>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</si>
  <si>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</si>
  <si>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</si>
  <si>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</si>
  <si>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</si>
  <si>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</si>
  <si>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</si>
  <si>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</si>
  <si>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</si>
  <si>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</si>
  <si>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</si>
  <si>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</si>
  <si>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</si>
  <si>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</si>
  <si>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</si>
  <si>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</si>
  <si>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</si>
  <si>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</si>
  <si>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</si>
  <si>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</si>
  <si>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</si>
  <si>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</si>
  <si>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</si>
  <si>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</si>
  <si>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</si>
  <si>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</si>
  <si>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</si>
  <si>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</si>
  <si>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</si>
  <si>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</si>
  <si>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</si>
  <si>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</si>
  <si>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</si>
  <si>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</si>
  <si>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</si>
  <si>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</si>
  <si>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</si>
  <si>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</si>
  <si>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</si>
  <si>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</si>
  <si>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</si>
  <si>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</si>
  <si>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</si>
  <si>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</si>
  <si>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</si>
  <si>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</si>
  <si>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</si>
  <si>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</si>
  <si>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</si>
  <si>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</si>
  <si>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</si>
  <si>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</si>
  <si>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</si>
  <si>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</si>
  <si>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</si>
  <si>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</si>
  <si>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</si>
  <si>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</si>
  <si>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</si>
  <si>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</si>
  <si>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</si>
  <si>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</si>
  <si>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</si>
  <si>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</si>
  <si>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</si>
  <si>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</si>
  <si>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</si>
  <si>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</si>
  <si>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</si>
  <si>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</si>
  <si>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</si>
  <si>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</si>
  <si>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</si>
  <si>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</si>
  <si>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</si>
  <si>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</si>
  <si>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</si>
  <si>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</si>
  <si>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</si>
  <si>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</si>
  <si>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</si>
  <si>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</si>
  <si>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</si>
  <si>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</si>
  <si>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</si>
  <si>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</si>
  <si>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</si>
  <si>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</si>
  <si>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</si>
  <si>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</si>
  <si>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</si>
  <si>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</si>
  <si>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</si>
  <si>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</si>
  <si>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</si>
  <si>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</si>
  <si>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</si>
  <si>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</si>
  <si>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</si>
  <si>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</si>
  <si>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</si>
  <si>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</si>
  <si>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</si>
  <si>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</si>
  <si>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</si>
  <si>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</si>
  <si>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</si>
  <si>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</si>
  <si>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</si>
  <si>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</si>
  <si>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</si>
  <si>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</si>
  <si>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</si>
  <si>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</si>
  <si>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</si>
  <si>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</si>
  <si>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</si>
  <si>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</si>
  <si>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</si>
  <si>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</si>
  <si>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</si>
  <si>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</si>
  <si>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</si>
  <si>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</si>
  <si>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</si>
  <si>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</si>
  <si>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</si>
  <si>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</si>
  <si>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</si>
  <si>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</si>
  <si>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</si>
  <si>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</si>
  <si>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</si>
  <si>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</si>
  <si>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</si>
  <si>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</si>
  <si>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</si>
  <si>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</si>
  <si>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</si>
  <si>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</si>
  <si>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</si>
  <si>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</si>
  <si>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</si>
  <si>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</si>
  <si>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</si>
  <si>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</si>
  <si>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</si>
  <si>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</si>
  <si>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</si>
  <si>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</si>
  <si>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</si>
  <si>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</si>
  <si>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</si>
  <si>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</si>
  <si>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</si>
  <si>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</si>
  <si>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</si>
  <si>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</si>
  <si>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</si>
  <si>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</si>
  <si>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</si>
  <si>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</si>
  <si>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</si>
  <si>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</si>
  <si>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</si>
  <si>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</si>
  <si>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</si>
  <si>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</si>
  <si>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</si>
  <si>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</si>
  <si>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</si>
  <si>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</si>
  <si>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</si>
  <si>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</si>
  <si>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</si>
  <si>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</si>
  <si>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</si>
  <si>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</si>
  <si>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</si>
  <si>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</si>
  <si>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</si>
  <si>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</si>
  <si>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</si>
  <si>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</si>
  <si>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</si>
  <si>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</si>
  <si>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</si>
  <si>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</si>
  <si>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</si>
  <si>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</si>
  <si>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</si>
  <si>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</si>
  <si>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</si>
  <si>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</si>
  <si>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</si>
  <si>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</si>
  <si>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</si>
  <si>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</si>
  <si>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</si>
  <si>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</si>
  <si>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</si>
  <si>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</si>
  <si>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</si>
  <si>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</si>
  <si>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</si>
  <si>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</si>
  <si>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</si>
  <si>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</si>
  <si>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</si>
  <si>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</si>
  <si>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</si>
  <si>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</si>
  <si>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</si>
  <si>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</si>
  <si>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</si>
  <si>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</si>
  <si>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</si>
  <si>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</si>
  <si>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</si>
  <si>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</si>
  <si>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</si>
  <si>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</si>
  <si>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</si>
  <si>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</si>
  <si>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</si>
  <si>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</si>
  <si>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</si>
  <si>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</si>
  <si>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</si>
  <si>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</si>
  <si>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</si>
  <si>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</si>
  <si>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</si>
  <si>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</si>
  <si>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</si>
  <si>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</si>
  <si>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</si>
  <si>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</si>
  <si>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</si>
  <si>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</si>
  <si>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</si>
  <si>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</si>
  <si>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</si>
  <si>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</si>
  <si>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</si>
  <si>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</si>
  <si>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</si>
  <si>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</si>
  <si>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</si>
  <si>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</si>
  <si>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</si>
  <si>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</si>
  <si>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</si>
  <si>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</si>
  <si>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</si>
  <si>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</si>
  <si>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</si>
  <si>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</si>
  <si>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</si>
  <si>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</si>
  <si>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</si>
  <si>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</si>
  <si>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</si>
  <si>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</si>
  <si>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</si>
  <si>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</si>
  <si>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</si>
  <si>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</si>
  <si>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</si>
  <si>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</si>
  <si>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</si>
  <si>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</si>
  <si>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</si>
  <si>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</si>
  <si>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</si>
  <si>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</si>
  <si>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</si>
  <si>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</si>
  <si>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</si>
  <si>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</si>
  <si>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</si>
  <si>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</si>
  <si>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</si>
  <si>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</si>
  <si>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</si>
  <si>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</si>
  <si>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</si>
  <si>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</si>
  <si>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</si>
  <si>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</si>
  <si>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</si>
  <si>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</si>
  <si>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</si>
  <si>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</si>
  <si>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</si>
  <si>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</si>
  <si>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</si>
  <si>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</si>
  <si>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</si>
  <si>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</si>
  <si>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</si>
  <si>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</si>
  <si>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</si>
  <si>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</si>
  <si>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</si>
  <si>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</si>
  <si>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</si>
  <si>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</si>
  <si>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</si>
  <si>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</si>
  <si>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</si>
  <si>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</si>
  <si>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</si>
  <si>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</si>
  <si>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</si>
  <si>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</si>
  <si>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</si>
  <si>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</si>
  <si>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</si>
  <si>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</si>
  <si>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</si>
  <si>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</si>
  <si>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</si>
  <si>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</si>
  <si>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</si>
  <si>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</si>
  <si>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</si>
  <si>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</si>
  <si>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</si>
  <si>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</si>
  <si>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</si>
  <si>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</si>
  <si>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</si>
  <si>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</si>
  <si>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</si>
  <si>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</si>
  <si>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</si>
  <si>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</si>
  <si>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</si>
  <si>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</si>
  <si>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</si>
  <si>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</si>
  <si>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</si>
  <si>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</si>
  <si>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</si>
  <si>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</si>
  <si>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</si>
  <si>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</si>
  <si>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</si>
  <si>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</si>
  <si>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</si>
  <si>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</si>
  <si>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</si>
  <si>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</si>
  <si>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</si>
  <si>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</si>
  <si>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</si>
  <si>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</si>
  <si>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</si>
  <si>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</si>
  <si>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</si>
  <si>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</si>
  <si>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</si>
  <si>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</si>
  <si>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</si>
  <si>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</si>
  <si>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</si>
  <si>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</si>
  <si>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</si>
  <si>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</si>
  <si>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</si>
  <si>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</si>
  <si>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</si>
  <si>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</si>
  <si>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</si>
  <si>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</si>
  <si>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</si>
  <si>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</si>
  <si>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</si>
  <si>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</si>
  <si>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</si>
  <si>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</si>
  <si>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</si>
  <si>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</si>
  <si>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</si>
  <si>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</si>
  <si>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</si>
  <si>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</si>
  <si>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</si>
  <si>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</si>
  <si>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</si>
  <si>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</si>
  <si>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</si>
  <si>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</si>
  <si>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</si>
  <si>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</si>
  <si>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</si>
  <si>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</si>
  <si>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</si>
  <si>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</si>
  <si>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</si>
  <si>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</si>
  <si>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</si>
  <si>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</si>
  <si>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</si>
  <si>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</si>
  <si>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</si>
  <si>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</si>
  <si>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</si>
  <si>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</si>
  <si>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</si>
  <si>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</si>
  <si>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</si>
  <si>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</si>
  <si>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</si>
  <si>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</si>
  <si>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</si>
  <si>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</si>
  <si>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</si>
  <si>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</si>
  <si>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</si>
  <si>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</si>
  <si>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</si>
  <si>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</si>
  <si>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</si>
  <si>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</si>
  <si>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</si>
  <si>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</si>
  <si>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</si>
  <si>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</si>
  <si>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</si>
  <si>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</si>
  <si>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</si>
  <si>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</si>
  <si>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</si>
  <si>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</si>
  <si>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</si>
  <si>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</si>
  <si>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</si>
  <si>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</si>
  <si>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</si>
  <si>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</si>
  <si>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</si>
  <si>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</si>
  <si>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</si>
  <si>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</si>
  <si>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</si>
  <si>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</si>
  <si>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</si>
  <si>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</si>
  <si>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</si>
  <si>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</si>
  <si>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</si>
  <si>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</si>
  <si>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</si>
  <si>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</si>
  <si>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</si>
  <si>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</si>
  <si>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</si>
  <si>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</si>
  <si>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</si>
  <si>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</si>
  <si>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</si>
  <si>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</si>
  <si>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</si>
  <si>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</si>
  <si>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</si>
  <si>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</si>
  <si>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</si>
  <si>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</si>
  <si>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</si>
  <si>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</si>
  <si>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</si>
  <si>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</si>
  <si>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</si>
  <si>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</si>
  <si>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</si>
  <si>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</si>
  <si>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</si>
  <si>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</si>
  <si>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</si>
  <si>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</si>
  <si>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</si>
  <si>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</si>
  <si>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</si>
  <si>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</si>
  <si>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</si>
  <si>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</si>
  <si>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</si>
  <si>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</si>
  <si>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</si>
  <si>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</si>
  <si>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</si>
  <si>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</si>
  <si>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</si>
  <si>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</si>
  <si>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</si>
  <si>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</si>
  <si>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</si>
  <si>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</si>
  <si>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</si>
  <si>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</si>
  <si>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</si>
  <si>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</si>
  <si>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</si>
  <si>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</si>
  <si>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</si>
  <si>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</si>
  <si>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</si>
  <si>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</si>
  <si>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</si>
  <si>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</si>
  <si>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</si>
  <si>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</si>
  <si>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</si>
  <si>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</si>
  <si>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</si>
  <si>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</si>
  <si>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</si>
  <si>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</si>
  <si>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</si>
  <si>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</si>
  <si>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</si>
  <si>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</si>
  <si>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</si>
  <si>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</si>
  <si>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</si>
  <si>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</si>
  <si>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</si>
  <si>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</si>
  <si>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</si>
  <si>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</si>
  <si>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</si>
  <si>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</si>
  <si>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</si>
  <si>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</si>
  <si>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</si>
  <si>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</si>
  <si>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</si>
  <si>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</si>
  <si>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</si>
  <si>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</si>
  <si>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</si>
  <si>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</si>
  <si>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</si>
  <si>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</si>
  <si>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</si>
  <si>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</si>
  <si>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</si>
  <si>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</si>
  <si>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</si>
  <si>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</si>
  <si>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</si>
  <si>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</si>
  <si>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</si>
  <si>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</si>
  <si>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</si>
  <si>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</si>
  <si>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</si>
  <si>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</si>
  <si>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</si>
  <si>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</si>
  <si>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</si>
  <si>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</si>
  <si>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</si>
  <si>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</si>
  <si>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</si>
  <si>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</si>
  <si>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</si>
  <si>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</si>
  <si>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</si>
  <si>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</si>
  <si>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</si>
  <si>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</si>
  <si>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</si>
  <si>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</si>
  <si>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</si>
  <si>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</si>
  <si>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</si>
  <si>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</si>
  <si>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</si>
  <si>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</si>
  <si>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</si>
  <si>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</si>
  <si>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</si>
  <si>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</si>
  <si>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</si>
  <si>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</si>
  <si>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</si>
  <si>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</si>
  <si>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</si>
  <si>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</si>
  <si>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</si>
  <si>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</si>
  <si>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</si>
  <si>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</si>
  <si>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</si>
  <si>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</si>
  <si>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</si>
  <si>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</si>
  <si>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</si>
  <si>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</si>
  <si>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</si>
  <si>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</si>
  <si>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</si>
  <si>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</si>
  <si>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</si>
  <si>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</si>
  <si>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</si>
  <si>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</si>
  <si>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</si>
  <si>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</si>
  <si>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</si>
  <si>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Grid Failure from 11:30 to 12:03 (33 Minutes)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</si>
</sst>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8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19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259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209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1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5" totalsRowShown="0" headerRowDxfId="80" headerRowBorderDxfId="79" tableBorderDxfId="78">
  <autoFilter ref="A2:AD65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F17" sqref="F17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30" t="s">
        <v>330</v>
      </c>
      <c r="B1" s="231"/>
      <c r="C1" s="231"/>
      <c r="D1" s="231"/>
      <c r="E1" s="231"/>
      <c r="F1" s="232"/>
    </row>
    <row r="2" spans="1:6" x14ac:dyDescent="0.3">
      <c r="A2" s="191" t="s">
        <v>114</v>
      </c>
      <c r="B2" s="233">
        <v>45839</v>
      </c>
      <c r="C2" s="234"/>
      <c r="D2" s="234"/>
      <c r="E2" s="234"/>
      <c r="F2" s="235"/>
    </row>
    <row r="3" spans="1:6" x14ac:dyDescent="0.3">
      <c r="A3" s="191" t="s">
        <v>115</v>
      </c>
      <c r="B3" s="236">
        <v>45860</v>
      </c>
      <c r="C3" s="236"/>
      <c r="D3" s="236"/>
      <c r="E3" s="236"/>
      <c r="F3" s="237"/>
    </row>
    <row r="4" spans="1:6" x14ac:dyDescent="0.3">
      <c r="A4" s="191" t="s">
        <v>116</v>
      </c>
      <c r="B4" s="238">
        <f>YEAR(B3)+IF(MONTH(B3)&gt;=4,1,0)</f>
        <v>2026</v>
      </c>
      <c r="C4" s="238"/>
      <c r="D4" s="238"/>
      <c r="E4" s="238"/>
      <c r="F4" s="239"/>
    </row>
    <row r="5" spans="1:6" x14ac:dyDescent="0.3">
      <c r="A5" s="191" t="s">
        <v>117</v>
      </c>
      <c r="B5" s="240">
        <v>45748</v>
      </c>
      <c r="C5" s="241"/>
      <c r="D5" s="241"/>
      <c r="E5" s="241"/>
      <c r="F5" s="242"/>
    </row>
    <row r="6" spans="1:6" ht="15" thickBot="1" x14ac:dyDescent="0.35">
      <c r="A6" s="192" t="s">
        <v>118</v>
      </c>
      <c r="B6" s="228">
        <v>46112</v>
      </c>
      <c r="C6" s="228"/>
      <c r="D6" s="228"/>
      <c r="E6" s="228"/>
      <c r="F6" s="229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25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25.849999999997067</v>
      </c>
      <c r="E9" s="196">
        <f>-(C9-D9)/C9</f>
        <v>0.12734659130009968</v>
      </c>
      <c r="F9" s="197"/>
    </row>
    <row r="10" spans="1:6" x14ac:dyDescent="0.3">
      <c r="A10" s="226"/>
      <c r="B10" s="198" t="s">
        <v>124</v>
      </c>
      <c r="C10" s="81">
        <f>'Monthly KPI'!$E$4</f>
        <v>504.45888104747684</v>
      </c>
      <c r="D10" s="199">
        <f>'Monthly KPI'!$F$4</f>
        <v>574.55000000000007</v>
      </c>
      <c r="E10" s="200">
        <f t="shared" ref="E10:E26" si="0">-(C10-D10)/C10</f>
        <v>0.13894317571926471</v>
      </c>
      <c r="F10" s="201"/>
    </row>
    <row r="11" spans="1:6" ht="15" thickBot="1" x14ac:dyDescent="0.35">
      <c r="A11" s="227"/>
      <c r="B11" s="202" t="s">
        <v>125</v>
      </c>
      <c r="C11" s="84">
        <f>'Annual KPI'!$E$4</f>
        <v>3361.2682634525099</v>
      </c>
      <c r="D11" s="203">
        <f>'Annual KPI'!$F$4</f>
        <v>3347.9999999999909</v>
      </c>
      <c r="E11" s="204">
        <f t="shared" si="0"/>
        <v>-3.9473979499900407E-3</v>
      </c>
      <c r="F11" s="205"/>
    </row>
    <row r="12" spans="1:6" x14ac:dyDescent="0.3">
      <c r="A12" s="225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0.13428459815397414</v>
      </c>
      <c r="E12" s="196">
        <f t="shared" si="0"/>
        <v>0.12734659130009979</v>
      </c>
      <c r="F12" s="207"/>
    </row>
    <row r="13" spans="1:6" x14ac:dyDescent="0.3">
      <c r="A13" s="226"/>
      <c r="B13" s="198" t="s">
        <v>127</v>
      </c>
      <c r="C13" s="82">
        <f>'Monthly KPI'!$I$4</f>
        <v>0.11911562884943126</v>
      </c>
      <c r="D13" s="208">
        <f>'Monthly KPI'!$J$4</f>
        <v>0.13566593259956852</v>
      </c>
      <c r="E13" s="200">
        <f t="shared" si="0"/>
        <v>0.13894317571926484</v>
      </c>
      <c r="F13" s="201"/>
    </row>
    <row r="14" spans="1:6" ht="15" thickBot="1" x14ac:dyDescent="0.35">
      <c r="A14" s="227"/>
      <c r="B14" s="202" t="s">
        <v>128</v>
      </c>
      <c r="C14" s="86">
        <f>'Annual KPI'!$I$4</f>
        <v>0.15452202394532036</v>
      </c>
      <c r="D14" s="209">
        <f>'Annual KPI'!$J$4</f>
        <v>0.15391206402477028</v>
      </c>
      <c r="E14" s="204">
        <f t="shared" si="0"/>
        <v>-3.9473979499900684E-3</v>
      </c>
      <c r="F14" s="205"/>
    </row>
    <row r="15" spans="1:6" x14ac:dyDescent="0.3">
      <c r="A15" s="225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0.74949543155706499</v>
      </c>
      <c r="E15" s="196">
        <f t="shared" si="0"/>
        <v>6.0534602768435884E-2</v>
      </c>
      <c r="F15" s="197" t="s">
        <v>1208</v>
      </c>
    </row>
    <row r="16" spans="1:6" x14ac:dyDescent="0.3">
      <c r="A16" s="226"/>
      <c r="B16" s="198" t="s">
        <v>130</v>
      </c>
      <c r="C16" s="82">
        <f>'Monthly KPI'!$G$4</f>
        <v>0.70671473575739119</v>
      </c>
      <c r="D16" s="208">
        <f>'Monthly KPI'!$H$4</f>
        <v>0.78285915204996903</v>
      </c>
      <c r="E16" s="200">
        <f t="shared" si="0"/>
        <v>0.10774420348115896</v>
      </c>
      <c r="F16" s="201"/>
    </row>
    <row r="17" spans="1:6" ht="15" thickBot="1" x14ac:dyDescent="0.35">
      <c r="A17" s="227"/>
      <c r="B17" s="202" t="s">
        <v>131</v>
      </c>
      <c r="C17" s="86">
        <f>'Annual KPI'!$G$4</f>
        <v>0.68710962765215344</v>
      </c>
      <c r="D17" s="209">
        <f>'Annual KPI'!$H$4</f>
        <v>0.75288959007805967</v>
      </c>
      <c r="E17" s="204">
        <f t="shared" si="0"/>
        <v>9.5734304656268143E-2</v>
      </c>
      <c r="F17" s="205"/>
    </row>
    <row r="18" spans="1:6" ht="27.9" customHeight="1" x14ac:dyDescent="0.3">
      <c r="A18" s="225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4.3</v>
      </c>
      <c r="E18" s="196">
        <f t="shared" si="0"/>
        <v>6.2998405103668276E-2</v>
      </c>
      <c r="F18" s="211"/>
    </row>
    <row r="19" spans="1:6" x14ac:dyDescent="0.3">
      <c r="A19" s="226"/>
      <c r="B19" s="198" t="s">
        <v>133</v>
      </c>
      <c r="C19" s="170">
        <f>'Monthly KPI'!$C$4</f>
        <v>88.993548387096766</v>
      </c>
      <c r="D19" s="212">
        <f>'Monthly KPI'!$D$4</f>
        <v>91.5</v>
      </c>
      <c r="E19" s="200">
        <f t="shared" si="0"/>
        <v>2.8164419312744767E-2</v>
      </c>
      <c r="F19" s="213"/>
    </row>
    <row r="20" spans="1:6" ht="15" thickBot="1" x14ac:dyDescent="0.35">
      <c r="A20" s="227"/>
      <c r="B20" s="202" t="s">
        <v>134</v>
      </c>
      <c r="C20" s="171">
        <f>'Annual KPI'!$C$4</f>
        <v>609.89354838709687</v>
      </c>
      <c r="D20" s="214">
        <f>'Annual KPI'!$D$4</f>
        <v>554.41</v>
      </c>
      <c r="E20" s="204">
        <f t="shared" si="0"/>
        <v>-9.0972512389787943E-2</v>
      </c>
      <c r="F20" s="215"/>
    </row>
    <row r="21" spans="1:6" x14ac:dyDescent="0.3">
      <c r="A21" s="225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1</v>
      </c>
      <c r="E21" s="196">
        <f t="shared" si="0"/>
        <v>1.9991840065279428E-2</v>
      </c>
      <c r="F21" s="211"/>
    </row>
    <row r="22" spans="1:6" x14ac:dyDescent="0.3">
      <c r="A22" s="226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0.99871231364346014</v>
      </c>
      <c r="E22" s="200">
        <f t="shared" si="0"/>
        <v>1.8678410489045377E-2</v>
      </c>
      <c r="F22" s="213"/>
    </row>
    <row r="23" spans="1:6" ht="15" thickBot="1" x14ac:dyDescent="0.35">
      <c r="A23" s="227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0.97985971781566417</v>
      </c>
      <c r="E23" s="204">
        <f t="shared" si="0"/>
        <v>-5.5108341935524569E-4</v>
      </c>
      <c r="F23" s="205"/>
    </row>
    <row r="24" spans="1:6" x14ac:dyDescent="0.3">
      <c r="A24" s="225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0.89701712483767193</v>
      </c>
      <c r="E24" s="196">
        <f t="shared" si="0"/>
        <v>-8.4676403226865357E-2</v>
      </c>
      <c r="F24" s="197"/>
    </row>
    <row r="25" spans="1:6" x14ac:dyDescent="0.3">
      <c r="A25" s="226"/>
      <c r="B25" s="198" t="s">
        <v>139</v>
      </c>
      <c r="C25" s="208">
        <f>_xlfn.XLOOKUP($B$2,'Modelling New'!$D:$D,'Modelling New'!AF:AF)</f>
        <v>0.98</v>
      </c>
      <c r="D25" s="208">
        <f>'Monthly KPI'!$L$4</f>
        <v>0.97104584090501611</v>
      </c>
      <c r="E25" s="200">
        <f t="shared" si="0"/>
        <v>-9.1368970356978281E-3</v>
      </c>
      <c r="F25" s="201"/>
    </row>
    <row r="26" spans="1:6" ht="15" thickBot="1" x14ac:dyDescent="0.35">
      <c r="A26" s="227"/>
      <c r="B26" s="202" t="s">
        <v>140</v>
      </c>
      <c r="C26" s="209">
        <f>_xlfn.XLOOKUP($B$2,'Modelling New'!$D:$D,'Modelling New'!AF:AF)</f>
        <v>0.98</v>
      </c>
      <c r="D26" s="209">
        <f>'Annual KPI'!$L$4</f>
        <v>0.95927326889596998</v>
      </c>
      <c r="E26" s="204">
        <f t="shared" si="0"/>
        <v>-2.1149725616357147E-2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45860</v>
      </c>
      <c r="D7" s="112">
        <f>'Daily Dashboard'!C9</f>
        <v>22.929949138521675</v>
      </c>
      <c r="E7" s="112">
        <f>'Daily Dashboard'!D9</f>
        <v>25.849999999997067</v>
      </c>
      <c r="F7" s="112">
        <f>D7-E7</f>
        <v>-2.9200508614753922</v>
      </c>
    </row>
    <row r="8" spans="2:6" x14ac:dyDescent="0.3">
      <c r="B8" s="110" t="s">
        <v>1058</v>
      </c>
      <c r="C8" s="111">
        <f t="shared" ref="C8:C30" si="0">$C$7</f>
        <v>45860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45860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45860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45860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45860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45860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45860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45860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45860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45860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45860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45860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45860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45860</v>
      </c>
      <c r="D21" s="110">
        <f>'Daily Dashboard'!C21*100</f>
        <v>98.04</v>
      </c>
      <c r="E21" s="110">
        <f>'Daily Dashboard'!D21*100</f>
        <v>100</v>
      </c>
      <c r="F21" s="110">
        <f>E21-D21</f>
        <v>1.9599999999999937</v>
      </c>
      <c r="G21" s="113">
        <f>(F21/100)*$D$7</f>
        <v>0.44942700311502337</v>
      </c>
    </row>
    <row r="22" spans="2:7" x14ac:dyDescent="0.3">
      <c r="B22" s="110" t="s">
        <v>1072</v>
      </c>
      <c r="C22" s="111">
        <f t="shared" si="0"/>
        <v>45860</v>
      </c>
      <c r="D22" s="110">
        <f>'Daily Dashboard'!C24*100</f>
        <v>98</v>
      </c>
      <c r="E22" s="110">
        <f>'Daily Dashboard'!D24*100</f>
        <v>89.701712483767196</v>
      </c>
      <c r="F22" s="110">
        <f>E22-D22</f>
        <v>-8.2982875162328043</v>
      </c>
      <c r="G22" s="113">
        <f>(F22/100)*$D$7</f>
        <v>-1.9027931068404755</v>
      </c>
    </row>
    <row r="23" spans="2:7" x14ac:dyDescent="0.3">
      <c r="B23" s="110" t="s">
        <v>1073</v>
      </c>
      <c r="C23" s="111">
        <f t="shared" si="0"/>
        <v>45860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45860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45860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45860</v>
      </c>
      <c r="D26" s="114">
        <f>'Daily Dashboard'!$D$9</f>
        <v>25.849999999997067</v>
      </c>
      <c r="E26" s="114">
        <f>'Daily Dashboard'!$D$9</f>
        <v>25.849999999997067</v>
      </c>
      <c r="F26" s="114">
        <f>'Daily Dashboard'!$D$9</f>
        <v>25.849999999997067</v>
      </c>
    </row>
    <row r="27" spans="2:7" x14ac:dyDescent="0.3">
      <c r="B27" s="110" t="s">
        <v>1076</v>
      </c>
      <c r="C27" s="111">
        <f t="shared" si="0"/>
        <v>45860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45860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45860</v>
      </c>
      <c r="D29" s="110">
        <v>0</v>
      </c>
      <c r="E29" s="112">
        <f>-(F7+G30)+(SUM(G21:G23))</f>
        <v>2.2134532914842131E-2</v>
      </c>
      <c r="F29" s="112">
        <f>E29</f>
        <v>2.2134532914842131E-2</v>
      </c>
    </row>
    <row r="30" spans="2:7" x14ac:dyDescent="0.3">
      <c r="B30" s="110" t="s">
        <v>1079</v>
      </c>
      <c r="C30" s="111">
        <f t="shared" si="0"/>
        <v>45860</v>
      </c>
      <c r="D30" s="110">
        <f>'Daily Dashboard'!C18</f>
        <v>4.0451612903225804</v>
      </c>
      <c r="E30" s="115">
        <f>'Daily Dashboard'!D18</f>
        <v>4.3</v>
      </c>
      <c r="F30" s="110">
        <f>E30-D30</f>
        <v>0.25483870967741939</v>
      </c>
      <c r="G30" s="109">
        <f>(F30/D30)*D7</f>
        <v>1.4445502248350979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45860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113</v>
      </c>
      <c r="C4" s="41">
        <f>_xlfn.XLOOKUP($C$1,'Modelling New'!$D:$D,'Modelling New'!S:S)</f>
        <v>609.89354838709687</v>
      </c>
      <c r="D4" s="42">
        <f>SUMIFS('Daily KPI'!$I:$I,'Daily KPI'!$B:$B,'Annual KPI'!$A$4,'Daily KPI'!$A:$A,"&lt;="&amp;'Annual KPI'!$B$1)</f>
        <v>554.41</v>
      </c>
      <c r="E4" s="41">
        <f>_xlfn.XLOOKUP($C$1,'Modelling New'!$D:$D,'Modelling New'!V:V)</f>
        <v>3361.2682634525099</v>
      </c>
      <c r="F4" s="42">
        <f>SUMIFS('Daily KPI'!$AA:$AA,'Daily KPI'!$B:$B,'Annual KPI'!$A$4,'Daily KPI'!$A:$A,"&lt;="&amp;'Annual KPI'!$B$1)/1000</f>
        <v>3347.9999999999909</v>
      </c>
      <c r="G4" s="43">
        <f>IFERROR(E4/C4/'Modelling New'!$AR$1,"")</f>
        <v>0.68710962765215344</v>
      </c>
      <c r="H4" s="44">
        <f>IFERROR(F4/D4/'Modelling New'!$AR$1,"")</f>
        <v>0.75288959007805967</v>
      </c>
      <c r="I4" s="43">
        <f>IFERROR(E4/(B4*24*'Modelling New'!$AR$1),"")</f>
        <v>0.15452202394532036</v>
      </c>
      <c r="J4" s="44">
        <f>IFERROR(F4/(B4*24*'Modelling New'!$AR$1),"")</f>
        <v>0.15391206402477028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0.95927326889596998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0.97985971781566417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22</v>
      </c>
      <c r="C13" s="34">
        <f>_xlfn.XLOOKUP($A13,'Modelling New'!$D:$D,'Modelling New'!$R:$R)</f>
        <v>88.993548387096766</v>
      </c>
      <c r="D13" s="35">
        <f>SUMIF('Daily KPI'!$D:$D,A13,'Daily KPI'!I:I)</f>
        <v>91.5</v>
      </c>
      <c r="E13" s="34">
        <f>_xlfn.XLOOKUP($A13,'Modelling New'!$D:$D,'Modelling New'!$U:$U)</f>
        <v>504.45888104747684</v>
      </c>
      <c r="F13" s="35">
        <f>SUMIF('Daily KPI'!$D:$D,A13,'Daily KPI'!$AA:$AA)/1000</f>
        <v>574.55000000000007</v>
      </c>
      <c r="G13" s="36">
        <f>IFERROR(E13/C13/'Modelling New'!$AR$1,"")</f>
        <v>0.70671473575739119</v>
      </c>
      <c r="H13" s="37">
        <f>IFERROR(F13/D13/'Modelling New'!$AR$1,"")</f>
        <v>0.78285915204996903</v>
      </c>
      <c r="I13" s="36">
        <f>IFERROR(E13/(B13*24*'Modelling New'!$AR$1),"")</f>
        <v>0.11911562884943126</v>
      </c>
      <c r="J13" s="37">
        <f>IFERROR(F13/(B13*24*'Modelling New'!$AR$1),"")</f>
        <v>0.13566593259956852</v>
      </c>
      <c r="K13" s="36">
        <f>_xlfn.XLOOKUP($A13,'Modelling New'!$D:$D,'Modelling New'!AF:AF)</f>
        <v>0.98</v>
      </c>
      <c r="L13" s="37">
        <f>IFERROR(AVERAGEIF('Daily KPI'!$D:$D,$A13,'Daily KPI'!$R:$R),"")</f>
        <v>0.97104584090501611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0.99871231364346014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45860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22</v>
      </c>
      <c r="C4" s="168">
        <f>_xlfn.XLOOKUP($A$4,'Modelling New'!$D:$D,'Modelling New'!$R:$R)</f>
        <v>88.993548387096766</v>
      </c>
      <c r="D4" s="65">
        <f>SUMIF('Daily KPI'!$D:$D,'Monthly KPI'!A4,'Daily KPI'!$I:$I)</f>
        <v>91.5</v>
      </c>
      <c r="E4" s="34">
        <f>_xlfn.XLOOKUP($A$4,'Modelling New'!$D:$D,'Modelling New'!U:U)</f>
        <v>504.45888104747684</v>
      </c>
      <c r="F4" s="65">
        <f>SUMIF('Daily KPI'!$D:$D,'Monthly KPI'!A4,'Daily KPI'!AA:AA)/1000</f>
        <v>574.55000000000007</v>
      </c>
      <c r="G4" s="36">
        <f>IFERROR(E4/C4/'Modelling New'!$AR$1,"")</f>
        <v>0.70671473575739119</v>
      </c>
      <c r="H4" s="37">
        <f>IFERROR(F4/D4/'Modelling New'!$AR$1,"")</f>
        <v>0.78285915204996903</v>
      </c>
      <c r="I4" s="36">
        <f>IFERROR(E4/(B4*24*'Modelling New'!$AR$1),"")</f>
        <v>0.11911562884943126</v>
      </c>
      <c r="J4" s="37">
        <f>IFERROR(F4/(B4*24*'Modelling New'!$AR$1),"")</f>
        <v>0.13566593259956852</v>
      </c>
      <c r="K4" s="36">
        <f>_xlfn.XLOOKUP($A$4,'Modelling New'!$D:$D,'Modelling New'!AF:AF)</f>
        <v>0.98</v>
      </c>
      <c r="L4" s="37">
        <f>IFERROR(AVERAGEIF('Daily KPI'!$D:$D,'Monthly KPI'!$A$4,'Daily KPI'!R:R),"")</f>
        <v>0.97104584090501611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0.99871231364346014</v>
      </c>
    </row>
    <row r="7" spans="1:14" x14ac:dyDescent="0.3">
      <c r="A7" s="47" t="s">
        <v>326</v>
      </c>
      <c r="B7" s="48">
        <f>B8-6</f>
        <v>45854</v>
      </c>
    </row>
    <row r="8" spans="1:14" x14ac:dyDescent="0.3">
      <c r="A8" s="47" t="s">
        <v>327</v>
      </c>
      <c r="B8" s="48">
        <f>B1</f>
        <v>45860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29.780000000000005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179.89999999999122</v>
      </c>
      <c r="G12" s="36">
        <f>IFERROR(E12/C12/'Modelling New'!$AR$1,"")</f>
        <v>0.7067147357573913</v>
      </c>
      <c r="H12" s="37">
        <f>IFERROR(F12/D12/'Modelling New'!$AR$1,"")</f>
        <v>0.75315327357375905</v>
      </c>
      <c r="I12" s="36">
        <f>IFERROR(E12/(B12*24*'Modelling New'!$AR$1),"")</f>
        <v>0.11911562884943129</v>
      </c>
      <c r="J12" s="37">
        <f>IFERROR(F12/(B12*24*'Modelling New'!$AR$1),"")</f>
        <v>0.1335053838513485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0.93061785851373102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0.99595298573658908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22</v>
      </c>
      <c r="R89" s="155">
        <f t="shared" si="37"/>
        <v>88.993548387096766</v>
      </c>
      <c r="S89" s="163">
        <f>SUMIF($F$2:F89,F89,$R$2:R89)</f>
        <v>609.89354838709687</v>
      </c>
      <c r="T89" s="154">
        <f t="shared" si="38"/>
        <v>22.929949138521675</v>
      </c>
      <c r="U89" s="155">
        <f t="shared" si="39"/>
        <v>504.45888104747684</v>
      </c>
      <c r="V89" s="163">
        <f>SUMIF($F$2:F89,F89,$U$2:U89)</f>
        <v>3361.2682634525099</v>
      </c>
      <c r="W89" s="156">
        <f t="shared" si="40"/>
        <v>0.11911562884943125</v>
      </c>
      <c r="X89" s="156">
        <f t="shared" si="32"/>
        <v>0.11911562884943123</v>
      </c>
      <c r="Y89" s="156">
        <f t="shared" si="33"/>
        <v>0.15452202394532036</v>
      </c>
      <c r="Z89" s="154">
        <f>IFERROR(AVERAGEIF('Daily KPI'!$D:$D,Table14[[#This Row],[Month]],'Daily KPI'!$AB:$AB),"")</f>
        <v>8.0209000000000028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609.89354838709687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3361.2682634525099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0.15452202394532036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609.89354838709687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3361.2682634525099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0.15452202394532036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609.89354838709687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3361.2682634525099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0.15452202394532036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609.89354838709687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3361.2682634525099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0.15452202394532036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609.89354838709687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3361.2682634525099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0.15452202394532036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609.89354838709687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3361.2682634525099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0.15452202394532036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609.89354838709687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3361.2682634525099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0.15452202394532036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609.89354838709687</v>
      </c>
      <c r="T97" s="154">
        <f>M97/G97</f>
        <v>38.219028541703686</v>
      </c>
      <c r="U97" s="155">
        <f>M97/G97*Q97</f>
        <v>0</v>
      </c>
      <c r="V97" s="163">
        <f>SUMIF($F$2:F97,F97,$U$2:U97)</f>
        <v>3361.2682634525099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0.15452202394532036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>
        <f>IFERROR(_xlfn.XLOOKUP($A117,'Raw Data'!$G:$G,'Raw Data'!$AM:$AM),"")</f>
        <v>12.333333333333332</v>
      </c>
      <c r="G117" s="137">
        <f>IFERROR(_xlfn.XLOOKUP($A117,'Raw Data'!$G:$G,'Raw Data'!$AB:$AB),"")</f>
        <v>0</v>
      </c>
      <c r="H117" s="137"/>
      <c r="I117" s="137">
        <f>IFERROR(_xlfn.XLOOKUP($A117,'Raw Data'!$G:$G,'Raw Data'!$AC:$AC),"")</f>
        <v>4.3</v>
      </c>
      <c r="J117" s="137"/>
      <c r="K117" s="137">
        <f>IFERROR(_xlfn.XLOOKUP($A117,'Raw Data'!$G:$G,'Raw Data'!AD:AD),"")</f>
        <v>0</v>
      </c>
      <c r="L117" s="137">
        <f>IFERROR(_xlfn.XLOOKUP($A117,'Raw Data'!$G:$G,'Raw Data'!AE:AE),"")</f>
        <v>34.57</v>
      </c>
      <c r="M117" s="137">
        <f>IFERROR(_xlfn.XLOOKUP($A117,'Raw Data'!$G:$G,'Raw Data'!AF:AF),"")</f>
        <v>0</v>
      </c>
      <c r="N117" s="137">
        <f>IFERROR(_xlfn.XLOOKUP($A117,'Raw Data'!$G:$G,'Raw Data'!AG:AG),"")</f>
        <v>0</v>
      </c>
      <c r="O117" s="138">
        <f>IFERROR(1-SUMIF('Plant BD'!$H:$H,$A117,'Plant BD'!$AE:$AE)/($AA117+SUMIF('Plant BD'!$H:$H,$A117,'Plant BD'!$AE:$AE)),"")</f>
        <v>1</v>
      </c>
      <c r="P117" s="138"/>
      <c r="Q117" s="139"/>
      <c r="R117" s="138">
        <f>IFERROR(1-SUMIF('Grid BD'!$H:$H,$A117,'Grid BD'!$AD:$AD)/($AA117+SUMIF('Grid BD'!$H:$H,$A117,'Grid BD'!$AD:$AD)),"")</f>
        <v>0.89701712483767193</v>
      </c>
      <c r="T117" s="139"/>
      <c r="U117" s="140">
        <f t="shared" ref="U117:U180" si="9">IFERROR(AA117/I117/AB117/1000,"")</f>
        <v>0.74949543155706499</v>
      </c>
      <c r="V117" s="140"/>
      <c r="W117" s="141">
        <f t="shared" ref="W117:W180" si="10">IFERROR(AA117/(24*AB117*1000),"")</f>
        <v>0.13428459815397414</v>
      </c>
      <c r="X117" s="133">
        <f>IFERROR(_xlfn.XLOOKUP($A117,'Raw Data'!$G:$G,'Raw Data'!AI:AI),"")</f>
        <v>26179.1</v>
      </c>
      <c r="Y117" s="133">
        <f>IFERROR(_xlfn.XLOOKUP($A117,'Raw Data'!$G:$G,'Raw Data'!AJ:AJ),"")</f>
        <v>25949.99999999709</v>
      </c>
      <c r="Z117" s="133">
        <f>IFERROR(_xlfn.XLOOKUP($A117,'Raw Data'!$G:$G,'Raw Data'!AK:AK),"")</f>
        <v>100.00000000002274</v>
      </c>
      <c r="AA117" s="133">
        <f>IFERROR(_xlfn.XLOOKUP($A117,'Raw Data'!$G:$G,'Raw Data'!AL:AL),"")</f>
        <v>25849.999999997068</v>
      </c>
      <c r="AB117" s="133">
        <f>IFERROR(_xlfn.XLOOKUP($A117,'Raw Data'!$G:$G,'Raw Data'!H:H),"")</f>
        <v>8.0208999999999993</v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 t="str">
        <f>IFERROR(_xlfn.XLOOKUP($A118,'Raw Data'!$G:$G,'Raw Data'!$AM:$AM),"")</f>
        <v/>
      </c>
      <c r="G118" s="137" t="str">
        <f>IFERROR(_xlfn.XLOOKUP($A118,'Raw Data'!$G:$G,'Raw Data'!$AB:$AB),"")</f>
        <v/>
      </c>
      <c r="H118" s="137"/>
      <c r="I118" s="137" t="str">
        <f>IFERROR(_xlfn.XLOOKUP($A118,'Raw Data'!$G:$G,'Raw Data'!$AC:$AC),"")</f>
        <v/>
      </c>
      <c r="J118" s="137"/>
      <c r="K118" s="137" t="str">
        <f>IFERROR(_xlfn.XLOOKUP($A118,'Raw Data'!$G:$G,'Raw Data'!AD:AD),"")</f>
        <v/>
      </c>
      <c r="L118" s="137" t="str">
        <f>IFERROR(_xlfn.XLOOKUP($A118,'Raw Data'!$G:$G,'Raw Data'!AE:AE),"")</f>
        <v/>
      </c>
      <c r="M118" s="137" t="str">
        <f>IFERROR(_xlfn.XLOOKUP($A118,'Raw Data'!$G:$G,'Raw Data'!AF:AF),"")</f>
        <v/>
      </c>
      <c r="N118" s="137" t="str">
        <f>IFERROR(_xlfn.XLOOKUP($A118,'Raw Data'!$G:$G,'Raw Data'!AG:AG),"")</f>
        <v/>
      </c>
      <c r="O118" s="138" t="str">
        <f>IFERROR(1-SUMIF('Plant BD'!$H:$H,$A118,'Plant BD'!$AE:$AE)/($AA118+SUMIF('Plant BD'!$H:$H,$A118,'Plant BD'!$AE:$AE)),"")</f>
        <v/>
      </c>
      <c r="P118" s="138"/>
      <c r="Q118" s="139"/>
      <c r="R118" s="138" t="str">
        <f>IFERROR(1-SUMIF('Grid BD'!$H:$H,$A118,'Grid BD'!$AD:$AD)/($AA118+SUMIF('Grid BD'!$H:$H,$A118,'Grid BD'!$AD:$AD)),"")</f>
        <v/>
      </c>
      <c r="T118" s="139"/>
      <c r="U118" s="140" t="str">
        <f t="shared" si="9"/>
        <v/>
      </c>
      <c r="V118" s="140"/>
      <c r="W118" s="141" t="str">
        <f t="shared" si="10"/>
        <v/>
      </c>
      <c r="X118" s="133" t="str">
        <f>IFERROR(_xlfn.XLOOKUP($A118,'Raw Data'!$G:$G,'Raw Data'!AI:AI),"")</f>
        <v/>
      </c>
      <c r="Y118" s="133" t="str">
        <f>IFERROR(_xlfn.XLOOKUP($A118,'Raw Data'!$G:$G,'Raw Data'!AJ:AJ),"")</f>
        <v/>
      </c>
      <c r="Z118" s="133" t="str">
        <f>IFERROR(_xlfn.XLOOKUP($A118,'Raw Data'!$G:$G,'Raw Data'!AK:AK),"")</f>
        <v/>
      </c>
      <c r="AA118" s="133" t="str">
        <f>IFERROR(_xlfn.XLOOKUP($A118,'Raw Data'!$G:$G,'Raw Data'!AL:AL),"")</f>
        <v/>
      </c>
      <c r="AB118" s="133" t="str">
        <f>IFERROR(_xlfn.XLOOKUP($A118,'Raw Data'!$G:$G,'Raw Data'!H:H),"")</f>
        <v/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 t="str">
        <f>IFERROR(_xlfn.XLOOKUP($A119,'Raw Data'!$G:$G,'Raw Data'!$AM:$AM),"")</f>
        <v/>
      </c>
      <c r="G119" s="137" t="str">
        <f>IFERROR(_xlfn.XLOOKUP($A119,'Raw Data'!$G:$G,'Raw Data'!$AB:$AB),"")</f>
        <v/>
      </c>
      <c r="H119" s="137"/>
      <c r="I119" s="137" t="str">
        <f>IFERROR(_xlfn.XLOOKUP($A119,'Raw Data'!$G:$G,'Raw Data'!$AC:$AC),"")</f>
        <v/>
      </c>
      <c r="J119" s="137"/>
      <c r="K119" s="137" t="str">
        <f>IFERROR(_xlfn.XLOOKUP($A119,'Raw Data'!$G:$G,'Raw Data'!AD:AD),"")</f>
        <v/>
      </c>
      <c r="L119" s="137" t="str">
        <f>IFERROR(_xlfn.XLOOKUP($A119,'Raw Data'!$G:$G,'Raw Data'!AE:AE),"")</f>
        <v/>
      </c>
      <c r="M119" s="137" t="str">
        <f>IFERROR(_xlfn.XLOOKUP($A119,'Raw Data'!$G:$G,'Raw Data'!AF:AF),"")</f>
        <v/>
      </c>
      <c r="N119" s="137" t="str">
        <f>IFERROR(_xlfn.XLOOKUP($A119,'Raw Data'!$G:$G,'Raw Data'!AG:AG),"")</f>
        <v/>
      </c>
      <c r="O119" s="138" t="str">
        <f>IFERROR(1-SUMIF('Plant BD'!$H:$H,$A119,'Plant BD'!$AE:$AE)/($AA119+SUMIF('Plant BD'!$H:$H,$A119,'Plant BD'!$AE:$AE)),"")</f>
        <v/>
      </c>
      <c r="P119" s="138"/>
      <c r="Q119" s="139"/>
      <c r="R119" s="138" t="str">
        <f>IFERROR(1-SUMIF('Grid BD'!$H:$H,$A119,'Grid BD'!$AD:$AD)/($AA119+SUMIF('Grid BD'!$H:$H,$A119,'Grid BD'!$AD:$AD)),"")</f>
        <v/>
      </c>
      <c r="T119" s="139"/>
      <c r="U119" s="140" t="str">
        <f t="shared" si="9"/>
        <v/>
      </c>
      <c r="V119" s="140"/>
      <c r="W119" s="141" t="str">
        <f t="shared" si="10"/>
        <v/>
      </c>
      <c r="X119" s="133" t="str">
        <f>IFERROR(_xlfn.XLOOKUP($A119,'Raw Data'!$G:$G,'Raw Data'!AI:AI),"")</f>
        <v/>
      </c>
      <c r="Y119" s="133" t="str">
        <f>IFERROR(_xlfn.XLOOKUP($A119,'Raw Data'!$G:$G,'Raw Data'!AJ:AJ),"")</f>
        <v/>
      </c>
      <c r="Z119" s="133" t="str">
        <f>IFERROR(_xlfn.XLOOKUP($A119,'Raw Data'!$G:$G,'Raw Data'!AK:AK),"")</f>
        <v/>
      </c>
      <c r="AA119" s="133" t="str">
        <f>IFERROR(_xlfn.XLOOKUP($A119,'Raw Data'!$G:$G,'Raw Data'!AL:AL),"")</f>
        <v/>
      </c>
      <c r="AB119" s="133" t="str">
        <f>IFERROR(_xlfn.XLOOKUP($A119,'Raw Data'!$G:$G,'Raw Data'!H:H),"")</f>
        <v/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 t="str">
        <f>IFERROR(_xlfn.XLOOKUP($A120,'Raw Data'!$G:$G,'Raw Data'!$AM:$AM),"")</f>
        <v/>
      </c>
      <c r="G120" s="137" t="str">
        <f>IFERROR(_xlfn.XLOOKUP($A120,'Raw Data'!$G:$G,'Raw Data'!$AB:$AB),"")</f>
        <v/>
      </c>
      <c r="H120" s="137"/>
      <c r="I120" s="137" t="str">
        <f>IFERROR(_xlfn.XLOOKUP($A120,'Raw Data'!$G:$G,'Raw Data'!$AC:$AC),"")</f>
        <v/>
      </c>
      <c r="J120" s="137"/>
      <c r="K120" s="137" t="str">
        <f>IFERROR(_xlfn.XLOOKUP($A120,'Raw Data'!$G:$G,'Raw Data'!AD:AD),"")</f>
        <v/>
      </c>
      <c r="L120" s="137" t="str">
        <f>IFERROR(_xlfn.XLOOKUP($A120,'Raw Data'!$G:$G,'Raw Data'!AE:AE),"")</f>
        <v/>
      </c>
      <c r="M120" s="137" t="str">
        <f>IFERROR(_xlfn.XLOOKUP($A120,'Raw Data'!$G:$G,'Raw Data'!AF:AF),"")</f>
        <v/>
      </c>
      <c r="N120" s="137" t="str">
        <f>IFERROR(_xlfn.XLOOKUP($A120,'Raw Data'!$G:$G,'Raw Data'!AG:AG),"")</f>
        <v/>
      </c>
      <c r="O120" s="138" t="str">
        <f>IFERROR(1-SUMIF('Plant BD'!$H:$H,$A120,'Plant BD'!$AE:$AE)/($AA120+SUMIF('Plant BD'!$H:$H,$A120,'Plant BD'!$AE:$AE)),"")</f>
        <v/>
      </c>
      <c r="P120" s="138"/>
      <c r="Q120" s="139"/>
      <c r="R120" s="138" t="str">
        <f>IFERROR(1-SUMIF('Grid BD'!$H:$H,$A120,'Grid BD'!$AD:$AD)/($AA120+SUMIF('Grid BD'!$H:$H,$A120,'Grid BD'!$AD:$AD)),"")</f>
        <v/>
      </c>
      <c r="T120" s="139"/>
      <c r="U120" s="140" t="str">
        <f t="shared" si="9"/>
        <v/>
      </c>
      <c r="V120" s="140"/>
      <c r="W120" s="141" t="str">
        <f t="shared" si="10"/>
        <v/>
      </c>
      <c r="X120" s="133" t="str">
        <f>IFERROR(_xlfn.XLOOKUP($A120,'Raw Data'!$G:$G,'Raw Data'!AI:AI),"")</f>
        <v/>
      </c>
      <c r="Y120" s="133" t="str">
        <f>IFERROR(_xlfn.XLOOKUP($A120,'Raw Data'!$G:$G,'Raw Data'!AJ:AJ),"")</f>
        <v/>
      </c>
      <c r="Z120" s="133" t="str">
        <f>IFERROR(_xlfn.XLOOKUP($A120,'Raw Data'!$G:$G,'Raw Data'!AK:AK),"")</f>
        <v/>
      </c>
      <c r="AA120" s="133" t="str">
        <f>IFERROR(_xlfn.XLOOKUP($A120,'Raw Data'!$G:$G,'Raw Data'!AL:AL),"")</f>
        <v/>
      </c>
      <c r="AB120" s="133" t="str">
        <f>IFERROR(_xlfn.XLOOKUP($A120,'Raw Data'!$G:$G,'Raw Data'!H:H),"")</f>
        <v/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 t="str">
        <f>IFERROR(_xlfn.XLOOKUP($A121,'Raw Data'!$G:$G,'Raw Data'!$AM:$AM),"")</f>
        <v/>
      </c>
      <c r="G121" s="137" t="str">
        <f>IFERROR(_xlfn.XLOOKUP($A121,'Raw Data'!$G:$G,'Raw Data'!$AB:$AB),"")</f>
        <v/>
      </c>
      <c r="H121" s="137"/>
      <c r="I121" s="137" t="str">
        <f>IFERROR(_xlfn.XLOOKUP($A121,'Raw Data'!$G:$G,'Raw Data'!$AC:$AC),"")</f>
        <v/>
      </c>
      <c r="J121" s="137"/>
      <c r="K121" s="137" t="str">
        <f>IFERROR(_xlfn.XLOOKUP($A121,'Raw Data'!$G:$G,'Raw Data'!AD:AD),"")</f>
        <v/>
      </c>
      <c r="L121" s="137" t="str">
        <f>IFERROR(_xlfn.XLOOKUP($A121,'Raw Data'!$G:$G,'Raw Data'!AE:AE),"")</f>
        <v/>
      </c>
      <c r="M121" s="137" t="str">
        <f>IFERROR(_xlfn.XLOOKUP($A121,'Raw Data'!$G:$G,'Raw Data'!AF:AF),"")</f>
        <v/>
      </c>
      <c r="N121" s="137" t="str">
        <f>IFERROR(_xlfn.XLOOKUP($A121,'Raw Data'!$G:$G,'Raw Data'!AG:AG),"")</f>
        <v/>
      </c>
      <c r="O121" s="138" t="str">
        <f>IFERROR(1-SUMIF('Plant BD'!$H:$H,$A121,'Plant BD'!$AE:$AE)/($AA121+SUMIF('Plant BD'!$H:$H,$A121,'Plant BD'!$AE:$AE)),"")</f>
        <v/>
      </c>
      <c r="P121" s="138"/>
      <c r="Q121" s="139"/>
      <c r="R121" s="138" t="str">
        <f>IFERROR(1-SUMIF('Grid BD'!$H:$H,$A121,'Grid BD'!$AD:$AD)/($AA121+SUMIF('Grid BD'!$H:$H,$A121,'Grid BD'!$AD:$AD)),"")</f>
        <v/>
      </c>
      <c r="T121" s="139"/>
      <c r="U121" s="140" t="str">
        <f t="shared" si="9"/>
        <v/>
      </c>
      <c r="V121" s="140"/>
      <c r="W121" s="141" t="str">
        <f t="shared" si="10"/>
        <v/>
      </c>
      <c r="X121" s="133" t="str">
        <f>IFERROR(_xlfn.XLOOKUP($A121,'Raw Data'!$G:$G,'Raw Data'!AI:AI),"")</f>
        <v/>
      </c>
      <c r="Y121" s="133" t="str">
        <f>IFERROR(_xlfn.XLOOKUP($A121,'Raw Data'!$G:$G,'Raw Data'!AJ:AJ),"")</f>
        <v/>
      </c>
      <c r="Z121" s="133" t="str">
        <f>IFERROR(_xlfn.XLOOKUP($A121,'Raw Data'!$G:$G,'Raw Data'!AK:AK),"")</f>
        <v/>
      </c>
      <c r="AA121" s="133" t="str">
        <f>IFERROR(_xlfn.XLOOKUP($A121,'Raw Data'!$G:$G,'Raw Data'!AL:AL),"")</f>
        <v/>
      </c>
      <c r="AB121" s="133" t="str">
        <f>IFERROR(_xlfn.XLOOKUP($A121,'Raw Data'!$G:$G,'Raw Data'!H:H),"")</f>
        <v/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 t="str">
        <f>IFERROR(_xlfn.XLOOKUP($A122,'Raw Data'!$G:$G,'Raw Data'!$AM:$AM),"")</f>
        <v/>
      </c>
      <c r="G122" s="137" t="str">
        <f>IFERROR(_xlfn.XLOOKUP($A122,'Raw Data'!$G:$G,'Raw Data'!$AB:$AB),"")</f>
        <v/>
      </c>
      <c r="H122" s="137"/>
      <c r="I122" s="137" t="str">
        <f>IFERROR(_xlfn.XLOOKUP($A122,'Raw Data'!$G:$G,'Raw Data'!$AC:$AC),"")</f>
        <v/>
      </c>
      <c r="J122" s="137"/>
      <c r="K122" s="137" t="str">
        <f>IFERROR(_xlfn.XLOOKUP($A122,'Raw Data'!$G:$G,'Raw Data'!AD:AD),"")</f>
        <v/>
      </c>
      <c r="L122" s="137" t="str">
        <f>IFERROR(_xlfn.XLOOKUP($A122,'Raw Data'!$G:$G,'Raw Data'!AE:AE),"")</f>
        <v/>
      </c>
      <c r="M122" s="137" t="str">
        <f>IFERROR(_xlfn.XLOOKUP($A122,'Raw Data'!$G:$G,'Raw Data'!AF:AF),"")</f>
        <v/>
      </c>
      <c r="N122" s="137" t="str">
        <f>IFERROR(_xlfn.XLOOKUP($A122,'Raw Data'!$G:$G,'Raw Data'!AG:AG),"")</f>
        <v/>
      </c>
      <c r="O122" s="138" t="str">
        <f>IFERROR(1-SUMIF('Plant BD'!$H:$H,$A122,'Plant BD'!$AE:$AE)/($AA122+SUMIF('Plant BD'!$H:$H,$A122,'Plant BD'!$AE:$AE)),"")</f>
        <v/>
      </c>
      <c r="P122" s="138"/>
      <c r="Q122" s="139"/>
      <c r="R122" s="138" t="str">
        <f>IFERROR(1-SUMIF('Grid BD'!$H:$H,$A122,'Grid BD'!$AD:$AD)/($AA122+SUMIF('Grid BD'!$H:$H,$A122,'Grid BD'!$AD:$AD)),"")</f>
        <v/>
      </c>
      <c r="T122" s="139"/>
      <c r="U122" s="140" t="str">
        <f t="shared" si="9"/>
        <v/>
      </c>
      <c r="V122" s="140"/>
      <c r="W122" s="141" t="str">
        <f t="shared" si="10"/>
        <v/>
      </c>
      <c r="X122" s="133" t="str">
        <f>IFERROR(_xlfn.XLOOKUP($A122,'Raw Data'!$G:$G,'Raw Data'!AI:AI),"")</f>
        <v/>
      </c>
      <c r="Y122" s="133" t="str">
        <f>IFERROR(_xlfn.XLOOKUP($A122,'Raw Data'!$G:$G,'Raw Data'!AJ:AJ),"")</f>
        <v/>
      </c>
      <c r="Z122" s="133" t="str">
        <f>IFERROR(_xlfn.XLOOKUP($A122,'Raw Data'!$G:$G,'Raw Data'!AK:AK),"")</f>
        <v/>
      </c>
      <c r="AA122" s="133" t="str">
        <f>IFERROR(_xlfn.XLOOKUP($A122,'Raw Data'!$G:$G,'Raw Data'!AL:AL),"")</f>
        <v/>
      </c>
      <c r="AB122" s="133" t="str">
        <f>IFERROR(_xlfn.XLOOKUP($A122,'Raw Data'!$G:$G,'Raw Data'!H:H),"")</f>
        <v/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 t="str">
        <f>IFERROR(_xlfn.XLOOKUP($A123,'Raw Data'!$G:$G,'Raw Data'!$AM:$AM),"")</f>
        <v/>
      </c>
      <c r="G123" s="137" t="str">
        <f>IFERROR(_xlfn.XLOOKUP($A123,'Raw Data'!$G:$G,'Raw Data'!$AB:$AB),"")</f>
        <v/>
      </c>
      <c r="H123" s="137"/>
      <c r="I123" s="137" t="str">
        <f>IFERROR(_xlfn.XLOOKUP($A123,'Raw Data'!$G:$G,'Raw Data'!$AC:$AC),"")</f>
        <v/>
      </c>
      <c r="J123" s="137"/>
      <c r="K123" s="137" t="str">
        <f>IFERROR(_xlfn.XLOOKUP($A123,'Raw Data'!$G:$G,'Raw Data'!AD:AD),"")</f>
        <v/>
      </c>
      <c r="L123" s="137" t="str">
        <f>IFERROR(_xlfn.XLOOKUP($A123,'Raw Data'!$G:$G,'Raw Data'!AE:AE),"")</f>
        <v/>
      </c>
      <c r="M123" s="137" t="str">
        <f>IFERROR(_xlfn.XLOOKUP($A123,'Raw Data'!$G:$G,'Raw Data'!AF:AF),"")</f>
        <v/>
      </c>
      <c r="N123" s="137" t="str">
        <f>IFERROR(_xlfn.XLOOKUP($A123,'Raw Data'!$G:$G,'Raw Data'!AG:AG),"")</f>
        <v/>
      </c>
      <c r="O123" s="138" t="str">
        <f>IFERROR(1-SUMIF('Plant BD'!$H:$H,$A123,'Plant BD'!$AE:$AE)/($AA123+SUMIF('Plant BD'!$H:$H,$A123,'Plant BD'!$AE:$AE)),"")</f>
        <v/>
      </c>
      <c r="P123" s="138"/>
      <c r="Q123" s="139"/>
      <c r="R123" s="138" t="str">
        <f>IFERROR(1-SUMIF('Grid BD'!$H:$H,$A123,'Grid BD'!$AD:$AD)/($AA123+SUMIF('Grid BD'!$H:$H,$A123,'Grid BD'!$AD:$AD)),"")</f>
        <v/>
      </c>
      <c r="T123" s="139"/>
      <c r="U123" s="140" t="str">
        <f t="shared" si="9"/>
        <v/>
      </c>
      <c r="V123" s="140"/>
      <c r="W123" s="141" t="str">
        <f t="shared" si="10"/>
        <v/>
      </c>
      <c r="X123" s="133" t="str">
        <f>IFERROR(_xlfn.XLOOKUP($A123,'Raw Data'!$G:$G,'Raw Data'!AI:AI),"")</f>
        <v/>
      </c>
      <c r="Y123" s="133" t="str">
        <f>IFERROR(_xlfn.XLOOKUP($A123,'Raw Data'!$G:$G,'Raw Data'!AJ:AJ),"")</f>
        <v/>
      </c>
      <c r="Z123" s="133" t="str">
        <f>IFERROR(_xlfn.XLOOKUP($A123,'Raw Data'!$G:$G,'Raw Data'!AK:AK),"")</f>
        <v/>
      </c>
      <c r="AA123" s="133" t="str">
        <f>IFERROR(_xlfn.XLOOKUP($A123,'Raw Data'!$G:$G,'Raw Data'!AL:AL),"")</f>
        <v/>
      </c>
      <c r="AB123" s="133" t="str">
        <f>IFERROR(_xlfn.XLOOKUP($A123,'Raw Data'!$G:$G,'Raw Data'!H:H),"")</f>
        <v/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 t="str">
        <f>IFERROR(_xlfn.XLOOKUP($A124,'Raw Data'!$G:$G,'Raw Data'!$AM:$AM),"")</f>
        <v/>
      </c>
      <c r="G124" s="137" t="str">
        <f>IFERROR(_xlfn.XLOOKUP($A124,'Raw Data'!$G:$G,'Raw Data'!$AB:$AB),"")</f>
        <v/>
      </c>
      <c r="H124" s="137"/>
      <c r="I124" s="137" t="str">
        <f>IFERROR(_xlfn.XLOOKUP($A124,'Raw Data'!$G:$G,'Raw Data'!$AC:$AC),"")</f>
        <v/>
      </c>
      <c r="J124" s="137"/>
      <c r="K124" s="137" t="str">
        <f>IFERROR(_xlfn.XLOOKUP($A124,'Raw Data'!$G:$G,'Raw Data'!AD:AD),"")</f>
        <v/>
      </c>
      <c r="L124" s="137" t="str">
        <f>IFERROR(_xlfn.XLOOKUP($A124,'Raw Data'!$G:$G,'Raw Data'!AE:AE),"")</f>
        <v/>
      </c>
      <c r="M124" s="137" t="str">
        <f>IFERROR(_xlfn.XLOOKUP($A124,'Raw Data'!$G:$G,'Raw Data'!AF:AF),"")</f>
        <v/>
      </c>
      <c r="N124" s="137" t="str">
        <f>IFERROR(_xlfn.XLOOKUP($A124,'Raw Data'!$G:$G,'Raw Data'!AG:AG),"")</f>
        <v/>
      </c>
      <c r="O124" s="138" t="str">
        <f>IFERROR(1-SUMIF('Plant BD'!$H:$H,$A124,'Plant BD'!$AE:$AE)/($AA124+SUMIF('Plant BD'!$H:$H,$A124,'Plant BD'!$AE:$AE)),"")</f>
        <v/>
      </c>
      <c r="P124" s="138"/>
      <c r="Q124" s="139"/>
      <c r="R124" s="138" t="str">
        <f>IFERROR(1-SUMIF('Grid BD'!$H:$H,$A124,'Grid BD'!$AD:$AD)/($AA124+SUMIF('Grid BD'!$H:$H,$A124,'Grid BD'!$AD:$AD)),"")</f>
        <v/>
      </c>
      <c r="T124" s="139"/>
      <c r="U124" s="140" t="str">
        <f t="shared" si="9"/>
        <v/>
      </c>
      <c r="V124" s="140"/>
      <c r="W124" s="141" t="str">
        <f t="shared" si="10"/>
        <v/>
      </c>
      <c r="X124" s="133" t="str">
        <f>IFERROR(_xlfn.XLOOKUP($A124,'Raw Data'!$G:$G,'Raw Data'!AI:AI),"")</f>
        <v/>
      </c>
      <c r="Y124" s="133" t="str">
        <f>IFERROR(_xlfn.XLOOKUP($A124,'Raw Data'!$G:$G,'Raw Data'!AJ:AJ),"")</f>
        <v/>
      </c>
      <c r="Z124" s="133" t="str">
        <f>IFERROR(_xlfn.XLOOKUP($A124,'Raw Data'!$G:$G,'Raw Data'!AK:AK),"")</f>
        <v/>
      </c>
      <c r="AA124" s="133" t="str">
        <f>IFERROR(_xlfn.XLOOKUP($A124,'Raw Data'!$G:$G,'Raw Data'!AL:AL),"")</f>
        <v/>
      </c>
      <c r="AB124" s="133" t="str">
        <f>IFERROR(_xlfn.XLOOKUP($A124,'Raw Data'!$G:$G,'Raw Data'!H:H),"")</f>
        <v/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20"/>
  <sheetViews>
    <sheetView topLeftCell="A3" zoomScaleNormal="100" workbookViewId="0">
      <pane xSplit="7" ySplit="1" topLeftCell="S109" activePane="bottomRight" state="frozen"/>
      <selection activeCell="A3" sqref="A3"/>
      <selection pane="topRight" activeCell="H3" sqref="H3"/>
      <selection pane="bottomLeft" activeCell="A4" sqref="A4"/>
      <selection pane="bottomRight" activeCell="W119" sqref="W119:AA119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19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>IFERROR((J116-I116)*24,"")</f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>IFERROR((J117-I117)*24,"")</f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>IFERROR((J118-I118)*24,"")</f>
        <v>12.616666666666667</v>
      </c>
    </row>
    <row r="119" spans="1:39" x14ac:dyDescent="0.3">
      <c r="A119" s="222">
        <f>YEAR(Table3[[#This Row],[Date]])+IF(MONTH(Table3[[#This Row],[Date]])&gt;=4,1,0)</f>
        <v>2026</v>
      </c>
      <c r="B119" s="60">
        <f>YEAR(Table3[[#This Row],[Date]])</f>
        <v>2025</v>
      </c>
      <c r="C119" s="60" t="s">
        <v>1082</v>
      </c>
      <c r="D119" s="60" t="s">
        <v>1082</v>
      </c>
      <c r="E119" s="6" t="str">
        <f>TEXT(Table3[[#This Row],[Date]],"mmm-yy")</f>
        <v>Jul-25</v>
      </c>
      <c r="F119" s="60">
        <f>DAY(EOMONTH(Table3[[#This Row],[Month Year]],0))</f>
        <v>31</v>
      </c>
      <c r="G119" s="63">
        <f t="shared" si="7"/>
        <v>45860</v>
      </c>
      <c r="H119" s="18">
        <f>'Modelling New'!$AR$1</f>
        <v>8.0208999999999993</v>
      </c>
      <c r="I119" s="120">
        <v>0.2638888888888889</v>
      </c>
      <c r="J119" s="120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96">
        <f>SUM(Table3[[#This Row],[Inv1_U1]:[Inv1_U4]])</f>
        <v>8658.4</v>
      </c>
      <c r="X119" s="97">
        <f>SUM(Table3[[#This Row],[Inv2_U1]:[Inv2_U4]])</f>
        <v>8493.2000000000007</v>
      </c>
      <c r="Y119" s="98">
        <f>SUM(Table3[[#This Row],[Inv3_U1]:[Inv3_U4]])</f>
        <v>9027.5</v>
      </c>
      <c r="Z119" s="64">
        <v>90921.65</v>
      </c>
      <c r="AA119" s="64">
        <v>407.6</v>
      </c>
      <c r="AB119" s="60"/>
      <c r="AC119" s="88">
        <v>4.3</v>
      </c>
      <c r="AD119" s="95">
        <v>0</v>
      </c>
      <c r="AE119" s="88">
        <v>34.57</v>
      </c>
      <c r="AF119" s="88">
        <v>0</v>
      </c>
      <c r="AG119" s="88">
        <v>0</v>
      </c>
      <c r="AH119" s="60"/>
      <c r="AI119" s="17">
        <f>SUM(Table3[[#This Row],[Inv1]:[Inv3]])</f>
        <v>26179.1</v>
      </c>
      <c r="AJ119" s="17">
        <f>IF((Table3[[#This Row],[33 kV Outgoinng Export Reading]]-Z118)*1000&gt;0,(Table3[[#This Row],[33 kV Outgoinng Export Reading]]-Z118)*1000,0)</f>
        <v>25949.99999999709</v>
      </c>
      <c r="AK119" s="17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77">
        <f>IFERROR((J119-I119)*24,"")</f>
        <v>12.333333333333332</v>
      </c>
    </row>
    <row r="120" spans="1:39" x14ac:dyDescent="0.3"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96"/>
      <c r="X120" s="97"/>
      <c r="Y120" s="98"/>
      <c r="Z120" s="64"/>
      <c r="AA120" s="64"/>
      <c r="AB120" s="60"/>
      <c r="AC120" s="88"/>
      <c r="AD120" s="95"/>
      <c r="AE120" s="88"/>
      <c r="AF120" s="88"/>
      <c r="AG120" s="88"/>
      <c r="AH120" s="60"/>
      <c r="AI120" s="17"/>
      <c r="AJ120" s="17"/>
      <c r="AK120" s="17"/>
      <c r="AL120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59"/>
  <sheetViews>
    <sheetView topLeftCell="E2" zoomScaleNormal="100" workbookViewId="0">
      <pane xSplit="4" ySplit="2" topLeftCell="K106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259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68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99" si="5">DAY(EOMONTH(F36,0))</f>
        <v>30</v>
      </c>
      <c r="H36" s="123">
        <f t="shared" si="3"/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6">IFERROR(AVERAGEIF(V36:X36,"&gt;"&amp;0,V36:X36),"")</f>
        <v>4.9981371636650422</v>
      </c>
      <c r="Z36" s="1">
        <f t="shared" ref="Z36:Z99" si="7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123">
        <f t="shared" si="3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6"/>
        <v>4.7125731500379029</v>
      </c>
      <c r="Z37" s="1">
        <f t="shared" si="7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123">
        <f t="shared" si="3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6"/>
        <v>3.9079370368161488</v>
      </c>
      <c r="Z38" s="1">
        <f t="shared" si="7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123">
        <f t="shared" si="3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6"/>
        <v>4.8211105823929197</v>
      </c>
      <c r="Z39" s="1">
        <f t="shared" si="7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123">
        <f t="shared" si="3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6"/>
        <v>2.5900761346055297</v>
      </c>
      <c r="Z40" s="1">
        <f t="shared" si="7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123">
        <f t="shared" si="3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6"/>
        <v>5.0941721665643733</v>
      </c>
      <c r="Z41" s="1">
        <f t="shared" si="7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123">
        <f t="shared" si="3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6"/>
        <v>4.8599294427611337</v>
      </c>
      <c r="Z42" s="1">
        <f t="shared" si="7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123">
        <f t="shared" si="3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6"/>
        <v>4.9180452192065562</v>
      </c>
      <c r="Z43" s="1">
        <f t="shared" si="7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123">
        <f t="shared" si="3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6"/>
        <v>4.9081660698323386</v>
      </c>
      <c r="Z44" s="1">
        <f t="shared" si="7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123">
        <f t="shared" si="3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6"/>
        <v>4.8679421315727085</v>
      </c>
      <c r="Z45" s="1">
        <f t="shared" si="7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123">
        <f t="shared" si="3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6"/>
        <v>4.1270956449603178</v>
      </c>
      <c r="Z46" s="1">
        <f t="shared" si="7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123">
        <f t="shared" si="3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6"/>
        <v>4.2570369349327475</v>
      </c>
      <c r="Z47" s="1">
        <f t="shared" si="7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123">
        <f t="shared" si="3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6"/>
        <v>4.9846461326879989</v>
      </c>
      <c r="Z48" s="1">
        <f t="shared" si="7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123">
        <f t="shared" si="3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6"/>
        <v>4.3548092522869792</v>
      </c>
      <c r="Z49" s="1">
        <f t="shared" si="7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123">
        <f t="shared" si="3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6"/>
        <v>4.2652381766652452</v>
      </c>
      <c r="Z50" s="1">
        <f t="shared" si="7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123">
        <f t="shared" si="3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6"/>
        <v>2.3707139235744221</v>
      </c>
      <c r="Z51" s="1">
        <f t="shared" si="7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123">
        <f t="shared" si="3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6"/>
        <v>3.6983003077029011</v>
      </c>
      <c r="Z52" s="1">
        <f t="shared" si="7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123">
        <f t="shared" si="3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6"/>
        <v>4.0156997408370039</v>
      </c>
      <c r="Z53" s="1">
        <f t="shared" si="7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123">
        <f t="shared" si="3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6"/>
        <v>2.7285946276408048</v>
      </c>
      <c r="Z54" s="1">
        <f t="shared" si="7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123">
        <f t="shared" si="3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6"/>
        <v>3.5498591585408903</v>
      </c>
      <c r="Z55" s="1">
        <f t="shared" si="7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123">
        <f t="shared" si="3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6"/>
        <v>3.7790013192065595</v>
      </c>
      <c r="Z56" s="1">
        <f t="shared" si="7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123">
        <f t="shared" si="3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6"/>
        <v>2.5434595632128212</v>
      </c>
      <c r="Z57" s="1">
        <f t="shared" si="7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123">
        <f t="shared" si="3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6"/>
        <v>3.433772890110923</v>
      </c>
      <c r="Z58" s="1">
        <f t="shared" si="7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123">
        <f t="shared" si="3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6"/>
        <v>4.1200321944894895</v>
      </c>
      <c r="Z59" s="1">
        <f t="shared" si="7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123">
        <f t="shared" si="3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6"/>
        <v>3.4034646136463849</v>
      </c>
      <c r="Z60" s="1">
        <f t="shared" si="7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123">
        <f t="shared" si="3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6"/>
        <v>2.9515080856596536</v>
      </c>
      <c r="Z61" s="1">
        <f t="shared" si="7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123">
        <f t="shared" si="3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6"/>
        <v>2.3769215520469653</v>
      </c>
      <c r="Z62" s="1">
        <f t="shared" si="7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123">
        <f t="shared" si="3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6"/>
        <v>2.4845767334693529</v>
      </c>
      <c r="Z63" s="1">
        <f t="shared" si="7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123">
        <f t="shared" si="3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6"/>
        <v>2.7726663803446026</v>
      </c>
      <c r="Z64" s="1">
        <f t="shared" si="7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123">
        <f t="shared" si="3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6"/>
        <v>2.3700661496587592</v>
      </c>
      <c r="Z65" s="1">
        <f t="shared" si="7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123">
        <f t="shared" si="3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6"/>
        <v>4.4566596141729109</v>
      </c>
      <c r="Z66" s="1">
        <f t="shared" si="7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123">
        <f t="shared" si="3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6"/>
        <v>4.9961555428175002</v>
      </c>
      <c r="Z67" s="1">
        <f t="shared" si="7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si="5"/>
        <v>30</v>
      </c>
      <c r="H68" s="123">
        <f t="shared" si="3"/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6"/>
        <v>4.8455910326611038</v>
      </c>
      <c r="Z68" s="1">
        <f t="shared" si="7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5"/>
        <v>30</v>
      </c>
      <c r="H69" s="123">
        <f t="shared" ref="H69:H132" si="8">H68+1</f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6"/>
        <v>4.0641822861229828</v>
      </c>
      <c r="Z69" s="1">
        <f t="shared" si="7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5"/>
        <v>30</v>
      </c>
      <c r="H70" s="123">
        <f t="shared" si="8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6"/>
        <v>4.5379835887951918</v>
      </c>
      <c r="Z70" s="1">
        <f t="shared" si="7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5"/>
        <v>30</v>
      </c>
      <c r="H71" s="123">
        <f t="shared" si="8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6"/>
        <v>5.1375401947860704</v>
      </c>
      <c r="Z71" s="1">
        <f t="shared" si="7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5"/>
        <v>30</v>
      </c>
      <c r="H72" s="123">
        <f t="shared" si="8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6"/>
        <v>3.4558893243584787</v>
      </c>
      <c r="Z72" s="1">
        <f t="shared" si="7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5"/>
        <v>30</v>
      </c>
      <c r="H73" s="123">
        <f t="shared" si="8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6"/>
        <v>3.7660417644916571</v>
      </c>
      <c r="Z73" s="1">
        <f t="shared" si="7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5"/>
        <v>30</v>
      </c>
      <c r="H74" s="123">
        <f t="shared" si="8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6"/>
        <v>3.1513219142347499</v>
      </c>
      <c r="Z74" s="1">
        <f t="shared" si="7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5"/>
        <v>30</v>
      </c>
      <c r="H75" s="123">
        <f t="shared" si="8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6"/>
        <v>3.978955482793785</v>
      </c>
      <c r="Z75" s="1">
        <f t="shared" si="7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5"/>
        <v>30</v>
      </c>
      <c r="H76" s="123">
        <f t="shared" si="8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6"/>
        <v>0.58352861414174928</v>
      </c>
      <c r="Z76" s="1">
        <f t="shared" si="7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5"/>
        <v>30</v>
      </c>
      <c r="H77" s="123">
        <f t="shared" si="8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6"/>
        <v>1.3967942513972698</v>
      </c>
      <c r="Z77" s="1">
        <f t="shared" si="7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5"/>
        <v>30</v>
      </c>
      <c r="H78" s="123">
        <f t="shared" si="8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6"/>
        <v>3.1470680771131629</v>
      </c>
      <c r="Z78" s="1">
        <f t="shared" si="7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5"/>
        <v>30</v>
      </c>
      <c r="H79" s="123">
        <f t="shared" si="8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6"/>
        <v>3.2316013554607195</v>
      </c>
      <c r="Z79" s="1">
        <f t="shared" si="7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5"/>
        <v>30</v>
      </c>
      <c r="H80" s="123">
        <f t="shared" si="8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6"/>
        <v>3.4724699257787219</v>
      </c>
      <c r="Z80" s="1">
        <f t="shared" si="7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5"/>
        <v>30</v>
      </c>
      <c r="H81" s="123">
        <f t="shared" si="8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6"/>
        <v>2.4939905227275232</v>
      </c>
      <c r="Z81" s="1">
        <f t="shared" si="7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5"/>
        <v>30</v>
      </c>
      <c r="H82" s="123">
        <f t="shared" si="8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6"/>
        <v>3.228292202274019</v>
      </c>
      <c r="Z82" s="1">
        <f t="shared" si="7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5"/>
        <v>30</v>
      </c>
      <c r="H83" s="123">
        <f t="shared" si="8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6"/>
        <v>3.0871751098505746</v>
      </c>
      <c r="Z83" s="1">
        <f t="shared" si="7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5"/>
        <v>30</v>
      </c>
      <c r="H84" s="123">
        <f t="shared" si="8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6"/>
        <v>3.6752234404674646</v>
      </c>
      <c r="Z84" s="1">
        <f t="shared" si="7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5"/>
        <v>30</v>
      </c>
      <c r="H85" s="123">
        <f t="shared" si="8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6"/>
        <v>4.0769587611429836</v>
      </c>
      <c r="Z85" s="1">
        <f t="shared" si="7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5"/>
        <v>30</v>
      </c>
      <c r="H86" s="123">
        <f t="shared" si="8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6"/>
        <v>3.1552904718571972</v>
      </c>
      <c r="Z86" s="1">
        <f t="shared" si="7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5"/>
        <v>30</v>
      </c>
      <c r="H87" s="123">
        <f t="shared" si="8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6"/>
        <v>3.9429501570343404</v>
      </c>
      <c r="Z87" s="1">
        <f t="shared" si="7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5"/>
        <v>30</v>
      </c>
      <c r="H88" s="123">
        <f t="shared" si="8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6"/>
        <v>4.7531056136813099</v>
      </c>
      <c r="Z88" s="1">
        <f t="shared" si="7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5"/>
        <v>30</v>
      </c>
      <c r="H89" s="123">
        <f t="shared" si="8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6"/>
        <v>4.7040404100063773</v>
      </c>
      <c r="Z89" s="1">
        <f t="shared" si="7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5"/>
        <v>30</v>
      </c>
      <c r="H90" s="123">
        <f t="shared" si="8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6"/>
        <v>4.0695890005948243</v>
      </c>
      <c r="Z90" s="1">
        <f t="shared" si="7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5"/>
        <v>30</v>
      </c>
      <c r="H91" s="123">
        <f t="shared" si="8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6"/>
        <v>2.0387172047669551</v>
      </c>
      <c r="Z91" s="1">
        <f t="shared" si="7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5"/>
        <v>30</v>
      </c>
      <c r="H92" s="123">
        <f t="shared" si="8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6"/>
        <v>3.217870475017762</v>
      </c>
      <c r="Z92" s="1">
        <f t="shared" si="7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5"/>
        <v>30</v>
      </c>
      <c r="H93" s="123">
        <f t="shared" si="8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6"/>
        <v>3.0544384187536617</v>
      </c>
      <c r="Z93" s="1">
        <f t="shared" si="7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5"/>
        <v>30</v>
      </c>
      <c r="H94" s="123">
        <f t="shared" si="8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6"/>
        <v>4.5730092228804091</v>
      </c>
      <c r="Z94" s="1">
        <f t="shared" si="7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5"/>
        <v>30</v>
      </c>
      <c r="H95" s="123">
        <f t="shared" si="8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6"/>
        <v>4.2517104858320378</v>
      </c>
      <c r="Z95" s="1">
        <f t="shared" si="7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5"/>
        <v>30</v>
      </c>
      <c r="H96" s="123">
        <f t="shared" si="8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6"/>
        <v>3.0305567126702306</v>
      </c>
      <c r="Z96" s="1">
        <f t="shared" si="7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si="5"/>
        <v>30</v>
      </c>
      <c r="H97" s="123">
        <f t="shared" si="8"/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6"/>
        <v>2.8084155083203588</v>
      </c>
      <c r="Z97" s="1">
        <f t="shared" si="7"/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5"/>
        <v>31</v>
      </c>
      <c r="H98" s="123">
        <f t="shared" si="8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6"/>
        <v>2.2137302617340358</v>
      </c>
      <c r="Z98" s="1">
        <f t="shared" si="7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si="5"/>
        <v>31</v>
      </c>
      <c r="H99" s="123">
        <f t="shared" si="8"/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6"/>
        <v>1.3563258826731994</v>
      </c>
      <c r="Z99" s="1">
        <f t="shared" si="7"/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ref="G100:G163" si="9">DAY(EOMONTH(F100,0))</f>
        <v>31</v>
      </c>
      <c r="H100" s="123">
        <f t="shared" si="8"/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0">IFERROR(AVERAGEIF(V100:X100,"&gt;"&amp;0,V100:X100),"")</f>
        <v>2.2528473437544942</v>
      </c>
      <c r="Z100" s="1">
        <f t="shared" ref="Z100:Z163" si="11">MAXA(V100:X100)</f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9"/>
        <v>31</v>
      </c>
      <c r="H101" s="123">
        <f t="shared" si="8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0"/>
        <v>3.9063816820708865</v>
      </c>
      <c r="Z101" s="1">
        <f t="shared" si="11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9"/>
        <v>31</v>
      </c>
      <c r="H102" s="123">
        <f t="shared" si="8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0"/>
        <v>3.7040188830926368</v>
      </c>
      <c r="Z102" s="1">
        <f t="shared" si="11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9"/>
        <v>31</v>
      </c>
      <c r="H103" s="123">
        <f t="shared" si="8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0"/>
        <v>4.0439946601936985</v>
      </c>
      <c r="Z103" s="1">
        <f t="shared" si="11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9"/>
        <v>31</v>
      </c>
      <c r="H104" s="123">
        <f t="shared" si="8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0"/>
        <v>1.9367177730940848</v>
      </c>
      <c r="Z104" s="1">
        <f t="shared" si="11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9"/>
        <v>31</v>
      </c>
      <c r="H105" s="123">
        <f t="shared" si="8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0"/>
        <v>2.8633544984988091</v>
      </c>
      <c r="Z105" s="1">
        <f t="shared" si="11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9"/>
        <v>31</v>
      </c>
      <c r="H106" s="123">
        <f t="shared" si="8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0"/>
        <v>3.0962771681985064</v>
      </c>
      <c r="Z106" s="1">
        <f t="shared" si="11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9"/>
        <v>31</v>
      </c>
      <c r="H107" s="123">
        <f t="shared" si="8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0"/>
        <v>4.1264506860341292</v>
      </c>
      <c r="Z107" s="1">
        <f t="shared" si="11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9"/>
        <v>31</v>
      </c>
      <c r="H108" s="123">
        <f t="shared" si="8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0"/>
        <v>4.1872700999470522</v>
      </c>
      <c r="Z108" s="1">
        <f t="shared" si="11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9"/>
        <v>31</v>
      </c>
      <c r="H109" s="123">
        <f t="shared" si="8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0"/>
        <v>3.9150470260469938</v>
      </c>
      <c r="Z109" s="1">
        <f t="shared" si="11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si="9"/>
        <v>31</v>
      </c>
      <c r="H110" s="123">
        <f t="shared" si="8"/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0"/>
        <v>4.1154139830614014</v>
      </c>
      <c r="Z110" s="1">
        <f t="shared" si="11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9"/>
        <v>31</v>
      </c>
      <c r="H111" s="123">
        <f t="shared" si="8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0"/>
        <v>4.5676965909012823</v>
      </c>
      <c r="Z111" s="1">
        <f t="shared" si="11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9"/>
        <v>31</v>
      </c>
      <c r="H112" s="123">
        <f t="shared" si="8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0"/>
        <v>3.5542403632265969</v>
      </c>
      <c r="Z112" s="1">
        <f t="shared" si="11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9"/>
        <v>31</v>
      </c>
      <c r="H113" s="123">
        <f t="shared" si="8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0"/>
        <v>3.8506145778058207</v>
      </c>
      <c r="Z113" s="1">
        <f t="shared" si="11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9"/>
        <v>31</v>
      </c>
      <c r="H114" s="123">
        <f t="shared" si="8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0"/>
        <v>2.5892708500328339</v>
      </c>
      <c r="Z114" s="1">
        <f t="shared" si="11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9"/>
        <v>31</v>
      </c>
      <c r="H115" s="123">
        <f t="shared" si="8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0"/>
        <v>3.1335851576207445</v>
      </c>
      <c r="Z115" s="1">
        <f t="shared" si="11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9"/>
        <v>31</v>
      </c>
      <c r="H116" s="123">
        <f t="shared" si="8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0"/>
        <v>2.9422627587939232</v>
      </c>
      <c r="Z116" s="1">
        <f t="shared" si="11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9"/>
        <v>31</v>
      </c>
      <c r="H117" s="123">
        <f t="shared" si="8"/>
        <v>45858</v>
      </c>
      <c r="I117" s="1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0"/>
        <v>3.8222326958843253</v>
      </c>
      <c r="Z117" s="1">
        <f t="shared" si="11"/>
        <v>3.9106288258208126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9"/>
        <v>31</v>
      </c>
      <c r="H118" s="123">
        <f t="shared" si="8"/>
        <v>45859</v>
      </c>
      <c r="I118" s="1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0"/>
        <v>3.1123246797697939</v>
      </c>
      <c r="Z118" s="1">
        <f t="shared" si="11"/>
        <v>3.2259321090706732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9"/>
        <v>31</v>
      </c>
      <c r="H119" s="123">
        <f t="shared" si="8"/>
        <v>45860</v>
      </c>
      <c r="I119" s="1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0"/>
        <v>3.2635710826139639</v>
      </c>
      <c r="Z119" s="1">
        <f t="shared" si="11"/>
        <v>3.3491003524392506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9"/>
        <v>31</v>
      </c>
      <c r="H120" s="123">
        <f t="shared" si="8"/>
        <v>45861</v>
      </c>
      <c r="I120" s="1">
        <v>8.0208999999999993</v>
      </c>
      <c r="J120" s="1">
        <f>'Raw Data'!K120/Inv_SY!J$2</f>
        <v>0</v>
      </c>
      <c r="K120" s="1">
        <f>'Raw Data'!L120/Inv_SY!K$2</f>
        <v>0</v>
      </c>
      <c r="L120" s="1">
        <f>'Raw Data'!M120/Inv_SY!L$2</f>
        <v>0</v>
      </c>
      <c r="M120" s="1">
        <f>'Raw Data'!N120/Inv_SY!M$2</f>
        <v>0</v>
      </c>
      <c r="N120" s="1">
        <f>'Raw Data'!O120/Inv_SY!N$2</f>
        <v>0</v>
      </c>
      <c r="O120" s="1">
        <f>'Raw Data'!P120/Inv_SY!O$2</f>
        <v>0</v>
      </c>
      <c r="P120" s="1">
        <f>'Raw Data'!Q120/Inv_SY!P$2</f>
        <v>0</v>
      </c>
      <c r="Q120" s="1">
        <f>'Raw Data'!R120/Inv_SY!Q$2</f>
        <v>0</v>
      </c>
      <c r="R120" s="1">
        <f>'Raw Data'!S120/Inv_SY!R$2</f>
        <v>0</v>
      </c>
      <c r="S120" s="1">
        <f>'Raw Data'!T120/Inv_SY!S$2</f>
        <v>0</v>
      </c>
      <c r="T120" s="1">
        <f>'Raw Data'!U120/Inv_SY!T$2</f>
        <v>0</v>
      </c>
      <c r="U120" s="1">
        <f>'Raw Data'!V120/Inv_SY!U$2</f>
        <v>0</v>
      </c>
      <c r="V120" s="1">
        <f>'Raw Data'!W120/Inv_SY!V$2</f>
        <v>0</v>
      </c>
      <c r="W120" s="1">
        <f>'Raw Data'!X120/Inv_SY!W$2</f>
        <v>0</v>
      </c>
      <c r="X120" s="1">
        <f>'Raw Data'!Y120/Inv_SY!X$2</f>
        <v>0</v>
      </c>
      <c r="Y120" s="1" t="str">
        <f t="shared" si="10"/>
        <v/>
      </c>
      <c r="Z120" s="1">
        <f t="shared" si="11"/>
        <v>0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9"/>
        <v>31</v>
      </c>
      <c r="H121" s="123">
        <f t="shared" si="8"/>
        <v>45862</v>
      </c>
      <c r="I121" s="1">
        <v>8.0208999999999993</v>
      </c>
      <c r="J121" s="1">
        <f>'Raw Data'!K121/Inv_SY!J$2</f>
        <v>0</v>
      </c>
      <c r="K121" s="1">
        <f>'Raw Data'!L121/Inv_SY!K$2</f>
        <v>0</v>
      </c>
      <c r="L121" s="1">
        <f>'Raw Data'!M121/Inv_SY!L$2</f>
        <v>0</v>
      </c>
      <c r="M121" s="1">
        <f>'Raw Data'!N121/Inv_SY!M$2</f>
        <v>0</v>
      </c>
      <c r="N121" s="1">
        <f>'Raw Data'!O121/Inv_SY!N$2</f>
        <v>0</v>
      </c>
      <c r="O121" s="1">
        <f>'Raw Data'!P121/Inv_SY!O$2</f>
        <v>0</v>
      </c>
      <c r="P121" s="1">
        <f>'Raw Data'!Q121/Inv_SY!P$2</f>
        <v>0</v>
      </c>
      <c r="Q121" s="1">
        <f>'Raw Data'!R121/Inv_SY!Q$2</f>
        <v>0</v>
      </c>
      <c r="R121" s="1">
        <f>'Raw Data'!S121/Inv_SY!R$2</f>
        <v>0</v>
      </c>
      <c r="S121" s="1">
        <f>'Raw Data'!T121/Inv_SY!S$2</f>
        <v>0</v>
      </c>
      <c r="T121" s="1">
        <f>'Raw Data'!U121/Inv_SY!T$2</f>
        <v>0</v>
      </c>
      <c r="U121" s="1">
        <f>'Raw Data'!V121/Inv_SY!U$2</f>
        <v>0</v>
      </c>
      <c r="V121" s="1">
        <f>'Raw Data'!W121/Inv_SY!V$2</f>
        <v>0</v>
      </c>
      <c r="W121" s="1">
        <f>'Raw Data'!X121/Inv_SY!W$2</f>
        <v>0</v>
      </c>
      <c r="X121" s="1">
        <f>'Raw Data'!Y121/Inv_SY!X$2</f>
        <v>0</v>
      </c>
      <c r="Y121" s="1" t="str">
        <f t="shared" si="10"/>
        <v/>
      </c>
      <c r="Z121" s="1">
        <f t="shared" si="11"/>
        <v>0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9"/>
        <v>31</v>
      </c>
      <c r="H122" s="123">
        <f t="shared" si="8"/>
        <v>45863</v>
      </c>
      <c r="I122" s="1">
        <v>8.0208999999999993</v>
      </c>
      <c r="J122" s="1">
        <f>'Raw Data'!K122/Inv_SY!J$2</f>
        <v>0</v>
      </c>
      <c r="K122" s="1">
        <f>'Raw Data'!L122/Inv_SY!K$2</f>
        <v>0</v>
      </c>
      <c r="L122" s="1">
        <f>'Raw Data'!M122/Inv_SY!L$2</f>
        <v>0</v>
      </c>
      <c r="M122" s="1">
        <f>'Raw Data'!N122/Inv_SY!M$2</f>
        <v>0</v>
      </c>
      <c r="N122" s="1">
        <f>'Raw Data'!O122/Inv_SY!N$2</f>
        <v>0</v>
      </c>
      <c r="O122" s="1">
        <f>'Raw Data'!P122/Inv_SY!O$2</f>
        <v>0</v>
      </c>
      <c r="P122" s="1">
        <f>'Raw Data'!Q122/Inv_SY!P$2</f>
        <v>0</v>
      </c>
      <c r="Q122" s="1">
        <f>'Raw Data'!R122/Inv_SY!Q$2</f>
        <v>0</v>
      </c>
      <c r="R122" s="1">
        <f>'Raw Data'!S122/Inv_SY!R$2</f>
        <v>0</v>
      </c>
      <c r="S122" s="1">
        <f>'Raw Data'!T122/Inv_SY!S$2</f>
        <v>0</v>
      </c>
      <c r="T122" s="1">
        <f>'Raw Data'!U122/Inv_SY!T$2</f>
        <v>0</v>
      </c>
      <c r="U122" s="1">
        <f>'Raw Data'!V122/Inv_SY!U$2</f>
        <v>0</v>
      </c>
      <c r="V122" s="1">
        <f>'Raw Data'!W122/Inv_SY!V$2</f>
        <v>0</v>
      </c>
      <c r="W122" s="1">
        <f>'Raw Data'!X122/Inv_SY!W$2</f>
        <v>0</v>
      </c>
      <c r="X122" s="1">
        <f>'Raw Data'!Y122/Inv_SY!X$2</f>
        <v>0</v>
      </c>
      <c r="Y122" s="1" t="str">
        <f t="shared" si="10"/>
        <v/>
      </c>
      <c r="Z122" s="1">
        <f t="shared" si="11"/>
        <v>0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9"/>
        <v>31</v>
      </c>
      <c r="H123" s="123">
        <f t="shared" si="8"/>
        <v>45864</v>
      </c>
      <c r="I123" s="1">
        <v>8.0208999999999993</v>
      </c>
      <c r="J123" s="1">
        <f>'Raw Data'!K123/Inv_SY!J$2</f>
        <v>0</v>
      </c>
      <c r="K123" s="1">
        <f>'Raw Data'!L123/Inv_SY!K$2</f>
        <v>0</v>
      </c>
      <c r="L123" s="1">
        <f>'Raw Data'!M123/Inv_SY!L$2</f>
        <v>0</v>
      </c>
      <c r="M123" s="1">
        <f>'Raw Data'!N123/Inv_SY!M$2</f>
        <v>0</v>
      </c>
      <c r="N123" s="1">
        <f>'Raw Data'!O123/Inv_SY!N$2</f>
        <v>0</v>
      </c>
      <c r="O123" s="1">
        <f>'Raw Data'!P123/Inv_SY!O$2</f>
        <v>0</v>
      </c>
      <c r="P123" s="1">
        <f>'Raw Data'!Q123/Inv_SY!P$2</f>
        <v>0</v>
      </c>
      <c r="Q123" s="1">
        <f>'Raw Data'!R123/Inv_SY!Q$2</f>
        <v>0</v>
      </c>
      <c r="R123" s="1">
        <f>'Raw Data'!S123/Inv_SY!R$2</f>
        <v>0</v>
      </c>
      <c r="S123" s="1">
        <f>'Raw Data'!T123/Inv_SY!S$2</f>
        <v>0</v>
      </c>
      <c r="T123" s="1">
        <f>'Raw Data'!U123/Inv_SY!T$2</f>
        <v>0</v>
      </c>
      <c r="U123" s="1">
        <f>'Raw Data'!V123/Inv_SY!U$2</f>
        <v>0</v>
      </c>
      <c r="V123" s="1">
        <f>'Raw Data'!W123/Inv_SY!V$2</f>
        <v>0</v>
      </c>
      <c r="W123" s="1">
        <f>'Raw Data'!X123/Inv_SY!W$2</f>
        <v>0</v>
      </c>
      <c r="X123" s="1">
        <f>'Raw Data'!Y123/Inv_SY!X$2</f>
        <v>0</v>
      </c>
      <c r="Y123" s="1" t="str">
        <f t="shared" si="10"/>
        <v/>
      </c>
      <c r="Z123" s="1">
        <f t="shared" si="11"/>
        <v>0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9"/>
        <v>31</v>
      </c>
      <c r="H124" s="123">
        <f t="shared" si="8"/>
        <v>45865</v>
      </c>
      <c r="I124" s="1">
        <v>8.0208999999999993</v>
      </c>
      <c r="J124" s="1">
        <f>'Raw Data'!K124/Inv_SY!J$2</f>
        <v>0</v>
      </c>
      <c r="K124" s="1">
        <f>'Raw Data'!L124/Inv_SY!K$2</f>
        <v>0</v>
      </c>
      <c r="L124" s="1">
        <f>'Raw Data'!M124/Inv_SY!L$2</f>
        <v>0</v>
      </c>
      <c r="M124" s="1">
        <f>'Raw Data'!N124/Inv_SY!M$2</f>
        <v>0</v>
      </c>
      <c r="N124" s="1">
        <f>'Raw Data'!O124/Inv_SY!N$2</f>
        <v>0</v>
      </c>
      <c r="O124" s="1">
        <f>'Raw Data'!P124/Inv_SY!O$2</f>
        <v>0</v>
      </c>
      <c r="P124" s="1">
        <f>'Raw Data'!Q124/Inv_SY!P$2</f>
        <v>0</v>
      </c>
      <c r="Q124" s="1">
        <f>'Raw Data'!R124/Inv_SY!Q$2</f>
        <v>0</v>
      </c>
      <c r="R124" s="1">
        <f>'Raw Data'!S124/Inv_SY!R$2</f>
        <v>0</v>
      </c>
      <c r="S124" s="1">
        <f>'Raw Data'!T124/Inv_SY!S$2</f>
        <v>0</v>
      </c>
      <c r="T124" s="1">
        <f>'Raw Data'!U124/Inv_SY!T$2</f>
        <v>0</v>
      </c>
      <c r="U124" s="1">
        <f>'Raw Data'!V124/Inv_SY!U$2</f>
        <v>0</v>
      </c>
      <c r="V124" s="1">
        <f>'Raw Data'!W124/Inv_SY!V$2</f>
        <v>0</v>
      </c>
      <c r="W124" s="1">
        <f>'Raw Data'!X124/Inv_SY!W$2</f>
        <v>0</v>
      </c>
      <c r="X124" s="1">
        <f>'Raw Data'!Y124/Inv_SY!X$2</f>
        <v>0</v>
      </c>
      <c r="Y124" s="1" t="str">
        <f t="shared" si="10"/>
        <v/>
      </c>
      <c r="Z124" s="1">
        <f t="shared" si="11"/>
        <v>0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9"/>
        <v>31</v>
      </c>
      <c r="H125" s="123">
        <f t="shared" si="8"/>
        <v>45866</v>
      </c>
      <c r="I125" s="1">
        <v>8.0208999999999993</v>
      </c>
      <c r="J125" s="1">
        <f>'Raw Data'!K125/Inv_SY!J$2</f>
        <v>0</v>
      </c>
      <c r="K125" s="1">
        <f>'Raw Data'!L125/Inv_SY!K$2</f>
        <v>0</v>
      </c>
      <c r="L125" s="1">
        <f>'Raw Data'!M125/Inv_SY!L$2</f>
        <v>0</v>
      </c>
      <c r="M125" s="1">
        <f>'Raw Data'!N125/Inv_SY!M$2</f>
        <v>0</v>
      </c>
      <c r="N125" s="1">
        <f>'Raw Data'!O125/Inv_SY!N$2</f>
        <v>0</v>
      </c>
      <c r="O125" s="1">
        <f>'Raw Data'!P125/Inv_SY!O$2</f>
        <v>0</v>
      </c>
      <c r="P125" s="1">
        <f>'Raw Data'!Q125/Inv_SY!P$2</f>
        <v>0</v>
      </c>
      <c r="Q125" s="1">
        <f>'Raw Data'!R125/Inv_SY!Q$2</f>
        <v>0</v>
      </c>
      <c r="R125" s="1">
        <f>'Raw Data'!S125/Inv_SY!R$2</f>
        <v>0</v>
      </c>
      <c r="S125" s="1">
        <f>'Raw Data'!T125/Inv_SY!S$2</f>
        <v>0</v>
      </c>
      <c r="T125" s="1">
        <f>'Raw Data'!U125/Inv_SY!T$2</f>
        <v>0</v>
      </c>
      <c r="U125" s="1">
        <f>'Raw Data'!V125/Inv_SY!U$2</f>
        <v>0</v>
      </c>
      <c r="V125" s="1">
        <f>'Raw Data'!W125/Inv_SY!V$2</f>
        <v>0</v>
      </c>
      <c r="W125" s="1">
        <f>'Raw Data'!X125/Inv_SY!W$2</f>
        <v>0</v>
      </c>
      <c r="X125" s="1">
        <f>'Raw Data'!Y125/Inv_SY!X$2</f>
        <v>0</v>
      </c>
      <c r="Y125" s="1" t="str">
        <f t="shared" si="10"/>
        <v/>
      </c>
      <c r="Z125" s="1">
        <f t="shared" si="11"/>
        <v>0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9"/>
        <v>31</v>
      </c>
      <c r="H126" s="123">
        <f t="shared" si="8"/>
        <v>45867</v>
      </c>
      <c r="I126" s="1">
        <v>8.0208999999999993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0"/>
        <v/>
      </c>
      <c r="Z126" s="1">
        <f t="shared" si="11"/>
        <v>0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9"/>
        <v>31</v>
      </c>
      <c r="H127" s="123">
        <f t="shared" si="8"/>
        <v>45868</v>
      </c>
      <c r="I127" s="1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0"/>
        <v/>
      </c>
      <c r="Z127" s="1">
        <f t="shared" si="11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9"/>
        <v>31</v>
      </c>
      <c r="H128" s="123">
        <f t="shared" si="8"/>
        <v>45869</v>
      </c>
      <c r="I128" s="1">
        <v>8.0208999999999993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0"/>
        <v/>
      </c>
      <c r="Z128" s="1">
        <f t="shared" si="11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si="9"/>
        <v>31</v>
      </c>
      <c r="H129" s="123">
        <f t="shared" si="8"/>
        <v>45870</v>
      </c>
      <c r="I129" s="1">
        <v>8.0208999999999993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0"/>
        <v/>
      </c>
      <c r="Z129" s="1">
        <f t="shared" si="11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9"/>
        <v>31</v>
      </c>
      <c r="H130" s="123">
        <f t="shared" si="8"/>
        <v>45871</v>
      </c>
      <c r="I130" s="1">
        <v>8.0208999999999993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0"/>
        <v/>
      </c>
      <c r="Z130" s="1">
        <f t="shared" si="11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si="9"/>
        <v>31</v>
      </c>
      <c r="H131" s="123">
        <f t="shared" si="8"/>
        <v>45872</v>
      </c>
      <c r="I131" s="1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0"/>
        <v/>
      </c>
      <c r="Z131" s="1">
        <f t="shared" si="11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si="9"/>
        <v>31</v>
      </c>
      <c r="H132" s="123">
        <f t="shared" si="8"/>
        <v>45873</v>
      </c>
      <c r="I132" s="1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0"/>
        <v/>
      </c>
      <c r="Z132" s="1">
        <f t="shared" si="11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9"/>
        <v>31</v>
      </c>
      <c r="H133" s="123">
        <f t="shared" ref="H133:H196" si="12">H132+1</f>
        <v>45874</v>
      </c>
      <c r="I133" s="1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0"/>
        <v/>
      </c>
      <c r="Z133" s="1">
        <f t="shared" si="11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9"/>
        <v>31</v>
      </c>
      <c r="H134" s="123">
        <f t="shared" si="12"/>
        <v>45875</v>
      </c>
      <c r="I134" s="1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0"/>
        <v/>
      </c>
      <c r="Z134" s="1">
        <f t="shared" si="11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9"/>
        <v>31</v>
      </c>
      <c r="H135" s="123">
        <f t="shared" si="12"/>
        <v>45876</v>
      </c>
      <c r="I135" s="1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0"/>
        <v/>
      </c>
      <c r="Z135" s="1">
        <f t="shared" si="11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9"/>
        <v>31</v>
      </c>
      <c r="H136" s="123">
        <f t="shared" si="12"/>
        <v>45877</v>
      </c>
      <c r="I136" s="1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0"/>
        <v/>
      </c>
      <c r="Z136" s="1">
        <f t="shared" si="11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9"/>
        <v>31</v>
      </c>
      <c r="H137" s="123">
        <f t="shared" si="12"/>
        <v>45878</v>
      </c>
      <c r="I137" s="1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0"/>
        <v/>
      </c>
      <c r="Z137" s="1">
        <f t="shared" si="11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9"/>
        <v>31</v>
      </c>
      <c r="H138" s="123">
        <f t="shared" si="12"/>
        <v>45879</v>
      </c>
      <c r="I138" s="1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0"/>
        <v/>
      </c>
      <c r="Z138" s="1">
        <f t="shared" si="11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9"/>
        <v>31</v>
      </c>
      <c r="H139" s="123">
        <f t="shared" si="12"/>
        <v>45880</v>
      </c>
      <c r="I139" s="1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0"/>
        <v/>
      </c>
      <c r="Z139" s="1">
        <f t="shared" si="11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9"/>
        <v>31</v>
      </c>
      <c r="H140" s="123">
        <f t="shared" si="12"/>
        <v>45881</v>
      </c>
      <c r="I140" s="1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0"/>
        <v/>
      </c>
      <c r="Z140" s="1">
        <f t="shared" si="11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9"/>
        <v>31</v>
      </c>
      <c r="H141" s="123">
        <f t="shared" si="12"/>
        <v>45882</v>
      </c>
      <c r="I141" s="1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0"/>
        <v/>
      </c>
      <c r="Z141" s="1">
        <f t="shared" si="11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9"/>
        <v>31</v>
      </c>
      <c r="H142" s="123">
        <f t="shared" si="12"/>
        <v>45883</v>
      </c>
      <c r="I142" s="1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0"/>
        <v/>
      </c>
      <c r="Z142" s="1">
        <f t="shared" si="11"/>
        <v>0</v>
      </c>
    </row>
    <row r="143" spans="1:26" x14ac:dyDescent="0.3">
      <c r="A143" s="244"/>
      <c r="B143" s="244"/>
      <c r="C143" s="244">
        <f>YEAR(Table12[[#This Row],[Date]])</f>
        <v>2025</v>
      </c>
      <c r="D143" s="244"/>
      <c r="E143" s="244"/>
      <c r="F143" s="245" t="str">
        <f>TEXT(Table12[[#This Row],[Date]],"mmm-yy")</f>
        <v>Aug-25</v>
      </c>
      <c r="G143" s="244">
        <f t="shared" si="9"/>
        <v>31</v>
      </c>
      <c r="H143" s="123">
        <f t="shared" si="12"/>
        <v>45884</v>
      </c>
      <c r="I143" s="1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0"/>
        <v/>
      </c>
      <c r="Z143" s="1">
        <f t="shared" si="11"/>
        <v>0</v>
      </c>
    </row>
    <row r="144" spans="1:26" x14ac:dyDescent="0.3">
      <c r="A144" s="244"/>
      <c r="B144" s="244"/>
      <c r="C144" s="244">
        <f>YEAR(Table12[[#This Row],[Date]])</f>
        <v>2025</v>
      </c>
      <c r="D144" s="244"/>
      <c r="E144" s="244"/>
      <c r="F144" s="245" t="str">
        <f>TEXT(Table12[[#This Row],[Date]],"mmm-yy")</f>
        <v>Aug-25</v>
      </c>
      <c r="G144" s="244">
        <f t="shared" si="9"/>
        <v>31</v>
      </c>
      <c r="H144" s="123">
        <f t="shared" si="12"/>
        <v>45885</v>
      </c>
      <c r="I144" s="1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0"/>
        <v/>
      </c>
      <c r="Z144" s="1">
        <f t="shared" si="11"/>
        <v>0</v>
      </c>
    </row>
    <row r="145" spans="1:26" x14ac:dyDescent="0.3">
      <c r="A145" s="244"/>
      <c r="B145" s="244"/>
      <c r="C145" s="244">
        <f>YEAR(Table12[[#This Row],[Date]])</f>
        <v>2025</v>
      </c>
      <c r="D145" s="244"/>
      <c r="E145" s="244"/>
      <c r="F145" s="245" t="str">
        <f>TEXT(Table12[[#This Row],[Date]],"mmm-yy")</f>
        <v>Aug-25</v>
      </c>
      <c r="G145" s="244">
        <f t="shared" si="9"/>
        <v>31</v>
      </c>
      <c r="H145" s="123">
        <f t="shared" si="12"/>
        <v>45886</v>
      </c>
      <c r="I145" s="1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0"/>
        <v/>
      </c>
      <c r="Z145" s="1">
        <f t="shared" si="11"/>
        <v>0</v>
      </c>
    </row>
    <row r="146" spans="1:26" x14ac:dyDescent="0.3">
      <c r="A146" s="244"/>
      <c r="B146" s="244"/>
      <c r="C146" s="244">
        <f>YEAR(Table12[[#This Row],[Date]])</f>
        <v>2025</v>
      </c>
      <c r="D146" s="244"/>
      <c r="E146" s="244"/>
      <c r="F146" s="245" t="str">
        <f>TEXT(Table12[[#This Row],[Date]],"mmm-yy")</f>
        <v>Aug-25</v>
      </c>
      <c r="G146" s="244">
        <f t="shared" si="9"/>
        <v>31</v>
      </c>
      <c r="H146" s="123">
        <f t="shared" si="12"/>
        <v>45887</v>
      </c>
      <c r="I146" s="1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0"/>
        <v/>
      </c>
      <c r="Z146" s="1">
        <f t="shared" si="11"/>
        <v>0</v>
      </c>
    </row>
    <row r="147" spans="1:26" x14ac:dyDescent="0.3">
      <c r="A147" s="244"/>
      <c r="B147" s="244"/>
      <c r="C147" s="244">
        <f>YEAR(Table12[[#This Row],[Date]])</f>
        <v>2025</v>
      </c>
      <c r="D147" s="244"/>
      <c r="E147" s="244"/>
      <c r="F147" s="245" t="str">
        <f>TEXT(Table12[[#This Row],[Date]],"mmm-yy")</f>
        <v>Aug-25</v>
      </c>
      <c r="G147" s="244">
        <f t="shared" si="9"/>
        <v>31</v>
      </c>
      <c r="H147" s="123">
        <f t="shared" si="12"/>
        <v>45888</v>
      </c>
      <c r="I147" s="1">
        <v>8.0208999999999993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0"/>
        <v/>
      </c>
      <c r="Z147" s="1">
        <f t="shared" si="11"/>
        <v>0</v>
      </c>
    </row>
    <row r="148" spans="1:26" x14ac:dyDescent="0.3">
      <c r="A148" s="244"/>
      <c r="B148" s="244"/>
      <c r="C148" s="244">
        <f>YEAR(Table12[[#This Row],[Date]])</f>
        <v>2025</v>
      </c>
      <c r="D148" s="244"/>
      <c r="E148" s="244"/>
      <c r="F148" s="245" t="str">
        <f>TEXT(Table12[[#This Row],[Date]],"mmm-yy")</f>
        <v>Aug-25</v>
      </c>
      <c r="G148" s="244">
        <f t="shared" si="9"/>
        <v>31</v>
      </c>
      <c r="H148" s="123">
        <f t="shared" si="12"/>
        <v>45889</v>
      </c>
      <c r="I148" s="1">
        <v>8.0208999999999993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0"/>
        <v/>
      </c>
      <c r="Z148" s="1">
        <f t="shared" si="11"/>
        <v>0</v>
      </c>
    </row>
    <row r="149" spans="1:26" x14ac:dyDescent="0.3">
      <c r="A149" s="244"/>
      <c r="B149" s="244"/>
      <c r="C149" s="244">
        <f>YEAR(Table12[[#This Row],[Date]])</f>
        <v>2025</v>
      </c>
      <c r="D149" s="244"/>
      <c r="E149" s="244"/>
      <c r="F149" s="245" t="str">
        <f>TEXT(Table12[[#This Row],[Date]],"mmm-yy")</f>
        <v>Aug-25</v>
      </c>
      <c r="G149" s="244">
        <f t="shared" si="9"/>
        <v>31</v>
      </c>
      <c r="H149" s="123">
        <f t="shared" si="12"/>
        <v>45890</v>
      </c>
      <c r="I149" s="1">
        <v>8.0208999999999993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0"/>
        <v/>
      </c>
      <c r="Z149" s="1">
        <f t="shared" si="11"/>
        <v>0</v>
      </c>
    </row>
    <row r="150" spans="1:26" x14ac:dyDescent="0.3">
      <c r="A150" s="244"/>
      <c r="B150" s="244"/>
      <c r="C150" s="244">
        <f>YEAR(Table12[[#This Row],[Date]])</f>
        <v>2025</v>
      </c>
      <c r="D150" s="244"/>
      <c r="E150" s="244"/>
      <c r="F150" s="245" t="str">
        <f>TEXT(Table12[[#This Row],[Date]],"mmm-yy")</f>
        <v>Aug-25</v>
      </c>
      <c r="G150" s="244">
        <f t="shared" si="9"/>
        <v>31</v>
      </c>
      <c r="H150" s="123">
        <f t="shared" si="12"/>
        <v>45891</v>
      </c>
      <c r="I150" s="1">
        <v>8.0208999999999993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0"/>
        <v/>
      </c>
      <c r="Z150" s="1">
        <f t="shared" si="11"/>
        <v>0</v>
      </c>
    </row>
    <row r="151" spans="1:26" x14ac:dyDescent="0.3">
      <c r="A151" s="244"/>
      <c r="B151" s="244"/>
      <c r="C151" s="244">
        <f>YEAR(Table12[[#This Row],[Date]])</f>
        <v>2025</v>
      </c>
      <c r="D151" s="244"/>
      <c r="E151" s="244"/>
      <c r="F151" s="245" t="str">
        <f>TEXT(Table12[[#This Row],[Date]],"mmm-yy")</f>
        <v>Aug-25</v>
      </c>
      <c r="G151" s="244">
        <f t="shared" si="9"/>
        <v>31</v>
      </c>
      <c r="H151" s="123">
        <f t="shared" si="12"/>
        <v>45892</v>
      </c>
      <c r="I151" s="1">
        <v>8.0208999999999993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0"/>
        <v/>
      </c>
      <c r="Z151" s="1">
        <f t="shared" si="11"/>
        <v>0</v>
      </c>
    </row>
    <row r="152" spans="1:26" x14ac:dyDescent="0.3">
      <c r="A152" s="244"/>
      <c r="B152" s="244"/>
      <c r="C152" s="244">
        <f>YEAR(Table12[[#This Row],[Date]])</f>
        <v>2025</v>
      </c>
      <c r="D152" s="244"/>
      <c r="E152" s="244"/>
      <c r="F152" s="245" t="str">
        <f>TEXT(Table12[[#This Row],[Date]],"mmm-yy")</f>
        <v>Aug-25</v>
      </c>
      <c r="G152" s="244">
        <f t="shared" si="9"/>
        <v>31</v>
      </c>
      <c r="H152" s="123">
        <f t="shared" si="12"/>
        <v>45893</v>
      </c>
      <c r="I152" s="1">
        <v>8.0208999999999993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0"/>
        <v/>
      </c>
      <c r="Z152" s="1">
        <f t="shared" si="11"/>
        <v>0</v>
      </c>
    </row>
    <row r="153" spans="1:26" x14ac:dyDescent="0.3">
      <c r="A153" s="244"/>
      <c r="B153" s="244"/>
      <c r="C153" s="244">
        <f>YEAR(Table12[[#This Row],[Date]])</f>
        <v>2025</v>
      </c>
      <c r="D153" s="244"/>
      <c r="E153" s="244"/>
      <c r="F153" s="245" t="str">
        <f>TEXT(Table12[[#This Row],[Date]],"mmm-yy")</f>
        <v>Aug-25</v>
      </c>
      <c r="G153" s="244">
        <f t="shared" si="9"/>
        <v>31</v>
      </c>
      <c r="H153" s="123">
        <f t="shared" si="12"/>
        <v>45894</v>
      </c>
      <c r="I153" s="1">
        <v>8.0208999999999993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0"/>
        <v/>
      </c>
      <c r="Z153" s="1">
        <f t="shared" si="11"/>
        <v>0</v>
      </c>
    </row>
    <row r="154" spans="1:26" x14ac:dyDescent="0.3">
      <c r="A154" s="244"/>
      <c r="B154" s="244"/>
      <c r="C154" s="244">
        <f>YEAR(Table12[[#This Row],[Date]])</f>
        <v>2025</v>
      </c>
      <c r="D154" s="244"/>
      <c r="E154" s="244"/>
      <c r="F154" s="245" t="str">
        <f>TEXT(Table12[[#This Row],[Date]],"mmm-yy")</f>
        <v>Aug-25</v>
      </c>
      <c r="G154" s="244">
        <f t="shared" si="9"/>
        <v>31</v>
      </c>
      <c r="H154" s="123">
        <f t="shared" si="12"/>
        <v>45895</v>
      </c>
      <c r="I154" s="1">
        <v>8.0208999999999993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0"/>
        <v/>
      </c>
      <c r="Z154" s="1">
        <f t="shared" si="11"/>
        <v>0</v>
      </c>
    </row>
    <row r="155" spans="1:26" x14ac:dyDescent="0.3">
      <c r="A155" s="244"/>
      <c r="B155" s="244"/>
      <c r="C155" s="244">
        <f>YEAR(Table12[[#This Row],[Date]])</f>
        <v>2025</v>
      </c>
      <c r="D155" s="244"/>
      <c r="E155" s="244"/>
      <c r="F155" s="245" t="str">
        <f>TEXT(Table12[[#This Row],[Date]],"mmm-yy")</f>
        <v>Aug-25</v>
      </c>
      <c r="G155" s="244">
        <f t="shared" si="9"/>
        <v>31</v>
      </c>
      <c r="H155" s="123">
        <f t="shared" si="12"/>
        <v>45896</v>
      </c>
      <c r="I155" s="1">
        <v>8.0208999999999993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0"/>
        <v/>
      </c>
      <c r="Z155" s="1">
        <f t="shared" si="11"/>
        <v>0</v>
      </c>
    </row>
    <row r="156" spans="1:26" x14ac:dyDescent="0.3">
      <c r="A156" s="244"/>
      <c r="B156" s="244"/>
      <c r="C156" s="244">
        <f>YEAR(Table12[[#This Row],[Date]])</f>
        <v>2025</v>
      </c>
      <c r="D156" s="244"/>
      <c r="E156" s="244"/>
      <c r="F156" s="245" t="str">
        <f>TEXT(Table12[[#This Row],[Date]],"mmm-yy")</f>
        <v>Aug-25</v>
      </c>
      <c r="G156" s="244">
        <f t="shared" si="9"/>
        <v>31</v>
      </c>
      <c r="H156" s="123">
        <f t="shared" si="12"/>
        <v>45897</v>
      </c>
      <c r="I156" s="1">
        <v>8.0208999999999993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0"/>
        <v/>
      </c>
      <c r="Z156" s="1">
        <f t="shared" si="11"/>
        <v>0</v>
      </c>
    </row>
    <row r="157" spans="1:26" x14ac:dyDescent="0.3">
      <c r="A157" s="244"/>
      <c r="B157" s="244"/>
      <c r="C157" s="244">
        <f>YEAR(Table12[[#This Row],[Date]])</f>
        <v>2025</v>
      </c>
      <c r="D157" s="244"/>
      <c r="E157" s="244"/>
      <c r="F157" s="245" t="str">
        <f>TEXT(Table12[[#This Row],[Date]],"mmm-yy")</f>
        <v>Aug-25</v>
      </c>
      <c r="G157" s="244">
        <f t="shared" si="9"/>
        <v>31</v>
      </c>
      <c r="H157" s="123">
        <f t="shared" si="12"/>
        <v>45898</v>
      </c>
      <c r="I157" s="1">
        <v>8.0208999999999993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0"/>
        <v/>
      </c>
      <c r="Z157" s="1">
        <f t="shared" si="11"/>
        <v>0</v>
      </c>
    </row>
    <row r="158" spans="1:26" x14ac:dyDescent="0.3">
      <c r="A158" s="244"/>
      <c r="B158" s="244"/>
      <c r="C158" s="244">
        <f>YEAR(Table12[[#This Row],[Date]])</f>
        <v>2025</v>
      </c>
      <c r="D158" s="244"/>
      <c r="E158" s="244"/>
      <c r="F158" s="245" t="str">
        <f>TEXT(Table12[[#This Row],[Date]],"mmm-yy")</f>
        <v>Aug-25</v>
      </c>
      <c r="G158" s="244">
        <f t="shared" si="9"/>
        <v>31</v>
      </c>
      <c r="H158" s="123">
        <f t="shared" si="12"/>
        <v>45899</v>
      </c>
      <c r="I158" s="1">
        <v>8.0208999999999993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0"/>
        <v/>
      </c>
      <c r="Z158" s="1">
        <f t="shared" si="11"/>
        <v>0</v>
      </c>
    </row>
    <row r="159" spans="1:26" x14ac:dyDescent="0.3">
      <c r="A159" s="244"/>
      <c r="B159" s="244"/>
      <c r="C159" s="244">
        <f>YEAR(Table12[[#This Row],[Date]])</f>
        <v>2025</v>
      </c>
      <c r="D159" s="244"/>
      <c r="E159" s="244"/>
      <c r="F159" s="245" t="str">
        <f>TEXT(Table12[[#This Row],[Date]],"mmm-yy")</f>
        <v>Aug-25</v>
      </c>
      <c r="G159" s="244">
        <f t="shared" si="9"/>
        <v>31</v>
      </c>
      <c r="H159" s="123">
        <f t="shared" si="12"/>
        <v>45900</v>
      </c>
      <c r="I159" s="1">
        <v>8.0208999999999993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0"/>
        <v/>
      </c>
      <c r="Z159" s="1">
        <f t="shared" si="11"/>
        <v>0</v>
      </c>
    </row>
    <row r="160" spans="1:26" x14ac:dyDescent="0.3">
      <c r="A160" s="244"/>
      <c r="B160" s="244"/>
      <c r="C160" s="244">
        <f>YEAR(Table12[[#This Row],[Date]])</f>
        <v>2025</v>
      </c>
      <c r="D160" s="244"/>
      <c r="E160" s="244"/>
      <c r="F160" s="245" t="str">
        <f>TEXT(Table12[[#This Row],[Date]],"mmm-yy")</f>
        <v>Sep-25</v>
      </c>
      <c r="G160" s="244">
        <f t="shared" si="9"/>
        <v>30</v>
      </c>
      <c r="H160" s="123">
        <f t="shared" si="12"/>
        <v>45901</v>
      </c>
      <c r="I160" s="1">
        <v>8.0208999999999993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0"/>
        <v/>
      </c>
      <c r="Z160" s="1">
        <f t="shared" si="11"/>
        <v>0</v>
      </c>
    </row>
    <row r="161" spans="1:26" x14ac:dyDescent="0.3">
      <c r="A161" s="244"/>
      <c r="B161" s="244"/>
      <c r="C161" s="244">
        <f>YEAR(Table12[[#This Row],[Date]])</f>
        <v>2025</v>
      </c>
      <c r="D161" s="244"/>
      <c r="E161" s="244"/>
      <c r="F161" s="245" t="str">
        <f>TEXT(Table12[[#This Row],[Date]],"mmm-yy")</f>
        <v>Sep-25</v>
      </c>
      <c r="G161" s="244">
        <f t="shared" si="9"/>
        <v>30</v>
      </c>
      <c r="H161" s="123">
        <f t="shared" si="12"/>
        <v>45902</v>
      </c>
      <c r="I161" s="1">
        <v>8.0208999999999993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0"/>
        <v/>
      </c>
      <c r="Z161" s="1">
        <f t="shared" si="11"/>
        <v>0</v>
      </c>
    </row>
    <row r="162" spans="1:26" x14ac:dyDescent="0.3">
      <c r="A162" s="244"/>
      <c r="B162" s="244"/>
      <c r="C162" s="244">
        <f>YEAR(Table12[[#This Row],[Date]])</f>
        <v>2025</v>
      </c>
      <c r="D162" s="244"/>
      <c r="E162" s="244"/>
      <c r="F162" s="245" t="str">
        <f>TEXT(Table12[[#This Row],[Date]],"mmm-yy")</f>
        <v>Sep-25</v>
      </c>
      <c r="G162" s="244">
        <f t="shared" si="9"/>
        <v>30</v>
      </c>
      <c r="H162" s="123">
        <f t="shared" si="12"/>
        <v>45903</v>
      </c>
      <c r="I162" s="1">
        <v>8.0208999999999993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0"/>
        <v/>
      </c>
      <c r="Z162" s="1">
        <f t="shared" si="11"/>
        <v>0</v>
      </c>
    </row>
    <row r="163" spans="1:26" x14ac:dyDescent="0.3">
      <c r="A163" s="244"/>
      <c r="B163" s="244"/>
      <c r="C163" s="244">
        <f>YEAR(Table12[[#This Row],[Date]])</f>
        <v>2025</v>
      </c>
      <c r="D163" s="244"/>
      <c r="E163" s="244"/>
      <c r="F163" s="245" t="str">
        <f>TEXT(Table12[[#This Row],[Date]],"mmm-yy")</f>
        <v>Sep-25</v>
      </c>
      <c r="G163" s="244">
        <f t="shared" si="9"/>
        <v>30</v>
      </c>
      <c r="H163" s="123">
        <f t="shared" si="12"/>
        <v>45904</v>
      </c>
      <c r="I163" s="1">
        <v>8.0208999999999993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0"/>
        <v/>
      </c>
      <c r="Z163" s="1">
        <f t="shared" si="11"/>
        <v>0</v>
      </c>
    </row>
    <row r="164" spans="1:26" x14ac:dyDescent="0.3">
      <c r="A164" s="244"/>
      <c r="B164" s="244"/>
      <c r="C164" s="244">
        <f>YEAR(Table12[[#This Row],[Date]])</f>
        <v>2025</v>
      </c>
      <c r="D164" s="244"/>
      <c r="E164" s="244"/>
      <c r="F164" s="245" t="str">
        <f>TEXT(Table12[[#This Row],[Date]],"mmm-yy")</f>
        <v>Sep-25</v>
      </c>
      <c r="G164" s="244">
        <f t="shared" ref="G164:G227" si="13">DAY(EOMONTH(F164,0))</f>
        <v>30</v>
      </c>
      <c r="H164" s="123">
        <f t="shared" si="12"/>
        <v>45905</v>
      </c>
      <c r="I164" s="1">
        <v>8.0208999999999993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227" si="14">IFERROR(AVERAGEIF(V164:X164,"&gt;"&amp;0,V164:X164),"")</f>
        <v/>
      </c>
      <c r="Z164" s="1">
        <f t="shared" ref="Z164:Z227" si="15">MAXA(V164:X164)</f>
        <v>0</v>
      </c>
    </row>
    <row r="165" spans="1:26" x14ac:dyDescent="0.3">
      <c r="A165" s="244"/>
      <c r="B165" s="244"/>
      <c r="C165" s="244">
        <f>YEAR(Table12[[#This Row],[Date]])</f>
        <v>2025</v>
      </c>
      <c r="D165" s="244"/>
      <c r="E165" s="244"/>
      <c r="F165" s="245" t="str">
        <f>TEXT(Table12[[#This Row],[Date]],"mmm-yy")</f>
        <v>Sep-25</v>
      </c>
      <c r="G165" s="244">
        <f t="shared" si="13"/>
        <v>30</v>
      </c>
      <c r="H165" s="123">
        <f t="shared" si="12"/>
        <v>45906</v>
      </c>
      <c r="I165" s="1">
        <v>8.0208999999999993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4"/>
        <v/>
      </c>
      <c r="Z165" s="1">
        <f t="shared" si="15"/>
        <v>0</v>
      </c>
    </row>
    <row r="166" spans="1:26" x14ac:dyDescent="0.3">
      <c r="A166" s="244"/>
      <c r="B166" s="244"/>
      <c r="C166" s="244">
        <f>YEAR(Table12[[#This Row],[Date]])</f>
        <v>2025</v>
      </c>
      <c r="D166" s="244"/>
      <c r="E166" s="244"/>
      <c r="F166" s="245" t="str">
        <f>TEXT(Table12[[#This Row],[Date]],"mmm-yy")</f>
        <v>Sep-25</v>
      </c>
      <c r="G166" s="244">
        <f t="shared" si="13"/>
        <v>30</v>
      </c>
      <c r="H166" s="123">
        <f t="shared" si="12"/>
        <v>45907</v>
      </c>
      <c r="I166" s="1">
        <v>8.0208999999999993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4"/>
        <v/>
      </c>
      <c r="Z166" s="1">
        <f t="shared" si="15"/>
        <v>0</v>
      </c>
    </row>
    <row r="167" spans="1:26" x14ac:dyDescent="0.3">
      <c r="A167" s="244"/>
      <c r="B167" s="244"/>
      <c r="C167" s="244">
        <f>YEAR(Table12[[#This Row],[Date]])</f>
        <v>2025</v>
      </c>
      <c r="D167" s="244"/>
      <c r="E167" s="244"/>
      <c r="F167" s="245" t="str">
        <f>TEXT(Table12[[#This Row],[Date]],"mmm-yy")</f>
        <v>Sep-25</v>
      </c>
      <c r="G167" s="244">
        <f t="shared" si="13"/>
        <v>30</v>
      </c>
      <c r="H167" s="123">
        <f t="shared" si="12"/>
        <v>45908</v>
      </c>
      <c r="I167" s="1">
        <v>8.0208999999999993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4"/>
        <v/>
      </c>
      <c r="Z167" s="1">
        <f t="shared" si="15"/>
        <v>0</v>
      </c>
    </row>
    <row r="168" spans="1:26" x14ac:dyDescent="0.3">
      <c r="A168" s="244"/>
      <c r="B168" s="244"/>
      <c r="C168" s="244">
        <f>YEAR(Table12[[#This Row],[Date]])</f>
        <v>2025</v>
      </c>
      <c r="D168" s="244"/>
      <c r="E168" s="244"/>
      <c r="F168" s="245" t="str">
        <f>TEXT(Table12[[#This Row],[Date]],"mmm-yy")</f>
        <v>Sep-25</v>
      </c>
      <c r="G168" s="244">
        <f t="shared" si="13"/>
        <v>30</v>
      </c>
      <c r="H168" s="123">
        <f t="shared" si="12"/>
        <v>45909</v>
      </c>
      <c r="I168" s="1">
        <v>8.0208999999999993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4"/>
        <v/>
      </c>
      <c r="Z168" s="1">
        <f t="shared" si="15"/>
        <v>0</v>
      </c>
    </row>
    <row r="169" spans="1:26" x14ac:dyDescent="0.3">
      <c r="A169" s="244"/>
      <c r="B169" s="244"/>
      <c r="C169" s="244">
        <f>YEAR(Table12[[#This Row],[Date]])</f>
        <v>2025</v>
      </c>
      <c r="D169" s="244"/>
      <c r="E169" s="244"/>
      <c r="F169" s="245" t="str">
        <f>TEXT(Table12[[#This Row],[Date]],"mmm-yy")</f>
        <v>Sep-25</v>
      </c>
      <c r="G169" s="244">
        <f t="shared" si="13"/>
        <v>30</v>
      </c>
      <c r="H169" s="123">
        <f t="shared" si="12"/>
        <v>45910</v>
      </c>
      <c r="I169" s="1">
        <v>8.0208999999999993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4"/>
        <v/>
      </c>
      <c r="Z169" s="1">
        <f t="shared" si="15"/>
        <v>0</v>
      </c>
    </row>
    <row r="170" spans="1:26" x14ac:dyDescent="0.3">
      <c r="A170" s="244"/>
      <c r="B170" s="244"/>
      <c r="C170" s="244">
        <f>YEAR(Table12[[#This Row],[Date]])</f>
        <v>2025</v>
      </c>
      <c r="D170" s="244"/>
      <c r="E170" s="244"/>
      <c r="F170" s="245" t="str">
        <f>TEXT(Table12[[#This Row],[Date]],"mmm-yy")</f>
        <v>Sep-25</v>
      </c>
      <c r="G170" s="244">
        <f t="shared" si="13"/>
        <v>30</v>
      </c>
      <c r="H170" s="123">
        <f t="shared" si="12"/>
        <v>45911</v>
      </c>
      <c r="I170" s="1">
        <v>8.0208999999999993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4"/>
        <v/>
      </c>
      <c r="Z170" s="1">
        <f t="shared" si="15"/>
        <v>0</v>
      </c>
    </row>
    <row r="171" spans="1:26" x14ac:dyDescent="0.3">
      <c r="A171" s="244"/>
      <c r="B171" s="244"/>
      <c r="C171" s="244">
        <f>YEAR(Table12[[#This Row],[Date]])</f>
        <v>2025</v>
      </c>
      <c r="D171" s="244"/>
      <c r="E171" s="244"/>
      <c r="F171" s="245" t="str">
        <f>TEXT(Table12[[#This Row],[Date]],"mmm-yy")</f>
        <v>Sep-25</v>
      </c>
      <c r="G171" s="244">
        <f t="shared" si="13"/>
        <v>30</v>
      </c>
      <c r="H171" s="123">
        <f t="shared" si="12"/>
        <v>45912</v>
      </c>
      <c r="I171" s="1">
        <v>8.0208999999999993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4"/>
        <v/>
      </c>
      <c r="Z171" s="1">
        <f t="shared" si="15"/>
        <v>0</v>
      </c>
    </row>
    <row r="172" spans="1:26" x14ac:dyDescent="0.3">
      <c r="A172" s="244"/>
      <c r="B172" s="244"/>
      <c r="C172" s="244">
        <f>YEAR(Table12[[#This Row],[Date]])</f>
        <v>2025</v>
      </c>
      <c r="D172" s="244"/>
      <c r="E172" s="244"/>
      <c r="F172" s="245" t="str">
        <f>TEXT(Table12[[#This Row],[Date]],"mmm-yy")</f>
        <v>Sep-25</v>
      </c>
      <c r="G172" s="244">
        <f t="shared" si="13"/>
        <v>30</v>
      </c>
      <c r="H172" s="123">
        <f t="shared" si="12"/>
        <v>45913</v>
      </c>
      <c r="I172" s="1">
        <v>8.0208999999999993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4"/>
        <v/>
      </c>
      <c r="Z172" s="1">
        <f t="shared" si="15"/>
        <v>0</v>
      </c>
    </row>
    <row r="173" spans="1:26" x14ac:dyDescent="0.3">
      <c r="A173" s="244"/>
      <c r="B173" s="244"/>
      <c r="C173" s="244">
        <f>YEAR(Table12[[#This Row],[Date]])</f>
        <v>2025</v>
      </c>
      <c r="D173" s="244"/>
      <c r="E173" s="244"/>
      <c r="F173" s="245" t="str">
        <f>TEXT(Table12[[#This Row],[Date]],"mmm-yy")</f>
        <v>Sep-25</v>
      </c>
      <c r="G173" s="244">
        <f t="shared" si="13"/>
        <v>30</v>
      </c>
      <c r="H173" s="123">
        <f t="shared" si="12"/>
        <v>45914</v>
      </c>
      <c r="I173" s="1">
        <v>8.0208999999999993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4"/>
        <v/>
      </c>
      <c r="Z173" s="1">
        <f t="shared" si="15"/>
        <v>0</v>
      </c>
    </row>
    <row r="174" spans="1:26" x14ac:dyDescent="0.3">
      <c r="A174" s="244"/>
      <c r="B174" s="244"/>
      <c r="C174" s="244">
        <f>YEAR(Table12[[#This Row],[Date]])</f>
        <v>2025</v>
      </c>
      <c r="D174" s="244"/>
      <c r="E174" s="244"/>
      <c r="F174" s="245" t="str">
        <f>TEXT(Table12[[#This Row],[Date]],"mmm-yy")</f>
        <v>Sep-25</v>
      </c>
      <c r="G174" s="244">
        <f t="shared" si="13"/>
        <v>30</v>
      </c>
      <c r="H174" s="123">
        <f t="shared" si="12"/>
        <v>45915</v>
      </c>
      <c r="I174" s="1">
        <v>8.0208999999999993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4"/>
        <v/>
      </c>
      <c r="Z174" s="1">
        <f t="shared" si="15"/>
        <v>0</v>
      </c>
    </row>
    <row r="175" spans="1:26" x14ac:dyDescent="0.3">
      <c r="A175" s="244"/>
      <c r="B175" s="244"/>
      <c r="C175" s="244">
        <f>YEAR(Table12[[#This Row],[Date]])</f>
        <v>2025</v>
      </c>
      <c r="D175" s="244"/>
      <c r="E175" s="244"/>
      <c r="F175" s="245" t="str">
        <f>TEXT(Table12[[#This Row],[Date]],"mmm-yy")</f>
        <v>Sep-25</v>
      </c>
      <c r="G175" s="244">
        <f t="shared" si="13"/>
        <v>30</v>
      </c>
      <c r="H175" s="123">
        <f t="shared" si="12"/>
        <v>45916</v>
      </c>
      <c r="I175" s="1">
        <v>8.0208999999999993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4"/>
        <v/>
      </c>
      <c r="Z175" s="1">
        <f t="shared" si="15"/>
        <v>0</v>
      </c>
    </row>
    <row r="176" spans="1:26" x14ac:dyDescent="0.3">
      <c r="A176" s="244"/>
      <c r="B176" s="244"/>
      <c r="C176" s="244">
        <f>YEAR(Table12[[#This Row],[Date]])</f>
        <v>2025</v>
      </c>
      <c r="D176" s="244"/>
      <c r="E176" s="244"/>
      <c r="F176" s="245" t="str">
        <f>TEXT(Table12[[#This Row],[Date]],"mmm-yy")</f>
        <v>Sep-25</v>
      </c>
      <c r="G176" s="244">
        <f t="shared" si="13"/>
        <v>30</v>
      </c>
      <c r="H176" s="123">
        <f t="shared" si="12"/>
        <v>45917</v>
      </c>
      <c r="I176" s="1">
        <v>8.0208999999999993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4"/>
        <v/>
      </c>
      <c r="Z176" s="1">
        <f t="shared" si="15"/>
        <v>0</v>
      </c>
    </row>
    <row r="177" spans="1:26" x14ac:dyDescent="0.3">
      <c r="A177" s="244"/>
      <c r="B177" s="244"/>
      <c r="C177" s="244">
        <f>YEAR(Table12[[#This Row],[Date]])</f>
        <v>2025</v>
      </c>
      <c r="D177" s="244"/>
      <c r="E177" s="244"/>
      <c r="F177" s="245" t="str">
        <f>TEXT(Table12[[#This Row],[Date]],"mmm-yy")</f>
        <v>Sep-25</v>
      </c>
      <c r="G177" s="244">
        <f t="shared" si="13"/>
        <v>30</v>
      </c>
      <c r="H177" s="123">
        <f t="shared" si="12"/>
        <v>45918</v>
      </c>
      <c r="I177" s="1">
        <v>8.0208999999999993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4"/>
        <v/>
      </c>
      <c r="Z177" s="1">
        <f t="shared" si="15"/>
        <v>0</v>
      </c>
    </row>
    <row r="178" spans="1:26" x14ac:dyDescent="0.3">
      <c r="A178" s="244"/>
      <c r="B178" s="244"/>
      <c r="C178" s="244">
        <f>YEAR(Table12[[#This Row],[Date]])</f>
        <v>2025</v>
      </c>
      <c r="D178" s="244"/>
      <c r="E178" s="244"/>
      <c r="F178" s="245" t="str">
        <f>TEXT(Table12[[#This Row],[Date]],"mmm-yy")</f>
        <v>Sep-25</v>
      </c>
      <c r="G178" s="244">
        <f t="shared" si="13"/>
        <v>30</v>
      </c>
      <c r="H178" s="123">
        <f t="shared" si="12"/>
        <v>45919</v>
      </c>
      <c r="I178" s="1">
        <v>8.0208999999999993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4"/>
        <v/>
      </c>
      <c r="Z178" s="1">
        <f t="shared" si="15"/>
        <v>0</v>
      </c>
    </row>
    <row r="179" spans="1:26" x14ac:dyDescent="0.3">
      <c r="A179" s="244"/>
      <c r="B179" s="244"/>
      <c r="C179" s="244">
        <f>YEAR(Table12[[#This Row],[Date]])</f>
        <v>2025</v>
      </c>
      <c r="D179" s="244"/>
      <c r="E179" s="244"/>
      <c r="F179" s="245" t="str">
        <f>TEXT(Table12[[#This Row],[Date]],"mmm-yy")</f>
        <v>Sep-25</v>
      </c>
      <c r="G179" s="244">
        <f t="shared" si="13"/>
        <v>30</v>
      </c>
      <c r="H179" s="123">
        <f t="shared" si="12"/>
        <v>45920</v>
      </c>
      <c r="I179" s="1">
        <v>8.0208999999999993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4"/>
        <v/>
      </c>
      <c r="Z179" s="1">
        <f t="shared" si="15"/>
        <v>0</v>
      </c>
    </row>
    <row r="180" spans="1:26" x14ac:dyDescent="0.3">
      <c r="A180" s="244"/>
      <c r="B180" s="244"/>
      <c r="C180" s="244">
        <f>YEAR(Table12[[#This Row],[Date]])</f>
        <v>2025</v>
      </c>
      <c r="D180" s="244"/>
      <c r="E180" s="244"/>
      <c r="F180" s="245" t="str">
        <f>TEXT(Table12[[#This Row],[Date]],"mmm-yy")</f>
        <v>Sep-25</v>
      </c>
      <c r="G180" s="244">
        <f t="shared" si="13"/>
        <v>30</v>
      </c>
      <c r="H180" s="123">
        <f t="shared" si="12"/>
        <v>45921</v>
      </c>
      <c r="I180" s="1">
        <v>8.0208999999999993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4"/>
        <v/>
      </c>
      <c r="Z180" s="1">
        <f t="shared" si="15"/>
        <v>0</v>
      </c>
    </row>
    <row r="181" spans="1:26" x14ac:dyDescent="0.3">
      <c r="A181" s="244"/>
      <c r="B181" s="244"/>
      <c r="C181" s="244">
        <f>YEAR(Table12[[#This Row],[Date]])</f>
        <v>2025</v>
      </c>
      <c r="D181" s="244"/>
      <c r="E181" s="244"/>
      <c r="F181" s="245" t="str">
        <f>TEXT(Table12[[#This Row],[Date]],"mmm-yy")</f>
        <v>Sep-25</v>
      </c>
      <c r="G181" s="244">
        <f t="shared" si="13"/>
        <v>30</v>
      </c>
      <c r="H181" s="123">
        <f t="shared" si="12"/>
        <v>45922</v>
      </c>
      <c r="I181" s="1">
        <v>8.0208999999999993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4"/>
        <v/>
      </c>
      <c r="Z181" s="1">
        <f t="shared" si="15"/>
        <v>0</v>
      </c>
    </row>
    <row r="182" spans="1:26" x14ac:dyDescent="0.3">
      <c r="A182" s="244"/>
      <c r="B182" s="244"/>
      <c r="C182" s="244">
        <f>YEAR(Table12[[#This Row],[Date]])</f>
        <v>2025</v>
      </c>
      <c r="D182" s="244"/>
      <c r="E182" s="244"/>
      <c r="F182" s="245" t="str">
        <f>TEXT(Table12[[#This Row],[Date]],"mmm-yy")</f>
        <v>Sep-25</v>
      </c>
      <c r="G182" s="244">
        <f t="shared" si="13"/>
        <v>30</v>
      </c>
      <c r="H182" s="123">
        <f t="shared" si="12"/>
        <v>45923</v>
      </c>
      <c r="I182" s="1">
        <v>8.0208999999999993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4"/>
        <v/>
      </c>
      <c r="Z182" s="1">
        <f t="shared" si="15"/>
        <v>0</v>
      </c>
    </row>
    <row r="183" spans="1:26" x14ac:dyDescent="0.3">
      <c r="A183" s="244"/>
      <c r="B183" s="244"/>
      <c r="C183" s="244">
        <f>YEAR(Table12[[#This Row],[Date]])</f>
        <v>2025</v>
      </c>
      <c r="D183" s="244"/>
      <c r="E183" s="244"/>
      <c r="F183" s="245" t="str">
        <f>TEXT(Table12[[#This Row],[Date]],"mmm-yy")</f>
        <v>Sep-25</v>
      </c>
      <c r="G183" s="244">
        <f t="shared" si="13"/>
        <v>30</v>
      </c>
      <c r="H183" s="123">
        <f t="shared" si="12"/>
        <v>45924</v>
      </c>
      <c r="I183" s="1">
        <v>8.0208999999999993</v>
      </c>
      <c r="J183" s="1">
        <f>'Raw Data'!K183/Inv_SY!J$2</f>
        <v>0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4"/>
        <v/>
      </c>
      <c r="Z183" s="1">
        <f t="shared" si="15"/>
        <v>0</v>
      </c>
    </row>
    <row r="184" spans="1:26" x14ac:dyDescent="0.3">
      <c r="A184" s="244"/>
      <c r="B184" s="244"/>
      <c r="C184" s="244">
        <f>YEAR(Table12[[#This Row],[Date]])</f>
        <v>2025</v>
      </c>
      <c r="D184" s="244"/>
      <c r="E184" s="244"/>
      <c r="F184" s="245" t="str">
        <f>TEXT(Table12[[#This Row],[Date]],"mmm-yy")</f>
        <v>Sep-25</v>
      </c>
      <c r="G184" s="244">
        <f t="shared" si="13"/>
        <v>30</v>
      </c>
      <c r="H184" s="123">
        <f t="shared" si="12"/>
        <v>45925</v>
      </c>
      <c r="I184" s="1">
        <v>8.0208999999999993</v>
      </c>
      <c r="J184" s="1">
        <f>'Raw Data'!K184/Inv_SY!J$2</f>
        <v>0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4"/>
        <v/>
      </c>
      <c r="Z184" s="1">
        <f t="shared" si="15"/>
        <v>0</v>
      </c>
    </row>
    <row r="185" spans="1:26" x14ac:dyDescent="0.3">
      <c r="A185" s="244"/>
      <c r="B185" s="244"/>
      <c r="C185" s="244">
        <f>YEAR(Table12[[#This Row],[Date]])</f>
        <v>2025</v>
      </c>
      <c r="D185" s="244"/>
      <c r="E185" s="244"/>
      <c r="F185" s="245" t="str">
        <f>TEXT(Table12[[#This Row],[Date]],"mmm-yy")</f>
        <v>Sep-25</v>
      </c>
      <c r="G185" s="244">
        <f t="shared" si="13"/>
        <v>30</v>
      </c>
      <c r="H185" s="123">
        <f t="shared" si="12"/>
        <v>45926</v>
      </c>
      <c r="I185" s="1">
        <v>8.0208999999999993</v>
      </c>
      <c r="J185" s="1">
        <f>'Raw Data'!K185/Inv_SY!J$2</f>
        <v>0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4"/>
        <v/>
      </c>
      <c r="Z185" s="1">
        <f t="shared" si="15"/>
        <v>0</v>
      </c>
    </row>
    <row r="186" spans="1:26" x14ac:dyDescent="0.3">
      <c r="A186" s="244"/>
      <c r="B186" s="244"/>
      <c r="C186" s="244">
        <f>YEAR(Table12[[#This Row],[Date]])</f>
        <v>2025</v>
      </c>
      <c r="D186" s="244"/>
      <c r="E186" s="244"/>
      <c r="F186" s="245" t="str">
        <f>TEXT(Table12[[#This Row],[Date]],"mmm-yy")</f>
        <v>Sep-25</v>
      </c>
      <c r="G186" s="244">
        <f t="shared" si="13"/>
        <v>30</v>
      </c>
      <c r="H186" s="123">
        <f t="shared" si="12"/>
        <v>45927</v>
      </c>
      <c r="I186" s="1">
        <v>8.0208999999999993</v>
      </c>
      <c r="J186" s="1">
        <f>'Raw Data'!K186/Inv_SY!J$2</f>
        <v>0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4"/>
        <v/>
      </c>
      <c r="Z186" s="1">
        <f t="shared" si="15"/>
        <v>0</v>
      </c>
    </row>
    <row r="187" spans="1:26" x14ac:dyDescent="0.3">
      <c r="A187" s="244"/>
      <c r="B187" s="244"/>
      <c r="C187" s="244">
        <f>YEAR(Table12[[#This Row],[Date]])</f>
        <v>2025</v>
      </c>
      <c r="D187" s="244"/>
      <c r="E187" s="244"/>
      <c r="F187" s="245" t="str">
        <f>TEXT(Table12[[#This Row],[Date]],"mmm-yy")</f>
        <v>Sep-25</v>
      </c>
      <c r="G187" s="244">
        <f t="shared" si="13"/>
        <v>30</v>
      </c>
      <c r="H187" s="123">
        <f t="shared" si="12"/>
        <v>45928</v>
      </c>
      <c r="I187" s="1">
        <v>8.0208999999999993</v>
      </c>
      <c r="J187" s="1">
        <f>'Raw Data'!K187/Inv_SY!J$2</f>
        <v>0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4"/>
        <v/>
      </c>
      <c r="Z187" s="1">
        <f t="shared" si="15"/>
        <v>0</v>
      </c>
    </row>
    <row r="188" spans="1:26" x14ac:dyDescent="0.3">
      <c r="A188" s="244"/>
      <c r="B188" s="244"/>
      <c r="C188" s="244">
        <f>YEAR(Table12[[#This Row],[Date]])</f>
        <v>2025</v>
      </c>
      <c r="D188" s="244"/>
      <c r="E188" s="244"/>
      <c r="F188" s="245" t="str">
        <f>TEXT(Table12[[#This Row],[Date]],"mmm-yy")</f>
        <v>Sep-25</v>
      </c>
      <c r="G188" s="244">
        <f t="shared" si="13"/>
        <v>30</v>
      </c>
      <c r="H188" s="123">
        <f t="shared" si="12"/>
        <v>45929</v>
      </c>
      <c r="I188" s="1">
        <v>8.0208999999999993</v>
      </c>
      <c r="J188" s="1">
        <f>'Raw Data'!K188/Inv_SY!J$2</f>
        <v>0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4"/>
        <v/>
      </c>
      <c r="Z188" s="1">
        <f t="shared" si="15"/>
        <v>0</v>
      </c>
    </row>
    <row r="189" spans="1:26" x14ac:dyDescent="0.3">
      <c r="A189" s="244"/>
      <c r="B189" s="244"/>
      <c r="C189" s="244">
        <f>YEAR(Table12[[#This Row],[Date]])</f>
        <v>2025</v>
      </c>
      <c r="D189" s="244"/>
      <c r="E189" s="244"/>
      <c r="F189" s="245" t="str">
        <f>TEXT(Table12[[#This Row],[Date]],"mmm-yy")</f>
        <v>Sep-25</v>
      </c>
      <c r="G189" s="244">
        <f t="shared" si="13"/>
        <v>30</v>
      </c>
      <c r="H189" s="123">
        <f t="shared" si="12"/>
        <v>45930</v>
      </c>
      <c r="I189" s="1">
        <v>8.0208999999999993</v>
      </c>
      <c r="J189" s="1">
        <f>'Raw Data'!K189/Inv_SY!J$2</f>
        <v>0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4"/>
        <v/>
      </c>
      <c r="Z189" s="1">
        <f t="shared" si="15"/>
        <v>0</v>
      </c>
    </row>
    <row r="190" spans="1:26" x14ac:dyDescent="0.3">
      <c r="A190" s="244"/>
      <c r="B190" s="244"/>
      <c r="C190" s="244">
        <f>YEAR(Table12[[#This Row],[Date]])</f>
        <v>2025</v>
      </c>
      <c r="D190" s="244"/>
      <c r="E190" s="244"/>
      <c r="F190" s="245" t="str">
        <f>TEXT(Table12[[#This Row],[Date]],"mmm-yy")</f>
        <v>Oct-25</v>
      </c>
      <c r="G190" s="244">
        <f t="shared" si="13"/>
        <v>31</v>
      </c>
      <c r="H190" s="123">
        <f t="shared" si="12"/>
        <v>45931</v>
      </c>
      <c r="I190" s="1">
        <v>8.0208999999999993</v>
      </c>
      <c r="J190" s="1">
        <f>'Raw Data'!K190/Inv_SY!J$2</f>
        <v>0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4"/>
        <v/>
      </c>
      <c r="Z190" s="1">
        <f t="shared" si="15"/>
        <v>0</v>
      </c>
    </row>
    <row r="191" spans="1:26" x14ac:dyDescent="0.3">
      <c r="A191" s="244"/>
      <c r="B191" s="244"/>
      <c r="C191" s="244">
        <f>YEAR(Table12[[#This Row],[Date]])</f>
        <v>2025</v>
      </c>
      <c r="D191" s="244"/>
      <c r="E191" s="244"/>
      <c r="F191" s="245" t="str">
        <f>TEXT(Table12[[#This Row],[Date]],"mmm-yy")</f>
        <v>Oct-25</v>
      </c>
      <c r="G191" s="244">
        <f t="shared" si="13"/>
        <v>31</v>
      </c>
      <c r="H191" s="123">
        <f t="shared" si="12"/>
        <v>45932</v>
      </c>
      <c r="I191" s="1">
        <v>8.0208999999999993</v>
      </c>
      <c r="J191" s="1">
        <f>'Raw Data'!K191/Inv_SY!J$2</f>
        <v>0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4"/>
        <v/>
      </c>
      <c r="Z191" s="1">
        <f t="shared" si="15"/>
        <v>0</v>
      </c>
    </row>
    <row r="192" spans="1:26" x14ac:dyDescent="0.3">
      <c r="A192" s="244"/>
      <c r="B192" s="244"/>
      <c r="C192" s="244">
        <f>YEAR(Table12[[#This Row],[Date]])</f>
        <v>2025</v>
      </c>
      <c r="D192" s="244"/>
      <c r="E192" s="244"/>
      <c r="F192" s="245" t="str">
        <f>TEXT(Table12[[#This Row],[Date]],"mmm-yy")</f>
        <v>Oct-25</v>
      </c>
      <c r="G192" s="244">
        <f t="shared" si="13"/>
        <v>31</v>
      </c>
      <c r="H192" s="123">
        <f t="shared" si="12"/>
        <v>45933</v>
      </c>
      <c r="I192" s="1">
        <v>8.0208999999999993</v>
      </c>
      <c r="J192" s="1">
        <f>'Raw Data'!K192/Inv_SY!J$2</f>
        <v>0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4"/>
        <v/>
      </c>
      <c r="Z192" s="1">
        <f t="shared" si="15"/>
        <v>0</v>
      </c>
    </row>
    <row r="193" spans="1:26" x14ac:dyDescent="0.3">
      <c r="A193" s="244"/>
      <c r="B193" s="244"/>
      <c r="C193" s="244">
        <f>YEAR(Table12[[#This Row],[Date]])</f>
        <v>2025</v>
      </c>
      <c r="D193" s="244"/>
      <c r="E193" s="244"/>
      <c r="F193" s="245" t="str">
        <f>TEXT(Table12[[#This Row],[Date]],"mmm-yy")</f>
        <v>Oct-25</v>
      </c>
      <c r="G193" s="244">
        <f t="shared" si="13"/>
        <v>31</v>
      </c>
      <c r="H193" s="123">
        <f t="shared" si="12"/>
        <v>45934</v>
      </c>
      <c r="I193" s="1">
        <v>8.0208999999999993</v>
      </c>
      <c r="J193" s="1">
        <f>'Raw Data'!K193/Inv_SY!J$2</f>
        <v>0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4"/>
        <v/>
      </c>
      <c r="Z193" s="1">
        <f t="shared" si="15"/>
        <v>0</v>
      </c>
    </row>
    <row r="194" spans="1:26" x14ac:dyDescent="0.3">
      <c r="A194" s="244"/>
      <c r="B194" s="244"/>
      <c r="C194" s="244">
        <f>YEAR(Table12[[#This Row],[Date]])</f>
        <v>2025</v>
      </c>
      <c r="D194" s="244"/>
      <c r="E194" s="244"/>
      <c r="F194" s="245" t="str">
        <f>TEXT(Table12[[#This Row],[Date]],"mmm-yy")</f>
        <v>Oct-25</v>
      </c>
      <c r="G194" s="244">
        <f t="shared" si="13"/>
        <v>31</v>
      </c>
      <c r="H194" s="123">
        <f t="shared" si="12"/>
        <v>45935</v>
      </c>
      <c r="I194" s="1">
        <v>8.0208999999999993</v>
      </c>
      <c r="J194" s="1">
        <f>'Raw Data'!K194/Inv_SY!J$2</f>
        <v>0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4"/>
        <v/>
      </c>
      <c r="Z194" s="1">
        <f t="shared" si="15"/>
        <v>0</v>
      </c>
    </row>
    <row r="195" spans="1:26" x14ac:dyDescent="0.3">
      <c r="A195" s="244"/>
      <c r="B195" s="244"/>
      <c r="C195" s="244">
        <f>YEAR(Table12[[#This Row],[Date]])</f>
        <v>2025</v>
      </c>
      <c r="D195" s="244"/>
      <c r="E195" s="244"/>
      <c r="F195" s="245" t="str">
        <f>TEXT(Table12[[#This Row],[Date]],"mmm-yy")</f>
        <v>Oct-25</v>
      </c>
      <c r="G195" s="244">
        <f t="shared" si="13"/>
        <v>31</v>
      </c>
      <c r="H195" s="123">
        <f t="shared" si="12"/>
        <v>45936</v>
      </c>
      <c r="I195" s="1">
        <v>8.0208999999999993</v>
      </c>
      <c r="J195" s="1">
        <f>'Raw Data'!K195/Inv_SY!J$2</f>
        <v>0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4"/>
        <v/>
      </c>
      <c r="Z195" s="1">
        <f t="shared" si="15"/>
        <v>0</v>
      </c>
    </row>
    <row r="196" spans="1:26" x14ac:dyDescent="0.3">
      <c r="A196" s="244"/>
      <c r="B196" s="244"/>
      <c r="C196" s="244">
        <f>YEAR(Table12[[#This Row],[Date]])</f>
        <v>2025</v>
      </c>
      <c r="D196" s="244"/>
      <c r="E196" s="244"/>
      <c r="F196" s="245" t="str">
        <f>TEXT(Table12[[#This Row],[Date]],"mmm-yy")</f>
        <v>Oct-25</v>
      </c>
      <c r="G196" s="244">
        <f t="shared" si="13"/>
        <v>31</v>
      </c>
      <c r="H196" s="123">
        <f t="shared" si="12"/>
        <v>45937</v>
      </c>
      <c r="I196" s="1">
        <v>8.0208999999999993</v>
      </c>
      <c r="J196" s="1">
        <f>'Raw Data'!K196/Inv_SY!J$2</f>
        <v>0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4"/>
        <v/>
      </c>
      <c r="Z196" s="1">
        <f t="shared" si="15"/>
        <v>0</v>
      </c>
    </row>
    <row r="197" spans="1:26" x14ac:dyDescent="0.3">
      <c r="A197" s="244"/>
      <c r="B197" s="244"/>
      <c r="C197" s="244">
        <f>YEAR(Table12[[#This Row],[Date]])</f>
        <v>2025</v>
      </c>
      <c r="D197" s="244"/>
      <c r="E197" s="244"/>
      <c r="F197" s="245" t="str">
        <f>TEXT(Table12[[#This Row],[Date]],"mmm-yy")</f>
        <v>Oct-25</v>
      </c>
      <c r="G197" s="244">
        <f t="shared" si="13"/>
        <v>31</v>
      </c>
      <c r="H197" s="123">
        <f t="shared" ref="H197:H259" si="16">H196+1</f>
        <v>45938</v>
      </c>
      <c r="I197" s="1">
        <v>8.0208999999999993</v>
      </c>
      <c r="J197" s="1">
        <f>'Raw Data'!K197/Inv_SY!J$2</f>
        <v>0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4"/>
        <v/>
      </c>
      <c r="Z197" s="1">
        <f t="shared" si="15"/>
        <v>0</v>
      </c>
    </row>
    <row r="198" spans="1:26" x14ac:dyDescent="0.3">
      <c r="A198" s="244"/>
      <c r="B198" s="244"/>
      <c r="C198" s="244">
        <f>YEAR(Table12[[#This Row],[Date]])</f>
        <v>2025</v>
      </c>
      <c r="D198" s="244"/>
      <c r="E198" s="244"/>
      <c r="F198" s="245" t="str">
        <f>TEXT(Table12[[#This Row],[Date]],"mmm-yy")</f>
        <v>Oct-25</v>
      </c>
      <c r="G198" s="244">
        <f t="shared" si="13"/>
        <v>31</v>
      </c>
      <c r="H198" s="123">
        <f t="shared" si="16"/>
        <v>45939</v>
      </c>
      <c r="I198" s="1">
        <v>8.0208999999999993</v>
      </c>
      <c r="J198" s="1">
        <f>'Raw Data'!K198/Inv_SY!J$2</f>
        <v>0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4"/>
        <v/>
      </c>
      <c r="Z198" s="1">
        <f t="shared" si="15"/>
        <v>0</v>
      </c>
    </row>
    <row r="199" spans="1:26" x14ac:dyDescent="0.3">
      <c r="A199" s="244"/>
      <c r="B199" s="244"/>
      <c r="C199" s="244">
        <f>YEAR(Table12[[#This Row],[Date]])</f>
        <v>2025</v>
      </c>
      <c r="D199" s="244"/>
      <c r="E199" s="244"/>
      <c r="F199" s="245" t="str">
        <f>TEXT(Table12[[#This Row],[Date]],"mmm-yy")</f>
        <v>Oct-25</v>
      </c>
      <c r="G199" s="244">
        <f t="shared" si="13"/>
        <v>31</v>
      </c>
      <c r="H199" s="123">
        <f t="shared" si="16"/>
        <v>45940</v>
      </c>
      <c r="I199" s="1">
        <v>8.0208999999999993</v>
      </c>
      <c r="J199" s="1">
        <f>'Raw Data'!K199/Inv_SY!J$2</f>
        <v>0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4"/>
        <v/>
      </c>
      <c r="Z199" s="1">
        <f t="shared" si="15"/>
        <v>0</v>
      </c>
    </row>
    <row r="200" spans="1:26" x14ac:dyDescent="0.3">
      <c r="A200" s="244"/>
      <c r="B200" s="244"/>
      <c r="C200" s="244">
        <f>YEAR(Table12[[#This Row],[Date]])</f>
        <v>2025</v>
      </c>
      <c r="D200" s="244"/>
      <c r="E200" s="244"/>
      <c r="F200" s="245" t="str">
        <f>TEXT(Table12[[#This Row],[Date]],"mmm-yy")</f>
        <v>Oct-25</v>
      </c>
      <c r="G200" s="244">
        <f t="shared" si="13"/>
        <v>31</v>
      </c>
      <c r="H200" s="123">
        <f t="shared" si="16"/>
        <v>45941</v>
      </c>
      <c r="I200" s="1">
        <v>8.0208999999999993</v>
      </c>
      <c r="J200" s="1">
        <f>'Raw Data'!K200/Inv_SY!J$2</f>
        <v>0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4"/>
        <v/>
      </c>
      <c r="Z200" s="1">
        <f t="shared" si="15"/>
        <v>0</v>
      </c>
    </row>
    <row r="201" spans="1:26" x14ac:dyDescent="0.3">
      <c r="A201" s="244"/>
      <c r="B201" s="244"/>
      <c r="C201" s="244">
        <f>YEAR(Table12[[#This Row],[Date]])</f>
        <v>2025</v>
      </c>
      <c r="D201" s="244"/>
      <c r="E201" s="244"/>
      <c r="F201" s="245" t="str">
        <f>TEXT(Table12[[#This Row],[Date]],"mmm-yy")</f>
        <v>Oct-25</v>
      </c>
      <c r="G201" s="244">
        <f t="shared" si="13"/>
        <v>31</v>
      </c>
      <c r="H201" s="123">
        <f t="shared" si="16"/>
        <v>45942</v>
      </c>
      <c r="I201" s="1">
        <v>8.0208999999999993</v>
      </c>
      <c r="J201" s="1">
        <f>'Raw Data'!K201/Inv_SY!J$2</f>
        <v>0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4"/>
        <v/>
      </c>
      <c r="Z201" s="1">
        <f t="shared" si="15"/>
        <v>0</v>
      </c>
    </row>
    <row r="202" spans="1:26" x14ac:dyDescent="0.3">
      <c r="A202" s="244"/>
      <c r="B202" s="244"/>
      <c r="C202" s="244">
        <f>YEAR(Table12[[#This Row],[Date]])</f>
        <v>2025</v>
      </c>
      <c r="D202" s="244"/>
      <c r="E202" s="244"/>
      <c r="F202" s="245" t="str">
        <f>TEXT(Table12[[#This Row],[Date]],"mmm-yy")</f>
        <v>Oct-25</v>
      </c>
      <c r="G202" s="244">
        <f t="shared" si="13"/>
        <v>31</v>
      </c>
      <c r="H202" s="123">
        <f t="shared" si="16"/>
        <v>45943</v>
      </c>
      <c r="I202" s="1">
        <v>8.0208999999999993</v>
      </c>
      <c r="J202" s="1">
        <f>'Raw Data'!K202/Inv_SY!J$2</f>
        <v>0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4"/>
        <v/>
      </c>
      <c r="Z202" s="1">
        <f t="shared" si="15"/>
        <v>0</v>
      </c>
    </row>
    <row r="203" spans="1:26" x14ac:dyDescent="0.3">
      <c r="A203" s="244"/>
      <c r="B203" s="244"/>
      <c r="C203" s="244">
        <f>YEAR(Table12[[#This Row],[Date]])</f>
        <v>2025</v>
      </c>
      <c r="D203" s="244"/>
      <c r="E203" s="244"/>
      <c r="F203" s="245" t="str">
        <f>TEXT(Table12[[#This Row],[Date]],"mmm-yy")</f>
        <v>Oct-25</v>
      </c>
      <c r="G203" s="244">
        <f t="shared" si="13"/>
        <v>31</v>
      </c>
      <c r="H203" s="123">
        <f t="shared" si="16"/>
        <v>45944</v>
      </c>
      <c r="I203" s="1">
        <v>8.0208999999999993</v>
      </c>
      <c r="J203" s="1">
        <f>'Raw Data'!K203/Inv_SY!J$2</f>
        <v>0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4"/>
        <v/>
      </c>
      <c r="Z203" s="1">
        <f t="shared" si="15"/>
        <v>0</v>
      </c>
    </row>
    <row r="204" spans="1:26" x14ac:dyDescent="0.3">
      <c r="A204" s="244"/>
      <c r="B204" s="244"/>
      <c r="C204" s="244">
        <f>YEAR(Table12[[#This Row],[Date]])</f>
        <v>2025</v>
      </c>
      <c r="D204" s="244"/>
      <c r="E204" s="244"/>
      <c r="F204" s="245" t="str">
        <f>TEXT(Table12[[#This Row],[Date]],"mmm-yy")</f>
        <v>Oct-25</v>
      </c>
      <c r="G204" s="244">
        <f t="shared" si="13"/>
        <v>31</v>
      </c>
      <c r="H204" s="123">
        <f t="shared" si="16"/>
        <v>45945</v>
      </c>
      <c r="I204" s="1">
        <v>8.0208999999999993</v>
      </c>
      <c r="J204" s="1">
        <f>'Raw Data'!K204/Inv_SY!J$2</f>
        <v>0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4"/>
        <v/>
      </c>
      <c r="Z204" s="1">
        <f t="shared" si="15"/>
        <v>0</v>
      </c>
    </row>
    <row r="205" spans="1:26" x14ac:dyDescent="0.3">
      <c r="A205" s="244"/>
      <c r="B205" s="244"/>
      <c r="C205" s="244">
        <f>YEAR(Table12[[#This Row],[Date]])</f>
        <v>2025</v>
      </c>
      <c r="D205" s="244"/>
      <c r="E205" s="244"/>
      <c r="F205" s="245" t="str">
        <f>TEXT(Table12[[#This Row],[Date]],"mmm-yy")</f>
        <v>Oct-25</v>
      </c>
      <c r="G205" s="244">
        <f t="shared" si="13"/>
        <v>31</v>
      </c>
      <c r="H205" s="123">
        <f t="shared" si="16"/>
        <v>45946</v>
      </c>
      <c r="I205" s="1">
        <v>8.0208999999999993</v>
      </c>
      <c r="J205" s="1">
        <f>'Raw Data'!K205/Inv_SY!J$2</f>
        <v>0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4"/>
        <v/>
      </c>
      <c r="Z205" s="1">
        <f t="shared" si="15"/>
        <v>0</v>
      </c>
    </row>
    <row r="206" spans="1:26" x14ac:dyDescent="0.3">
      <c r="A206" s="244"/>
      <c r="B206" s="244"/>
      <c r="C206" s="244">
        <f>YEAR(Table12[[#This Row],[Date]])</f>
        <v>2025</v>
      </c>
      <c r="D206" s="244"/>
      <c r="E206" s="244"/>
      <c r="F206" s="245" t="str">
        <f>TEXT(Table12[[#This Row],[Date]],"mmm-yy")</f>
        <v>Oct-25</v>
      </c>
      <c r="G206" s="244">
        <f t="shared" si="13"/>
        <v>31</v>
      </c>
      <c r="H206" s="123">
        <f t="shared" si="16"/>
        <v>45947</v>
      </c>
      <c r="I206" s="1">
        <v>8.0208999999999993</v>
      </c>
      <c r="J206" s="1">
        <f>'Raw Data'!K206/Inv_SY!J$2</f>
        <v>0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4"/>
        <v/>
      </c>
      <c r="Z206" s="1">
        <f t="shared" si="15"/>
        <v>0</v>
      </c>
    </row>
    <row r="207" spans="1:26" x14ac:dyDescent="0.3">
      <c r="A207" s="244"/>
      <c r="B207" s="244"/>
      <c r="C207" s="244">
        <f>YEAR(Table12[[#This Row],[Date]])</f>
        <v>2025</v>
      </c>
      <c r="D207" s="244"/>
      <c r="E207" s="244"/>
      <c r="F207" s="245" t="str">
        <f>TEXT(Table12[[#This Row],[Date]],"mmm-yy")</f>
        <v>Oct-25</v>
      </c>
      <c r="G207" s="244">
        <f t="shared" si="13"/>
        <v>31</v>
      </c>
      <c r="H207" s="123">
        <f t="shared" si="16"/>
        <v>45948</v>
      </c>
      <c r="I207" s="1">
        <v>8.0208999999999993</v>
      </c>
      <c r="J207" s="1">
        <f>'Raw Data'!K207/Inv_SY!J$2</f>
        <v>0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4"/>
        <v/>
      </c>
      <c r="Z207" s="1">
        <f t="shared" si="15"/>
        <v>0</v>
      </c>
    </row>
    <row r="208" spans="1:26" x14ac:dyDescent="0.3">
      <c r="A208" s="244"/>
      <c r="B208" s="244"/>
      <c r="C208" s="244">
        <f>YEAR(Table12[[#This Row],[Date]])</f>
        <v>2025</v>
      </c>
      <c r="D208" s="244"/>
      <c r="E208" s="244"/>
      <c r="F208" s="245" t="str">
        <f>TEXT(Table12[[#This Row],[Date]],"mmm-yy")</f>
        <v>Oct-25</v>
      </c>
      <c r="G208" s="244">
        <f t="shared" si="13"/>
        <v>31</v>
      </c>
      <c r="H208" s="123">
        <f t="shared" si="16"/>
        <v>45949</v>
      </c>
      <c r="I208" s="1">
        <v>8.0208999999999993</v>
      </c>
      <c r="J208" s="1">
        <f>'Raw Data'!K208/Inv_SY!J$2</f>
        <v>0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4"/>
        <v/>
      </c>
      <c r="Z208" s="1">
        <f t="shared" si="15"/>
        <v>0</v>
      </c>
    </row>
    <row r="209" spans="1:26" x14ac:dyDescent="0.3">
      <c r="A209" s="244"/>
      <c r="B209" s="244"/>
      <c r="C209" s="244">
        <f>YEAR(Table12[[#This Row],[Date]])</f>
        <v>2025</v>
      </c>
      <c r="D209" s="244"/>
      <c r="E209" s="244"/>
      <c r="F209" s="245" t="str">
        <f>TEXT(Table12[[#This Row],[Date]],"mmm-yy")</f>
        <v>Oct-25</v>
      </c>
      <c r="G209" s="244">
        <f t="shared" si="13"/>
        <v>31</v>
      </c>
      <c r="H209" s="123">
        <f t="shared" si="16"/>
        <v>45950</v>
      </c>
      <c r="I209" s="1">
        <v>8.0208999999999993</v>
      </c>
      <c r="J209" s="1">
        <f>'Raw Data'!K209/Inv_SY!J$2</f>
        <v>0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4"/>
        <v/>
      </c>
      <c r="Z209" s="1">
        <f t="shared" si="15"/>
        <v>0</v>
      </c>
    </row>
    <row r="210" spans="1:26" x14ac:dyDescent="0.3">
      <c r="A210" s="244"/>
      <c r="B210" s="244"/>
      <c r="C210" s="244">
        <f>YEAR(Table12[[#This Row],[Date]])</f>
        <v>2025</v>
      </c>
      <c r="D210" s="244"/>
      <c r="E210" s="244"/>
      <c r="F210" s="245" t="str">
        <f>TEXT(Table12[[#This Row],[Date]],"mmm-yy")</f>
        <v>Oct-25</v>
      </c>
      <c r="G210" s="244">
        <f t="shared" si="13"/>
        <v>31</v>
      </c>
      <c r="H210" s="123">
        <f t="shared" si="16"/>
        <v>45951</v>
      </c>
      <c r="I210" s="1">
        <v>8.0208999999999993</v>
      </c>
      <c r="J210" s="1">
        <f>'Raw Data'!K210/Inv_SY!J$2</f>
        <v>0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4"/>
        <v/>
      </c>
      <c r="Z210" s="1">
        <f t="shared" si="15"/>
        <v>0</v>
      </c>
    </row>
    <row r="211" spans="1:26" x14ac:dyDescent="0.3">
      <c r="A211" s="244"/>
      <c r="B211" s="244"/>
      <c r="C211" s="244">
        <f>YEAR(Table12[[#This Row],[Date]])</f>
        <v>2025</v>
      </c>
      <c r="D211" s="244"/>
      <c r="E211" s="244"/>
      <c r="F211" s="245" t="str">
        <f>TEXT(Table12[[#This Row],[Date]],"mmm-yy")</f>
        <v>Oct-25</v>
      </c>
      <c r="G211" s="244">
        <f t="shared" si="13"/>
        <v>31</v>
      </c>
      <c r="H211" s="123">
        <f t="shared" si="16"/>
        <v>45952</v>
      </c>
      <c r="I211" s="1">
        <v>8.0208999999999993</v>
      </c>
      <c r="J211" s="1">
        <f>'Raw Data'!K211/Inv_SY!J$2</f>
        <v>0</v>
      </c>
      <c r="K211" s="1">
        <f>'Raw Data'!L211/Inv_SY!K$2</f>
        <v>0</v>
      </c>
      <c r="L211" s="1">
        <f>'Raw Data'!M211/Inv_SY!L$2</f>
        <v>0</v>
      </c>
      <c r="M211" s="1">
        <f>'Raw Data'!N211/Inv_SY!M$2</f>
        <v>0</v>
      </c>
      <c r="N211" s="1">
        <f>'Raw Data'!O211/Inv_SY!N$2</f>
        <v>0</v>
      </c>
      <c r="O211" s="1">
        <f>'Raw Data'!P211/Inv_SY!O$2</f>
        <v>0</v>
      </c>
      <c r="P211" s="1">
        <f>'Raw Data'!Q211/Inv_SY!P$2</f>
        <v>0</v>
      </c>
      <c r="Q211" s="1">
        <f>'Raw Data'!R211/Inv_SY!Q$2</f>
        <v>0</v>
      </c>
      <c r="R211" s="1">
        <f>'Raw Data'!S211/Inv_SY!R$2</f>
        <v>0</v>
      </c>
      <c r="S211" s="1">
        <f>'Raw Data'!T211/Inv_SY!S$2</f>
        <v>0</v>
      </c>
      <c r="T211" s="1">
        <f>'Raw Data'!U211/Inv_SY!T$2</f>
        <v>0</v>
      </c>
      <c r="U211" s="1">
        <f>'Raw Data'!V211/Inv_SY!U$2</f>
        <v>0</v>
      </c>
      <c r="V211" s="1">
        <f>'Raw Data'!W211/Inv_SY!V$2</f>
        <v>0</v>
      </c>
      <c r="W211" s="1">
        <f>'Raw Data'!X211/Inv_SY!W$2</f>
        <v>0</v>
      </c>
      <c r="X211" s="1">
        <f>'Raw Data'!Y211/Inv_SY!X$2</f>
        <v>0</v>
      </c>
      <c r="Y211" s="1" t="str">
        <f t="shared" si="14"/>
        <v/>
      </c>
      <c r="Z211" s="1">
        <f t="shared" si="15"/>
        <v>0</v>
      </c>
    </row>
    <row r="212" spans="1:26" x14ac:dyDescent="0.3">
      <c r="A212" s="244"/>
      <c r="B212" s="244"/>
      <c r="C212" s="244">
        <f>YEAR(Table12[[#This Row],[Date]])</f>
        <v>2025</v>
      </c>
      <c r="D212" s="244"/>
      <c r="E212" s="244"/>
      <c r="F212" s="245" t="str">
        <f>TEXT(Table12[[#This Row],[Date]],"mmm-yy")</f>
        <v>Oct-25</v>
      </c>
      <c r="G212" s="244">
        <f t="shared" si="13"/>
        <v>31</v>
      </c>
      <c r="H212" s="123">
        <f t="shared" si="16"/>
        <v>45953</v>
      </c>
      <c r="I212" s="1">
        <v>8.0208999999999993</v>
      </c>
      <c r="J212" s="1">
        <f>'Raw Data'!K212/Inv_SY!J$2</f>
        <v>0</v>
      </c>
      <c r="K212" s="1">
        <f>'Raw Data'!L212/Inv_SY!K$2</f>
        <v>0</v>
      </c>
      <c r="L212" s="1">
        <f>'Raw Data'!M212/Inv_SY!L$2</f>
        <v>0</v>
      </c>
      <c r="M212" s="1">
        <f>'Raw Data'!N212/Inv_SY!M$2</f>
        <v>0</v>
      </c>
      <c r="N212" s="1">
        <f>'Raw Data'!O212/Inv_SY!N$2</f>
        <v>0</v>
      </c>
      <c r="O212" s="1">
        <f>'Raw Data'!P212/Inv_SY!O$2</f>
        <v>0</v>
      </c>
      <c r="P212" s="1">
        <f>'Raw Data'!Q212/Inv_SY!P$2</f>
        <v>0</v>
      </c>
      <c r="Q212" s="1">
        <f>'Raw Data'!R212/Inv_SY!Q$2</f>
        <v>0</v>
      </c>
      <c r="R212" s="1">
        <f>'Raw Data'!S212/Inv_SY!R$2</f>
        <v>0</v>
      </c>
      <c r="S212" s="1">
        <f>'Raw Data'!T212/Inv_SY!S$2</f>
        <v>0</v>
      </c>
      <c r="T212" s="1">
        <f>'Raw Data'!U212/Inv_SY!T$2</f>
        <v>0</v>
      </c>
      <c r="U212" s="1">
        <f>'Raw Data'!V212/Inv_SY!U$2</f>
        <v>0</v>
      </c>
      <c r="V212" s="1">
        <f>'Raw Data'!W212/Inv_SY!V$2</f>
        <v>0</v>
      </c>
      <c r="W212" s="1">
        <f>'Raw Data'!X212/Inv_SY!W$2</f>
        <v>0</v>
      </c>
      <c r="X212" s="1">
        <f>'Raw Data'!Y212/Inv_SY!X$2</f>
        <v>0</v>
      </c>
      <c r="Y212" s="1" t="str">
        <f t="shared" si="14"/>
        <v/>
      </c>
      <c r="Z212" s="1">
        <f t="shared" si="15"/>
        <v>0</v>
      </c>
    </row>
    <row r="213" spans="1:26" x14ac:dyDescent="0.3">
      <c r="A213" s="244"/>
      <c r="B213" s="244"/>
      <c r="C213" s="244">
        <f>YEAR(Table12[[#This Row],[Date]])</f>
        <v>2025</v>
      </c>
      <c r="D213" s="244"/>
      <c r="E213" s="244"/>
      <c r="F213" s="245" t="str">
        <f>TEXT(Table12[[#This Row],[Date]],"mmm-yy")</f>
        <v>Oct-25</v>
      </c>
      <c r="G213" s="244">
        <f t="shared" si="13"/>
        <v>31</v>
      </c>
      <c r="H213" s="123">
        <f t="shared" si="16"/>
        <v>45954</v>
      </c>
      <c r="I213" s="1">
        <v>8.0208999999999993</v>
      </c>
      <c r="J213" s="1">
        <f>'Raw Data'!K213/Inv_SY!J$2</f>
        <v>0</v>
      </c>
      <c r="K213" s="1">
        <f>'Raw Data'!L213/Inv_SY!K$2</f>
        <v>0</v>
      </c>
      <c r="L213" s="1">
        <f>'Raw Data'!M213/Inv_SY!L$2</f>
        <v>0</v>
      </c>
      <c r="M213" s="1">
        <f>'Raw Data'!N213/Inv_SY!M$2</f>
        <v>0</v>
      </c>
      <c r="N213" s="1">
        <f>'Raw Data'!O213/Inv_SY!N$2</f>
        <v>0</v>
      </c>
      <c r="O213" s="1">
        <f>'Raw Data'!P213/Inv_SY!O$2</f>
        <v>0</v>
      </c>
      <c r="P213" s="1">
        <f>'Raw Data'!Q213/Inv_SY!P$2</f>
        <v>0</v>
      </c>
      <c r="Q213" s="1">
        <f>'Raw Data'!R213/Inv_SY!Q$2</f>
        <v>0</v>
      </c>
      <c r="R213" s="1">
        <f>'Raw Data'!S213/Inv_SY!R$2</f>
        <v>0</v>
      </c>
      <c r="S213" s="1">
        <f>'Raw Data'!T213/Inv_SY!S$2</f>
        <v>0</v>
      </c>
      <c r="T213" s="1">
        <f>'Raw Data'!U213/Inv_SY!T$2</f>
        <v>0</v>
      </c>
      <c r="U213" s="1">
        <f>'Raw Data'!V213/Inv_SY!U$2</f>
        <v>0</v>
      </c>
      <c r="V213" s="1">
        <f>'Raw Data'!W213/Inv_SY!V$2</f>
        <v>0</v>
      </c>
      <c r="W213" s="1">
        <f>'Raw Data'!X213/Inv_SY!W$2</f>
        <v>0</v>
      </c>
      <c r="X213" s="1">
        <f>'Raw Data'!Y213/Inv_SY!X$2</f>
        <v>0</v>
      </c>
      <c r="Y213" s="1" t="str">
        <f t="shared" si="14"/>
        <v/>
      </c>
      <c r="Z213" s="1">
        <f t="shared" si="15"/>
        <v>0</v>
      </c>
    </row>
    <row r="214" spans="1:26" x14ac:dyDescent="0.3">
      <c r="A214" s="244"/>
      <c r="B214" s="244"/>
      <c r="C214" s="244">
        <f>YEAR(Table12[[#This Row],[Date]])</f>
        <v>2025</v>
      </c>
      <c r="D214" s="244"/>
      <c r="E214" s="244"/>
      <c r="F214" s="245" t="str">
        <f>TEXT(Table12[[#This Row],[Date]],"mmm-yy")</f>
        <v>Oct-25</v>
      </c>
      <c r="G214" s="244">
        <f t="shared" si="13"/>
        <v>31</v>
      </c>
      <c r="H214" s="123">
        <f t="shared" si="16"/>
        <v>45955</v>
      </c>
      <c r="I214" s="1">
        <v>8.0208999999999993</v>
      </c>
      <c r="J214" s="1">
        <f>'Raw Data'!K214/Inv_SY!J$2</f>
        <v>0</v>
      </c>
      <c r="K214" s="1">
        <f>'Raw Data'!L214/Inv_SY!K$2</f>
        <v>0</v>
      </c>
      <c r="L214" s="1">
        <f>'Raw Data'!M214/Inv_SY!L$2</f>
        <v>0</v>
      </c>
      <c r="M214" s="1">
        <f>'Raw Data'!N214/Inv_SY!M$2</f>
        <v>0</v>
      </c>
      <c r="N214" s="1">
        <f>'Raw Data'!O214/Inv_SY!N$2</f>
        <v>0</v>
      </c>
      <c r="O214" s="1">
        <f>'Raw Data'!P214/Inv_SY!O$2</f>
        <v>0</v>
      </c>
      <c r="P214" s="1">
        <f>'Raw Data'!Q214/Inv_SY!P$2</f>
        <v>0</v>
      </c>
      <c r="Q214" s="1">
        <f>'Raw Data'!R214/Inv_SY!Q$2</f>
        <v>0</v>
      </c>
      <c r="R214" s="1">
        <f>'Raw Data'!S214/Inv_SY!R$2</f>
        <v>0</v>
      </c>
      <c r="S214" s="1">
        <f>'Raw Data'!T214/Inv_SY!S$2</f>
        <v>0</v>
      </c>
      <c r="T214" s="1">
        <f>'Raw Data'!U214/Inv_SY!T$2</f>
        <v>0</v>
      </c>
      <c r="U214" s="1">
        <f>'Raw Data'!V214/Inv_SY!U$2</f>
        <v>0</v>
      </c>
      <c r="V214" s="1">
        <f>'Raw Data'!W214/Inv_SY!V$2</f>
        <v>0</v>
      </c>
      <c r="W214" s="1">
        <f>'Raw Data'!X214/Inv_SY!W$2</f>
        <v>0</v>
      </c>
      <c r="X214" s="1">
        <f>'Raw Data'!Y214/Inv_SY!X$2</f>
        <v>0</v>
      </c>
      <c r="Y214" s="1" t="str">
        <f t="shared" si="14"/>
        <v/>
      </c>
      <c r="Z214" s="1">
        <f t="shared" si="15"/>
        <v>0</v>
      </c>
    </row>
    <row r="215" spans="1:26" x14ac:dyDescent="0.3">
      <c r="A215" s="244"/>
      <c r="B215" s="244"/>
      <c r="C215" s="244">
        <f>YEAR(Table12[[#This Row],[Date]])</f>
        <v>2025</v>
      </c>
      <c r="D215" s="244"/>
      <c r="E215" s="244"/>
      <c r="F215" s="245" t="str">
        <f>TEXT(Table12[[#This Row],[Date]],"mmm-yy")</f>
        <v>Oct-25</v>
      </c>
      <c r="G215" s="244">
        <f t="shared" si="13"/>
        <v>31</v>
      </c>
      <c r="H215" s="123">
        <f t="shared" si="16"/>
        <v>45956</v>
      </c>
      <c r="I215" s="1">
        <v>8.0208999999999993</v>
      </c>
      <c r="J215" s="1">
        <f>'Raw Data'!K215/Inv_SY!J$2</f>
        <v>0</v>
      </c>
      <c r="K215" s="1">
        <f>'Raw Data'!L215/Inv_SY!K$2</f>
        <v>0</v>
      </c>
      <c r="L215" s="1">
        <f>'Raw Data'!M215/Inv_SY!L$2</f>
        <v>0</v>
      </c>
      <c r="M215" s="1">
        <f>'Raw Data'!N215/Inv_SY!M$2</f>
        <v>0</v>
      </c>
      <c r="N215" s="1">
        <f>'Raw Data'!O215/Inv_SY!N$2</f>
        <v>0</v>
      </c>
      <c r="O215" s="1">
        <f>'Raw Data'!P215/Inv_SY!O$2</f>
        <v>0</v>
      </c>
      <c r="P215" s="1">
        <f>'Raw Data'!Q215/Inv_SY!P$2</f>
        <v>0</v>
      </c>
      <c r="Q215" s="1">
        <f>'Raw Data'!R215/Inv_SY!Q$2</f>
        <v>0</v>
      </c>
      <c r="R215" s="1">
        <f>'Raw Data'!S215/Inv_SY!R$2</f>
        <v>0</v>
      </c>
      <c r="S215" s="1">
        <f>'Raw Data'!T215/Inv_SY!S$2</f>
        <v>0</v>
      </c>
      <c r="T215" s="1">
        <f>'Raw Data'!U215/Inv_SY!T$2</f>
        <v>0</v>
      </c>
      <c r="U215" s="1">
        <f>'Raw Data'!V215/Inv_SY!U$2</f>
        <v>0</v>
      </c>
      <c r="V215" s="1">
        <f>'Raw Data'!W215/Inv_SY!V$2</f>
        <v>0</v>
      </c>
      <c r="W215" s="1">
        <f>'Raw Data'!X215/Inv_SY!W$2</f>
        <v>0</v>
      </c>
      <c r="X215" s="1">
        <f>'Raw Data'!Y215/Inv_SY!X$2</f>
        <v>0</v>
      </c>
      <c r="Y215" s="1" t="str">
        <f t="shared" si="14"/>
        <v/>
      </c>
      <c r="Z215" s="1">
        <f t="shared" si="15"/>
        <v>0</v>
      </c>
    </row>
    <row r="216" spans="1:26" x14ac:dyDescent="0.3">
      <c r="A216" s="244"/>
      <c r="B216" s="244"/>
      <c r="C216" s="244">
        <f>YEAR(Table12[[#This Row],[Date]])</f>
        <v>2025</v>
      </c>
      <c r="D216" s="244"/>
      <c r="E216" s="244"/>
      <c r="F216" s="245" t="str">
        <f>TEXT(Table12[[#This Row],[Date]],"mmm-yy")</f>
        <v>Oct-25</v>
      </c>
      <c r="G216" s="244">
        <f t="shared" si="13"/>
        <v>31</v>
      </c>
      <c r="H216" s="123">
        <f t="shared" si="16"/>
        <v>45957</v>
      </c>
      <c r="I216" s="1">
        <v>8.0208999999999993</v>
      </c>
      <c r="J216" s="1">
        <f>'Raw Data'!K216/Inv_SY!J$2</f>
        <v>0</v>
      </c>
      <c r="K216" s="1">
        <f>'Raw Data'!L216/Inv_SY!K$2</f>
        <v>0</v>
      </c>
      <c r="L216" s="1">
        <f>'Raw Data'!M216/Inv_SY!L$2</f>
        <v>0</v>
      </c>
      <c r="M216" s="1">
        <f>'Raw Data'!N216/Inv_SY!M$2</f>
        <v>0</v>
      </c>
      <c r="N216" s="1">
        <f>'Raw Data'!O216/Inv_SY!N$2</f>
        <v>0</v>
      </c>
      <c r="O216" s="1">
        <f>'Raw Data'!P216/Inv_SY!O$2</f>
        <v>0</v>
      </c>
      <c r="P216" s="1">
        <f>'Raw Data'!Q216/Inv_SY!P$2</f>
        <v>0</v>
      </c>
      <c r="Q216" s="1">
        <f>'Raw Data'!R216/Inv_SY!Q$2</f>
        <v>0</v>
      </c>
      <c r="R216" s="1">
        <f>'Raw Data'!S216/Inv_SY!R$2</f>
        <v>0</v>
      </c>
      <c r="S216" s="1">
        <f>'Raw Data'!T216/Inv_SY!S$2</f>
        <v>0</v>
      </c>
      <c r="T216" s="1">
        <f>'Raw Data'!U216/Inv_SY!T$2</f>
        <v>0</v>
      </c>
      <c r="U216" s="1">
        <f>'Raw Data'!V216/Inv_SY!U$2</f>
        <v>0</v>
      </c>
      <c r="V216" s="1">
        <f>'Raw Data'!W216/Inv_SY!V$2</f>
        <v>0</v>
      </c>
      <c r="W216" s="1">
        <f>'Raw Data'!X216/Inv_SY!W$2</f>
        <v>0</v>
      </c>
      <c r="X216" s="1">
        <f>'Raw Data'!Y216/Inv_SY!X$2</f>
        <v>0</v>
      </c>
      <c r="Y216" s="1" t="str">
        <f t="shared" si="14"/>
        <v/>
      </c>
      <c r="Z216" s="1">
        <f t="shared" si="15"/>
        <v>0</v>
      </c>
    </row>
    <row r="217" spans="1:26" x14ac:dyDescent="0.3">
      <c r="A217" s="244"/>
      <c r="B217" s="244"/>
      <c r="C217" s="244">
        <f>YEAR(Table12[[#This Row],[Date]])</f>
        <v>2025</v>
      </c>
      <c r="D217" s="244"/>
      <c r="E217" s="244"/>
      <c r="F217" s="245" t="str">
        <f>TEXT(Table12[[#This Row],[Date]],"mmm-yy")</f>
        <v>Oct-25</v>
      </c>
      <c r="G217" s="244">
        <f t="shared" si="13"/>
        <v>31</v>
      </c>
      <c r="H217" s="123">
        <f t="shared" si="16"/>
        <v>45958</v>
      </c>
      <c r="I217" s="1">
        <v>8.0208999999999993</v>
      </c>
      <c r="J217" s="1">
        <f>'Raw Data'!K217/Inv_SY!J$2</f>
        <v>0</v>
      </c>
      <c r="K217" s="1">
        <f>'Raw Data'!L217/Inv_SY!K$2</f>
        <v>0</v>
      </c>
      <c r="L217" s="1">
        <f>'Raw Data'!M217/Inv_SY!L$2</f>
        <v>0</v>
      </c>
      <c r="M217" s="1">
        <f>'Raw Data'!N217/Inv_SY!M$2</f>
        <v>0</v>
      </c>
      <c r="N217" s="1">
        <f>'Raw Data'!O217/Inv_SY!N$2</f>
        <v>0</v>
      </c>
      <c r="O217" s="1">
        <f>'Raw Data'!P217/Inv_SY!O$2</f>
        <v>0</v>
      </c>
      <c r="P217" s="1">
        <f>'Raw Data'!Q217/Inv_SY!P$2</f>
        <v>0</v>
      </c>
      <c r="Q217" s="1">
        <f>'Raw Data'!R217/Inv_SY!Q$2</f>
        <v>0</v>
      </c>
      <c r="R217" s="1">
        <f>'Raw Data'!S217/Inv_SY!R$2</f>
        <v>0</v>
      </c>
      <c r="S217" s="1">
        <f>'Raw Data'!T217/Inv_SY!S$2</f>
        <v>0</v>
      </c>
      <c r="T217" s="1">
        <f>'Raw Data'!U217/Inv_SY!T$2</f>
        <v>0</v>
      </c>
      <c r="U217" s="1">
        <f>'Raw Data'!V217/Inv_SY!U$2</f>
        <v>0</v>
      </c>
      <c r="V217" s="1">
        <f>'Raw Data'!W217/Inv_SY!V$2</f>
        <v>0</v>
      </c>
      <c r="W217" s="1">
        <f>'Raw Data'!X217/Inv_SY!W$2</f>
        <v>0</v>
      </c>
      <c r="X217" s="1">
        <f>'Raw Data'!Y217/Inv_SY!X$2</f>
        <v>0</v>
      </c>
      <c r="Y217" s="1" t="str">
        <f t="shared" si="14"/>
        <v/>
      </c>
      <c r="Z217" s="1">
        <f t="shared" si="15"/>
        <v>0</v>
      </c>
    </row>
    <row r="218" spans="1:26" x14ac:dyDescent="0.3">
      <c r="A218" s="244"/>
      <c r="B218" s="244"/>
      <c r="C218" s="244">
        <f>YEAR(Table12[[#This Row],[Date]])</f>
        <v>2025</v>
      </c>
      <c r="D218" s="244"/>
      <c r="E218" s="244"/>
      <c r="F218" s="245" t="str">
        <f>TEXT(Table12[[#This Row],[Date]],"mmm-yy")</f>
        <v>Oct-25</v>
      </c>
      <c r="G218" s="244">
        <f t="shared" si="13"/>
        <v>31</v>
      </c>
      <c r="H218" s="123">
        <f t="shared" si="16"/>
        <v>45959</v>
      </c>
      <c r="I218" s="1">
        <v>8.0208999999999993</v>
      </c>
      <c r="J218" s="1">
        <f>'Raw Data'!K218/Inv_SY!J$2</f>
        <v>0</v>
      </c>
      <c r="K218" s="1">
        <f>'Raw Data'!L218/Inv_SY!K$2</f>
        <v>0</v>
      </c>
      <c r="L218" s="1">
        <f>'Raw Data'!M218/Inv_SY!L$2</f>
        <v>0</v>
      </c>
      <c r="M218" s="1">
        <f>'Raw Data'!N218/Inv_SY!M$2</f>
        <v>0</v>
      </c>
      <c r="N218" s="1">
        <f>'Raw Data'!O218/Inv_SY!N$2</f>
        <v>0</v>
      </c>
      <c r="O218" s="1">
        <f>'Raw Data'!P218/Inv_SY!O$2</f>
        <v>0</v>
      </c>
      <c r="P218" s="1">
        <f>'Raw Data'!Q218/Inv_SY!P$2</f>
        <v>0</v>
      </c>
      <c r="Q218" s="1">
        <f>'Raw Data'!R218/Inv_SY!Q$2</f>
        <v>0</v>
      </c>
      <c r="R218" s="1">
        <f>'Raw Data'!S218/Inv_SY!R$2</f>
        <v>0</v>
      </c>
      <c r="S218" s="1">
        <f>'Raw Data'!T218/Inv_SY!S$2</f>
        <v>0</v>
      </c>
      <c r="T218" s="1">
        <f>'Raw Data'!U218/Inv_SY!T$2</f>
        <v>0</v>
      </c>
      <c r="U218" s="1">
        <f>'Raw Data'!V218/Inv_SY!U$2</f>
        <v>0</v>
      </c>
      <c r="V218" s="1">
        <f>'Raw Data'!W218/Inv_SY!V$2</f>
        <v>0</v>
      </c>
      <c r="W218" s="1">
        <f>'Raw Data'!X218/Inv_SY!W$2</f>
        <v>0</v>
      </c>
      <c r="X218" s="1">
        <f>'Raw Data'!Y218/Inv_SY!X$2</f>
        <v>0</v>
      </c>
      <c r="Y218" s="1" t="str">
        <f t="shared" si="14"/>
        <v/>
      </c>
      <c r="Z218" s="1">
        <f t="shared" si="15"/>
        <v>0</v>
      </c>
    </row>
    <row r="219" spans="1:26" x14ac:dyDescent="0.3">
      <c r="A219" s="244"/>
      <c r="B219" s="244"/>
      <c r="C219" s="244">
        <f>YEAR(Table12[[#This Row],[Date]])</f>
        <v>2025</v>
      </c>
      <c r="D219" s="244"/>
      <c r="E219" s="244"/>
      <c r="F219" s="245" t="str">
        <f>TEXT(Table12[[#This Row],[Date]],"mmm-yy")</f>
        <v>Oct-25</v>
      </c>
      <c r="G219" s="244">
        <f t="shared" si="13"/>
        <v>31</v>
      </c>
      <c r="H219" s="123">
        <f t="shared" si="16"/>
        <v>45960</v>
      </c>
      <c r="I219" s="1">
        <v>8.0208999999999993</v>
      </c>
      <c r="J219" s="1">
        <f>'Raw Data'!K219/Inv_SY!J$2</f>
        <v>0</v>
      </c>
      <c r="K219" s="1">
        <f>'Raw Data'!L219/Inv_SY!K$2</f>
        <v>0</v>
      </c>
      <c r="L219" s="1">
        <f>'Raw Data'!M219/Inv_SY!L$2</f>
        <v>0</v>
      </c>
      <c r="M219" s="1">
        <f>'Raw Data'!N219/Inv_SY!M$2</f>
        <v>0</v>
      </c>
      <c r="N219" s="1">
        <f>'Raw Data'!O219/Inv_SY!N$2</f>
        <v>0</v>
      </c>
      <c r="O219" s="1">
        <f>'Raw Data'!P219/Inv_SY!O$2</f>
        <v>0</v>
      </c>
      <c r="P219" s="1">
        <f>'Raw Data'!Q219/Inv_SY!P$2</f>
        <v>0</v>
      </c>
      <c r="Q219" s="1">
        <f>'Raw Data'!R219/Inv_SY!Q$2</f>
        <v>0</v>
      </c>
      <c r="R219" s="1">
        <f>'Raw Data'!S219/Inv_SY!R$2</f>
        <v>0</v>
      </c>
      <c r="S219" s="1">
        <f>'Raw Data'!T219/Inv_SY!S$2</f>
        <v>0</v>
      </c>
      <c r="T219" s="1">
        <f>'Raw Data'!U219/Inv_SY!T$2</f>
        <v>0</v>
      </c>
      <c r="U219" s="1">
        <f>'Raw Data'!V219/Inv_SY!U$2</f>
        <v>0</v>
      </c>
      <c r="V219" s="1">
        <f>'Raw Data'!W219/Inv_SY!V$2</f>
        <v>0</v>
      </c>
      <c r="W219" s="1">
        <f>'Raw Data'!X219/Inv_SY!W$2</f>
        <v>0</v>
      </c>
      <c r="X219" s="1">
        <f>'Raw Data'!Y219/Inv_SY!X$2</f>
        <v>0</v>
      </c>
      <c r="Y219" s="1" t="str">
        <f t="shared" si="14"/>
        <v/>
      </c>
      <c r="Z219" s="1">
        <f t="shared" si="15"/>
        <v>0</v>
      </c>
    </row>
    <row r="220" spans="1:26" x14ac:dyDescent="0.3">
      <c r="A220" s="244"/>
      <c r="B220" s="244"/>
      <c r="C220" s="244">
        <f>YEAR(Table12[[#This Row],[Date]])</f>
        <v>2025</v>
      </c>
      <c r="D220" s="244"/>
      <c r="E220" s="244"/>
      <c r="F220" s="245" t="str">
        <f>TEXT(Table12[[#This Row],[Date]],"mmm-yy")</f>
        <v>Oct-25</v>
      </c>
      <c r="G220" s="244">
        <f t="shared" si="13"/>
        <v>31</v>
      </c>
      <c r="H220" s="123">
        <f t="shared" si="16"/>
        <v>45961</v>
      </c>
      <c r="I220" s="1">
        <v>8.0208999999999993</v>
      </c>
      <c r="J220" s="1">
        <f>'Raw Data'!K220/Inv_SY!J$2</f>
        <v>0</v>
      </c>
      <c r="K220" s="1">
        <f>'Raw Data'!L220/Inv_SY!K$2</f>
        <v>0</v>
      </c>
      <c r="L220" s="1">
        <f>'Raw Data'!M220/Inv_SY!L$2</f>
        <v>0</v>
      </c>
      <c r="M220" s="1">
        <f>'Raw Data'!N220/Inv_SY!M$2</f>
        <v>0</v>
      </c>
      <c r="N220" s="1">
        <f>'Raw Data'!O220/Inv_SY!N$2</f>
        <v>0</v>
      </c>
      <c r="O220" s="1">
        <f>'Raw Data'!P220/Inv_SY!O$2</f>
        <v>0</v>
      </c>
      <c r="P220" s="1">
        <f>'Raw Data'!Q220/Inv_SY!P$2</f>
        <v>0</v>
      </c>
      <c r="Q220" s="1">
        <f>'Raw Data'!R220/Inv_SY!Q$2</f>
        <v>0</v>
      </c>
      <c r="R220" s="1">
        <f>'Raw Data'!S220/Inv_SY!R$2</f>
        <v>0</v>
      </c>
      <c r="S220" s="1">
        <f>'Raw Data'!T220/Inv_SY!S$2</f>
        <v>0</v>
      </c>
      <c r="T220" s="1">
        <f>'Raw Data'!U220/Inv_SY!T$2</f>
        <v>0</v>
      </c>
      <c r="U220" s="1">
        <f>'Raw Data'!V220/Inv_SY!U$2</f>
        <v>0</v>
      </c>
      <c r="V220" s="1">
        <f>'Raw Data'!W220/Inv_SY!V$2</f>
        <v>0</v>
      </c>
      <c r="W220" s="1">
        <f>'Raw Data'!X220/Inv_SY!W$2</f>
        <v>0</v>
      </c>
      <c r="X220" s="1">
        <f>'Raw Data'!Y220/Inv_SY!X$2</f>
        <v>0</v>
      </c>
      <c r="Y220" s="1" t="str">
        <f t="shared" si="14"/>
        <v/>
      </c>
      <c r="Z220" s="1">
        <f t="shared" si="15"/>
        <v>0</v>
      </c>
    </row>
    <row r="221" spans="1:26" x14ac:dyDescent="0.3">
      <c r="A221" s="244"/>
      <c r="B221" s="244"/>
      <c r="C221" s="244">
        <f>YEAR(Table12[[#This Row],[Date]])</f>
        <v>2025</v>
      </c>
      <c r="D221" s="244"/>
      <c r="E221" s="244"/>
      <c r="F221" s="245" t="str">
        <f>TEXT(Table12[[#This Row],[Date]],"mmm-yy")</f>
        <v>Nov-25</v>
      </c>
      <c r="G221" s="244">
        <f t="shared" si="13"/>
        <v>30</v>
      </c>
      <c r="H221" s="123">
        <f t="shared" si="16"/>
        <v>45962</v>
      </c>
      <c r="I221" s="1">
        <v>8.0208999999999993</v>
      </c>
      <c r="J221" s="1">
        <f>'Raw Data'!K221/Inv_SY!J$2</f>
        <v>0</v>
      </c>
      <c r="K221" s="1">
        <f>'Raw Data'!L221/Inv_SY!K$2</f>
        <v>0</v>
      </c>
      <c r="L221" s="1">
        <f>'Raw Data'!M221/Inv_SY!L$2</f>
        <v>0</v>
      </c>
      <c r="M221" s="1">
        <f>'Raw Data'!N221/Inv_SY!M$2</f>
        <v>0</v>
      </c>
      <c r="N221" s="1">
        <f>'Raw Data'!O221/Inv_SY!N$2</f>
        <v>0</v>
      </c>
      <c r="O221" s="1">
        <f>'Raw Data'!P221/Inv_SY!O$2</f>
        <v>0</v>
      </c>
      <c r="P221" s="1">
        <f>'Raw Data'!Q221/Inv_SY!P$2</f>
        <v>0</v>
      </c>
      <c r="Q221" s="1">
        <f>'Raw Data'!R221/Inv_SY!Q$2</f>
        <v>0</v>
      </c>
      <c r="R221" s="1">
        <f>'Raw Data'!S221/Inv_SY!R$2</f>
        <v>0</v>
      </c>
      <c r="S221" s="1">
        <f>'Raw Data'!T221/Inv_SY!S$2</f>
        <v>0</v>
      </c>
      <c r="T221" s="1">
        <f>'Raw Data'!U221/Inv_SY!T$2</f>
        <v>0</v>
      </c>
      <c r="U221" s="1">
        <f>'Raw Data'!V221/Inv_SY!U$2</f>
        <v>0</v>
      </c>
      <c r="V221" s="1">
        <f>'Raw Data'!W221/Inv_SY!V$2</f>
        <v>0</v>
      </c>
      <c r="W221" s="1">
        <f>'Raw Data'!X221/Inv_SY!W$2</f>
        <v>0</v>
      </c>
      <c r="X221" s="1">
        <f>'Raw Data'!Y221/Inv_SY!X$2</f>
        <v>0</v>
      </c>
      <c r="Y221" s="1" t="str">
        <f t="shared" si="14"/>
        <v/>
      </c>
      <c r="Z221" s="1">
        <f t="shared" si="15"/>
        <v>0</v>
      </c>
    </row>
    <row r="222" spans="1:26" x14ac:dyDescent="0.3">
      <c r="A222" s="244"/>
      <c r="B222" s="244"/>
      <c r="C222" s="244">
        <f>YEAR(Table12[[#This Row],[Date]])</f>
        <v>2025</v>
      </c>
      <c r="D222" s="244"/>
      <c r="E222" s="244"/>
      <c r="F222" s="245" t="str">
        <f>TEXT(Table12[[#This Row],[Date]],"mmm-yy")</f>
        <v>Nov-25</v>
      </c>
      <c r="G222" s="244">
        <f t="shared" si="13"/>
        <v>30</v>
      </c>
      <c r="H222" s="123">
        <f t="shared" si="16"/>
        <v>45963</v>
      </c>
      <c r="I222" s="1">
        <v>8.0208999999999993</v>
      </c>
      <c r="J222" s="1">
        <f>'Raw Data'!K222/Inv_SY!J$2</f>
        <v>0</v>
      </c>
      <c r="K222" s="1">
        <f>'Raw Data'!L222/Inv_SY!K$2</f>
        <v>0</v>
      </c>
      <c r="L222" s="1">
        <f>'Raw Data'!M222/Inv_SY!L$2</f>
        <v>0</v>
      </c>
      <c r="M222" s="1">
        <f>'Raw Data'!N222/Inv_SY!M$2</f>
        <v>0</v>
      </c>
      <c r="N222" s="1">
        <f>'Raw Data'!O222/Inv_SY!N$2</f>
        <v>0</v>
      </c>
      <c r="O222" s="1">
        <f>'Raw Data'!P222/Inv_SY!O$2</f>
        <v>0</v>
      </c>
      <c r="P222" s="1">
        <f>'Raw Data'!Q222/Inv_SY!P$2</f>
        <v>0</v>
      </c>
      <c r="Q222" s="1">
        <f>'Raw Data'!R222/Inv_SY!Q$2</f>
        <v>0</v>
      </c>
      <c r="R222" s="1">
        <f>'Raw Data'!S222/Inv_SY!R$2</f>
        <v>0</v>
      </c>
      <c r="S222" s="1">
        <f>'Raw Data'!T222/Inv_SY!S$2</f>
        <v>0</v>
      </c>
      <c r="T222" s="1">
        <f>'Raw Data'!U222/Inv_SY!T$2</f>
        <v>0</v>
      </c>
      <c r="U222" s="1">
        <f>'Raw Data'!V222/Inv_SY!U$2</f>
        <v>0</v>
      </c>
      <c r="V222" s="1">
        <f>'Raw Data'!W222/Inv_SY!V$2</f>
        <v>0</v>
      </c>
      <c r="W222" s="1">
        <f>'Raw Data'!X222/Inv_SY!W$2</f>
        <v>0</v>
      </c>
      <c r="X222" s="1">
        <f>'Raw Data'!Y222/Inv_SY!X$2</f>
        <v>0</v>
      </c>
      <c r="Y222" s="1" t="str">
        <f t="shared" si="14"/>
        <v/>
      </c>
      <c r="Z222" s="1">
        <f t="shared" si="15"/>
        <v>0</v>
      </c>
    </row>
    <row r="223" spans="1:26" x14ac:dyDescent="0.3">
      <c r="A223" s="244"/>
      <c r="B223" s="244"/>
      <c r="C223" s="244">
        <f>YEAR(Table12[[#This Row],[Date]])</f>
        <v>2025</v>
      </c>
      <c r="D223" s="244"/>
      <c r="E223" s="244"/>
      <c r="F223" s="245" t="str">
        <f>TEXT(Table12[[#This Row],[Date]],"mmm-yy")</f>
        <v>Nov-25</v>
      </c>
      <c r="G223" s="244">
        <f t="shared" si="13"/>
        <v>30</v>
      </c>
      <c r="H223" s="123">
        <f t="shared" si="16"/>
        <v>45964</v>
      </c>
      <c r="I223" s="1">
        <v>8.0208999999999993</v>
      </c>
      <c r="J223" s="1">
        <f>'Raw Data'!K223/Inv_SY!J$2</f>
        <v>0</v>
      </c>
      <c r="K223" s="1">
        <f>'Raw Data'!L223/Inv_SY!K$2</f>
        <v>0</v>
      </c>
      <c r="L223" s="1">
        <f>'Raw Data'!M223/Inv_SY!L$2</f>
        <v>0</v>
      </c>
      <c r="M223" s="1">
        <f>'Raw Data'!N223/Inv_SY!M$2</f>
        <v>0</v>
      </c>
      <c r="N223" s="1">
        <f>'Raw Data'!O223/Inv_SY!N$2</f>
        <v>0</v>
      </c>
      <c r="O223" s="1">
        <f>'Raw Data'!P223/Inv_SY!O$2</f>
        <v>0</v>
      </c>
      <c r="P223" s="1">
        <f>'Raw Data'!Q223/Inv_SY!P$2</f>
        <v>0</v>
      </c>
      <c r="Q223" s="1">
        <f>'Raw Data'!R223/Inv_SY!Q$2</f>
        <v>0</v>
      </c>
      <c r="R223" s="1">
        <f>'Raw Data'!S223/Inv_SY!R$2</f>
        <v>0</v>
      </c>
      <c r="S223" s="1">
        <f>'Raw Data'!T223/Inv_SY!S$2</f>
        <v>0</v>
      </c>
      <c r="T223" s="1">
        <f>'Raw Data'!U223/Inv_SY!T$2</f>
        <v>0</v>
      </c>
      <c r="U223" s="1">
        <f>'Raw Data'!V223/Inv_SY!U$2</f>
        <v>0</v>
      </c>
      <c r="V223" s="1">
        <f>'Raw Data'!W223/Inv_SY!V$2</f>
        <v>0</v>
      </c>
      <c r="W223" s="1">
        <f>'Raw Data'!X223/Inv_SY!W$2</f>
        <v>0</v>
      </c>
      <c r="X223" s="1">
        <f>'Raw Data'!Y223/Inv_SY!X$2</f>
        <v>0</v>
      </c>
      <c r="Y223" s="1" t="str">
        <f t="shared" si="14"/>
        <v/>
      </c>
      <c r="Z223" s="1">
        <f t="shared" si="15"/>
        <v>0</v>
      </c>
    </row>
    <row r="224" spans="1:26" x14ac:dyDescent="0.3">
      <c r="A224" s="244"/>
      <c r="B224" s="244"/>
      <c r="C224" s="244">
        <f>YEAR(Table12[[#This Row],[Date]])</f>
        <v>2025</v>
      </c>
      <c r="D224" s="244"/>
      <c r="E224" s="244"/>
      <c r="F224" s="245" t="str">
        <f>TEXT(Table12[[#This Row],[Date]],"mmm-yy")</f>
        <v>Nov-25</v>
      </c>
      <c r="G224" s="244">
        <f t="shared" si="13"/>
        <v>30</v>
      </c>
      <c r="H224" s="123">
        <f t="shared" si="16"/>
        <v>45965</v>
      </c>
      <c r="I224" s="1">
        <v>8.0208999999999993</v>
      </c>
      <c r="J224" s="1">
        <f>'Raw Data'!K224/Inv_SY!J$2</f>
        <v>0</v>
      </c>
      <c r="K224" s="1">
        <f>'Raw Data'!L224/Inv_SY!K$2</f>
        <v>0</v>
      </c>
      <c r="L224" s="1">
        <f>'Raw Data'!M224/Inv_SY!L$2</f>
        <v>0</v>
      </c>
      <c r="M224" s="1">
        <f>'Raw Data'!N224/Inv_SY!M$2</f>
        <v>0</v>
      </c>
      <c r="N224" s="1">
        <f>'Raw Data'!O224/Inv_SY!N$2</f>
        <v>0</v>
      </c>
      <c r="O224" s="1">
        <f>'Raw Data'!P224/Inv_SY!O$2</f>
        <v>0</v>
      </c>
      <c r="P224" s="1">
        <f>'Raw Data'!Q224/Inv_SY!P$2</f>
        <v>0</v>
      </c>
      <c r="Q224" s="1">
        <f>'Raw Data'!R224/Inv_SY!Q$2</f>
        <v>0</v>
      </c>
      <c r="R224" s="1">
        <f>'Raw Data'!S224/Inv_SY!R$2</f>
        <v>0</v>
      </c>
      <c r="S224" s="1">
        <f>'Raw Data'!T224/Inv_SY!S$2</f>
        <v>0</v>
      </c>
      <c r="T224" s="1">
        <f>'Raw Data'!U224/Inv_SY!T$2</f>
        <v>0</v>
      </c>
      <c r="U224" s="1">
        <f>'Raw Data'!V224/Inv_SY!U$2</f>
        <v>0</v>
      </c>
      <c r="V224" s="1">
        <f>'Raw Data'!W224/Inv_SY!V$2</f>
        <v>0</v>
      </c>
      <c r="W224" s="1">
        <f>'Raw Data'!X224/Inv_SY!W$2</f>
        <v>0</v>
      </c>
      <c r="X224" s="1">
        <f>'Raw Data'!Y224/Inv_SY!X$2</f>
        <v>0</v>
      </c>
      <c r="Y224" s="1" t="str">
        <f t="shared" si="14"/>
        <v/>
      </c>
      <c r="Z224" s="1">
        <f t="shared" si="15"/>
        <v>0</v>
      </c>
    </row>
    <row r="225" spans="1:26" x14ac:dyDescent="0.3">
      <c r="A225" s="244"/>
      <c r="B225" s="244"/>
      <c r="C225" s="244">
        <f>YEAR(Table12[[#This Row],[Date]])</f>
        <v>2025</v>
      </c>
      <c r="D225" s="244"/>
      <c r="E225" s="244"/>
      <c r="F225" s="245" t="str">
        <f>TEXT(Table12[[#This Row],[Date]],"mmm-yy")</f>
        <v>Nov-25</v>
      </c>
      <c r="G225" s="244">
        <f t="shared" si="13"/>
        <v>30</v>
      </c>
      <c r="H225" s="123">
        <f t="shared" si="16"/>
        <v>45966</v>
      </c>
      <c r="I225" s="1">
        <v>8.0208999999999993</v>
      </c>
      <c r="J225" s="1">
        <f>'Raw Data'!K225/Inv_SY!J$2</f>
        <v>0</v>
      </c>
      <c r="K225" s="1">
        <f>'Raw Data'!L225/Inv_SY!K$2</f>
        <v>0</v>
      </c>
      <c r="L225" s="1">
        <f>'Raw Data'!M225/Inv_SY!L$2</f>
        <v>0</v>
      </c>
      <c r="M225" s="1">
        <f>'Raw Data'!N225/Inv_SY!M$2</f>
        <v>0</v>
      </c>
      <c r="N225" s="1">
        <f>'Raw Data'!O225/Inv_SY!N$2</f>
        <v>0</v>
      </c>
      <c r="O225" s="1">
        <f>'Raw Data'!P225/Inv_SY!O$2</f>
        <v>0</v>
      </c>
      <c r="P225" s="1">
        <f>'Raw Data'!Q225/Inv_SY!P$2</f>
        <v>0</v>
      </c>
      <c r="Q225" s="1">
        <f>'Raw Data'!R225/Inv_SY!Q$2</f>
        <v>0</v>
      </c>
      <c r="R225" s="1">
        <f>'Raw Data'!S225/Inv_SY!R$2</f>
        <v>0</v>
      </c>
      <c r="S225" s="1">
        <f>'Raw Data'!T225/Inv_SY!S$2</f>
        <v>0</v>
      </c>
      <c r="T225" s="1">
        <f>'Raw Data'!U225/Inv_SY!T$2</f>
        <v>0</v>
      </c>
      <c r="U225" s="1">
        <f>'Raw Data'!V225/Inv_SY!U$2</f>
        <v>0</v>
      </c>
      <c r="V225" s="1">
        <f>'Raw Data'!W225/Inv_SY!V$2</f>
        <v>0</v>
      </c>
      <c r="W225" s="1">
        <f>'Raw Data'!X225/Inv_SY!W$2</f>
        <v>0</v>
      </c>
      <c r="X225" s="1">
        <f>'Raw Data'!Y225/Inv_SY!X$2</f>
        <v>0</v>
      </c>
      <c r="Y225" s="1" t="str">
        <f t="shared" si="14"/>
        <v/>
      </c>
      <c r="Z225" s="1">
        <f t="shared" si="15"/>
        <v>0</v>
      </c>
    </row>
    <row r="226" spans="1:26" x14ac:dyDescent="0.3">
      <c r="A226" s="244"/>
      <c r="B226" s="244"/>
      <c r="C226" s="244">
        <f>YEAR(Table12[[#This Row],[Date]])</f>
        <v>2025</v>
      </c>
      <c r="D226" s="244"/>
      <c r="E226" s="244"/>
      <c r="F226" s="245" t="str">
        <f>TEXT(Table12[[#This Row],[Date]],"mmm-yy")</f>
        <v>Nov-25</v>
      </c>
      <c r="G226" s="244">
        <f t="shared" si="13"/>
        <v>30</v>
      </c>
      <c r="H226" s="123">
        <f t="shared" si="16"/>
        <v>45967</v>
      </c>
      <c r="I226" s="1">
        <v>8.0208999999999993</v>
      </c>
      <c r="J226" s="1">
        <f>'Raw Data'!K226/Inv_SY!J$2</f>
        <v>0</v>
      </c>
      <c r="K226" s="1">
        <f>'Raw Data'!L226/Inv_SY!K$2</f>
        <v>0</v>
      </c>
      <c r="L226" s="1">
        <f>'Raw Data'!M226/Inv_SY!L$2</f>
        <v>0</v>
      </c>
      <c r="M226" s="1">
        <f>'Raw Data'!N226/Inv_SY!M$2</f>
        <v>0</v>
      </c>
      <c r="N226" s="1">
        <f>'Raw Data'!O226/Inv_SY!N$2</f>
        <v>0</v>
      </c>
      <c r="O226" s="1">
        <f>'Raw Data'!P226/Inv_SY!O$2</f>
        <v>0</v>
      </c>
      <c r="P226" s="1">
        <f>'Raw Data'!Q226/Inv_SY!P$2</f>
        <v>0</v>
      </c>
      <c r="Q226" s="1">
        <f>'Raw Data'!R226/Inv_SY!Q$2</f>
        <v>0</v>
      </c>
      <c r="R226" s="1">
        <f>'Raw Data'!S226/Inv_SY!R$2</f>
        <v>0</v>
      </c>
      <c r="S226" s="1">
        <f>'Raw Data'!T226/Inv_SY!S$2</f>
        <v>0</v>
      </c>
      <c r="T226" s="1">
        <f>'Raw Data'!U226/Inv_SY!T$2</f>
        <v>0</v>
      </c>
      <c r="U226" s="1">
        <f>'Raw Data'!V226/Inv_SY!U$2</f>
        <v>0</v>
      </c>
      <c r="V226" s="1">
        <f>'Raw Data'!W226/Inv_SY!V$2</f>
        <v>0</v>
      </c>
      <c r="W226" s="1">
        <f>'Raw Data'!X226/Inv_SY!W$2</f>
        <v>0</v>
      </c>
      <c r="X226" s="1">
        <f>'Raw Data'!Y226/Inv_SY!X$2</f>
        <v>0</v>
      </c>
      <c r="Y226" s="1" t="str">
        <f t="shared" si="14"/>
        <v/>
      </c>
      <c r="Z226" s="1">
        <f t="shared" si="15"/>
        <v>0</v>
      </c>
    </row>
    <row r="227" spans="1:26" x14ac:dyDescent="0.3">
      <c r="A227" s="244"/>
      <c r="B227" s="244"/>
      <c r="C227" s="244">
        <f>YEAR(Table12[[#This Row],[Date]])</f>
        <v>2025</v>
      </c>
      <c r="D227" s="244"/>
      <c r="E227" s="244"/>
      <c r="F227" s="245" t="str">
        <f>TEXT(Table12[[#This Row],[Date]],"mmm-yy")</f>
        <v>Nov-25</v>
      </c>
      <c r="G227" s="244">
        <f t="shared" si="13"/>
        <v>30</v>
      </c>
      <c r="H227" s="123">
        <f t="shared" si="16"/>
        <v>45968</v>
      </c>
      <c r="I227" s="1">
        <v>8.0208999999999993</v>
      </c>
      <c r="J227" s="1">
        <f>'Raw Data'!K227/Inv_SY!J$2</f>
        <v>0</v>
      </c>
      <c r="K227" s="1">
        <f>'Raw Data'!L227/Inv_SY!K$2</f>
        <v>0</v>
      </c>
      <c r="L227" s="1">
        <f>'Raw Data'!M227/Inv_SY!L$2</f>
        <v>0</v>
      </c>
      <c r="M227" s="1">
        <f>'Raw Data'!N227/Inv_SY!M$2</f>
        <v>0</v>
      </c>
      <c r="N227" s="1">
        <f>'Raw Data'!O227/Inv_SY!N$2</f>
        <v>0</v>
      </c>
      <c r="O227" s="1">
        <f>'Raw Data'!P227/Inv_SY!O$2</f>
        <v>0</v>
      </c>
      <c r="P227" s="1">
        <f>'Raw Data'!Q227/Inv_SY!P$2</f>
        <v>0</v>
      </c>
      <c r="Q227" s="1">
        <f>'Raw Data'!R227/Inv_SY!Q$2</f>
        <v>0</v>
      </c>
      <c r="R227" s="1">
        <f>'Raw Data'!S227/Inv_SY!R$2</f>
        <v>0</v>
      </c>
      <c r="S227" s="1">
        <f>'Raw Data'!T227/Inv_SY!S$2</f>
        <v>0</v>
      </c>
      <c r="T227" s="1">
        <f>'Raw Data'!U227/Inv_SY!T$2</f>
        <v>0</v>
      </c>
      <c r="U227" s="1">
        <f>'Raw Data'!V227/Inv_SY!U$2</f>
        <v>0</v>
      </c>
      <c r="V227" s="1">
        <f>'Raw Data'!W227/Inv_SY!V$2</f>
        <v>0</v>
      </c>
      <c r="W227" s="1">
        <f>'Raw Data'!X227/Inv_SY!W$2</f>
        <v>0</v>
      </c>
      <c r="X227" s="1">
        <f>'Raw Data'!Y227/Inv_SY!X$2</f>
        <v>0</v>
      </c>
      <c r="Y227" s="1" t="str">
        <f t="shared" si="14"/>
        <v/>
      </c>
      <c r="Z227" s="1">
        <f t="shared" si="15"/>
        <v>0</v>
      </c>
    </row>
    <row r="228" spans="1:26" x14ac:dyDescent="0.3">
      <c r="A228" s="244"/>
      <c r="B228" s="244"/>
      <c r="C228" s="244">
        <f>YEAR(Table12[[#This Row],[Date]])</f>
        <v>2025</v>
      </c>
      <c r="D228" s="244"/>
      <c r="E228" s="244"/>
      <c r="F228" s="245" t="str">
        <f>TEXT(Table12[[#This Row],[Date]],"mmm-yy")</f>
        <v>Nov-25</v>
      </c>
      <c r="G228" s="244">
        <f t="shared" ref="G228:G291" si="17">DAY(EOMONTH(F228,0))</f>
        <v>30</v>
      </c>
      <c r="H228" s="123">
        <f t="shared" si="16"/>
        <v>45969</v>
      </c>
      <c r="I228" s="1">
        <v>8.0208999999999993</v>
      </c>
      <c r="J228" s="1">
        <f>'Raw Data'!K228/Inv_SY!J$2</f>
        <v>0</v>
      </c>
      <c r="K228" s="1">
        <f>'Raw Data'!L228/Inv_SY!K$2</f>
        <v>0</v>
      </c>
      <c r="L228" s="1">
        <f>'Raw Data'!M228/Inv_SY!L$2</f>
        <v>0</v>
      </c>
      <c r="M228" s="1">
        <f>'Raw Data'!N228/Inv_SY!M$2</f>
        <v>0</v>
      </c>
      <c r="N228" s="1">
        <f>'Raw Data'!O228/Inv_SY!N$2</f>
        <v>0</v>
      </c>
      <c r="O228" s="1">
        <f>'Raw Data'!P228/Inv_SY!O$2</f>
        <v>0</v>
      </c>
      <c r="P228" s="1">
        <f>'Raw Data'!Q228/Inv_SY!P$2</f>
        <v>0</v>
      </c>
      <c r="Q228" s="1">
        <f>'Raw Data'!R228/Inv_SY!Q$2</f>
        <v>0</v>
      </c>
      <c r="R228" s="1">
        <f>'Raw Data'!S228/Inv_SY!R$2</f>
        <v>0</v>
      </c>
      <c r="S228" s="1">
        <f>'Raw Data'!T228/Inv_SY!S$2</f>
        <v>0</v>
      </c>
      <c r="T228" s="1">
        <f>'Raw Data'!U228/Inv_SY!T$2</f>
        <v>0</v>
      </c>
      <c r="U228" s="1">
        <f>'Raw Data'!V228/Inv_SY!U$2</f>
        <v>0</v>
      </c>
      <c r="V228" s="1">
        <f>'Raw Data'!W228/Inv_SY!V$2</f>
        <v>0</v>
      </c>
      <c r="W228" s="1">
        <f>'Raw Data'!X228/Inv_SY!W$2</f>
        <v>0</v>
      </c>
      <c r="X228" s="1">
        <f>'Raw Data'!Y228/Inv_SY!X$2</f>
        <v>0</v>
      </c>
      <c r="Y228" s="1" t="str">
        <f t="shared" ref="Y228:Y259" si="18">IFERROR(AVERAGEIF(V228:X228,"&gt;"&amp;0,V228:X228),"")</f>
        <v/>
      </c>
      <c r="Z228" s="1">
        <f t="shared" ref="Z228:Z259" si="19">MAXA(V228:X228)</f>
        <v>0</v>
      </c>
    </row>
    <row r="229" spans="1:26" x14ac:dyDescent="0.3">
      <c r="A229" s="244"/>
      <c r="B229" s="244"/>
      <c r="C229" s="244">
        <f>YEAR(Table12[[#This Row],[Date]])</f>
        <v>2025</v>
      </c>
      <c r="D229" s="244"/>
      <c r="E229" s="244"/>
      <c r="F229" s="245" t="str">
        <f>TEXT(Table12[[#This Row],[Date]],"mmm-yy")</f>
        <v>Nov-25</v>
      </c>
      <c r="G229" s="244">
        <f t="shared" si="17"/>
        <v>30</v>
      </c>
      <c r="H229" s="123">
        <f t="shared" si="16"/>
        <v>45970</v>
      </c>
      <c r="I229" s="1">
        <v>8.0208999999999993</v>
      </c>
      <c r="J229" s="1">
        <f>'Raw Data'!K229/Inv_SY!J$2</f>
        <v>0</v>
      </c>
      <c r="K229" s="1">
        <f>'Raw Data'!L229/Inv_SY!K$2</f>
        <v>0</v>
      </c>
      <c r="L229" s="1">
        <f>'Raw Data'!M229/Inv_SY!L$2</f>
        <v>0</v>
      </c>
      <c r="M229" s="1">
        <f>'Raw Data'!N229/Inv_SY!M$2</f>
        <v>0</v>
      </c>
      <c r="N229" s="1">
        <f>'Raw Data'!O229/Inv_SY!N$2</f>
        <v>0</v>
      </c>
      <c r="O229" s="1">
        <f>'Raw Data'!P229/Inv_SY!O$2</f>
        <v>0</v>
      </c>
      <c r="P229" s="1">
        <f>'Raw Data'!Q229/Inv_SY!P$2</f>
        <v>0</v>
      </c>
      <c r="Q229" s="1">
        <f>'Raw Data'!R229/Inv_SY!Q$2</f>
        <v>0</v>
      </c>
      <c r="R229" s="1">
        <f>'Raw Data'!S229/Inv_SY!R$2</f>
        <v>0</v>
      </c>
      <c r="S229" s="1">
        <f>'Raw Data'!T229/Inv_SY!S$2</f>
        <v>0</v>
      </c>
      <c r="T229" s="1">
        <f>'Raw Data'!U229/Inv_SY!T$2</f>
        <v>0</v>
      </c>
      <c r="U229" s="1">
        <f>'Raw Data'!V229/Inv_SY!U$2</f>
        <v>0</v>
      </c>
      <c r="V229" s="1">
        <f>'Raw Data'!W229/Inv_SY!V$2</f>
        <v>0</v>
      </c>
      <c r="W229" s="1">
        <f>'Raw Data'!X229/Inv_SY!W$2</f>
        <v>0</v>
      </c>
      <c r="X229" s="1">
        <f>'Raw Data'!Y229/Inv_SY!X$2</f>
        <v>0</v>
      </c>
      <c r="Y229" s="1" t="str">
        <f t="shared" si="18"/>
        <v/>
      </c>
      <c r="Z229" s="1">
        <f t="shared" si="19"/>
        <v>0</v>
      </c>
    </row>
    <row r="230" spans="1:26" x14ac:dyDescent="0.3">
      <c r="A230" s="244"/>
      <c r="B230" s="244"/>
      <c r="C230" s="244">
        <f>YEAR(Table12[[#This Row],[Date]])</f>
        <v>2025</v>
      </c>
      <c r="D230" s="244"/>
      <c r="E230" s="244"/>
      <c r="F230" s="245" t="str">
        <f>TEXT(Table12[[#This Row],[Date]],"mmm-yy")</f>
        <v>Nov-25</v>
      </c>
      <c r="G230" s="244">
        <f t="shared" si="17"/>
        <v>30</v>
      </c>
      <c r="H230" s="123">
        <f t="shared" si="16"/>
        <v>45971</v>
      </c>
      <c r="I230" s="1">
        <v>8.0208999999999993</v>
      </c>
      <c r="J230" s="1">
        <f>'Raw Data'!K230/Inv_SY!J$2</f>
        <v>0</v>
      </c>
      <c r="K230" s="1">
        <f>'Raw Data'!L230/Inv_SY!K$2</f>
        <v>0</v>
      </c>
      <c r="L230" s="1">
        <f>'Raw Data'!M230/Inv_SY!L$2</f>
        <v>0</v>
      </c>
      <c r="M230" s="1">
        <f>'Raw Data'!N230/Inv_SY!M$2</f>
        <v>0</v>
      </c>
      <c r="N230" s="1">
        <f>'Raw Data'!O230/Inv_SY!N$2</f>
        <v>0</v>
      </c>
      <c r="O230" s="1">
        <f>'Raw Data'!P230/Inv_SY!O$2</f>
        <v>0</v>
      </c>
      <c r="P230" s="1">
        <f>'Raw Data'!Q230/Inv_SY!P$2</f>
        <v>0</v>
      </c>
      <c r="Q230" s="1">
        <f>'Raw Data'!R230/Inv_SY!Q$2</f>
        <v>0</v>
      </c>
      <c r="R230" s="1">
        <f>'Raw Data'!S230/Inv_SY!R$2</f>
        <v>0</v>
      </c>
      <c r="S230" s="1">
        <f>'Raw Data'!T230/Inv_SY!S$2</f>
        <v>0</v>
      </c>
      <c r="T230" s="1">
        <f>'Raw Data'!U230/Inv_SY!T$2</f>
        <v>0</v>
      </c>
      <c r="U230" s="1">
        <f>'Raw Data'!V230/Inv_SY!U$2</f>
        <v>0</v>
      </c>
      <c r="V230" s="1">
        <f>'Raw Data'!W230/Inv_SY!V$2</f>
        <v>0</v>
      </c>
      <c r="W230" s="1">
        <f>'Raw Data'!X230/Inv_SY!W$2</f>
        <v>0</v>
      </c>
      <c r="X230" s="1">
        <f>'Raw Data'!Y230/Inv_SY!X$2</f>
        <v>0</v>
      </c>
      <c r="Y230" s="1" t="str">
        <f t="shared" si="18"/>
        <v/>
      </c>
      <c r="Z230" s="1">
        <f t="shared" si="19"/>
        <v>0</v>
      </c>
    </row>
    <row r="231" spans="1:26" x14ac:dyDescent="0.3">
      <c r="A231" s="244"/>
      <c r="B231" s="244"/>
      <c r="C231" s="244">
        <f>YEAR(Table12[[#This Row],[Date]])</f>
        <v>2025</v>
      </c>
      <c r="D231" s="244"/>
      <c r="E231" s="244"/>
      <c r="F231" s="245" t="str">
        <f>TEXT(Table12[[#This Row],[Date]],"mmm-yy")</f>
        <v>Nov-25</v>
      </c>
      <c r="G231" s="244">
        <f t="shared" si="17"/>
        <v>30</v>
      </c>
      <c r="H231" s="123">
        <f t="shared" si="16"/>
        <v>45972</v>
      </c>
      <c r="I231" s="1">
        <v>8.0208999999999993</v>
      </c>
      <c r="J231" s="1">
        <f>'Raw Data'!K231/Inv_SY!J$2</f>
        <v>0</v>
      </c>
      <c r="K231" s="1">
        <f>'Raw Data'!L231/Inv_SY!K$2</f>
        <v>0</v>
      </c>
      <c r="L231" s="1">
        <f>'Raw Data'!M231/Inv_SY!L$2</f>
        <v>0</v>
      </c>
      <c r="M231" s="1">
        <f>'Raw Data'!N231/Inv_SY!M$2</f>
        <v>0</v>
      </c>
      <c r="N231" s="1">
        <f>'Raw Data'!O231/Inv_SY!N$2</f>
        <v>0</v>
      </c>
      <c r="O231" s="1">
        <f>'Raw Data'!P231/Inv_SY!O$2</f>
        <v>0</v>
      </c>
      <c r="P231" s="1">
        <f>'Raw Data'!Q231/Inv_SY!P$2</f>
        <v>0</v>
      </c>
      <c r="Q231" s="1">
        <f>'Raw Data'!R231/Inv_SY!Q$2</f>
        <v>0</v>
      </c>
      <c r="R231" s="1">
        <f>'Raw Data'!S231/Inv_SY!R$2</f>
        <v>0</v>
      </c>
      <c r="S231" s="1">
        <f>'Raw Data'!T231/Inv_SY!S$2</f>
        <v>0</v>
      </c>
      <c r="T231" s="1">
        <f>'Raw Data'!U231/Inv_SY!T$2</f>
        <v>0</v>
      </c>
      <c r="U231" s="1">
        <f>'Raw Data'!V231/Inv_SY!U$2</f>
        <v>0</v>
      </c>
      <c r="V231" s="1">
        <f>'Raw Data'!W231/Inv_SY!V$2</f>
        <v>0</v>
      </c>
      <c r="W231" s="1">
        <f>'Raw Data'!X231/Inv_SY!W$2</f>
        <v>0</v>
      </c>
      <c r="X231" s="1">
        <f>'Raw Data'!Y231/Inv_SY!X$2</f>
        <v>0</v>
      </c>
      <c r="Y231" s="1" t="str">
        <f t="shared" si="18"/>
        <v/>
      </c>
      <c r="Z231" s="1">
        <f t="shared" si="19"/>
        <v>0</v>
      </c>
    </row>
    <row r="232" spans="1:26" x14ac:dyDescent="0.3">
      <c r="A232" s="244"/>
      <c r="B232" s="244"/>
      <c r="C232" s="244">
        <f>YEAR(Table12[[#This Row],[Date]])</f>
        <v>2025</v>
      </c>
      <c r="D232" s="244"/>
      <c r="E232" s="244"/>
      <c r="F232" s="245" t="str">
        <f>TEXT(Table12[[#This Row],[Date]],"mmm-yy")</f>
        <v>Nov-25</v>
      </c>
      <c r="G232" s="244">
        <f t="shared" si="17"/>
        <v>30</v>
      </c>
      <c r="H232" s="123">
        <f t="shared" si="16"/>
        <v>45973</v>
      </c>
      <c r="I232" s="1">
        <v>8.0208999999999993</v>
      </c>
      <c r="J232" s="1">
        <f>'Raw Data'!K232/Inv_SY!J$2</f>
        <v>0</v>
      </c>
      <c r="K232" s="1">
        <f>'Raw Data'!L232/Inv_SY!K$2</f>
        <v>0</v>
      </c>
      <c r="L232" s="1">
        <f>'Raw Data'!M232/Inv_SY!L$2</f>
        <v>0</v>
      </c>
      <c r="M232" s="1">
        <f>'Raw Data'!N232/Inv_SY!M$2</f>
        <v>0</v>
      </c>
      <c r="N232" s="1">
        <f>'Raw Data'!O232/Inv_SY!N$2</f>
        <v>0</v>
      </c>
      <c r="O232" s="1">
        <f>'Raw Data'!P232/Inv_SY!O$2</f>
        <v>0</v>
      </c>
      <c r="P232" s="1">
        <f>'Raw Data'!Q232/Inv_SY!P$2</f>
        <v>0</v>
      </c>
      <c r="Q232" s="1">
        <f>'Raw Data'!R232/Inv_SY!Q$2</f>
        <v>0</v>
      </c>
      <c r="R232" s="1">
        <f>'Raw Data'!S232/Inv_SY!R$2</f>
        <v>0</v>
      </c>
      <c r="S232" s="1">
        <f>'Raw Data'!T232/Inv_SY!S$2</f>
        <v>0</v>
      </c>
      <c r="T232" s="1">
        <f>'Raw Data'!U232/Inv_SY!T$2</f>
        <v>0</v>
      </c>
      <c r="U232" s="1">
        <f>'Raw Data'!V232/Inv_SY!U$2</f>
        <v>0</v>
      </c>
      <c r="V232" s="1">
        <f>'Raw Data'!W232/Inv_SY!V$2</f>
        <v>0</v>
      </c>
      <c r="W232" s="1">
        <f>'Raw Data'!X232/Inv_SY!W$2</f>
        <v>0</v>
      </c>
      <c r="X232" s="1">
        <f>'Raw Data'!Y232/Inv_SY!X$2</f>
        <v>0</v>
      </c>
      <c r="Y232" s="1" t="str">
        <f t="shared" si="18"/>
        <v/>
      </c>
      <c r="Z232" s="1">
        <f t="shared" si="19"/>
        <v>0</v>
      </c>
    </row>
    <row r="233" spans="1:26" x14ac:dyDescent="0.3">
      <c r="A233" s="244"/>
      <c r="B233" s="244"/>
      <c r="C233" s="244">
        <f>YEAR(Table12[[#This Row],[Date]])</f>
        <v>2025</v>
      </c>
      <c r="D233" s="244"/>
      <c r="E233" s="244"/>
      <c r="F233" s="245" t="str">
        <f>TEXT(Table12[[#This Row],[Date]],"mmm-yy")</f>
        <v>Nov-25</v>
      </c>
      <c r="G233" s="244">
        <f t="shared" si="17"/>
        <v>30</v>
      </c>
      <c r="H233" s="123">
        <f t="shared" si="16"/>
        <v>45974</v>
      </c>
      <c r="I233" s="1">
        <v>8.0208999999999993</v>
      </c>
      <c r="J233" s="1">
        <f>'Raw Data'!K233/Inv_SY!J$2</f>
        <v>0</v>
      </c>
      <c r="K233" s="1">
        <f>'Raw Data'!L233/Inv_SY!K$2</f>
        <v>0</v>
      </c>
      <c r="L233" s="1">
        <f>'Raw Data'!M233/Inv_SY!L$2</f>
        <v>0</v>
      </c>
      <c r="M233" s="1">
        <f>'Raw Data'!N233/Inv_SY!M$2</f>
        <v>0</v>
      </c>
      <c r="N233" s="1">
        <f>'Raw Data'!O233/Inv_SY!N$2</f>
        <v>0</v>
      </c>
      <c r="O233" s="1">
        <f>'Raw Data'!P233/Inv_SY!O$2</f>
        <v>0</v>
      </c>
      <c r="P233" s="1">
        <f>'Raw Data'!Q233/Inv_SY!P$2</f>
        <v>0</v>
      </c>
      <c r="Q233" s="1">
        <f>'Raw Data'!R233/Inv_SY!Q$2</f>
        <v>0</v>
      </c>
      <c r="R233" s="1">
        <f>'Raw Data'!S233/Inv_SY!R$2</f>
        <v>0</v>
      </c>
      <c r="S233" s="1">
        <f>'Raw Data'!T233/Inv_SY!S$2</f>
        <v>0</v>
      </c>
      <c r="T233" s="1">
        <f>'Raw Data'!U233/Inv_SY!T$2</f>
        <v>0</v>
      </c>
      <c r="U233" s="1">
        <f>'Raw Data'!V233/Inv_SY!U$2</f>
        <v>0</v>
      </c>
      <c r="V233" s="1">
        <f>'Raw Data'!W233/Inv_SY!V$2</f>
        <v>0</v>
      </c>
      <c r="W233" s="1">
        <f>'Raw Data'!X233/Inv_SY!W$2</f>
        <v>0</v>
      </c>
      <c r="X233" s="1">
        <f>'Raw Data'!Y233/Inv_SY!X$2</f>
        <v>0</v>
      </c>
      <c r="Y233" s="1" t="str">
        <f t="shared" si="18"/>
        <v/>
      </c>
      <c r="Z233" s="1">
        <f t="shared" si="19"/>
        <v>0</v>
      </c>
    </row>
    <row r="234" spans="1:26" x14ac:dyDescent="0.3">
      <c r="A234" s="244"/>
      <c r="B234" s="244"/>
      <c r="C234" s="244">
        <f>YEAR(Table12[[#This Row],[Date]])</f>
        <v>2025</v>
      </c>
      <c r="D234" s="244"/>
      <c r="E234" s="244"/>
      <c r="F234" s="245" t="str">
        <f>TEXT(Table12[[#This Row],[Date]],"mmm-yy")</f>
        <v>Nov-25</v>
      </c>
      <c r="G234" s="244">
        <f t="shared" si="17"/>
        <v>30</v>
      </c>
      <c r="H234" s="123">
        <f t="shared" si="16"/>
        <v>45975</v>
      </c>
      <c r="I234" s="1">
        <v>8.0208999999999993</v>
      </c>
      <c r="J234" s="1">
        <f>'Raw Data'!K234/Inv_SY!J$2</f>
        <v>0</v>
      </c>
      <c r="K234" s="1">
        <f>'Raw Data'!L234/Inv_SY!K$2</f>
        <v>0</v>
      </c>
      <c r="L234" s="1">
        <f>'Raw Data'!M234/Inv_SY!L$2</f>
        <v>0</v>
      </c>
      <c r="M234" s="1">
        <f>'Raw Data'!N234/Inv_SY!M$2</f>
        <v>0</v>
      </c>
      <c r="N234" s="1">
        <f>'Raw Data'!O234/Inv_SY!N$2</f>
        <v>0</v>
      </c>
      <c r="O234" s="1">
        <f>'Raw Data'!P234/Inv_SY!O$2</f>
        <v>0</v>
      </c>
      <c r="P234" s="1">
        <f>'Raw Data'!Q234/Inv_SY!P$2</f>
        <v>0</v>
      </c>
      <c r="Q234" s="1">
        <f>'Raw Data'!R234/Inv_SY!Q$2</f>
        <v>0</v>
      </c>
      <c r="R234" s="1">
        <f>'Raw Data'!S234/Inv_SY!R$2</f>
        <v>0</v>
      </c>
      <c r="S234" s="1">
        <f>'Raw Data'!T234/Inv_SY!S$2</f>
        <v>0</v>
      </c>
      <c r="T234" s="1">
        <f>'Raw Data'!U234/Inv_SY!T$2</f>
        <v>0</v>
      </c>
      <c r="U234" s="1">
        <f>'Raw Data'!V234/Inv_SY!U$2</f>
        <v>0</v>
      </c>
      <c r="V234" s="1">
        <f>'Raw Data'!W234/Inv_SY!V$2</f>
        <v>0</v>
      </c>
      <c r="W234" s="1">
        <f>'Raw Data'!X234/Inv_SY!W$2</f>
        <v>0</v>
      </c>
      <c r="X234" s="1">
        <f>'Raw Data'!Y234/Inv_SY!X$2</f>
        <v>0</v>
      </c>
      <c r="Y234" s="1" t="str">
        <f t="shared" si="18"/>
        <v/>
      </c>
      <c r="Z234" s="1">
        <f t="shared" si="19"/>
        <v>0</v>
      </c>
    </row>
    <row r="235" spans="1:26" x14ac:dyDescent="0.3">
      <c r="A235" s="244"/>
      <c r="B235" s="244"/>
      <c r="C235" s="244">
        <f>YEAR(Table12[[#This Row],[Date]])</f>
        <v>2025</v>
      </c>
      <c r="D235" s="244"/>
      <c r="E235" s="244"/>
      <c r="F235" s="245" t="str">
        <f>TEXT(Table12[[#This Row],[Date]],"mmm-yy")</f>
        <v>Nov-25</v>
      </c>
      <c r="G235" s="244">
        <f t="shared" si="17"/>
        <v>30</v>
      </c>
      <c r="H235" s="123">
        <f t="shared" si="16"/>
        <v>45976</v>
      </c>
      <c r="I235" s="1">
        <v>8.0208999999999993</v>
      </c>
      <c r="J235" s="1">
        <f>'Raw Data'!K235/Inv_SY!J$2</f>
        <v>0</v>
      </c>
      <c r="K235" s="1">
        <f>'Raw Data'!L235/Inv_SY!K$2</f>
        <v>0</v>
      </c>
      <c r="L235" s="1">
        <f>'Raw Data'!M235/Inv_SY!L$2</f>
        <v>0</v>
      </c>
      <c r="M235" s="1">
        <f>'Raw Data'!N235/Inv_SY!M$2</f>
        <v>0</v>
      </c>
      <c r="N235" s="1">
        <f>'Raw Data'!O235/Inv_SY!N$2</f>
        <v>0</v>
      </c>
      <c r="O235" s="1">
        <f>'Raw Data'!P235/Inv_SY!O$2</f>
        <v>0</v>
      </c>
      <c r="P235" s="1">
        <f>'Raw Data'!Q235/Inv_SY!P$2</f>
        <v>0</v>
      </c>
      <c r="Q235" s="1">
        <f>'Raw Data'!R235/Inv_SY!Q$2</f>
        <v>0</v>
      </c>
      <c r="R235" s="1">
        <f>'Raw Data'!S235/Inv_SY!R$2</f>
        <v>0</v>
      </c>
      <c r="S235" s="1">
        <f>'Raw Data'!T235/Inv_SY!S$2</f>
        <v>0</v>
      </c>
      <c r="T235" s="1">
        <f>'Raw Data'!U235/Inv_SY!T$2</f>
        <v>0</v>
      </c>
      <c r="U235" s="1">
        <f>'Raw Data'!V235/Inv_SY!U$2</f>
        <v>0</v>
      </c>
      <c r="V235" s="1">
        <f>'Raw Data'!W235/Inv_SY!V$2</f>
        <v>0</v>
      </c>
      <c r="W235" s="1">
        <f>'Raw Data'!X235/Inv_SY!W$2</f>
        <v>0</v>
      </c>
      <c r="X235" s="1">
        <f>'Raw Data'!Y235/Inv_SY!X$2</f>
        <v>0</v>
      </c>
      <c r="Y235" s="1" t="str">
        <f t="shared" si="18"/>
        <v/>
      </c>
      <c r="Z235" s="1">
        <f t="shared" si="19"/>
        <v>0</v>
      </c>
    </row>
    <row r="236" spans="1:26" x14ac:dyDescent="0.3">
      <c r="A236" s="244"/>
      <c r="B236" s="244"/>
      <c r="C236" s="244">
        <f>YEAR(Table12[[#This Row],[Date]])</f>
        <v>2025</v>
      </c>
      <c r="D236" s="244"/>
      <c r="E236" s="244"/>
      <c r="F236" s="245" t="str">
        <f>TEXT(Table12[[#This Row],[Date]],"mmm-yy")</f>
        <v>Nov-25</v>
      </c>
      <c r="G236" s="244">
        <f t="shared" si="17"/>
        <v>30</v>
      </c>
      <c r="H236" s="123">
        <f t="shared" si="16"/>
        <v>45977</v>
      </c>
      <c r="I236" s="1">
        <v>8.0208999999999993</v>
      </c>
      <c r="J236" s="1">
        <f>'Raw Data'!K236/Inv_SY!J$2</f>
        <v>0</v>
      </c>
      <c r="K236" s="1">
        <f>'Raw Data'!L236/Inv_SY!K$2</f>
        <v>0</v>
      </c>
      <c r="L236" s="1">
        <f>'Raw Data'!M236/Inv_SY!L$2</f>
        <v>0</v>
      </c>
      <c r="M236" s="1">
        <f>'Raw Data'!N236/Inv_SY!M$2</f>
        <v>0</v>
      </c>
      <c r="N236" s="1">
        <f>'Raw Data'!O236/Inv_SY!N$2</f>
        <v>0</v>
      </c>
      <c r="O236" s="1">
        <f>'Raw Data'!P236/Inv_SY!O$2</f>
        <v>0</v>
      </c>
      <c r="P236" s="1">
        <f>'Raw Data'!Q236/Inv_SY!P$2</f>
        <v>0</v>
      </c>
      <c r="Q236" s="1">
        <f>'Raw Data'!R236/Inv_SY!Q$2</f>
        <v>0</v>
      </c>
      <c r="R236" s="1">
        <f>'Raw Data'!S236/Inv_SY!R$2</f>
        <v>0</v>
      </c>
      <c r="S236" s="1">
        <f>'Raw Data'!T236/Inv_SY!S$2</f>
        <v>0</v>
      </c>
      <c r="T236" s="1">
        <f>'Raw Data'!U236/Inv_SY!T$2</f>
        <v>0</v>
      </c>
      <c r="U236" s="1">
        <f>'Raw Data'!V236/Inv_SY!U$2</f>
        <v>0</v>
      </c>
      <c r="V236" s="1">
        <f>'Raw Data'!W236/Inv_SY!V$2</f>
        <v>0</v>
      </c>
      <c r="W236" s="1">
        <f>'Raw Data'!X236/Inv_SY!W$2</f>
        <v>0</v>
      </c>
      <c r="X236" s="1">
        <f>'Raw Data'!Y236/Inv_SY!X$2</f>
        <v>0</v>
      </c>
      <c r="Y236" s="1" t="str">
        <f t="shared" si="18"/>
        <v/>
      </c>
      <c r="Z236" s="1">
        <f t="shared" si="19"/>
        <v>0</v>
      </c>
    </row>
    <row r="237" spans="1:26" x14ac:dyDescent="0.3">
      <c r="A237" s="244"/>
      <c r="B237" s="244"/>
      <c r="C237" s="244">
        <f>YEAR(Table12[[#This Row],[Date]])</f>
        <v>2025</v>
      </c>
      <c r="D237" s="244"/>
      <c r="E237" s="244"/>
      <c r="F237" s="245" t="str">
        <f>TEXT(Table12[[#This Row],[Date]],"mmm-yy")</f>
        <v>Nov-25</v>
      </c>
      <c r="G237" s="244">
        <f t="shared" si="17"/>
        <v>30</v>
      </c>
      <c r="H237" s="123">
        <f t="shared" si="16"/>
        <v>45978</v>
      </c>
      <c r="I237" s="1">
        <v>8.0208999999999993</v>
      </c>
      <c r="J237" s="1">
        <f>'Raw Data'!K237/Inv_SY!J$2</f>
        <v>0</v>
      </c>
      <c r="K237" s="1">
        <f>'Raw Data'!L237/Inv_SY!K$2</f>
        <v>0</v>
      </c>
      <c r="L237" s="1">
        <f>'Raw Data'!M237/Inv_SY!L$2</f>
        <v>0</v>
      </c>
      <c r="M237" s="1">
        <f>'Raw Data'!N237/Inv_SY!M$2</f>
        <v>0</v>
      </c>
      <c r="N237" s="1">
        <f>'Raw Data'!O237/Inv_SY!N$2</f>
        <v>0</v>
      </c>
      <c r="O237" s="1">
        <f>'Raw Data'!P237/Inv_SY!O$2</f>
        <v>0</v>
      </c>
      <c r="P237" s="1">
        <f>'Raw Data'!Q237/Inv_SY!P$2</f>
        <v>0</v>
      </c>
      <c r="Q237" s="1">
        <f>'Raw Data'!R237/Inv_SY!Q$2</f>
        <v>0</v>
      </c>
      <c r="R237" s="1">
        <f>'Raw Data'!S237/Inv_SY!R$2</f>
        <v>0</v>
      </c>
      <c r="S237" s="1">
        <f>'Raw Data'!T237/Inv_SY!S$2</f>
        <v>0</v>
      </c>
      <c r="T237" s="1">
        <f>'Raw Data'!U237/Inv_SY!T$2</f>
        <v>0</v>
      </c>
      <c r="U237" s="1">
        <f>'Raw Data'!V237/Inv_SY!U$2</f>
        <v>0</v>
      </c>
      <c r="V237" s="1">
        <f>'Raw Data'!W237/Inv_SY!V$2</f>
        <v>0</v>
      </c>
      <c r="W237" s="1">
        <f>'Raw Data'!X237/Inv_SY!W$2</f>
        <v>0</v>
      </c>
      <c r="X237" s="1">
        <f>'Raw Data'!Y237/Inv_SY!X$2</f>
        <v>0</v>
      </c>
      <c r="Y237" s="1" t="str">
        <f t="shared" si="18"/>
        <v/>
      </c>
      <c r="Z237" s="1">
        <f t="shared" si="19"/>
        <v>0</v>
      </c>
    </row>
    <row r="238" spans="1:26" x14ac:dyDescent="0.3">
      <c r="A238" s="244"/>
      <c r="B238" s="244"/>
      <c r="C238" s="244">
        <f>YEAR(Table12[[#This Row],[Date]])</f>
        <v>2025</v>
      </c>
      <c r="D238" s="244"/>
      <c r="E238" s="244"/>
      <c r="F238" s="245" t="str">
        <f>TEXT(Table12[[#This Row],[Date]],"mmm-yy")</f>
        <v>Nov-25</v>
      </c>
      <c r="G238" s="244">
        <f t="shared" si="17"/>
        <v>30</v>
      </c>
      <c r="H238" s="123">
        <f t="shared" si="16"/>
        <v>45979</v>
      </c>
      <c r="I238" s="1">
        <v>8.0208999999999993</v>
      </c>
      <c r="J238" s="1">
        <f>'Raw Data'!K238/Inv_SY!J$2</f>
        <v>0</v>
      </c>
      <c r="K238" s="1">
        <f>'Raw Data'!L238/Inv_SY!K$2</f>
        <v>0</v>
      </c>
      <c r="L238" s="1">
        <f>'Raw Data'!M238/Inv_SY!L$2</f>
        <v>0</v>
      </c>
      <c r="M238" s="1">
        <f>'Raw Data'!N238/Inv_SY!M$2</f>
        <v>0</v>
      </c>
      <c r="N238" s="1">
        <f>'Raw Data'!O238/Inv_SY!N$2</f>
        <v>0</v>
      </c>
      <c r="O238" s="1">
        <f>'Raw Data'!P238/Inv_SY!O$2</f>
        <v>0</v>
      </c>
      <c r="P238" s="1">
        <f>'Raw Data'!Q238/Inv_SY!P$2</f>
        <v>0</v>
      </c>
      <c r="Q238" s="1">
        <f>'Raw Data'!R238/Inv_SY!Q$2</f>
        <v>0</v>
      </c>
      <c r="R238" s="1">
        <f>'Raw Data'!S238/Inv_SY!R$2</f>
        <v>0</v>
      </c>
      <c r="S238" s="1">
        <f>'Raw Data'!T238/Inv_SY!S$2</f>
        <v>0</v>
      </c>
      <c r="T238" s="1">
        <f>'Raw Data'!U238/Inv_SY!T$2</f>
        <v>0</v>
      </c>
      <c r="U238" s="1">
        <f>'Raw Data'!V238/Inv_SY!U$2</f>
        <v>0</v>
      </c>
      <c r="V238" s="1">
        <f>'Raw Data'!W238/Inv_SY!V$2</f>
        <v>0</v>
      </c>
      <c r="W238" s="1">
        <f>'Raw Data'!X238/Inv_SY!W$2</f>
        <v>0</v>
      </c>
      <c r="X238" s="1">
        <f>'Raw Data'!Y238/Inv_SY!X$2</f>
        <v>0</v>
      </c>
      <c r="Y238" s="1" t="str">
        <f t="shared" si="18"/>
        <v/>
      </c>
      <c r="Z238" s="1">
        <f t="shared" si="19"/>
        <v>0</v>
      </c>
    </row>
    <row r="239" spans="1:26" x14ac:dyDescent="0.3">
      <c r="A239" s="244"/>
      <c r="B239" s="244"/>
      <c r="C239" s="244">
        <f>YEAR(Table12[[#This Row],[Date]])</f>
        <v>2025</v>
      </c>
      <c r="D239" s="244"/>
      <c r="E239" s="244"/>
      <c r="F239" s="245" t="str">
        <f>TEXT(Table12[[#This Row],[Date]],"mmm-yy")</f>
        <v>Nov-25</v>
      </c>
      <c r="G239" s="244">
        <f t="shared" si="17"/>
        <v>30</v>
      </c>
      <c r="H239" s="123">
        <f t="shared" si="16"/>
        <v>45980</v>
      </c>
      <c r="I239" s="1">
        <v>8.0208999999999993</v>
      </c>
      <c r="J239" s="1">
        <f>'Raw Data'!K239/Inv_SY!J$2</f>
        <v>0</v>
      </c>
      <c r="K239" s="1">
        <f>'Raw Data'!L239/Inv_SY!K$2</f>
        <v>0</v>
      </c>
      <c r="L239" s="1">
        <f>'Raw Data'!M239/Inv_SY!L$2</f>
        <v>0</v>
      </c>
      <c r="M239" s="1">
        <f>'Raw Data'!N239/Inv_SY!M$2</f>
        <v>0</v>
      </c>
      <c r="N239" s="1">
        <f>'Raw Data'!O239/Inv_SY!N$2</f>
        <v>0</v>
      </c>
      <c r="O239" s="1">
        <f>'Raw Data'!P239/Inv_SY!O$2</f>
        <v>0</v>
      </c>
      <c r="P239" s="1">
        <f>'Raw Data'!Q239/Inv_SY!P$2</f>
        <v>0</v>
      </c>
      <c r="Q239" s="1">
        <f>'Raw Data'!R239/Inv_SY!Q$2</f>
        <v>0</v>
      </c>
      <c r="R239" s="1">
        <f>'Raw Data'!S239/Inv_SY!R$2</f>
        <v>0</v>
      </c>
      <c r="S239" s="1">
        <f>'Raw Data'!T239/Inv_SY!S$2</f>
        <v>0</v>
      </c>
      <c r="T239" s="1">
        <f>'Raw Data'!U239/Inv_SY!T$2</f>
        <v>0</v>
      </c>
      <c r="U239" s="1">
        <f>'Raw Data'!V239/Inv_SY!U$2</f>
        <v>0</v>
      </c>
      <c r="V239" s="1">
        <f>'Raw Data'!W239/Inv_SY!V$2</f>
        <v>0</v>
      </c>
      <c r="W239" s="1">
        <f>'Raw Data'!X239/Inv_SY!W$2</f>
        <v>0</v>
      </c>
      <c r="X239" s="1">
        <f>'Raw Data'!Y239/Inv_SY!X$2</f>
        <v>0</v>
      </c>
      <c r="Y239" s="1" t="str">
        <f t="shared" si="18"/>
        <v/>
      </c>
      <c r="Z239" s="1">
        <f t="shared" si="19"/>
        <v>0</v>
      </c>
    </row>
    <row r="240" spans="1:26" x14ac:dyDescent="0.3">
      <c r="A240" s="244"/>
      <c r="B240" s="244"/>
      <c r="C240" s="244">
        <f>YEAR(Table12[[#This Row],[Date]])</f>
        <v>2025</v>
      </c>
      <c r="D240" s="244"/>
      <c r="E240" s="244"/>
      <c r="F240" s="245" t="str">
        <f>TEXT(Table12[[#This Row],[Date]],"mmm-yy")</f>
        <v>Nov-25</v>
      </c>
      <c r="G240" s="244">
        <f t="shared" si="17"/>
        <v>30</v>
      </c>
      <c r="H240" s="123">
        <f t="shared" si="16"/>
        <v>45981</v>
      </c>
      <c r="I240" s="1">
        <v>8.0208999999999993</v>
      </c>
      <c r="J240" s="1">
        <f>'Raw Data'!K240/Inv_SY!J$2</f>
        <v>0</v>
      </c>
      <c r="K240" s="1">
        <f>'Raw Data'!L240/Inv_SY!K$2</f>
        <v>0</v>
      </c>
      <c r="L240" s="1">
        <f>'Raw Data'!M240/Inv_SY!L$2</f>
        <v>0</v>
      </c>
      <c r="M240" s="1">
        <f>'Raw Data'!N240/Inv_SY!M$2</f>
        <v>0</v>
      </c>
      <c r="N240" s="1">
        <f>'Raw Data'!O240/Inv_SY!N$2</f>
        <v>0</v>
      </c>
      <c r="O240" s="1">
        <f>'Raw Data'!P240/Inv_SY!O$2</f>
        <v>0</v>
      </c>
      <c r="P240" s="1">
        <f>'Raw Data'!Q240/Inv_SY!P$2</f>
        <v>0</v>
      </c>
      <c r="Q240" s="1">
        <f>'Raw Data'!R240/Inv_SY!Q$2</f>
        <v>0</v>
      </c>
      <c r="R240" s="1">
        <f>'Raw Data'!S240/Inv_SY!R$2</f>
        <v>0</v>
      </c>
      <c r="S240" s="1">
        <f>'Raw Data'!T240/Inv_SY!S$2</f>
        <v>0</v>
      </c>
      <c r="T240" s="1">
        <f>'Raw Data'!U240/Inv_SY!T$2</f>
        <v>0</v>
      </c>
      <c r="U240" s="1">
        <f>'Raw Data'!V240/Inv_SY!U$2</f>
        <v>0</v>
      </c>
      <c r="V240" s="1">
        <f>'Raw Data'!W240/Inv_SY!V$2</f>
        <v>0</v>
      </c>
      <c r="W240" s="1">
        <f>'Raw Data'!X240/Inv_SY!W$2</f>
        <v>0</v>
      </c>
      <c r="X240" s="1">
        <f>'Raw Data'!Y240/Inv_SY!X$2</f>
        <v>0</v>
      </c>
      <c r="Y240" s="1" t="str">
        <f t="shared" si="18"/>
        <v/>
      </c>
      <c r="Z240" s="1">
        <f t="shared" si="19"/>
        <v>0</v>
      </c>
    </row>
    <row r="241" spans="1:26" x14ac:dyDescent="0.3">
      <c r="A241" s="244"/>
      <c r="B241" s="244"/>
      <c r="C241" s="244">
        <f>YEAR(Table12[[#This Row],[Date]])</f>
        <v>2025</v>
      </c>
      <c r="D241" s="244"/>
      <c r="E241" s="244"/>
      <c r="F241" s="245" t="str">
        <f>TEXT(Table12[[#This Row],[Date]],"mmm-yy")</f>
        <v>Nov-25</v>
      </c>
      <c r="G241" s="244">
        <f t="shared" si="17"/>
        <v>30</v>
      </c>
      <c r="H241" s="123">
        <f t="shared" si="16"/>
        <v>45982</v>
      </c>
      <c r="I241" s="1">
        <v>8.0208999999999993</v>
      </c>
      <c r="J241" s="1">
        <f>'Raw Data'!K241/Inv_SY!J$2</f>
        <v>0</v>
      </c>
      <c r="K241" s="1">
        <f>'Raw Data'!L241/Inv_SY!K$2</f>
        <v>0</v>
      </c>
      <c r="L241" s="1">
        <f>'Raw Data'!M241/Inv_SY!L$2</f>
        <v>0</v>
      </c>
      <c r="M241" s="1">
        <f>'Raw Data'!N241/Inv_SY!M$2</f>
        <v>0</v>
      </c>
      <c r="N241" s="1">
        <f>'Raw Data'!O241/Inv_SY!N$2</f>
        <v>0</v>
      </c>
      <c r="O241" s="1">
        <f>'Raw Data'!P241/Inv_SY!O$2</f>
        <v>0</v>
      </c>
      <c r="P241" s="1">
        <f>'Raw Data'!Q241/Inv_SY!P$2</f>
        <v>0</v>
      </c>
      <c r="Q241" s="1">
        <f>'Raw Data'!R241/Inv_SY!Q$2</f>
        <v>0</v>
      </c>
      <c r="R241" s="1">
        <f>'Raw Data'!S241/Inv_SY!R$2</f>
        <v>0</v>
      </c>
      <c r="S241" s="1">
        <f>'Raw Data'!T241/Inv_SY!S$2</f>
        <v>0</v>
      </c>
      <c r="T241" s="1">
        <f>'Raw Data'!U241/Inv_SY!T$2</f>
        <v>0</v>
      </c>
      <c r="U241" s="1">
        <f>'Raw Data'!V241/Inv_SY!U$2</f>
        <v>0</v>
      </c>
      <c r="V241" s="1">
        <f>'Raw Data'!W241/Inv_SY!V$2</f>
        <v>0</v>
      </c>
      <c r="W241" s="1">
        <f>'Raw Data'!X241/Inv_SY!W$2</f>
        <v>0</v>
      </c>
      <c r="X241" s="1">
        <f>'Raw Data'!Y241/Inv_SY!X$2</f>
        <v>0</v>
      </c>
      <c r="Y241" s="1" t="str">
        <f t="shared" si="18"/>
        <v/>
      </c>
      <c r="Z241" s="1">
        <f t="shared" si="19"/>
        <v>0</v>
      </c>
    </row>
    <row r="242" spans="1:26" x14ac:dyDescent="0.3">
      <c r="A242" s="244"/>
      <c r="B242" s="244"/>
      <c r="C242" s="244">
        <f>YEAR(Table12[[#This Row],[Date]])</f>
        <v>2025</v>
      </c>
      <c r="D242" s="244"/>
      <c r="E242" s="244"/>
      <c r="F242" s="245" t="str">
        <f>TEXT(Table12[[#This Row],[Date]],"mmm-yy")</f>
        <v>Nov-25</v>
      </c>
      <c r="G242" s="244">
        <f t="shared" si="17"/>
        <v>30</v>
      </c>
      <c r="H242" s="123">
        <f t="shared" si="16"/>
        <v>45983</v>
      </c>
      <c r="I242" s="1">
        <v>8.0208999999999993</v>
      </c>
      <c r="J242" s="1">
        <f>'Raw Data'!K242/Inv_SY!J$2</f>
        <v>0</v>
      </c>
      <c r="K242" s="1">
        <f>'Raw Data'!L242/Inv_SY!K$2</f>
        <v>0</v>
      </c>
      <c r="L242" s="1">
        <f>'Raw Data'!M242/Inv_SY!L$2</f>
        <v>0</v>
      </c>
      <c r="M242" s="1">
        <f>'Raw Data'!N242/Inv_SY!M$2</f>
        <v>0</v>
      </c>
      <c r="N242" s="1">
        <f>'Raw Data'!O242/Inv_SY!N$2</f>
        <v>0</v>
      </c>
      <c r="O242" s="1">
        <f>'Raw Data'!P242/Inv_SY!O$2</f>
        <v>0</v>
      </c>
      <c r="P242" s="1">
        <f>'Raw Data'!Q242/Inv_SY!P$2</f>
        <v>0</v>
      </c>
      <c r="Q242" s="1">
        <f>'Raw Data'!R242/Inv_SY!Q$2</f>
        <v>0</v>
      </c>
      <c r="R242" s="1">
        <f>'Raw Data'!S242/Inv_SY!R$2</f>
        <v>0</v>
      </c>
      <c r="S242" s="1">
        <f>'Raw Data'!T242/Inv_SY!S$2</f>
        <v>0</v>
      </c>
      <c r="T242" s="1">
        <f>'Raw Data'!U242/Inv_SY!T$2</f>
        <v>0</v>
      </c>
      <c r="U242" s="1">
        <f>'Raw Data'!V242/Inv_SY!U$2</f>
        <v>0</v>
      </c>
      <c r="V242" s="1">
        <f>'Raw Data'!W242/Inv_SY!V$2</f>
        <v>0</v>
      </c>
      <c r="W242" s="1">
        <f>'Raw Data'!X242/Inv_SY!W$2</f>
        <v>0</v>
      </c>
      <c r="X242" s="1">
        <f>'Raw Data'!Y242/Inv_SY!X$2</f>
        <v>0</v>
      </c>
      <c r="Y242" s="1" t="str">
        <f t="shared" si="18"/>
        <v/>
      </c>
      <c r="Z242" s="1">
        <f t="shared" si="19"/>
        <v>0</v>
      </c>
    </row>
    <row r="243" spans="1:26" x14ac:dyDescent="0.3">
      <c r="A243" s="244"/>
      <c r="B243" s="244"/>
      <c r="C243" s="244">
        <f>YEAR(Table12[[#This Row],[Date]])</f>
        <v>2025</v>
      </c>
      <c r="D243" s="244"/>
      <c r="E243" s="244"/>
      <c r="F243" s="245" t="str">
        <f>TEXT(Table12[[#This Row],[Date]],"mmm-yy")</f>
        <v>Nov-25</v>
      </c>
      <c r="G243" s="244">
        <f t="shared" si="17"/>
        <v>30</v>
      </c>
      <c r="H243" s="123">
        <f t="shared" si="16"/>
        <v>45984</v>
      </c>
      <c r="I243" s="1">
        <v>8.0208999999999993</v>
      </c>
      <c r="J243" s="1">
        <f>'Raw Data'!K243/Inv_SY!J$2</f>
        <v>0</v>
      </c>
      <c r="K243" s="1">
        <f>'Raw Data'!L243/Inv_SY!K$2</f>
        <v>0</v>
      </c>
      <c r="L243" s="1">
        <f>'Raw Data'!M243/Inv_SY!L$2</f>
        <v>0</v>
      </c>
      <c r="M243" s="1">
        <f>'Raw Data'!N243/Inv_SY!M$2</f>
        <v>0</v>
      </c>
      <c r="N243" s="1">
        <f>'Raw Data'!O243/Inv_SY!N$2</f>
        <v>0</v>
      </c>
      <c r="O243" s="1">
        <f>'Raw Data'!P243/Inv_SY!O$2</f>
        <v>0</v>
      </c>
      <c r="P243" s="1">
        <f>'Raw Data'!Q243/Inv_SY!P$2</f>
        <v>0</v>
      </c>
      <c r="Q243" s="1">
        <f>'Raw Data'!R243/Inv_SY!Q$2</f>
        <v>0</v>
      </c>
      <c r="R243" s="1">
        <f>'Raw Data'!S243/Inv_SY!R$2</f>
        <v>0</v>
      </c>
      <c r="S243" s="1">
        <f>'Raw Data'!T243/Inv_SY!S$2</f>
        <v>0</v>
      </c>
      <c r="T243" s="1">
        <f>'Raw Data'!U243/Inv_SY!T$2</f>
        <v>0</v>
      </c>
      <c r="U243" s="1">
        <f>'Raw Data'!V243/Inv_SY!U$2</f>
        <v>0</v>
      </c>
      <c r="V243" s="1">
        <f>'Raw Data'!W243/Inv_SY!V$2</f>
        <v>0</v>
      </c>
      <c r="W243" s="1">
        <f>'Raw Data'!X243/Inv_SY!W$2</f>
        <v>0</v>
      </c>
      <c r="X243" s="1">
        <f>'Raw Data'!Y243/Inv_SY!X$2</f>
        <v>0</v>
      </c>
      <c r="Y243" s="1" t="str">
        <f t="shared" si="18"/>
        <v/>
      </c>
      <c r="Z243" s="1">
        <f t="shared" si="19"/>
        <v>0</v>
      </c>
    </row>
    <row r="244" spans="1:26" x14ac:dyDescent="0.3">
      <c r="A244" s="244"/>
      <c r="B244" s="244"/>
      <c r="C244" s="244">
        <f>YEAR(Table12[[#This Row],[Date]])</f>
        <v>2025</v>
      </c>
      <c r="D244" s="244"/>
      <c r="E244" s="244"/>
      <c r="F244" s="245" t="str">
        <f>TEXT(Table12[[#This Row],[Date]],"mmm-yy")</f>
        <v>Nov-25</v>
      </c>
      <c r="G244" s="244">
        <f t="shared" si="17"/>
        <v>30</v>
      </c>
      <c r="H244" s="123">
        <f t="shared" si="16"/>
        <v>45985</v>
      </c>
      <c r="I244" s="1">
        <v>8.0208999999999993</v>
      </c>
      <c r="J244" s="1">
        <f>'Raw Data'!K244/Inv_SY!J$2</f>
        <v>0</v>
      </c>
      <c r="K244" s="1">
        <f>'Raw Data'!L244/Inv_SY!K$2</f>
        <v>0</v>
      </c>
      <c r="L244" s="1">
        <f>'Raw Data'!M244/Inv_SY!L$2</f>
        <v>0</v>
      </c>
      <c r="M244" s="1">
        <f>'Raw Data'!N244/Inv_SY!M$2</f>
        <v>0</v>
      </c>
      <c r="N244" s="1">
        <f>'Raw Data'!O244/Inv_SY!N$2</f>
        <v>0</v>
      </c>
      <c r="O244" s="1">
        <f>'Raw Data'!P244/Inv_SY!O$2</f>
        <v>0</v>
      </c>
      <c r="P244" s="1">
        <f>'Raw Data'!Q244/Inv_SY!P$2</f>
        <v>0</v>
      </c>
      <c r="Q244" s="1">
        <f>'Raw Data'!R244/Inv_SY!Q$2</f>
        <v>0</v>
      </c>
      <c r="R244" s="1">
        <f>'Raw Data'!S244/Inv_SY!R$2</f>
        <v>0</v>
      </c>
      <c r="S244" s="1">
        <f>'Raw Data'!T244/Inv_SY!S$2</f>
        <v>0</v>
      </c>
      <c r="T244" s="1">
        <f>'Raw Data'!U244/Inv_SY!T$2</f>
        <v>0</v>
      </c>
      <c r="U244" s="1">
        <f>'Raw Data'!V244/Inv_SY!U$2</f>
        <v>0</v>
      </c>
      <c r="V244" s="1">
        <f>'Raw Data'!W244/Inv_SY!V$2</f>
        <v>0</v>
      </c>
      <c r="W244" s="1">
        <f>'Raw Data'!X244/Inv_SY!W$2</f>
        <v>0</v>
      </c>
      <c r="X244" s="1">
        <f>'Raw Data'!Y244/Inv_SY!X$2</f>
        <v>0</v>
      </c>
      <c r="Y244" s="1" t="str">
        <f t="shared" si="18"/>
        <v/>
      </c>
      <c r="Z244" s="1">
        <f t="shared" si="19"/>
        <v>0</v>
      </c>
    </row>
    <row r="245" spans="1:26" x14ac:dyDescent="0.3">
      <c r="A245" s="244"/>
      <c r="B245" s="244"/>
      <c r="C245" s="244">
        <f>YEAR(Table12[[#This Row],[Date]])</f>
        <v>2025</v>
      </c>
      <c r="D245" s="244"/>
      <c r="E245" s="244"/>
      <c r="F245" s="245" t="str">
        <f>TEXT(Table12[[#This Row],[Date]],"mmm-yy")</f>
        <v>Nov-25</v>
      </c>
      <c r="G245" s="244">
        <f t="shared" si="17"/>
        <v>30</v>
      </c>
      <c r="H245" s="123">
        <f t="shared" si="16"/>
        <v>45986</v>
      </c>
      <c r="I245" s="1">
        <v>8.0208999999999993</v>
      </c>
      <c r="J245" s="1">
        <f>'Raw Data'!K245/Inv_SY!J$2</f>
        <v>0</v>
      </c>
      <c r="K245" s="1">
        <f>'Raw Data'!L245/Inv_SY!K$2</f>
        <v>0</v>
      </c>
      <c r="L245" s="1">
        <f>'Raw Data'!M245/Inv_SY!L$2</f>
        <v>0</v>
      </c>
      <c r="M245" s="1">
        <f>'Raw Data'!N245/Inv_SY!M$2</f>
        <v>0</v>
      </c>
      <c r="N245" s="1">
        <f>'Raw Data'!O245/Inv_SY!N$2</f>
        <v>0</v>
      </c>
      <c r="O245" s="1">
        <f>'Raw Data'!P245/Inv_SY!O$2</f>
        <v>0</v>
      </c>
      <c r="P245" s="1">
        <f>'Raw Data'!Q245/Inv_SY!P$2</f>
        <v>0</v>
      </c>
      <c r="Q245" s="1">
        <f>'Raw Data'!R245/Inv_SY!Q$2</f>
        <v>0</v>
      </c>
      <c r="R245" s="1">
        <f>'Raw Data'!S245/Inv_SY!R$2</f>
        <v>0</v>
      </c>
      <c r="S245" s="1">
        <f>'Raw Data'!T245/Inv_SY!S$2</f>
        <v>0</v>
      </c>
      <c r="T245" s="1">
        <f>'Raw Data'!U245/Inv_SY!T$2</f>
        <v>0</v>
      </c>
      <c r="U245" s="1">
        <f>'Raw Data'!V245/Inv_SY!U$2</f>
        <v>0</v>
      </c>
      <c r="V245" s="1">
        <f>'Raw Data'!W245/Inv_SY!V$2</f>
        <v>0</v>
      </c>
      <c r="W245" s="1">
        <f>'Raw Data'!X245/Inv_SY!W$2</f>
        <v>0</v>
      </c>
      <c r="X245" s="1">
        <f>'Raw Data'!Y245/Inv_SY!X$2</f>
        <v>0</v>
      </c>
      <c r="Y245" s="1" t="str">
        <f t="shared" si="18"/>
        <v/>
      </c>
      <c r="Z245" s="1">
        <f t="shared" si="19"/>
        <v>0</v>
      </c>
    </row>
    <row r="246" spans="1:26" x14ac:dyDescent="0.3">
      <c r="A246" s="244"/>
      <c r="B246" s="244"/>
      <c r="C246" s="244">
        <f>YEAR(Table12[[#This Row],[Date]])</f>
        <v>2025</v>
      </c>
      <c r="D246" s="244"/>
      <c r="E246" s="244"/>
      <c r="F246" s="245" t="str">
        <f>TEXT(Table12[[#This Row],[Date]],"mmm-yy")</f>
        <v>Nov-25</v>
      </c>
      <c r="G246" s="244">
        <f t="shared" si="17"/>
        <v>30</v>
      </c>
      <c r="H246" s="123">
        <f t="shared" si="16"/>
        <v>45987</v>
      </c>
      <c r="I246" s="1">
        <v>8.0208999999999993</v>
      </c>
      <c r="J246" s="1">
        <f>'Raw Data'!K246/Inv_SY!J$2</f>
        <v>0</v>
      </c>
      <c r="K246" s="1">
        <f>'Raw Data'!L246/Inv_SY!K$2</f>
        <v>0</v>
      </c>
      <c r="L246" s="1">
        <f>'Raw Data'!M246/Inv_SY!L$2</f>
        <v>0</v>
      </c>
      <c r="M246" s="1">
        <f>'Raw Data'!N246/Inv_SY!M$2</f>
        <v>0</v>
      </c>
      <c r="N246" s="1">
        <f>'Raw Data'!O246/Inv_SY!N$2</f>
        <v>0</v>
      </c>
      <c r="O246" s="1">
        <f>'Raw Data'!P246/Inv_SY!O$2</f>
        <v>0</v>
      </c>
      <c r="P246" s="1">
        <f>'Raw Data'!Q246/Inv_SY!P$2</f>
        <v>0</v>
      </c>
      <c r="Q246" s="1">
        <f>'Raw Data'!R246/Inv_SY!Q$2</f>
        <v>0</v>
      </c>
      <c r="R246" s="1">
        <f>'Raw Data'!S246/Inv_SY!R$2</f>
        <v>0</v>
      </c>
      <c r="S246" s="1">
        <f>'Raw Data'!T246/Inv_SY!S$2</f>
        <v>0</v>
      </c>
      <c r="T246" s="1">
        <f>'Raw Data'!U246/Inv_SY!T$2</f>
        <v>0</v>
      </c>
      <c r="U246" s="1">
        <f>'Raw Data'!V246/Inv_SY!U$2</f>
        <v>0</v>
      </c>
      <c r="V246" s="1">
        <f>'Raw Data'!W246/Inv_SY!V$2</f>
        <v>0</v>
      </c>
      <c r="W246" s="1">
        <f>'Raw Data'!X246/Inv_SY!W$2</f>
        <v>0</v>
      </c>
      <c r="X246" s="1">
        <f>'Raw Data'!Y246/Inv_SY!X$2</f>
        <v>0</v>
      </c>
      <c r="Y246" s="1" t="str">
        <f t="shared" si="18"/>
        <v/>
      </c>
      <c r="Z246" s="1">
        <f t="shared" si="19"/>
        <v>0</v>
      </c>
    </row>
    <row r="247" spans="1:26" x14ac:dyDescent="0.3">
      <c r="A247" s="244"/>
      <c r="B247" s="244"/>
      <c r="C247" s="244">
        <f>YEAR(Table12[[#This Row],[Date]])</f>
        <v>2025</v>
      </c>
      <c r="D247" s="244"/>
      <c r="E247" s="244"/>
      <c r="F247" s="245" t="str">
        <f>TEXT(Table12[[#This Row],[Date]],"mmm-yy")</f>
        <v>Nov-25</v>
      </c>
      <c r="G247" s="244">
        <f t="shared" si="17"/>
        <v>30</v>
      </c>
      <c r="H247" s="123">
        <f t="shared" si="16"/>
        <v>45988</v>
      </c>
      <c r="I247" s="1">
        <v>8.0208999999999993</v>
      </c>
      <c r="J247" s="1">
        <f>'Raw Data'!K247/Inv_SY!J$2</f>
        <v>0</v>
      </c>
      <c r="K247" s="1">
        <f>'Raw Data'!L247/Inv_SY!K$2</f>
        <v>0</v>
      </c>
      <c r="L247" s="1">
        <f>'Raw Data'!M247/Inv_SY!L$2</f>
        <v>0</v>
      </c>
      <c r="M247" s="1">
        <f>'Raw Data'!N247/Inv_SY!M$2</f>
        <v>0</v>
      </c>
      <c r="N247" s="1">
        <f>'Raw Data'!O247/Inv_SY!N$2</f>
        <v>0</v>
      </c>
      <c r="O247" s="1">
        <f>'Raw Data'!P247/Inv_SY!O$2</f>
        <v>0</v>
      </c>
      <c r="P247" s="1">
        <f>'Raw Data'!Q247/Inv_SY!P$2</f>
        <v>0</v>
      </c>
      <c r="Q247" s="1">
        <f>'Raw Data'!R247/Inv_SY!Q$2</f>
        <v>0</v>
      </c>
      <c r="R247" s="1">
        <f>'Raw Data'!S247/Inv_SY!R$2</f>
        <v>0</v>
      </c>
      <c r="S247" s="1">
        <f>'Raw Data'!T247/Inv_SY!S$2</f>
        <v>0</v>
      </c>
      <c r="T247" s="1">
        <f>'Raw Data'!U247/Inv_SY!T$2</f>
        <v>0</v>
      </c>
      <c r="U247" s="1">
        <f>'Raw Data'!V247/Inv_SY!U$2</f>
        <v>0</v>
      </c>
      <c r="V247" s="1">
        <f>'Raw Data'!W247/Inv_SY!V$2</f>
        <v>0</v>
      </c>
      <c r="W247" s="1">
        <f>'Raw Data'!X247/Inv_SY!W$2</f>
        <v>0</v>
      </c>
      <c r="X247" s="1">
        <f>'Raw Data'!Y247/Inv_SY!X$2</f>
        <v>0</v>
      </c>
      <c r="Y247" s="1" t="str">
        <f t="shared" si="18"/>
        <v/>
      </c>
      <c r="Z247" s="1">
        <f t="shared" si="19"/>
        <v>0</v>
      </c>
    </row>
    <row r="248" spans="1:26" x14ac:dyDescent="0.3">
      <c r="A248" s="244"/>
      <c r="B248" s="244"/>
      <c r="C248" s="244">
        <f>YEAR(Table12[[#This Row],[Date]])</f>
        <v>2025</v>
      </c>
      <c r="D248" s="244"/>
      <c r="E248" s="244"/>
      <c r="F248" s="245" t="str">
        <f>TEXT(Table12[[#This Row],[Date]],"mmm-yy")</f>
        <v>Nov-25</v>
      </c>
      <c r="G248" s="244">
        <f t="shared" si="17"/>
        <v>30</v>
      </c>
      <c r="H248" s="123">
        <f t="shared" si="16"/>
        <v>45989</v>
      </c>
      <c r="I248" s="1">
        <v>8.0208999999999993</v>
      </c>
      <c r="J248" s="1">
        <f>'Raw Data'!K248/Inv_SY!J$2</f>
        <v>0</v>
      </c>
      <c r="K248" s="1">
        <f>'Raw Data'!L248/Inv_SY!K$2</f>
        <v>0</v>
      </c>
      <c r="L248" s="1">
        <f>'Raw Data'!M248/Inv_SY!L$2</f>
        <v>0</v>
      </c>
      <c r="M248" s="1">
        <f>'Raw Data'!N248/Inv_SY!M$2</f>
        <v>0</v>
      </c>
      <c r="N248" s="1">
        <f>'Raw Data'!O248/Inv_SY!N$2</f>
        <v>0</v>
      </c>
      <c r="O248" s="1">
        <f>'Raw Data'!P248/Inv_SY!O$2</f>
        <v>0</v>
      </c>
      <c r="P248" s="1">
        <f>'Raw Data'!Q248/Inv_SY!P$2</f>
        <v>0</v>
      </c>
      <c r="Q248" s="1">
        <f>'Raw Data'!R248/Inv_SY!Q$2</f>
        <v>0</v>
      </c>
      <c r="R248" s="1">
        <f>'Raw Data'!S248/Inv_SY!R$2</f>
        <v>0</v>
      </c>
      <c r="S248" s="1">
        <f>'Raw Data'!T248/Inv_SY!S$2</f>
        <v>0</v>
      </c>
      <c r="T248" s="1">
        <f>'Raw Data'!U248/Inv_SY!T$2</f>
        <v>0</v>
      </c>
      <c r="U248" s="1">
        <f>'Raw Data'!V248/Inv_SY!U$2</f>
        <v>0</v>
      </c>
      <c r="V248" s="1">
        <f>'Raw Data'!W248/Inv_SY!V$2</f>
        <v>0</v>
      </c>
      <c r="W248" s="1">
        <f>'Raw Data'!X248/Inv_SY!W$2</f>
        <v>0</v>
      </c>
      <c r="X248" s="1">
        <f>'Raw Data'!Y248/Inv_SY!X$2</f>
        <v>0</v>
      </c>
      <c r="Y248" s="1" t="str">
        <f t="shared" si="18"/>
        <v/>
      </c>
      <c r="Z248" s="1">
        <f t="shared" si="19"/>
        <v>0</v>
      </c>
    </row>
    <row r="249" spans="1:26" x14ac:dyDescent="0.3">
      <c r="A249" s="244"/>
      <c r="B249" s="244"/>
      <c r="C249" s="244">
        <f>YEAR(Table12[[#This Row],[Date]])</f>
        <v>2025</v>
      </c>
      <c r="D249" s="244"/>
      <c r="E249" s="244"/>
      <c r="F249" s="245" t="str">
        <f>TEXT(Table12[[#This Row],[Date]],"mmm-yy")</f>
        <v>Nov-25</v>
      </c>
      <c r="G249" s="244">
        <f t="shared" si="17"/>
        <v>30</v>
      </c>
      <c r="H249" s="123">
        <f t="shared" si="16"/>
        <v>45990</v>
      </c>
      <c r="I249" s="1">
        <v>8.0208999999999993</v>
      </c>
      <c r="J249" s="1">
        <f>'Raw Data'!K249/Inv_SY!J$2</f>
        <v>0</v>
      </c>
      <c r="K249" s="1">
        <f>'Raw Data'!L249/Inv_SY!K$2</f>
        <v>0</v>
      </c>
      <c r="L249" s="1">
        <f>'Raw Data'!M249/Inv_SY!L$2</f>
        <v>0</v>
      </c>
      <c r="M249" s="1">
        <f>'Raw Data'!N249/Inv_SY!M$2</f>
        <v>0</v>
      </c>
      <c r="N249" s="1">
        <f>'Raw Data'!O249/Inv_SY!N$2</f>
        <v>0</v>
      </c>
      <c r="O249" s="1">
        <f>'Raw Data'!P249/Inv_SY!O$2</f>
        <v>0</v>
      </c>
      <c r="P249" s="1">
        <f>'Raw Data'!Q249/Inv_SY!P$2</f>
        <v>0</v>
      </c>
      <c r="Q249" s="1">
        <f>'Raw Data'!R249/Inv_SY!Q$2</f>
        <v>0</v>
      </c>
      <c r="R249" s="1">
        <f>'Raw Data'!S249/Inv_SY!R$2</f>
        <v>0</v>
      </c>
      <c r="S249" s="1">
        <f>'Raw Data'!T249/Inv_SY!S$2</f>
        <v>0</v>
      </c>
      <c r="T249" s="1">
        <f>'Raw Data'!U249/Inv_SY!T$2</f>
        <v>0</v>
      </c>
      <c r="U249" s="1">
        <f>'Raw Data'!V249/Inv_SY!U$2</f>
        <v>0</v>
      </c>
      <c r="V249" s="1">
        <f>'Raw Data'!W249/Inv_SY!V$2</f>
        <v>0</v>
      </c>
      <c r="W249" s="1">
        <f>'Raw Data'!X249/Inv_SY!W$2</f>
        <v>0</v>
      </c>
      <c r="X249" s="1">
        <f>'Raw Data'!Y249/Inv_SY!X$2</f>
        <v>0</v>
      </c>
      <c r="Y249" s="1" t="str">
        <f t="shared" si="18"/>
        <v/>
      </c>
      <c r="Z249" s="1">
        <f t="shared" si="19"/>
        <v>0</v>
      </c>
    </row>
    <row r="250" spans="1:26" x14ac:dyDescent="0.3">
      <c r="A250" s="244"/>
      <c r="B250" s="244"/>
      <c r="C250" s="244">
        <f>YEAR(Table12[[#This Row],[Date]])</f>
        <v>2025</v>
      </c>
      <c r="D250" s="244"/>
      <c r="E250" s="244"/>
      <c r="F250" s="245" t="str">
        <f>TEXT(Table12[[#This Row],[Date]],"mmm-yy")</f>
        <v>Nov-25</v>
      </c>
      <c r="G250" s="244">
        <f t="shared" si="17"/>
        <v>30</v>
      </c>
      <c r="H250" s="123">
        <f t="shared" si="16"/>
        <v>45991</v>
      </c>
      <c r="I250" s="1">
        <v>8.0208999999999993</v>
      </c>
      <c r="J250" s="1">
        <f>'Raw Data'!K250/Inv_SY!J$2</f>
        <v>0</v>
      </c>
      <c r="K250" s="1">
        <f>'Raw Data'!L250/Inv_SY!K$2</f>
        <v>0</v>
      </c>
      <c r="L250" s="1">
        <f>'Raw Data'!M250/Inv_SY!L$2</f>
        <v>0</v>
      </c>
      <c r="M250" s="1">
        <f>'Raw Data'!N250/Inv_SY!M$2</f>
        <v>0</v>
      </c>
      <c r="N250" s="1">
        <f>'Raw Data'!O250/Inv_SY!N$2</f>
        <v>0</v>
      </c>
      <c r="O250" s="1">
        <f>'Raw Data'!P250/Inv_SY!O$2</f>
        <v>0</v>
      </c>
      <c r="P250" s="1">
        <f>'Raw Data'!Q250/Inv_SY!P$2</f>
        <v>0</v>
      </c>
      <c r="Q250" s="1">
        <f>'Raw Data'!R250/Inv_SY!Q$2</f>
        <v>0</v>
      </c>
      <c r="R250" s="1">
        <f>'Raw Data'!S250/Inv_SY!R$2</f>
        <v>0</v>
      </c>
      <c r="S250" s="1">
        <f>'Raw Data'!T250/Inv_SY!S$2</f>
        <v>0</v>
      </c>
      <c r="T250" s="1">
        <f>'Raw Data'!U250/Inv_SY!T$2</f>
        <v>0</v>
      </c>
      <c r="U250" s="1">
        <f>'Raw Data'!V250/Inv_SY!U$2</f>
        <v>0</v>
      </c>
      <c r="V250" s="1">
        <f>'Raw Data'!W250/Inv_SY!V$2</f>
        <v>0</v>
      </c>
      <c r="W250" s="1">
        <f>'Raw Data'!X250/Inv_SY!W$2</f>
        <v>0</v>
      </c>
      <c r="X250" s="1">
        <f>'Raw Data'!Y250/Inv_SY!X$2</f>
        <v>0</v>
      </c>
      <c r="Y250" s="1" t="str">
        <f t="shared" si="18"/>
        <v/>
      </c>
      <c r="Z250" s="1">
        <f t="shared" si="19"/>
        <v>0</v>
      </c>
    </row>
    <row r="251" spans="1:26" x14ac:dyDescent="0.3">
      <c r="A251" s="244"/>
      <c r="B251" s="244"/>
      <c r="C251" s="244">
        <f>YEAR(Table12[[#This Row],[Date]])</f>
        <v>2025</v>
      </c>
      <c r="D251" s="244"/>
      <c r="E251" s="244"/>
      <c r="F251" s="245" t="str">
        <f>TEXT(Table12[[#This Row],[Date]],"mmm-yy")</f>
        <v>Dec-25</v>
      </c>
      <c r="G251" s="244">
        <f t="shared" si="17"/>
        <v>31</v>
      </c>
      <c r="H251" s="123">
        <f t="shared" si="16"/>
        <v>45992</v>
      </c>
      <c r="I251" s="1">
        <v>8.0208999999999993</v>
      </c>
      <c r="J251" s="1">
        <f>'Raw Data'!K251/Inv_SY!J$2</f>
        <v>0</v>
      </c>
      <c r="K251" s="1">
        <f>'Raw Data'!L251/Inv_SY!K$2</f>
        <v>0</v>
      </c>
      <c r="L251" s="1">
        <f>'Raw Data'!M251/Inv_SY!L$2</f>
        <v>0</v>
      </c>
      <c r="M251" s="1">
        <f>'Raw Data'!N251/Inv_SY!M$2</f>
        <v>0</v>
      </c>
      <c r="N251" s="1">
        <f>'Raw Data'!O251/Inv_SY!N$2</f>
        <v>0</v>
      </c>
      <c r="O251" s="1">
        <f>'Raw Data'!P251/Inv_SY!O$2</f>
        <v>0</v>
      </c>
      <c r="P251" s="1">
        <f>'Raw Data'!Q251/Inv_SY!P$2</f>
        <v>0</v>
      </c>
      <c r="Q251" s="1">
        <f>'Raw Data'!R251/Inv_SY!Q$2</f>
        <v>0</v>
      </c>
      <c r="R251" s="1">
        <f>'Raw Data'!S251/Inv_SY!R$2</f>
        <v>0</v>
      </c>
      <c r="S251" s="1">
        <f>'Raw Data'!T251/Inv_SY!S$2</f>
        <v>0</v>
      </c>
      <c r="T251" s="1">
        <f>'Raw Data'!U251/Inv_SY!T$2</f>
        <v>0</v>
      </c>
      <c r="U251" s="1">
        <f>'Raw Data'!V251/Inv_SY!U$2</f>
        <v>0</v>
      </c>
      <c r="V251" s="1">
        <f>'Raw Data'!W251/Inv_SY!V$2</f>
        <v>0</v>
      </c>
      <c r="W251" s="1">
        <f>'Raw Data'!X251/Inv_SY!W$2</f>
        <v>0</v>
      </c>
      <c r="X251" s="1">
        <f>'Raw Data'!Y251/Inv_SY!X$2</f>
        <v>0</v>
      </c>
      <c r="Y251" s="1" t="str">
        <f t="shared" si="18"/>
        <v/>
      </c>
      <c r="Z251" s="1">
        <f t="shared" si="19"/>
        <v>0</v>
      </c>
    </row>
    <row r="252" spans="1:26" x14ac:dyDescent="0.3">
      <c r="A252" s="244"/>
      <c r="B252" s="244"/>
      <c r="C252" s="244">
        <f>YEAR(Table12[[#This Row],[Date]])</f>
        <v>2025</v>
      </c>
      <c r="D252" s="244"/>
      <c r="E252" s="244"/>
      <c r="F252" s="245" t="str">
        <f>TEXT(Table12[[#This Row],[Date]],"mmm-yy")</f>
        <v>Dec-25</v>
      </c>
      <c r="G252" s="244">
        <f t="shared" si="17"/>
        <v>31</v>
      </c>
      <c r="H252" s="123">
        <f t="shared" si="16"/>
        <v>45993</v>
      </c>
      <c r="I252" s="1">
        <v>8.0208999999999993</v>
      </c>
      <c r="J252" s="1">
        <f>'Raw Data'!K252/Inv_SY!J$2</f>
        <v>0</v>
      </c>
      <c r="K252" s="1">
        <f>'Raw Data'!L252/Inv_SY!K$2</f>
        <v>0</v>
      </c>
      <c r="L252" s="1">
        <f>'Raw Data'!M252/Inv_SY!L$2</f>
        <v>0</v>
      </c>
      <c r="M252" s="1">
        <f>'Raw Data'!N252/Inv_SY!M$2</f>
        <v>0</v>
      </c>
      <c r="N252" s="1">
        <f>'Raw Data'!O252/Inv_SY!N$2</f>
        <v>0</v>
      </c>
      <c r="O252" s="1">
        <f>'Raw Data'!P252/Inv_SY!O$2</f>
        <v>0</v>
      </c>
      <c r="P252" s="1">
        <f>'Raw Data'!Q252/Inv_SY!P$2</f>
        <v>0</v>
      </c>
      <c r="Q252" s="1">
        <f>'Raw Data'!R252/Inv_SY!Q$2</f>
        <v>0</v>
      </c>
      <c r="R252" s="1">
        <f>'Raw Data'!S252/Inv_SY!R$2</f>
        <v>0</v>
      </c>
      <c r="S252" s="1">
        <f>'Raw Data'!T252/Inv_SY!S$2</f>
        <v>0</v>
      </c>
      <c r="T252" s="1">
        <f>'Raw Data'!U252/Inv_SY!T$2</f>
        <v>0</v>
      </c>
      <c r="U252" s="1">
        <f>'Raw Data'!V252/Inv_SY!U$2</f>
        <v>0</v>
      </c>
      <c r="V252" s="1">
        <f>'Raw Data'!W252/Inv_SY!V$2</f>
        <v>0</v>
      </c>
      <c r="W252" s="1">
        <f>'Raw Data'!X252/Inv_SY!W$2</f>
        <v>0</v>
      </c>
      <c r="X252" s="1">
        <f>'Raw Data'!Y252/Inv_SY!X$2</f>
        <v>0</v>
      </c>
      <c r="Y252" s="1" t="str">
        <f t="shared" si="18"/>
        <v/>
      </c>
      <c r="Z252" s="1">
        <f t="shared" si="19"/>
        <v>0</v>
      </c>
    </row>
    <row r="253" spans="1:26" x14ac:dyDescent="0.3">
      <c r="A253" s="244"/>
      <c r="B253" s="244"/>
      <c r="C253" s="244">
        <f>YEAR(Table12[[#This Row],[Date]])</f>
        <v>2025</v>
      </c>
      <c r="D253" s="244"/>
      <c r="E253" s="244"/>
      <c r="F253" s="245" t="str">
        <f>TEXT(Table12[[#This Row],[Date]],"mmm-yy")</f>
        <v>Dec-25</v>
      </c>
      <c r="G253" s="244">
        <f t="shared" si="17"/>
        <v>31</v>
      </c>
      <c r="H253" s="123">
        <f t="shared" si="16"/>
        <v>45994</v>
      </c>
      <c r="I253" s="1">
        <v>8.0208999999999993</v>
      </c>
      <c r="J253" s="1">
        <f>'Raw Data'!K253/Inv_SY!J$2</f>
        <v>0</v>
      </c>
      <c r="K253" s="1">
        <f>'Raw Data'!L253/Inv_SY!K$2</f>
        <v>0</v>
      </c>
      <c r="L253" s="1">
        <f>'Raw Data'!M253/Inv_SY!L$2</f>
        <v>0</v>
      </c>
      <c r="M253" s="1">
        <f>'Raw Data'!N253/Inv_SY!M$2</f>
        <v>0</v>
      </c>
      <c r="N253" s="1">
        <f>'Raw Data'!O253/Inv_SY!N$2</f>
        <v>0</v>
      </c>
      <c r="O253" s="1">
        <f>'Raw Data'!P253/Inv_SY!O$2</f>
        <v>0</v>
      </c>
      <c r="P253" s="1">
        <f>'Raw Data'!Q253/Inv_SY!P$2</f>
        <v>0</v>
      </c>
      <c r="Q253" s="1">
        <f>'Raw Data'!R253/Inv_SY!Q$2</f>
        <v>0</v>
      </c>
      <c r="R253" s="1">
        <f>'Raw Data'!S253/Inv_SY!R$2</f>
        <v>0</v>
      </c>
      <c r="S253" s="1">
        <f>'Raw Data'!T253/Inv_SY!S$2</f>
        <v>0</v>
      </c>
      <c r="T253" s="1">
        <f>'Raw Data'!U253/Inv_SY!T$2</f>
        <v>0</v>
      </c>
      <c r="U253" s="1">
        <f>'Raw Data'!V253/Inv_SY!U$2</f>
        <v>0</v>
      </c>
      <c r="V253" s="1">
        <f>'Raw Data'!W253/Inv_SY!V$2</f>
        <v>0</v>
      </c>
      <c r="W253" s="1">
        <f>'Raw Data'!X253/Inv_SY!W$2</f>
        <v>0</v>
      </c>
      <c r="X253" s="1">
        <f>'Raw Data'!Y253/Inv_SY!X$2</f>
        <v>0</v>
      </c>
      <c r="Y253" s="1" t="str">
        <f t="shared" si="18"/>
        <v/>
      </c>
      <c r="Z253" s="1">
        <f t="shared" si="19"/>
        <v>0</v>
      </c>
    </row>
    <row r="254" spans="1:26" x14ac:dyDescent="0.3">
      <c r="A254" s="244"/>
      <c r="B254" s="244"/>
      <c r="C254" s="244">
        <f>YEAR(Table12[[#This Row],[Date]])</f>
        <v>2025</v>
      </c>
      <c r="D254" s="244"/>
      <c r="E254" s="244"/>
      <c r="F254" s="245" t="str">
        <f>TEXT(Table12[[#This Row],[Date]],"mmm-yy")</f>
        <v>Dec-25</v>
      </c>
      <c r="G254" s="244">
        <f t="shared" si="17"/>
        <v>31</v>
      </c>
      <c r="H254" s="123">
        <f t="shared" si="16"/>
        <v>45995</v>
      </c>
      <c r="I254" s="1">
        <v>8.0208999999999993</v>
      </c>
      <c r="J254" s="1">
        <f>'Raw Data'!K254/Inv_SY!J$2</f>
        <v>0</v>
      </c>
      <c r="K254" s="1">
        <f>'Raw Data'!L254/Inv_SY!K$2</f>
        <v>0</v>
      </c>
      <c r="L254" s="1">
        <f>'Raw Data'!M254/Inv_SY!L$2</f>
        <v>0</v>
      </c>
      <c r="M254" s="1">
        <f>'Raw Data'!N254/Inv_SY!M$2</f>
        <v>0</v>
      </c>
      <c r="N254" s="1">
        <f>'Raw Data'!O254/Inv_SY!N$2</f>
        <v>0</v>
      </c>
      <c r="O254" s="1">
        <f>'Raw Data'!P254/Inv_SY!O$2</f>
        <v>0</v>
      </c>
      <c r="P254" s="1">
        <f>'Raw Data'!Q254/Inv_SY!P$2</f>
        <v>0</v>
      </c>
      <c r="Q254" s="1">
        <f>'Raw Data'!R254/Inv_SY!Q$2</f>
        <v>0</v>
      </c>
      <c r="R254" s="1">
        <f>'Raw Data'!S254/Inv_SY!R$2</f>
        <v>0</v>
      </c>
      <c r="S254" s="1">
        <f>'Raw Data'!T254/Inv_SY!S$2</f>
        <v>0</v>
      </c>
      <c r="T254" s="1">
        <f>'Raw Data'!U254/Inv_SY!T$2</f>
        <v>0</v>
      </c>
      <c r="U254" s="1">
        <f>'Raw Data'!V254/Inv_SY!U$2</f>
        <v>0</v>
      </c>
      <c r="V254" s="1">
        <f>'Raw Data'!W254/Inv_SY!V$2</f>
        <v>0</v>
      </c>
      <c r="W254" s="1">
        <f>'Raw Data'!X254/Inv_SY!W$2</f>
        <v>0</v>
      </c>
      <c r="X254" s="1">
        <f>'Raw Data'!Y254/Inv_SY!X$2</f>
        <v>0</v>
      </c>
      <c r="Y254" s="1" t="str">
        <f t="shared" si="18"/>
        <v/>
      </c>
      <c r="Z254" s="1">
        <f t="shared" si="19"/>
        <v>0</v>
      </c>
    </row>
    <row r="255" spans="1:26" x14ac:dyDescent="0.3">
      <c r="A255" s="244"/>
      <c r="B255" s="244"/>
      <c r="C255" s="244">
        <f>YEAR(Table12[[#This Row],[Date]])</f>
        <v>2025</v>
      </c>
      <c r="D255" s="244"/>
      <c r="E255" s="244"/>
      <c r="F255" s="245" t="str">
        <f>TEXT(Table12[[#This Row],[Date]],"mmm-yy")</f>
        <v>Dec-25</v>
      </c>
      <c r="G255" s="244">
        <f t="shared" si="17"/>
        <v>31</v>
      </c>
      <c r="H255" s="123">
        <f t="shared" si="16"/>
        <v>45996</v>
      </c>
      <c r="I255" s="1">
        <v>8.0208999999999993</v>
      </c>
      <c r="J255" s="1">
        <f>'Raw Data'!K255/Inv_SY!J$2</f>
        <v>0</v>
      </c>
      <c r="K255" s="1">
        <f>'Raw Data'!L255/Inv_SY!K$2</f>
        <v>0</v>
      </c>
      <c r="L255" s="1">
        <f>'Raw Data'!M255/Inv_SY!L$2</f>
        <v>0</v>
      </c>
      <c r="M255" s="1">
        <f>'Raw Data'!N255/Inv_SY!M$2</f>
        <v>0</v>
      </c>
      <c r="N255" s="1">
        <f>'Raw Data'!O255/Inv_SY!N$2</f>
        <v>0</v>
      </c>
      <c r="O255" s="1">
        <f>'Raw Data'!P255/Inv_SY!O$2</f>
        <v>0</v>
      </c>
      <c r="P255" s="1">
        <f>'Raw Data'!Q255/Inv_SY!P$2</f>
        <v>0</v>
      </c>
      <c r="Q255" s="1">
        <f>'Raw Data'!R255/Inv_SY!Q$2</f>
        <v>0</v>
      </c>
      <c r="R255" s="1">
        <f>'Raw Data'!S255/Inv_SY!R$2</f>
        <v>0</v>
      </c>
      <c r="S255" s="1">
        <f>'Raw Data'!T255/Inv_SY!S$2</f>
        <v>0</v>
      </c>
      <c r="T255" s="1">
        <f>'Raw Data'!U255/Inv_SY!T$2</f>
        <v>0</v>
      </c>
      <c r="U255" s="1">
        <f>'Raw Data'!V255/Inv_SY!U$2</f>
        <v>0</v>
      </c>
      <c r="V255" s="1">
        <f>'Raw Data'!W255/Inv_SY!V$2</f>
        <v>0</v>
      </c>
      <c r="W255" s="1">
        <f>'Raw Data'!X255/Inv_SY!W$2</f>
        <v>0</v>
      </c>
      <c r="X255" s="1">
        <f>'Raw Data'!Y255/Inv_SY!X$2</f>
        <v>0</v>
      </c>
      <c r="Y255" s="1" t="str">
        <f t="shared" si="18"/>
        <v/>
      </c>
      <c r="Z255" s="1">
        <f t="shared" si="19"/>
        <v>0</v>
      </c>
    </row>
    <row r="256" spans="1:26" x14ac:dyDescent="0.3">
      <c r="A256" s="244"/>
      <c r="B256" s="244"/>
      <c r="C256" s="244">
        <f>YEAR(Table12[[#This Row],[Date]])</f>
        <v>2025</v>
      </c>
      <c r="D256" s="244"/>
      <c r="E256" s="244"/>
      <c r="F256" s="245" t="str">
        <f>TEXT(Table12[[#This Row],[Date]],"mmm-yy")</f>
        <v>Dec-25</v>
      </c>
      <c r="G256" s="244">
        <f t="shared" si="17"/>
        <v>31</v>
      </c>
      <c r="H256" s="123">
        <f t="shared" si="16"/>
        <v>45997</v>
      </c>
      <c r="I256" s="1">
        <v>8.0208999999999993</v>
      </c>
      <c r="J256" s="1">
        <f>'Raw Data'!K256/Inv_SY!J$2</f>
        <v>0</v>
      </c>
      <c r="K256" s="1">
        <f>'Raw Data'!L256/Inv_SY!K$2</f>
        <v>0</v>
      </c>
      <c r="L256" s="1">
        <f>'Raw Data'!M256/Inv_SY!L$2</f>
        <v>0</v>
      </c>
      <c r="M256" s="1">
        <f>'Raw Data'!N256/Inv_SY!M$2</f>
        <v>0</v>
      </c>
      <c r="N256" s="1">
        <f>'Raw Data'!O256/Inv_SY!N$2</f>
        <v>0</v>
      </c>
      <c r="O256" s="1">
        <f>'Raw Data'!P256/Inv_SY!O$2</f>
        <v>0</v>
      </c>
      <c r="P256" s="1">
        <f>'Raw Data'!Q256/Inv_SY!P$2</f>
        <v>0</v>
      </c>
      <c r="Q256" s="1">
        <f>'Raw Data'!R256/Inv_SY!Q$2</f>
        <v>0</v>
      </c>
      <c r="R256" s="1">
        <f>'Raw Data'!S256/Inv_SY!R$2</f>
        <v>0</v>
      </c>
      <c r="S256" s="1">
        <f>'Raw Data'!T256/Inv_SY!S$2</f>
        <v>0</v>
      </c>
      <c r="T256" s="1">
        <f>'Raw Data'!U256/Inv_SY!T$2</f>
        <v>0</v>
      </c>
      <c r="U256" s="1">
        <f>'Raw Data'!V256/Inv_SY!U$2</f>
        <v>0</v>
      </c>
      <c r="V256" s="1">
        <f>'Raw Data'!W256/Inv_SY!V$2</f>
        <v>0</v>
      </c>
      <c r="W256" s="1">
        <f>'Raw Data'!X256/Inv_SY!W$2</f>
        <v>0</v>
      </c>
      <c r="X256" s="1">
        <f>'Raw Data'!Y256/Inv_SY!X$2</f>
        <v>0</v>
      </c>
      <c r="Y256" s="1" t="str">
        <f t="shared" si="18"/>
        <v/>
      </c>
      <c r="Z256" s="1">
        <f t="shared" si="19"/>
        <v>0</v>
      </c>
    </row>
    <row r="257" spans="1:26" x14ac:dyDescent="0.3">
      <c r="A257" s="244"/>
      <c r="B257" s="244"/>
      <c r="C257" s="244">
        <f>YEAR(Table12[[#This Row],[Date]])</f>
        <v>2025</v>
      </c>
      <c r="D257" s="244"/>
      <c r="E257" s="244"/>
      <c r="F257" s="245" t="str">
        <f>TEXT(Table12[[#This Row],[Date]],"mmm-yy")</f>
        <v>Dec-25</v>
      </c>
      <c r="G257" s="244">
        <f t="shared" si="17"/>
        <v>31</v>
      </c>
      <c r="H257" s="123">
        <f t="shared" si="16"/>
        <v>45998</v>
      </c>
      <c r="I257" s="1">
        <v>8.0208999999999993</v>
      </c>
      <c r="J257" s="1">
        <f>'Raw Data'!K257/Inv_SY!J$2</f>
        <v>0</v>
      </c>
      <c r="K257" s="1">
        <f>'Raw Data'!L257/Inv_SY!K$2</f>
        <v>0</v>
      </c>
      <c r="L257" s="1">
        <f>'Raw Data'!M257/Inv_SY!L$2</f>
        <v>0</v>
      </c>
      <c r="M257" s="1">
        <f>'Raw Data'!N257/Inv_SY!M$2</f>
        <v>0</v>
      </c>
      <c r="N257" s="1">
        <f>'Raw Data'!O257/Inv_SY!N$2</f>
        <v>0</v>
      </c>
      <c r="O257" s="1">
        <f>'Raw Data'!P257/Inv_SY!O$2</f>
        <v>0</v>
      </c>
      <c r="P257" s="1">
        <f>'Raw Data'!Q257/Inv_SY!P$2</f>
        <v>0</v>
      </c>
      <c r="Q257" s="1">
        <f>'Raw Data'!R257/Inv_SY!Q$2</f>
        <v>0</v>
      </c>
      <c r="R257" s="1">
        <f>'Raw Data'!S257/Inv_SY!R$2</f>
        <v>0</v>
      </c>
      <c r="S257" s="1">
        <f>'Raw Data'!T257/Inv_SY!S$2</f>
        <v>0</v>
      </c>
      <c r="T257" s="1">
        <f>'Raw Data'!U257/Inv_SY!T$2</f>
        <v>0</v>
      </c>
      <c r="U257" s="1">
        <f>'Raw Data'!V257/Inv_SY!U$2</f>
        <v>0</v>
      </c>
      <c r="V257" s="1">
        <f>'Raw Data'!W257/Inv_SY!V$2</f>
        <v>0</v>
      </c>
      <c r="W257" s="1">
        <f>'Raw Data'!X257/Inv_SY!W$2</f>
        <v>0</v>
      </c>
      <c r="X257" s="1">
        <f>'Raw Data'!Y257/Inv_SY!X$2</f>
        <v>0</v>
      </c>
      <c r="Y257" s="1" t="str">
        <f t="shared" si="18"/>
        <v/>
      </c>
      <c r="Z257" s="1">
        <f t="shared" si="19"/>
        <v>0</v>
      </c>
    </row>
    <row r="258" spans="1:26" x14ac:dyDescent="0.3">
      <c r="A258" s="244"/>
      <c r="B258" s="244"/>
      <c r="C258" s="244">
        <f>YEAR(Table12[[#This Row],[Date]])</f>
        <v>2025</v>
      </c>
      <c r="D258" s="244"/>
      <c r="E258" s="244"/>
      <c r="F258" s="245" t="str">
        <f>TEXT(Table12[[#This Row],[Date]],"mmm-yy")</f>
        <v>Dec-25</v>
      </c>
      <c r="G258" s="244">
        <f t="shared" si="17"/>
        <v>31</v>
      </c>
      <c r="H258" s="123">
        <f t="shared" si="16"/>
        <v>45999</v>
      </c>
      <c r="I258" s="1">
        <v>8.0208999999999993</v>
      </c>
      <c r="J258" s="1">
        <f>'Raw Data'!K258/Inv_SY!J$2</f>
        <v>0</v>
      </c>
      <c r="K258" s="1">
        <f>'Raw Data'!L258/Inv_SY!K$2</f>
        <v>0</v>
      </c>
      <c r="L258" s="1">
        <f>'Raw Data'!M258/Inv_SY!L$2</f>
        <v>0</v>
      </c>
      <c r="M258" s="1">
        <f>'Raw Data'!N258/Inv_SY!M$2</f>
        <v>0</v>
      </c>
      <c r="N258" s="1">
        <f>'Raw Data'!O258/Inv_SY!N$2</f>
        <v>0</v>
      </c>
      <c r="O258" s="1">
        <f>'Raw Data'!P258/Inv_SY!O$2</f>
        <v>0</v>
      </c>
      <c r="P258" s="1">
        <f>'Raw Data'!Q258/Inv_SY!P$2</f>
        <v>0</v>
      </c>
      <c r="Q258" s="1">
        <f>'Raw Data'!R258/Inv_SY!Q$2</f>
        <v>0</v>
      </c>
      <c r="R258" s="1">
        <f>'Raw Data'!S258/Inv_SY!R$2</f>
        <v>0</v>
      </c>
      <c r="S258" s="1">
        <f>'Raw Data'!T258/Inv_SY!S$2</f>
        <v>0</v>
      </c>
      <c r="T258" s="1">
        <f>'Raw Data'!U258/Inv_SY!T$2</f>
        <v>0</v>
      </c>
      <c r="U258" s="1">
        <f>'Raw Data'!V258/Inv_SY!U$2</f>
        <v>0</v>
      </c>
      <c r="V258" s="1">
        <f>'Raw Data'!W258/Inv_SY!V$2</f>
        <v>0</v>
      </c>
      <c r="W258" s="1">
        <f>'Raw Data'!X258/Inv_SY!W$2</f>
        <v>0</v>
      </c>
      <c r="X258" s="1">
        <f>'Raw Data'!Y258/Inv_SY!X$2</f>
        <v>0</v>
      </c>
      <c r="Y258" s="1" t="str">
        <f t="shared" si="18"/>
        <v/>
      </c>
      <c r="Z258" s="1">
        <f t="shared" si="19"/>
        <v>0</v>
      </c>
    </row>
    <row r="259" spans="1:26" x14ac:dyDescent="0.3">
      <c r="A259" s="244"/>
      <c r="B259" s="244"/>
      <c r="C259" s="244">
        <f>YEAR(Table12[[#This Row],[Date]])</f>
        <v>2025</v>
      </c>
      <c r="D259" s="244"/>
      <c r="E259" s="244"/>
      <c r="F259" s="245" t="str">
        <f>TEXT(Table12[[#This Row],[Date]],"mmm-yy")</f>
        <v>Dec-25</v>
      </c>
      <c r="G259" s="244">
        <f t="shared" si="17"/>
        <v>31</v>
      </c>
      <c r="H259" s="123">
        <f t="shared" si="16"/>
        <v>46000</v>
      </c>
      <c r="I259" s="1">
        <v>8.0208999999999993</v>
      </c>
      <c r="J259" s="1">
        <f>'Raw Data'!K259/Inv_SY!J$2</f>
        <v>0</v>
      </c>
      <c r="K259" s="1">
        <f>'Raw Data'!L259/Inv_SY!K$2</f>
        <v>0</v>
      </c>
      <c r="L259" s="1">
        <f>'Raw Data'!M259/Inv_SY!L$2</f>
        <v>0</v>
      </c>
      <c r="M259" s="1">
        <f>'Raw Data'!N259/Inv_SY!M$2</f>
        <v>0</v>
      </c>
      <c r="N259" s="1">
        <f>'Raw Data'!O259/Inv_SY!N$2</f>
        <v>0</v>
      </c>
      <c r="O259" s="1">
        <f>'Raw Data'!P259/Inv_SY!O$2</f>
        <v>0</v>
      </c>
      <c r="P259" s="1">
        <f>'Raw Data'!Q259/Inv_SY!P$2</f>
        <v>0</v>
      </c>
      <c r="Q259" s="1">
        <f>'Raw Data'!R259/Inv_SY!Q$2</f>
        <v>0</v>
      </c>
      <c r="R259" s="1">
        <f>'Raw Data'!S259/Inv_SY!R$2</f>
        <v>0</v>
      </c>
      <c r="S259" s="1">
        <f>'Raw Data'!T259/Inv_SY!S$2</f>
        <v>0</v>
      </c>
      <c r="T259" s="1">
        <f>'Raw Data'!U259/Inv_SY!T$2</f>
        <v>0</v>
      </c>
      <c r="U259" s="1">
        <f>'Raw Data'!V259/Inv_SY!U$2</f>
        <v>0</v>
      </c>
      <c r="V259" s="1">
        <f>'Raw Data'!W259/Inv_SY!V$2</f>
        <v>0</v>
      </c>
      <c r="W259" s="1">
        <f>'Raw Data'!X259/Inv_SY!W$2</f>
        <v>0</v>
      </c>
      <c r="X259" s="1">
        <f>'Raw Data'!Y259/Inv_SY!X$2</f>
        <v>0</v>
      </c>
      <c r="Y259" s="1" t="str">
        <f t="shared" si="18"/>
        <v/>
      </c>
      <c r="Z259" s="1">
        <f t="shared" si="19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209"/>
  <sheetViews>
    <sheetView tabSelected="1" zoomScaleNormal="100" workbookViewId="0">
      <pane xSplit="8" ySplit="1" topLeftCell="AB106" activePane="bottomRight" state="frozen"/>
      <selection pane="topRight" activeCell="I1" sqref="I1"/>
      <selection pane="bottomLeft" activeCell="A2" sqref="A2"/>
      <selection pane="bottomRight" activeCell="J33" sqref="J33:AM209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68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46">
        <f>YEAR(Table5[[#This Row],[Date]])+IF(MONTH(Table5[[#This Row],[Date]])&gt;=4,1,0)</f>
        <v>2026</v>
      </c>
      <c r="B45" s="246"/>
      <c r="C45" s="246">
        <f>YEAR(Table5[[#This Row],[Date]])</f>
        <v>2025</v>
      </c>
      <c r="D45" s="246"/>
      <c r="E45" s="246"/>
      <c r="F45" s="247" t="str">
        <f>TEXT(Table5[[#This Row],[Date]],"mmm-yy")</f>
        <v>May-25</v>
      </c>
      <c r="G45" s="246">
        <f t="shared" ref="G45:G76" si="5">DAY(EOMONTH(F45,0))</f>
        <v>31</v>
      </c>
      <c r="H45" s="125">
        <f t="shared" si="2"/>
        <v>45788</v>
      </c>
      <c r="I45" s="55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46">
        <f>YEAR(Table5[[#This Row],[Date]])+IF(MONTH(Table5[[#This Row],[Date]])&gt;=4,1,0)</f>
        <v>2026</v>
      </c>
      <c r="B46" s="246"/>
      <c r="C46" s="246">
        <f>YEAR(Table5[[#This Row],[Date]])</f>
        <v>2025</v>
      </c>
      <c r="D46" s="246"/>
      <c r="E46" s="246"/>
      <c r="F46" s="247" t="str">
        <f>TEXT(Table5[[#This Row],[Date]],"mmm-yy")</f>
        <v>May-25</v>
      </c>
      <c r="G46" s="246">
        <f t="shared" si="5"/>
        <v>31</v>
      </c>
      <c r="H46" s="125">
        <f t="shared" si="2"/>
        <v>45789</v>
      </c>
      <c r="I46" s="55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46">
        <f>YEAR(Table5[[#This Row],[Date]])+IF(MONTH(Table5[[#This Row],[Date]])&gt;=4,1,0)</f>
        <v>2026</v>
      </c>
      <c r="B47" s="246"/>
      <c r="C47" s="246">
        <f>YEAR(Table5[[#This Row],[Date]])</f>
        <v>2025</v>
      </c>
      <c r="D47" s="246"/>
      <c r="E47" s="246"/>
      <c r="F47" s="247" t="str">
        <f>TEXT(Table5[[#This Row],[Date]],"mmm-yy")</f>
        <v>May-25</v>
      </c>
      <c r="G47" s="246">
        <f t="shared" si="5"/>
        <v>31</v>
      </c>
      <c r="H47" s="125">
        <f t="shared" si="2"/>
        <v>45790</v>
      </c>
      <c r="I47" s="55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46">
        <f>YEAR(Table5[[#This Row],[Date]])+IF(MONTH(Table5[[#This Row],[Date]])&gt;=4,1,0)</f>
        <v>2026</v>
      </c>
      <c r="B48" s="246"/>
      <c r="C48" s="246">
        <f>YEAR(Table5[[#This Row],[Date]])</f>
        <v>2025</v>
      </c>
      <c r="D48" s="246"/>
      <c r="E48" s="246"/>
      <c r="F48" s="247" t="str">
        <f>TEXT(Table5[[#This Row],[Date]],"mmm-yy")</f>
        <v>May-25</v>
      </c>
      <c r="G48" s="246">
        <f t="shared" si="5"/>
        <v>31</v>
      </c>
      <c r="H48" s="125">
        <f t="shared" si="2"/>
        <v>45791</v>
      </c>
      <c r="I48" s="55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46">
        <f>YEAR(Table5[[#This Row],[Date]])+IF(MONTH(Table5[[#This Row],[Date]])&gt;=4,1,0)</f>
        <v>2026</v>
      </c>
      <c r="B49" s="246"/>
      <c r="C49" s="246">
        <f>YEAR(Table5[[#This Row],[Date]])</f>
        <v>2025</v>
      </c>
      <c r="D49" s="246"/>
      <c r="E49" s="246"/>
      <c r="F49" s="247" t="str">
        <f>TEXT(Table5[[#This Row],[Date]],"mmm-yy")</f>
        <v>May-25</v>
      </c>
      <c r="G49" s="246">
        <f t="shared" si="5"/>
        <v>31</v>
      </c>
      <c r="H49" s="125">
        <f t="shared" si="2"/>
        <v>45792</v>
      </c>
      <c r="I49" s="55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46">
        <f>YEAR(Table5[[#This Row],[Date]])+IF(MONTH(Table5[[#This Row],[Date]])&gt;=4,1,0)</f>
        <v>2026</v>
      </c>
      <c r="B50" s="246"/>
      <c r="C50" s="246">
        <f>YEAR(Table5[[#This Row],[Date]])</f>
        <v>2025</v>
      </c>
      <c r="D50" s="246"/>
      <c r="E50" s="246"/>
      <c r="F50" s="247" t="str">
        <f>TEXT(Table5[[#This Row],[Date]],"mmm-yy")</f>
        <v>May-25</v>
      </c>
      <c r="G50" s="246">
        <f t="shared" si="5"/>
        <v>31</v>
      </c>
      <c r="H50" s="125">
        <f t="shared" si="2"/>
        <v>45793</v>
      </c>
      <c r="I50" s="55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46">
        <f>YEAR(Table5[[#This Row],[Date]])+IF(MONTH(Table5[[#This Row],[Date]])&gt;=4,1,0)</f>
        <v>2026</v>
      </c>
      <c r="B51" s="246"/>
      <c r="C51" s="246">
        <f>YEAR(Table5[[#This Row],[Date]])</f>
        <v>2025</v>
      </c>
      <c r="D51" s="246"/>
      <c r="E51" s="246"/>
      <c r="F51" s="247" t="str">
        <f>TEXT(Table5[[#This Row],[Date]],"mmm-yy")</f>
        <v>May-25</v>
      </c>
      <c r="G51" s="246">
        <f t="shared" si="5"/>
        <v>31</v>
      </c>
      <c r="H51" s="125">
        <f t="shared" si="2"/>
        <v>45794</v>
      </c>
      <c r="I51" s="55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46">
        <f>YEAR(Table5[[#This Row],[Date]])+IF(MONTH(Table5[[#This Row],[Date]])&gt;=4,1,0)</f>
        <v>2026</v>
      </c>
      <c r="B52" s="246"/>
      <c r="C52" s="246">
        <f>YEAR(Table5[[#This Row],[Date]])</f>
        <v>2025</v>
      </c>
      <c r="D52" s="246"/>
      <c r="E52" s="246"/>
      <c r="F52" s="247" t="str">
        <f>TEXT(Table5[[#This Row],[Date]],"mmm-yy")</f>
        <v>May-25</v>
      </c>
      <c r="G52" s="246">
        <f t="shared" si="5"/>
        <v>31</v>
      </c>
      <c r="H52" s="125">
        <f t="shared" si="2"/>
        <v>45795</v>
      </c>
      <c r="I52" s="55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46">
        <f>YEAR(Table5[[#This Row],[Date]])+IF(MONTH(Table5[[#This Row],[Date]])&gt;=4,1,0)</f>
        <v>2026</v>
      </c>
      <c r="B53" s="246"/>
      <c r="C53" s="246">
        <f>YEAR(Table5[[#This Row],[Date]])</f>
        <v>2025</v>
      </c>
      <c r="D53" s="246"/>
      <c r="E53" s="246"/>
      <c r="F53" s="247" t="str">
        <f>TEXT(Table5[[#This Row],[Date]],"mmm-yy")</f>
        <v>May-25</v>
      </c>
      <c r="G53" s="246">
        <f t="shared" si="5"/>
        <v>31</v>
      </c>
      <c r="H53" s="125">
        <f t="shared" si="2"/>
        <v>45796</v>
      </c>
      <c r="I53" s="55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46">
        <f>YEAR(Table5[[#This Row],[Date]])+IF(MONTH(Table5[[#This Row],[Date]])&gt;=4,1,0)</f>
        <v>2026</v>
      </c>
      <c r="B54" s="246"/>
      <c r="C54" s="246">
        <f>YEAR(Table5[[#This Row],[Date]])</f>
        <v>2025</v>
      </c>
      <c r="D54" s="246"/>
      <c r="E54" s="246"/>
      <c r="F54" s="247" t="str">
        <f>TEXT(Table5[[#This Row],[Date]],"mmm-yy")</f>
        <v>May-25</v>
      </c>
      <c r="G54" s="246">
        <f t="shared" si="5"/>
        <v>31</v>
      </c>
      <c r="H54" s="125">
        <f t="shared" si="2"/>
        <v>45797</v>
      </c>
      <c r="I54" s="55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46">
        <f>YEAR(Table5[[#This Row],[Date]])+IF(MONTH(Table5[[#This Row],[Date]])&gt;=4,1,0)</f>
        <v>2026</v>
      </c>
      <c r="B55" s="246"/>
      <c r="C55" s="246">
        <f>YEAR(Table5[[#This Row],[Date]])</f>
        <v>2025</v>
      </c>
      <c r="D55" s="246"/>
      <c r="E55" s="246"/>
      <c r="F55" s="247" t="str">
        <f>TEXT(Table5[[#This Row],[Date]],"mmm-yy")</f>
        <v>May-25</v>
      </c>
      <c r="G55" s="246">
        <f t="shared" si="5"/>
        <v>31</v>
      </c>
      <c r="H55" s="125">
        <f t="shared" si="2"/>
        <v>45798</v>
      </c>
      <c r="I55" s="55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46">
        <f>YEAR(Table5[[#This Row],[Date]])+IF(MONTH(Table5[[#This Row],[Date]])&gt;=4,1,0)</f>
        <v>2026</v>
      </c>
      <c r="B56" s="246"/>
      <c r="C56" s="246">
        <f>YEAR(Table5[[#This Row],[Date]])</f>
        <v>2025</v>
      </c>
      <c r="D56" s="246"/>
      <c r="E56" s="246"/>
      <c r="F56" s="247" t="str">
        <f>TEXT(Table5[[#This Row],[Date]],"mmm-yy")</f>
        <v>May-25</v>
      </c>
      <c r="G56" s="246">
        <f t="shared" si="5"/>
        <v>31</v>
      </c>
      <c r="H56" s="125">
        <f t="shared" si="2"/>
        <v>45799</v>
      </c>
      <c r="I56" s="55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46">
        <f>YEAR(Table5[[#This Row],[Date]])+IF(MONTH(Table5[[#This Row],[Date]])&gt;=4,1,0)</f>
        <v>2026</v>
      </c>
      <c r="B57" s="246"/>
      <c r="C57" s="246">
        <f>YEAR(Table5[[#This Row],[Date]])</f>
        <v>2025</v>
      </c>
      <c r="D57" s="246"/>
      <c r="E57" s="246"/>
      <c r="F57" s="247" t="str">
        <f>TEXT(Table5[[#This Row],[Date]],"mmm-yy")</f>
        <v>May-25</v>
      </c>
      <c r="G57" s="246">
        <f t="shared" si="5"/>
        <v>31</v>
      </c>
      <c r="H57" s="125">
        <f t="shared" si="2"/>
        <v>45800</v>
      </c>
      <c r="I57" s="55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46">
        <f>YEAR(Table5[[#This Row],[Date]])+IF(MONTH(Table5[[#This Row],[Date]])&gt;=4,1,0)</f>
        <v>2026</v>
      </c>
      <c r="B58" s="246"/>
      <c r="C58" s="246">
        <f>YEAR(Table5[[#This Row],[Date]])</f>
        <v>2025</v>
      </c>
      <c r="D58" s="246"/>
      <c r="E58" s="246"/>
      <c r="F58" s="247" t="str">
        <f>TEXT(Table5[[#This Row],[Date]],"mmm-yy")</f>
        <v>May-25</v>
      </c>
      <c r="G58" s="246">
        <f t="shared" si="5"/>
        <v>31</v>
      </c>
      <c r="H58" s="125">
        <f t="shared" si="2"/>
        <v>45801</v>
      </c>
      <c r="I58" s="55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46">
        <f>YEAR(Table5[[#This Row],[Date]])+IF(MONTH(Table5[[#This Row],[Date]])&gt;=4,1,0)</f>
        <v>2026</v>
      </c>
      <c r="B59" s="246"/>
      <c r="C59" s="246">
        <f>YEAR(Table5[[#This Row],[Date]])</f>
        <v>2025</v>
      </c>
      <c r="D59" s="246"/>
      <c r="E59" s="246"/>
      <c r="F59" s="247" t="str">
        <f>TEXT(Table5[[#This Row],[Date]],"mmm-yy")</f>
        <v>May-25</v>
      </c>
      <c r="G59" s="246">
        <f t="shared" si="5"/>
        <v>31</v>
      </c>
      <c r="H59" s="125">
        <f t="shared" si="2"/>
        <v>45802</v>
      </c>
      <c r="I59" s="55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46">
        <f>YEAR(Table5[[#This Row],[Date]])+IF(MONTH(Table5[[#This Row],[Date]])&gt;=4,1,0)</f>
        <v>2026</v>
      </c>
      <c r="B60" s="246"/>
      <c r="C60" s="246">
        <f>YEAR(Table5[[#This Row],[Date]])</f>
        <v>2025</v>
      </c>
      <c r="D60" s="246"/>
      <c r="E60" s="246"/>
      <c r="F60" s="247" t="str">
        <f>TEXT(Table5[[#This Row],[Date]],"mmm-yy")</f>
        <v>May-25</v>
      </c>
      <c r="G60" s="246">
        <f t="shared" si="5"/>
        <v>31</v>
      </c>
      <c r="H60" s="125">
        <f t="shared" si="2"/>
        <v>45803</v>
      </c>
      <c r="I60" s="55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46">
        <f>YEAR(Table5[[#This Row],[Date]])+IF(MONTH(Table5[[#This Row],[Date]])&gt;=4,1,0)</f>
        <v>2026</v>
      </c>
      <c r="B61" s="246"/>
      <c r="C61" s="246">
        <f>YEAR(Table5[[#This Row],[Date]])</f>
        <v>2025</v>
      </c>
      <c r="D61" s="246"/>
      <c r="E61" s="246"/>
      <c r="F61" s="247" t="str">
        <f>TEXT(Table5[[#This Row],[Date]],"mmm-yy")</f>
        <v>May-25</v>
      </c>
      <c r="G61" s="246">
        <f t="shared" si="5"/>
        <v>31</v>
      </c>
      <c r="H61" s="125">
        <f t="shared" si="2"/>
        <v>45804</v>
      </c>
      <c r="I61" s="55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46">
        <f>YEAR(Table5[[#This Row],[Date]])+IF(MONTH(Table5[[#This Row],[Date]])&gt;=4,1,0)</f>
        <v>2026</v>
      </c>
      <c r="B62" s="246"/>
      <c r="C62" s="246">
        <f>YEAR(Table5[[#This Row],[Date]])</f>
        <v>2025</v>
      </c>
      <c r="D62" s="246"/>
      <c r="E62" s="246"/>
      <c r="F62" s="247" t="str">
        <f>TEXT(Table5[[#This Row],[Date]],"mmm-yy")</f>
        <v>May-25</v>
      </c>
      <c r="G62" s="246">
        <f t="shared" si="5"/>
        <v>31</v>
      </c>
      <c r="H62" s="125">
        <f t="shared" si="2"/>
        <v>45805</v>
      </c>
      <c r="I62" s="55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46">
        <f>YEAR(Table5[[#This Row],[Date]])+IF(MONTH(Table5[[#This Row],[Date]])&gt;=4,1,0)</f>
        <v>2026</v>
      </c>
      <c r="B63" s="246"/>
      <c r="C63" s="246">
        <f>YEAR(Table5[[#This Row],[Date]])</f>
        <v>2025</v>
      </c>
      <c r="D63" s="246"/>
      <c r="E63" s="246"/>
      <c r="F63" s="247" t="str">
        <f>TEXT(Table5[[#This Row],[Date]],"mmm-yy")</f>
        <v>May-25</v>
      </c>
      <c r="G63" s="246">
        <f t="shared" si="5"/>
        <v>31</v>
      </c>
      <c r="H63" s="125">
        <f t="shared" si="2"/>
        <v>45806</v>
      </c>
      <c r="I63" s="55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46">
        <f>YEAR(Table5[[#This Row],[Date]])+IF(MONTH(Table5[[#This Row],[Date]])&gt;=4,1,0)</f>
        <v>2026</v>
      </c>
      <c r="B64" s="246"/>
      <c r="C64" s="246">
        <f>YEAR(Table5[[#This Row],[Date]])</f>
        <v>2025</v>
      </c>
      <c r="D64" s="246"/>
      <c r="E64" s="246"/>
      <c r="F64" s="247" t="str">
        <f>TEXT(Table5[[#This Row],[Date]],"mmm-yy")</f>
        <v>May-25</v>
      </c>
      <c r="G64" s="246">
        <f t="shared" si="5"/>
        <v>31</v>
      </c>
      <c r="H64" s="125">
        <f t="shared" si="2"/>
        <v>45807</v>
      </c>
      <c r="I64" s="55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46">
        <f>YEAR(Table5[[#This Row],[Date]])+IF(MONTH(Table5[[#This Row],[Date]])&gt;=4,1,0)</f>
        <v>2026</v>
      </c>
      <c r="B65" s="246"/>
      <c r="C65" s="246">
        <f>YEAR(Table5[[#This Row],[Date]])</f>
        <v>2025</v>
      </c>
      <c r="D65" s="246"/>
      <c r="E65" s="246"/>
      <c r="F65" s="247" t="str">
        <f>TEXT(Table5[[#This Row],[Date]],"mmm-yy")</f>
        <v>May-25</v>
      </c>
      <c r="G65" s="246">
        <f t="shared" si="5"/>
        <v>31</v>
      </c>
      <c r="H65" s="125">
        <f t="shared" si="2"/>
        <v>45808</v>
      </c>
      <c r="I65" s="55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46">
        <f>YEAR(Table5[[#This Row],[Date]])+IF(MONTH(Table5[[#This Row],[Date]])&gt;=4,1,0)</f>
        <v>2026</v>
      </c>
      <c r="B66" s="246"/>
      <c r="C66" s="246">
        <f>YEAR(Table5[[#This Row],[Date]])</f>
        <v>2025</v>
      </c>
      <c r="D66" s="246"/>
      <c r="E66" s="246"/>
      <c r="F66" s="247" t="str">
        <f>TEXT(Table5[[#This Row],[Date]],"mmm-yy")</f>
        <v>Jun-25</v>
      </c>
      <c r="G66" s="246">
        <f t="shared" si="5"/>
        <v>30</v>
      </c>
      <c r="H66" s="125">
        <f t="shared" si="2"/>
        <v>45809</v>
      </c>
      <c r="I66" s="55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46">
        <f>YEAR(Table5[[#This Row],[Date]])+IF(MONTH(Table5[[#This Row],[Date]])&gt;=4,1,0)</f>
        <v>2026</v>
      </c>
      <c r="B67" s="246"/>
      <c r="C67" s="246">
        <f>YEAR(Table5[[#This Row],[Date]])</f>
        <v>2025</v>
      </c>
      <c r="D67" s="246"/>
      <c r="E67" s="246"/>
      <c r="F67" s="247" t="str">
        <f>TEXT(Table5[[#This Row],[Date]],"mmm-yy")</f>
        <v>Jun-25</v>
      </c>
      <c r="G67" s="246">
        <f t="shared" si="5"/>
        <v>30</v>
      </c>
      <c r="H67" s="125">
        <f t="shared" si="2"/>
        <v>45810</v>
      </c>
      <c r="I67" s="55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46">
        <f>YEAR(Table5[[#This Row],[Date]])+IF(MONTH(Table5[[#This Row],[Date]])&gt;=4,1,0)</f>
        <v>2026</v>
      </c>
      <c r="B68" s="246"/>
      <c r="C68" s="246">
        <f>YEAR(Table5[[#This Row],[Date]])</f>
        <v>2025</v>
      </c>
      <c r="D68" s="246"/>
      <c r="E68" s="246"/>
      <c r="F68" s="247" t="str">
        <f>TEXT(Table5[[#This Row],[Date]],"mmm-yy")</f>
        <v>Jun-25</v>
      </c>
      <c r="G68" s="246">
        <f t="shared" si="5"/>
        <v>30</v>
      </c>
      <c r="H68" s="125">
        <f t="shared" si="2"/>
        <v>45811</v>
      </c>
      <c r="I68" s="55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46">
        <f>YEAR(Table5[[#This Row],[Date]])+IF(MONTH(Table5[[#This Row],[Date]])&gt;=4,1,0)</f>
        <v>2026</v>
      </c>
      <c r="B69" s="246"/>
      <c r="C69" s="246">
        <f>YEAR(Table5[[#This Row],[Date]])</f>
        <v>2025</v>
      </c>
      <c r="D69" s="246"/>
      <c r="E69" s="246"/>
      <c r="F69" s="247" t="str">
        <f>TEXT(Table5[[#This Row],[Date]],"mmm-yy")</f>
        <v>Jun-25</v>
      </c>
      <c r="G69" s="246">
        <f t="shared" si="5"/>
        <v>30</v>
      </c>
      <c r="H69" s="125">
        <f t="shared" ref="H69:H132" si="6">H68+1</f>
        <v>45812</v>
      </c>
      <c r="I69" s="55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46">
        <f>YEAR(Table5[[#This Row],[Date]])+IF(MONTH(Table5[[#This Row],[Date]])&gt;=4,1,0)</f>
        <v>2026</v>
      </c>
      <c r="B70" s="246"/>
      <c r="C70" s="246">
        <f>YEAR(Table5[[#This Row],[Date]])</f>
        <v>2025</v>
      </c>
      <c r="D70" s="246"/>
      <c r="E70" s="246"/>
      <c r="F70" s="247" t="str">
        <f>TEXT(Table5[[#This Row],[Date]],"mmm-yy")</f>
        <v>Jun-25</v>
      </c>
      <c r="G70" s="246">
        <f t="shared" si="5"/>
        <v>30</v>
      </c>
      <c r="H70" s="125">
        <f t="shared" si="6"/>
        <v>45813</v>
      </c>
      <c r="I70" s="55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46">
        <f>YEAR(Table5[[#This Row],[Date]])+IF(MONTH(Table5[[#This Row],[Date]])&gt;=4,1,0)</f>
        <v>2026</v>
      </c>
      <c r="B71" s="246"/>
      <c r="C71" s="246">
        <f>YEAR(Table5[[#This Row],[Date]])</f>
        <v>2025</v>
      </c>
      <c r="D71" s="246"/>
      <c r="E71" s="246"/>
      <c r="F71" s="247" t="str">
        <f>TEXT(Table5[[#This Row],[Date]],"mmm-yy")</f>
        <v>Jun-25</v>
      </c>
      <c r="G71" s="246">
        <f t="shared" si="5"/>
        <v>30</v>
      </c>
      <c r="H71" s="125">
        <f t="shared" si="6"/>
        <v>45814</v>
      </c>
      <c r="I71" s="55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46">
        <f>YEAR(Table5[[#This Row],[Date]])+IF(MONTH(Table5[[#This Row],[Date]])&gt;=4,1,0)</f>
        <v>2026</v>
      </c>
      <c r="B72" s="246"/>
      <c r="C72" s="246">
        <f>YEAR(Table5[[#This Row],[Date]])</f>
        <v>2025</v>
      </c>
      <c r="D72" s="246"/>
      <c r="E72" s="246"/>
      <c r="F72" s="247" t="str">
        <f>TEXT(Table5[[#This Row],[Date]],"mmm-yy")</f>
        <v>Jun-25</v>
      </c>
      <c r="G72" s="246">
        <f t="shared" si="5"/>
        <v>30</v>
      </c>
      <c r="H72" s="125">
        <f t="shared" si="6"/>
        <v>45815</v>
      </c>
      <c r="I72" s="55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46">
        <f>YEAR(Table5[[#This Row],[Date]])+IF(MONTH(Table5[[#This Row],[Date]])&gt;=4,1,0)</f>
        <v>2026</v>
      </c>
      <c r="B73" s="246"/>
      <c r="C73" s="246">
        <f>YEAR(Table5[[#This Row],[Date]])</f>
        <v>2025</v>
      </c>
      <c r="D73" s="246"/>
      <c r="E73" s="246"/>
      <c r="F73" s="247" t="str">
        <f>TEXT(Table5[[#This Row],[Date]],"mmm-yy")</f>
        <v>Jun-25</v>
      </c>
      <c r="G73" s="246">
        <f t="shared" si="5"/>
        <v>30</v>
      </c>
      <c r="H73" s="125">
        <f t="shared" si="6"/>
        <v>45816</v>
      </c>
      <c r="I73" s="55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46">
        <f>YEAR(Table5[[#This Row],[Date]])+IF(MONTH(Table5[[#This Row],[Date]])&gt;=4,1,0)</f>
        <v>2026</v>
      </c>
      <c r="B74" s="246"/>
      <c r="C74" s="246">
        <f>YEAR(Table5[[#This Row],[Date]])</f>
        <v>2025</v>
      </c>
      <c r="D74" s="246"/>
      <c r="E74" s="246"/>
      <c r="F74" s="247" t="str">
        <f>TEXT(Table5[[#This Row],[Date]],"mmm-yy")</f>
        <v>Jun-25</v>
      </c>
      <c r="G74" s="246">
        <f t="shared" si="5"/>
        <v>30</v>
      </c>
      <c r="H74" s="125">
        <f t="shared" si="6"/>
        <v>45817</v>
      </c>
      <c r="I74" s="55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46">
        <f>YEAR(Table5[[#This Row],[Date]])+IF(MONTH(Table5[[#This Row],[Date]])&gt;=4,1,0)</f>
        <v>2026</v>
      </c>
      <c r="B75" s="246"/>
      <c r="C75" s="246">
        <f>YEAR(Table5[[#This Row],[Date]])</f>
        <v>2025</v>
      </c>
      <c r="D75" s="246"/>
      <c r="E75" s="246"/>
      <c r="F75" s="247" t="str">
        <f>TEXT(Table5[[#This Row],[Date]],"mmm-yy")</f>
        <v>Jun-25</v>
      </c>
      <c r="G75" s="246">
        <f t="shared" si="5"/>
        <v>30</v>
      </c>
      <c r="H75" s="125">
        <f t="shared" si="6"/>
        <v>45818</v>
      </c>
      <c r="I75" s="55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46">
        <f>YEAR(Table5[[#This Row],[Date]])+IF(MONTH(Table5[[#This Row],[Date]])&gt;=4,1,0)</f>
        <v>2026</v>
      </c>
      <c r="B76" s="246"/>
      <c r="C76" s="246">
        <f>YEAR(Table5[[#This Row],[Date]])</f>
        <v>2025</v>
      </c>
      <c r="D76" s="246"/>
      <c r="E76" s="246"/>
      <c r="F76" s="247" t="str">
        <f>TEXT(Table5[[#This Row],[Date]],"mmm-yy")</f>
        <v>Jun-25</v>
      </c>
      <c r="G76" s="246">
        <f t="shared" si="5"/>
        <v>30</v>
      </c>
      <c r="H76" s="125">
        <f t="shared" si="6"/>
        <v>45819</v>
      </c>
      <c r="I76" s="55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46">
        <f>YEAR(Table5[[#This Row],[Date]])+IF(MONTH(Table5[[#This Row],[Date]])&gt;=4,1,0)</f>
        <v>2026</v>
      </c>
      <c r="B77" s="246"/>
      <c r="C77" s="246">
        <f>YEAR(Table5[[#This Row],[Date]])</f>
        <v>2025</v>
      </c>
      <c r="D77" s="246"/>
      <c r="E77" s="246"/>
      <c r="F77" s="247" t="str">
        <f>TEXT(Table5[[#This Row],[Date]],"mmm-yy")</f>
        <v>Jun-25</v>
      </c>
      <c r="G77" s="246">
        <f t="shared" ref="G77:G108" si="7">DAY(EOMONTH(F77,0))</f>
        <v>30</v>
      </c>
      <c r="H77" s="125">
        <f t="shared" si="6"/>
        <v>45820</v>
      </c>
      <c r="I77" s="55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46">
        <f>YEAR(Table5[[#This Row],[Date]])+IF(MONTH(Table5[[#This Row],[Date]])&gt;=4,1,0)</f>
        <v>2026</v>
      </c>
      <c r="B78" s="246"/>
      <c r="C78" s="246">
        <f>YEAR(Table5[[#This Row],[Date]])</f>
        <v>2025</v>
      </c>
      <c r="D78" s="246"/>
      <c r="E78" s="246"/>
      <c r="F78" s="247" t="str">
        <f>TEXT(Table5[[#This Row],[Date]],"mmm-yy")</f>
        <v>Jun-25</v>
      </c>
      <c r="G78" s="246">
        <f t="shared" si="7"/>
        <v>30</v>
      </c>
      <c r="H78" s="125">
        <f t="shared" si="6"/>
        <v>45821</v>
      </c>
      <c r="I78" s="55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46">
        <f>YEAR(Table5[[#This Row],[Date]])+IF(MONTH(Table5[[#This Row],[Date]])&gt;=4,1,0)</f>
        <v>2026</v>
      </c>
      <c r="B79" s="246"/>
      <c r="C79" s="246">
        <f>YEAR(Table5[[#This Row],[Date]])</f>
        <v>2025</v>
      </c>
      <c r="D79" s="246"/>
      <c r="E79" s="246"/>
      <c r="F79" s="247" t="str">
        <f>TEXT(Table5[[#This Row],[Date]],"mmm-yy")</f>
        <v>Jun-25</v>
      </c>
      <c r="G79" s="246">
        <f t="shared" si="7"/>
        <v>30</v>
      </c>
      <c r="H79" s="125">
        <f t="shared" si="6"/>
        <v>45822</v>
      </c>
      <c r="I79" s="55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46">
        <f>YEAR(Table5[[#This Row],[Date]])+IF(MONTH(Table5[[#This Row],[Date]])&gt;=4,1,0)</f>
        <v>2026</v>
      </c>
      <c r="B80" s="246"/>
      <c r="C80" s="246">
        <f>YEAR(Table5[[#This Row],[Date]])</f>
        <v>2025</v>
      </c>
      <c r="D80" s="246"/>
      <c r="E80" s="246"/>
      <c r="F80" s="247" t="str">
        <f>TEXT(Table5[[#This Row],[Date]],"mmm-yy")</f>
        <v>Jun-25</v>
      </c>
      <c r="G80" s="246">
        <f t="shared" si="7"/>
        <v>30</v>
      </c>
      <c r="H80" s="125">
        <f t="shared" si="6"/>
        <v>45823</v>
      </c>
      <c r="I80" s="55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46">
        <f>YEAR(Table5[[#This Row],[Date]])+IF(MONTH(Table5[[#This Row],[Date]])&gt;=4,1,0)</f>
        <v>2026</v>
      </c>
      <c r="B81" s="246"/>
      <c r="C81" s="246">
        <f>YEAR(Table5[[#This Row],[Date]])</f>
        <v>2025</v>
      </c>
      <c r="D81" s="246"/>
      <c r="E81" s="246"/>
      <c r="F81" s="247" t="str">
        <f>TEXT(Table5[[#This Row],[Date]],"mmm-yy")</f>
        <v>Jun-25</v>
      </c>
      <c r="G81" s="246">
        <f t="shared" si="7"/>
        <v>30</v>
      </c>
      <c r="H81" s="125">
        <f t="shared" si="6"/>
        <v>45824</v>
      </c>
      <c r="I81" s="55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46">
        <f>YEAR(Table5[[#This Row],[Date]])+IF(MONTH(Table5[[#This Row],[Date]])&gt;=4,1,0)</f>
        <v>2026</v>
      </c>
      <c r="B82" s="246"/>
      <c r="C82" s="246">
        <f>YEAR(Table5[[#This Row],[Date]])</f>
        <v>2025</v>
      </c>
      <c r="D82" s="246"/>
      <c r="E82" s="246"/>
      <c r="F82" s="247" t="str">
        <f>TEXT(Table5[[#This Row],[Date]],"mmm-yy")</f>
        <v>Jun-25</v>
      </c>
      <c r="G82" s="246">
        <f t="shared" si="7"/>
        <v>30</v>
      </c>
      <c r="H82" s="125">
        <f t="shared" si="6"/>
        <v>45825</v>
      </c>
      <c r="I82" s="55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46">
        <f>YEAR(Table5[[#This Row],[Date]])+IF(MONTH(Table5[[#This Row],[Date]])&gt;=4,1,0)</f>
        <v>2026</v>
      </c>
      <c r="B83" s="246"/>
      <c r="C83" s="246">
        <f>YEAR(Table5[[#This Row],[Date]])</f>
        <v>2025</v>
      </c>
      <c r="D83" s="246"/>
      <c r="E83" s="246"/>
      <c r="F83" s="247" t="str">
        <f>TEXT(Table5[[#This Row],[Date]],"mmm-yy")</f>
        <v>Jun-25</v>
      </c>
      <c r="G83" s="246">
        <f t="shared" si="7"/>
        <v>30</v>
      </c>
      <c r="H83" s="125">
        <f t="shared" si="6"/>
        <v>45826</v>
      </c>
      <c r="I83" s="55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46">
        <f>YEAR(Table5[[#This Row],[Date]])+IF(MONTH(Table5[[#This Row],[Date]])&gt;=4,1,0)</f>
        <v>2026</v>
      </c>
      <c r="B84" s="246"/>
      <c r="C84" s="246">
        <f>YEAR(Table5[[#This Row],[Date]])</f>
        <v>2025</v>
      </c>
      <c r="D84" s="246"/>
      <c r="E84" s="246"/>
      <c r="F84" s="247" t="str">
        <f>TEXT(Table5[[#This Row],[Date]],"mmm-yy")</f>
        <v>Jun-25</v>
      </c>
      <c r="G84" s="246">
        <f t="shared" si="7"/>
        <v>30</v>
      </c>
      <c r="H84" s="125">
        <f t="shared" si="6"/>
        <v>45827</v>
      </c>
      <c r="I84" s="55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46">
        <f>YEAR(Table5[[#This Row],[Date]])+IF(MONTH(Table5[[#This Row],[Date]])&gt;=4,1,0)</f>
        <v>2026</v>
      </c>
      <c r="B85" s="246"/>
      <c r="C85" s="246">
        <f>YEAR(Table5[[#This Row],[Date]])</f>
        <v>2025</v>
      </c>
      <c r="D85" s="246"/>
      <c r="E85" s="246"/>
      <c r="F85" s="247" t="str">
        <f>TEXT(Table5[[#This Row],[Date]],"mmm-yy")</f>
        <v>Jun-25</v>
      </c>
      <c r="G85" s="246">
        <f t="shared" si="7"/>
        <v>30</v>
      </c>
      <c r="H85" s="125">
        <f t="shared" si="6"/>
        <v>45828</v>
      </c>
      <c r="I85" s="55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46">
        <f>YEAR(Table5[[#This Row],[Date]])+IF(MONTH(Table5[[#This Row],[Date]])&gt;=4,1,0)</f>
        <v>2026</v>
      </c>
      <c r="B86" s="246"/>
      <c r="C86" s="246">
        <f>YEAR(Table5[[#This Row],[Date]])</f>
        <v>2025</v>
      </c>
      <c r="D86" s="246"/>
      <c r="E86" s="246"/>
      <c r="F86" s="247" t="str">
        <f>TEXT(Table5[[#This Row],[Date]],"mmm-yy")</f>
        <v>Jun-25</v>
      </c>
      <c r="G86" s="246">
        <f t="shared" si="7"/>
        <v>30</v>
      </c>
      <c r="H86" s="125">
        <f t="shared" si="6"/>
        <v>45829</v>
      </c>
      <c r="I86" s="55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46">
        <f>YEAR(Table5[[#This Row],[Date]])+IF(MONTH(Table5[[#This Row],[Date]])&gt;=4,1,0)</f>
        <v>2026</v>
      </c>
      <c r="B87" s="246"/>
      <c r="C87" s="246">
        <f>YEAR(Table5[[#This Row],[Date]])</f>
        <v>2025</v>
      </c>
      <c r="D87" s="246"/>
      <c r="E87" s="246"/>
      <c r="F87" s="247" t="str">
        <f>TEXT(Table5[[#This Row],[Date]],"mmm-yy")</f>
        <v>Jun-25</v>
      </c>
      <c r="G87" s="246">
        <f t="shared" si="7"/>
        <v>30</v>
      </c>
      <c r="H87" s="125">
        <f t="shared" si="6"/>
        <v>45830</v>
      </c>
      <c r="I87" s="55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46">
        <f>YEAR(Table5[[#This Row],[Date]])+IF(MONTH(Table5[[#This Row],[Date]])&gt;=4,1,0)</f>
        <v>2026</v>
      </c>
      <c r="B88" s="246"/>
      <c r="C88" s="246">
        <f>YEAR(Table5[[#This Row],[Date]])</f>
        <v>2025</v>
      </c>
      <c r="D88" s="246"/>
      <c r="E88" s="246"/>
      <c r="F88" s="247" t="str">
        <f>TEXT(Table5[[#This Row],[Date]],"mmm-yy")</f>
        <v>Jun-25</v>
      </c>
      <c r="G88" s="246">
        <f t="shared" si="7"/>
        <v>30</v>
      </c>
      <c r="H88" s="125">
        <f t="shared" si="6"/>
        <v>45831</v>
      </c>
      <c r="I88" s="55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46">
        <f>YEAR(Table5[[#This Row],[Date]])+IF(MONTH(Table5[[#This Row],[Date]])&gt;=4,1,0)</f>
        <v>2026</v>
      </c>
      <c r="B89" s="246"/>
      <c r="C89" s="246">
        <f>YEAR(Table5[[#This Row],[Date]])</f>
        <v>2025</v>
      </c>
      <c r="D89" s="246"/>
      <c r="E89" s="246"/>
      <c r="F89" s="247" t="str">
        <f>TEXT(Table5[[#This Row],[Date]],"mmm-yy")</f>
        <v>Jun-25</v>
      </c>
      <c r="G89" s="246">
        <f t="shared" si="7"/>
        <v>30</v>
      </c>
      <c r="H89" s="125">
        <f t="shared" si="6"/>
        <v>45832</v>
      </c>
      <c r="I89" s="55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46">
        <f>YEAR(Table5[[#This Row],[Date]])+IF(MONTH(Table5[[#This Row],[Date]])&gt;=4,1,0)</f>
        <v>2026</v>
      </c>
      <c r="B90" s="246"/>
      <c r="C90" s="246">
        <f>YEAR(Table5[[#This Row],[Date]])</f>
        <v>2025</v>
      </c>
      <c r="D90" s="246"/>
      <c r="E90" s="246"/>
      <c r="F90" s="247" t="str">
        <f>TEXT(Table5[[#This Row],[Date]],"mmm-yy")</f>
        <v>Jun-25</v>
      </c>
      <c r="G90" s="246">
        <f t="shared" si="7"/>
        <v>30</v>
      </c>
      <c r="H90" s="125">
        <f t="shared" si="6"/>
        <v>45833</v>
      </c>
      <c r="I90" s="55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46">
        <f>YEAR(Table5[[#This Row],[Date]])+IF(MONTH(Table5[[#This Row],[Date]])&gt;=4,1,0)</f>
        <v>2026</v>
      </c>
      <c r="B91" s="246"/>
      <c r="C91" s="246">
        <f>YEAR(Table5[[#This Row],[Date]])</f>
        <v>2025</v>
      </c>
      <c r="D91" s="246"/>
      <c r="E91" s="246"/>
      <c r="F91" s="247" t="str">
        <f>TEXT(Table5[[#This Row],[Date]],"mmm-yy")</f>
        <v>Jun-25</v>
      </c>
      <c r="G91" s="246">
        <f t="shared" si="7"/>
        <v>30</v>
      </c>
      <c r="H91" s="125">
        <f t="shared" si="6"/>
        <v>45834</v>
      </c>
      <c r="I91" s="55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46">
        <f>YEAR(Table5[[#This Row],[Date]])+IF(MONTH(Table5[[#This Row],[Date]])&gt;=4,1,0)</f>
        <v>2026</v>
      </c>
      <c r="B92" s="246"/>
      <c r="C92" s="246">
        <f>YEAR(Table5[[#This Row],[Date]])</f>
        <v>2025</v>
      </c>
      <c r="D92" s="246"/>
      <c r="E92" s="246"/>
      <c r="F92" s="247" t="str">
        <f>TEXT(Table5[[#This Row],[Date]],"mmm-yy")</f>
        <v>Jun-25</v>
      </c>
      <c r="G92" s="246">
        <f t="shared" si="7"/>
        <v>30</v>
      </c>
      <c r="H92" s="125">
        <f t="shared" si="6"/>
        <v>45835</v>
      </c>
      <c r="I92" s="55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46">
        <f>YEAR(Table5[[#This Row],[Date]])+IF(MONTH(Table5[[#This Row],[Date]])&gt;=4,1,0)</f>
        <v>2026</v>
      </c>
      <c r="B93" s="246"/>
      <c r="C93" s="246">
        <f>YEAR(Table5[[#This Row],[Date]])</f>
        <v>2025</v>
      </c>
      <c r="D93" s="246"/>
      <c r="E93" s="246"/>
      <c r="F93" s="247" t="str">
        <f>TEXT(Table5[[#This Row],[Date]],"mmm-yy")</f>
        <v>Jun-25</v>
      </c>
      <c r="G93" s="246">
        <f t="shared" si="7"/>
        <v>30</v>
      </c>
      <c r="H93" s="125">
        <f t="shared" si="6"/>
        <v>45836</v>
      </c>
      <c r="I93" s="55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46">
        <f>YEAR(Table5[[#This Row],[Date]])+IF(MONTH(Table5[[#This Row],[Date]])&gt;=4,1,0)</f>
        <v>2026</v>
      </c>
      <c r="B94" s="246"/>
      <c r="C94" s="246">
        <f>YEAR(Table5[[#This Row],[Date]])</f>
        <v>2025</v>
      </c>
      <c r="D94" s="246"/>
      <c r="E94" s="246"/>
      <c r="F94" s="247" t="str">
        <f>TEXT(Table5[[#This Row],[Date]],"mmm-yy")</f>
        <v>Jun-25</v>
      </c>
      <c r="G94" s="246">
        <f t="shared" si="7"/>
        <v>30</v>
      </c>
      <c r="H94" s="125">
        <f t="shared" si="6"/>
        <v>45837</v>
      </c>
      <c r="I94" s="55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46">
        <f>YEAR(Table5[[#This Row],[Date]])+IF(MONTH(Table5[[#This Row],[Date]])&gt;=4,1,0)</f>
        <v>2026</v>
      </c>
      <c r="B95" s="246"/>
      <c r="C95" s="246">
        <f>YEAR(Table5[[#This Row],[Date]])</f>
        <v>2025</v>
      </c>
      <c r="D95" s="246"/>
      <c r="E95" s="246"/>
      <c r="F95" s="247" t="str">
        <f>TEXT(Table5[[#This Row],[Date]],"mmm-yy")</f>
        <v>Jun-25</v>
      </c>
      <c r="G95" s="246">
        <f t="shared" si="7"/>
        <v>30</v>
      </c>
      <c r="H95" s="125">
        <f t="shared" si="6"/>
        <v>45838</v>
      </c>
      <c r="I95" s="55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46">
        <f>YEAR(Table5[[#This Row],[Date]])+IF(MONTH(Table5[[#This Row],[Date]])&gt;=4,1,0)</f>
        <v>2026</v>
      </c>
      <c r="B96" s="246"/>
      <c r="C96" s="246">
        <f>YEAR(Table5[[#This Row],[Date]])</f>
        <v>2025</v>
      </c>
      <c r="D96" s="246"/>
      <c r="E96" s="246"/>
      <c r="F96" s="247" t="str">
        <f>TEXT(Table5[[#This Row],[Date]],"mmm-yy")</f>
        <v>Jul-25</v>
      </c>
      <c r="G96" s="246">
        <f t="shared" si="7"/>
        <v>31</v>
      </c>
      <c r="H96" s="125">
        <f t="shared" si="6"/>
        <v>45839</v>
      </c>
      <c r="I96" s="55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46">
        <f>YEAR(Table5[[#This Row],[Date]])+IF(MONTH(Table5[[#This Row],[Date]])&gt;=4,1,0)</f>
        <v>2026</v>
      </c>
      <c r="B97" s="246"/>
      <c r="C97" s="246">
        <f>YEAR(Table5[[#This Row],[Date]])</f>
        <v>2025</v>
      </c>
      <c r="D97" s="246"/>
      <c r="E97" s="246"/>
      <c r="F97" s="247" t="str">
        <f>TEXT(Table5[[#This Row],[Date]],"mmm-yy")</f>
        <v>Jul-25</v>
      </c>
      <c r="G97" s="246">
        <f t="shared" si="7"/>
        <v>31</v>
      </c>
      <c r="H97" s="125">
        <f t="shared" si="6"/>
        <v>45840</v>
      </c>
      <c r="I97" s="55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46">
        <f>YEAR(Table5[[#This Row],[Date]])+IF(MONTH(Table5[[#This Row],[Date]])&gt;=4,1,0)</f>
        <v>2026</v>
      </c>
      <c r="B98" s="246"/>
      <c r="C98" s="246">
        <f>YEAR(Table5[[#This Row],[Date]])</f>
        <v>2025</v>
      </c>
      <c r="D98" s="246"/>
      <c r="E98" s="246"/>
      <c r="F98" s="247" t="str">
        <f>TEXT(Table5[[#This Row],[Date]],"mmm-yy")</f>
        <v>Jul-25</v>
      </c>
      <c r="G98" s="246">
        <f t="shared" si="7"/>
        <v>31</v>
      </c>
      <c r="H98" s="125">
        <f t="shared" si="6"/>
        <v>45841</v>
      </c>
      <c r="I98" s="55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46">
        <f>YEAR(Table5[[#This Row],[Date]])+IF(MONTH(Table5[[#This Row],[Date]])&gt;=4,1,0)</f>
        <v>2026</v>
      </c>
      <c r="B99" s="246"/>
      <c r="C99" s="246">
        <f>YEAR(Table5[[#This Row],[Date]])</f>
        <v>2025</v>
      </c>
      <c r="D99" s="246"/>
      <c r="E99" s="246"/>
      <c r="F99" s="247" t="str">
        <f>TEXT(Table5[[#This Row],[Date]],"mmm-yy")</f>
        <v>Jul-25</v>
      </c>
      <c r="G99" s="246">
        <f t="shared" si="7"/>
        <v>31</v>
      </c>
      <c r="H99" s="125">
        <f t="shared" si="6"/>
        <v>45842</v>
      </c>
      <c r="I99" s="55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46">
        <f>YEAR(Table5[[#This Row],[Date]])+IF(MONTH(Table5[[#This Row],[Date]])&gt;=4,1,0)</f>
        <v>2026</v>
      </c>
      <c r="B100" s="246"/>
      <c r="C100" s="246">
        <f>YEAR(Table5[[#This Row],[Date]])</f>
        <v>2025</v>
      </c>
      <c r="D100" s="246"/>
      <c r="E100" s="246"/>
      <c r="F100" s="247" t="str">
        <f>TEXT(Table5[[#This Row],[Date]],"mmm-yy")</f>
        <v>Jul-25</v>
      </c>
      <c r="G100" s="246">
        <f t="shared" si="7"/>
        <v>31</v>
      </c>
      <c r="H100" s="125">
        <f t="shared" si="6"/>
        <v>45843</v>
      </c>
      <c r="I100" s="55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46">
        <f>YEAR(Table5[[#This Row],[Date]])+IF(MONTH(Table5[[#This Row],[Date]])&gt;=4,1,0)</f>
        <v>2026</v>
      </c>
      <c r="B101" s="246"/>
      <c r="C101" s="246">
        <f>YEAR(Table5[[#This Row],[Date]])</f>
        <v>2025</v>
      </c>
      <c r="D101" s="246"/>
      <c r="E101" s="246"/>
      <c r="F101" s="247" t="str">
        <f>TEXT(Table5[[#This Row],[Date]],"mmm-yy")</f>
        <v>Jul-25</v>
      </c>
      <c r="G101" s="246">
        <f t="shared" si="7"/>
        <v>31</v>
      </c>
      <c r="H101" s="125">
        <f t="shared" si="6"/>
        <v>45844</v>
      </c>
      <c r="I101" s="55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46">
        <f>YEAR(Table5[[#This Row],[Date]])+IF(MONTH(Table5[[#This Row],[Date]])&gt;=4,1,0)</f>
        <v>2026</v>
      </c>
      <c r="B102" s="246"/>
      <c r="C102" s="246">
        <f>YEAR(Table5[[#This Row],[Date]])</f>
        <v>2025</v>
      </c>
      <c r="D102" s="246"/>
      <c r="E102" s="246"/>
      <c r="F102" s="247" t="str">
        <f>TEXT(Table5[[#This Row],[Date]],"mmm-yy")</f>
        <v>Jul-25</v>
      </c>
      <c r="G102" s="246">
        <f t="shared" si="7"/>
        <v>31</v>
      </c>
      <c r="H102" s="125">
        <f t="shared" si="6"/>
        <v>45845</v>
      </c>
      <c r="I102" s="55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46">
        <f>YEAR(Table5[[#This Row],[Date]])+IF(MONTH(Table5[[#This Row],[Date]])&gt;=4,1,0)</f>
        <v>2026</v>
      </c>
      <c r="B103" s="246"/>
      <c r="C103" s="246">
        <f>YEAR(Table5[[#This Row],[Date]])</f>
        <v>2025</v>
      </c>
      <c r="D103" s="246"/>
      <c r="E103" s="246"/>
      <c r="F103" s="247" t="str">
        <f>TEXT(Table5[[#This Row],[Date]],"mmm-yy")</f>
        <v>Jul-25</v>
      </c>
      <c r="G103" s="246">
        <f t="shared" si="7"/>
        <v>31</v>
      </c>
      <c r="H103" s="125">
        <f t="shared" si="6"/>
        <v>45846</v>
      </c>
      <c r="I103" s="55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46">
        <f>YEAR(Table5[[#This Row],[Date]])+IF(MONTH(Table5[[#This Row],[Date]])&gt;=4,1,0)</f>
        <v>2026</v>
      </c>
      <c r="B104" s="246"/>
      <c r="C104" s="246">
        <f>YEAR(Table5[[#This Row],[Date]])</f>
        <v>2025</v>
      </c>
      <c r="D104" s="246"/>
      <c r="E104" s="246"/>
      <c r="F104" s="247" t="str">
        <f>TEXT(Table5[[#This Row],[Date]],"mmm-yy")</f>
        <v>Jul-25</v>
      </c>
      <c r="G104" s="246">
        <f t="shared" si="7"/>
        <v>31</v>
      </c>
      <c r="H104" s="125">
        <f t="shared" si="6"/>
        <v>45847</v>
      </c>
      <c r="I104" s="55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46">
        <f>YEAR(Table5[[#This Row],[Date]])+IF(MONTH(Table5[[#This Row],[Date]])&gt;=4,1,0)</f>
        <v>2026</v>
      </c>
      <c r="B105" s="246"/>
      <c r="C105" s="246">
        <f>YEAR(Table5[[#This Row],[Date]])</f>
        <v>2025</v>
      </c>
      <c r="D105" s="246"/>
      <c r="E105" s="246"/>
      <c r="F105" s="247" t="str">
        <f>TEXT(Table5[[#This Row],[Date]],"mmm-yy")</f>
        <v>Jul-25</v>
      </c>
      <c r="G105" s="246">
        <f t="shared" si="7"/>
        <v>31</v>
      </c>
      <c r="H105" s="125">
        <f t="shared" si="6"/>
        <v>45848</v>
      </c>
      <c r="I105" s="55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46">
        <f>YEAR(Table5[[#This Row],[Date]])+IF(MONTH(Table5[[#This Row],[Date]])&gt;=4,1,0)</f>
        <v>2026</v>
      </c>
      <c r="B106" s="246"/>
      <c r="C106" s="246">
        <f>YEAR(Table5[[#This Row],[Date]])</f>
        <v>2025</v>
      </c>
      <c r="D106" s="246"/>
      <c r="E106" s="246"/>
      <c r="F106" s="247" t="str">
        <f>TEXT(Table5[[#This Row],[Date]],"mmm-yy")</f>
        <v>Jul-25</v>
      </c>
      <c r="G106" s="246">
        <f t="shared" si="7"/>
        <v>31</v>
      </c>
      <c r="H106" s="125">
        <f t="shared" si="6"/>
        <v>45849</v>
      </c>
      <c r="I106" s="55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46">
        <f>YEAR(Table5[[#This Row],[Date]])+IF(MONTH(Table5[[#This Row],[Date]])&gt;=4,1,0)</f>
        <v>2026</v>
      </c>
      <c r="B107" s="246"/>
      <c r="C107" s="246">
        <f>YEAR(Table5[[#This Row],[Date]])</f>
        <v>2025</v>
      </c>
      <c r="D107" s="246"/>
      <c r="E107" s="246"/>
      <c r="F107" s="247" t="str">
        <f>TEXT(Table5[[#This Row],[Date]],"mmm-yy")</f>
        <v>Jul-25</v>
      </c>
      <c r="G107" s="246">
        <f t="shared" si="7"/>
        <v>31</v>
      </c>
      <c r="H107" s="125">
        <f t="shared" si="6"/>
        <v>45850</v>
      </c>
      <c r="I107" s="55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46">
        <f>YEAR(Table5[[#This Row],[Date]])+IF(MONTH(Table5[[#This Row],[Date]])&gt;=4,1,0)</f>
        <v>2026</v>
      </c>
      <c r="B108" s="246"/>
      <c r="C108" s="246">
        <f>YEAR(Table5[[#This Row],[Date]])</f>
        <v>2025</v>
      </c>
      <c r="D108" s="246"/>
      <c r="E108" s="246"/>
      <c r="F108" s="247" t="str">
        <f>TEXT(Table5[[#This Row],[Date]],"mmm-yy")</f>
        <v>Jul-25</v>
      </c>
      <c r="G108" s="246">
        <f t="shared" si="7"/>
        <v>31</v>
      </c>
      <c r="H108" s="125">
        <f t="shared" si="6"/>
        <v>45851</v>
      </c>
      <c r="I108" s="55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46">
        <f>YEAR(Table5[[#This Row],[Date]])+IF(MONTH(Table5[[#This Row],[Date]])&gt;=4,1,0)</f>
        <v>2026</v>
      </c>
      <c r="B109" s="246"/>
      <c r="C109" s="246">
        <f>YEAR(Table5[[#This Row],[Date]])</f>
        <v>2025</v>
      </c>
      <c r="D109" s="246"/>
      <c r="E109" s="246"/>
      <c r="F109" s="247" t="str">
        <f>TEXT(Table5[[#This Row],[Date]],"mmm-yy")</f>
        <v>Jul-25</v>
      </c>
      <c r="G109" s="246">
        <f t="shared" ref="G109:G140" si="8">DAY(EOMONTH(F109,0))</f>
        <v>31</v>
      </c>
      <c r="H109" s="125">
        <f t="shared" si="6"/>
        <v>45852</v>
      </c>
      <c r="I109" s="55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46">
        <f>YEAR(Table5[[#This Row],[Date]])+IF(MONTH(Table5[[#This Row],[Date]])&gt;=4,1,0)</f>
        <v>2026</v>
      </c>
      <c r="B110" s="246"/>
      <c r="C110" s="246">
        <f>YEAR(Table5[[#This Row],[Date]])</f>
        <v>2025</v>
      </c>
      <c r="D110" s="246"/>
      <c r="E110" s="246"/>
      <c r="F110" s="247" t="str">
        <f>TEXT(Table5[[#This Row],[Date]],"mmm-yy")</f>
        <v>Jul-25</v>
      </c>
      <c r="G110" s="246">
        <f t="shared" si="8"/>
        <v>31</v>
      </c>
      <c r="H110" s="125">
        <f t="shared" si="6"/>
        <v>45853</v>
      </c>
      <c r="I110" s="55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46">
        <f>YEAR(Table5[[#This Row],[Date]])+IF(MONTH(Table5[[#This Row],[Date]])&gt;=4,1,0)</f>
        <v>2026</v>
      </c>
      <c r="B111" s="246"/>
      <c r="C111" s="246">
        <f>YEAR(Table5[[#This Row],[Date]])</f>
        <v>2025</v>
      </c>
      <c r="D111" s="246"/>
      <c r="E111" s="246"/>
      <c r="F111" s="247" t="str">
        <f>TEXT(Table5[[#This Row],[Date]],"mmm-yy")</f>
        <v>Jul-25</v>
      </c>
      <c r="G111" s="246">
        <f t="shared" si="8"/>
        <v>31</v>
      </c>
      <c r="H111" s="125">
        <f t="shared" si="6"/>
        <v>45854</v>
      </c>
      <c r="I111" s="55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46">
        <f>YEAR(Table5[[#This Row],[Date]])+IF(MONTH(Table5[[#This Row],[Date]])&gt;=4,1,0)</f>
        <v>2026</v>
      </c>
      <c r="B112" s="246"/>
      <c r="C112" s="246">
        <f>YEAR(Table5[[#This Row],[Date]])</f>
        <v>2025</v>
      </c>
      <c r="D112" s="246"/>
      <c r="E112" s="246"/>
      <c r="F112" s="247" t="str">
        <f>TEXT(Table5[[#This Row],[Date]],"mmm-yy")</f>
        <v>Jul-25</v>
      </c>
      <c r="G112" s="246">
        <f t="shared" si="8"/>
        <v>31</v>
      </c>
      <c r="H112" s="125">
        <f t="shared" si="6"/>
        <v>45855</v>
      </c>
      <c r="I112" s="55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46">
        <f>YEAR(Table5[[#This Row],[Date]])+IF(MONTH(Table5[[#This Row],[Date]])&gt;=4,1,0)</f>
        <v>2026</v>
      </c>
      <c r="B113" s="246"/>
      <c r="C113" s="246">
        <f>YEAR(Table5[[#This Row],[Date]])</f>
        <v>2025</v>
      </c>
      <c r="D113" s="246"/>
      <c r="E113" s="246"/>
      <c r="F113" s="247" t="str">
        <f>TEXT(Table5[[#This Row],[Date]],"mmm-yy")</f>
        <v>Jul-25</v>
      </c>
      <c r="G113" s="246">
        <f t="shared" si="8"/>
        <v>31</v>
      </c>
      <c r="H113" s="125">
        <f t="shared" si="6"/>
        <v>45856</v>
      </c>
      <c r="I113" s="55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46">
        <f>YEAR(Table5[[#This Row],[Date]])+IF(MONTH(Table5[[#This Row],[Date]])&gt;=4,1,0)</f>
        <v>2026</v>
      </c>
      <c r="B114" s="246"/>
      <c r="C114" s="246">
        <f>YEAR(Table5[[#This Row],[Date]])</f>
        <v>2025</v>
      </c>
      <c r="D114" s="246"/>
      <c r="E114" s="246"/>
      <c r="F114" s="247" t="str">
        <f>TEXT(Table5[[#This Row],[Date]],"mmm-yy")</f>
        <v>Jul-25</v>
      </c>
      <c r="G114" s="246">
        <f t="shared" si="8"/>
        <v>31</v>
      </c>
      <c r="H114" s="125">
        <f t="shared" si="6"/>
        <v>45857</v>
      </c>
      <c r="I114" s="55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46">
        <f>YEAR(Table5[[#This Row],[Date]])+IF(MONTH(Table5[[#This Row],[Date]])&gt;=4,1,0)</f>
        <v>2026</v>
      </c>
      <c r="B115" s="246"/>
      <c r="C115" s="246">
        <f>YEAR(Table5[[#This Row],[Date]])</f>
        <v>2025</v>
      </c>
      <c r="D115" s="246"/>
      <c r="E115" s="246"/>
      <c r="F115" s="247" t="str">
        <f>TEXT(Table5[[#This Row],[Date]],"mmm-yy")</f>
        <v>Jul-25</v>
      </c>
      <c r="G115" s="246">
        <f t="shared" si="8"/>
        <v>31</v>
      </c>
      <c r="H115" s="125">
        <f t="shared" si="6"/>
        <v>45858</v>
      </c>
      <c r="I115" s="55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46">
        <f>YEAR(Table5[[#This Row],[Date]])+IF(MONTH(Table5[[#This Row],[Date]])&gt;=4,1,0)</f>
        <v>2026</v>
      </c>
      <c r="B116" s="246"/>
      <c r="C116" s="246">
        <f>YEAR(Table5[[#This Row],[Date]])</f>
        <v>2025</v>
      </c>
      <c r="D116" s="246"/>
      <c r="E116" s="246"/>
      <c r="F116" s="247" t="str">
        <f>TEXT(Table5[[#This Row],[Date]],"mmm-yy")</f>
        <v>Jul-25</v>
      </c>
      <c r="G116" s="246">
        <f t="shared" si="8"/>
        <v>31</v>
      </c>
      <c r="H116" s="125">
        <f t="shared" si="6"/>
        <v>45859</v>
      </c>
      <c r="I116" s="55">
        <v>8.02</v>
      </c>
      <c r="J116" s="59">
        <f>IFERROR(Inv_SY!J118/Inv_SY!$Y118-1,"")</f>
        <v>0.27201725791387332</v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>
        <f>IFERROR(Inv_SY!J118/Inv_SY!$Z118-1,"")</f>
        <v>0.2272207135936708</v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46">
        <f>YEAR(Table5[[#This Row],[Date]])+IF(MONTH(Table5[[#This Row],[Date]])&gt;=4,1,0)</f>
        <v>2026</v>
      </c>
      <c r="B117" s="246"/>
      <c r="C117" s="246">
        <f>YEAR(Table5[[#This Row],[Date]])</f>
        <v>2025</v>
      </c>
      <c r="D117" s="246"/>
      <c r="E117" s="246"/>
      <c r="F117" s="247" t="str">
        <f>TEXT(Table5[[#This Row],[Date]],"mmm-yy")</f>
        <v>Jul-25</v>
      </c>
      <c r="G117" s="246">
        <f t="shared" si="8"/>
        <v>31</v>
      </c>
      <c r="H117" s="125">
        <f t="shared" si="6"/>
        <v>45860</v>
      </c>
      <c r="I117" s="55">
        <v>8.02</v>
      </c>
      <c r="J117" s="59">
        <f>IFERROR(Inv_SY!J119/Inv_SY!$Y119-1,"")</f>
        <v>0.31030832196242386</v>
      </c>
      <c r="K117" s="59">
        <f>IFERROR(Inv_SY!K119/Inv_SY!$Y119-1,"")</f>
        <v>0.31007951908438325</v>
      </c>
      <c r="L117" s="59">
        <f>IFERROR(Inv_SY!L119/Inv_SY!$Y119-1,"")</f>
        <v>-1</v>
      </c>
      <c r="M117" s="59">
        <f>IFERROR(Inv_SY!M119/Inv_SY!$Y119-1,"")</f>
        <v>0.32044828443050521</v>
      </c>
      <c r="N117" s="59">
        <f>IFERROR(Inv_SY!N119/Inv_SY!$Y119-1,"")</f>
        <v>0.31239380393276028</v>
      </c>
      <c r="O117" s="59">
        <f>IFERROR(Inv_SY!O119/Inv_SY!$Y119-1,"")</f>
        <v>0.33378874846297513</v>
      </c>
      <c r="P117" s="59">
        <f>IFERROR(Inv_SY!P119/Inv_SY!$Y119-1,"")</f>
        <v>0.30406837986556834</v>
      </c>
      <c r="Q117" s="59">
        <f>IFERROR(Inv_SY!Q119/Inv_SY!$Y119-1,"")</f>
        <v>-1</v>
      </c>
      <c r="R117" s="59">
        <f>IFERROR(Inv_SY!R119/Inv_SY!$Y119-1,"")</f>
        <v>2.4021626831490339E-2</v>
      </c>
      <c r="S117" s="59">
        <f>IFERROR(Inv_SY!S119/Inv_SY!$Y119-1,"")</f>
        <v>3.9399785665124032E-2</v>
      </c>
      <c r="T117" s="59">
        <f>IFERROR(Inv_SY!T119/Inv_SY!$Y119-1,"")</f>
        <v>4.0615838128428727E-2</v>
      </c>
      <c r="U117" s="59">
        <f>IFERROR(Inv_SY!U119/Inv_SY!$Y119-1,"")</f>
        <v>4.6595082376952313E-3</v>
      </c>
      <c r="V117" s="59">
        <f>IFERROR(Inv_SY!J119/Inv_SY!$Z119-1,"")</f>
        <v>0.27684568954478994</v>
      </c>
      <c r="W117" s="59">
        <f>IFERROR(Inv_SY!K119/Inv_SY!$Z119-1,"")</f>
        <v>0.27662272983089298</v>
      </c>
      <c r="X117" s="59">
        <f>IFERROR(Inv_SY!L119/Inv_SY!$Z119-1,"")</f>
        <v>-1</v>
      </c>
      <c r="Y117" s="59">
        <f>IFERROR(Inv_SY!M119/Inv_SY!$Z119-1,"")</f>
        <v>0.28672669781780846</v>
      </c>
      <c r="Z117" s="59">
        <f>IFERROR(Inv_SY!N119/Inv_SY!$Z119-1,"")</f>
        <v>0.27887791251080096</v>
      </c>
      <c r="AA117" s="59">
        <f>IFERROR(Inv_SY!O119/Inv_SY!$Z119-1,"")</f>
        <v>0.29972647329880009</v>
      </c>
      <c r="AB117" s="59">
        <f>IFERROR(Inv_SY!P119/Inv_SY!$Z119-1,"")</f>
        <v>0.2707651029867757</v>
      </c>
      <c r="AC117" s="59">
        <f>IFERROR(Inv_SY!Q119/Inv_SY!$Z119-1,"")</f>
        <v>-1</v>
      </c>
      <c r="AD117" s="59">
        <f>IFERROR(Inv_SY!R119/Inv_SY!$Z119-1,"")</f>
        <v>-2.1298206652710094E-3</v>
      </c>
      <c r="AE117" s="59">
        <f>IFERROR(Inv_SY!S119/Inv_SY!$Z119-1,"")</f>
        <v>1.2855611000501144E-2</v>
      </c>
      <c r="AF117" s="59">
        <f>IFERROR(Inv_SY!T119/Inv_SY!$Z119-1,"")</f>
        <v>1.4040607935959182E-2</v>
      </c>
      <c r="AG117" s="59">
        <f>IFERROR(Inv_SY!U119/Inv_SY!$Z119-1,"")</f>
        <v>-2.0997469792245704E-2</v>
      </c>
      <c r="AH117" s="59">
        <f>IFERROR(Inv_SY!V119/Inv_SY!$Y119-1,"")</f>
        <v>-1.5421691126156767E-2</v>
      </c>
      <c r="AI117" s="59">
        <f>IFERROR(Inv_SY!W119/Inv_SY!$Y119-1,"")</f>
        <v>-1.0785573143626714E-2</v>
      </c>
      <c r="AJ117" s="59">
        <f>IFERROR(Inv_SY!X119/Inv_SY!$Y119-1,"")</f>
        <v>2.6207264269783259E-2</v>
      </c>
      <c r="AK117" s="59">
        <f>IFERROR(Inv_SY!V119/Inv_SY!$Z119-1,"")</f>
        <v>-4.0565835816375628E-2</v>
      </c>
      <c r="AL117" s="59">
        <f>IFERROR(Inv_SY!W119/Inv_SY!$Z119-1,"")</f>
        <v>-3.6048114938781795E-2</v>
      </c>
      <c r="AM117" s="59">
        <f>IFERROR(Inv_SY!X119/Inv_SY!$Z119-1,"")</f>
        <v>0</v>
      </c>
    </row>
    <row r="118" spans="1:39" x14ac:dyDescent="0.3">
      <c r="A118" s="246">
        <f>YEAR(Table5[[#This Row],[Date]])+IF(MONTH(Table5[[#This Row],[Date]])&gt;=4,1,0)</f>
        <v>2026</v>
      </c>
      <c r="B118" s="246"/>
      <c r="C118" s="246">
        <f>YEAR(Table5[[#This Row],[Date]])</f>
        <v>2025</v>
      </c>
      <c r="D118" s="246"/>
      <c r="E118" s="246"/>
      <c r="F118" s="247" t="str">
        <f>TEXT(Table5[[#This Row],[Date]],"mmm-yy")</f>
        <v>Jul-25</v>
      </c>
      <c r="G118" s="246">
        <f t="shared" si="8"/>
        <v>31</v>
      </c>
      <c r="H118" s="125">
        <f t="shared" si="6"/>
        <v>45861</v>
      </c>
      <c r="I118" s="55">
        <v>8.02</v>
      </c>
      <c r="J118" s="59" t="str">
        <f>IFERROR(Inv_SY!J120/Inv_SY!$Y120-1,"")</f>
        <v/>
      </c>
      <c r="K118" s="59" t="str">
        <f>IFERROR(Inv_SY!K120/Inv_SY!$Y120-1,"")</f>
        <v/>
      </c>
      <c r="L118" s="59" t="str">
        <f>IFERROR(Inv_SY!L120/Inv_SY!$Y120-1,"")</f>
        <v/>
      </c>
      <c r="M118" s="59" t="str">
        <f>IFERROR(Inv_SY!M120/Inv_SY!$Y120-1,"")</f>
        <v/>
      </c>
      <c r="N118" s="59" t="str">
        <f>IFERROR(Inv_SY!N120/Inv_SY!$Y120-1,"")</f>
        <v/>
      </c>
      <c r="O118" s="59" t="str">
        <f>IFERROR(Inv_SY!O120/Inv_SY!$Y120-1,"")</f>
        <v/>
      </c>
      <c r="P118" s="59" t="str">
        <f>IFERROR(Inv_SY!P120/Inv_SY!$Y120-1,"")</f>
        <v/>
      </c>
      <c r="Q118" s="59" t="str">
        <f>IFERROR(Inv_SY!Q120/Inv_SY!$Y120-1,"")</f>
        <v/>
      </c>
      <c r="R118" s="59" t="str">
        <f>IFERROR(Inv_SY!R120/Inv_SY!$Y120-1,"")</f>
        <v/>
      </c>
      <c r="S118" s="59" t="str">
        <f>IFERROR(Inv_SY!S120/Inv_SY!$Y120-1,"")</f>
        <v/>
      </c>
      <c r="T118" s="59" t="str">
        <f>IFERROR(Inv_SY!T120/Inv_SY!$Y120-1,"")</f>
        <v/>
      </c>
      <c r="U118" s="59" t="str">
        <f>IFERROR(Inv_SY!U120/Inv_SY!$Y120-1,"")</f>
        <v/>
      </c>
      <c r="V118" s="59" t="str">
        <f>IFERROR(Inv_SY!J120/Inv_SY!$Z120-1,"")</f>
        <v/>
      </c>
      <c r="W118" s="59" t="str">
        <f>IFERROR(Inv_SY!K120/Inv_SY!$Z120-1,"")</f>
        <v/>
      </c>
      <c r="X118" s="59" t="str">
        <f>IFERROR(Inv_SY!L120/Inv_SY!$Z120-1,"")</f>
        <v/>
      </c>
      <c r="Y118" s="59" t="str">
        <f>IFERROR(Inv_SY!M120/Inv_SY!$Z120-1,"")</f>
        <v/>
      </c>
      <c r="Z118" s="59" t="str">
        <f>IFERROR(Inv_SY!N120/Inv_SY!$Z120-1,"")</f>
        <v/>
      </c>
      <c r="AA118" s="59" t="str">
        <f>IFERROR(Inv_SY!O120/Inv_SY!$Z120-1,"")</f>
        <v/>
      </c>
      <c r="AB118" s="59" t="str">
        <f>IFERROR(Inv_SY!P120/Inv_SY!$Z120-1,"")</f>
        <v/>
      </c>
      <c r="AC118" s="59" t="str">
        <f>IFERROR(Inv_SY!Q120/Inv_SY!$Z120-1,"")</f>
        <v/>
      </c>
      <c r="AD118" s="59" t="str">
        <f>IFERROR(Inv_SY!R120/Inv_SY!$Z120-1,"")</f>
        <v/>
      </c>
      <c r="AE118" s="59" t="str">
        <f>IFERROR(Inv_SY!S120/Inv_SY!$Z120-1,"")</f>
        <v/>
      </c>
      <c r="AF118" s="59" t="str">
        <f>IFERROR(Inv_SY!T120/Inv_SY!$Z120-1,"")</f>
        <v/>
      </c>
      <c r="AG118" s="59" t="str">
        <f>IFERROR(Inv_SY!U120/Inv_SY!$Z120-1,"")</f>
        <v/>
      </c>
      <c r="AH118" s="59" t="str">
        <f>IFERROR(Inv_SY!V120/Inv_SY!$Y120-1,"")</f>
        <v/>
      </c>
      <c r="AI118" s="59" t="str">
        <f>IFERROR(Inv_SY!W120/Inv_SY!$Y120-1,"")</f>
        <v/>
      </c>
      <c r="AJ118" s="59" t="str">
        <f>IFERROR(Inv_SY!X120/Inv_SY!$Y120-1,"")</f>
        <v/>
      </c>
      <c r="AK118" s="59" t="str">
        <f>IFERROR(Inv_SY!V120/Inv_SY!$Z120-1,"")</f>
        <v/>
      </c>
      <c r="AL118" s="59" t="str">
        <f>IFERROR(Inv_SY!W120/Inv_SY!$Z120-1,"")</f>
        <v/>
      </c>
      <c r="AM118" s="59" t="str">
        <f>IFERROR(Inv_SY!X120/Inv_SY!$Z120-1,"")</f>
        <v/>
      </c>
    </row>
    <row r="119" spans="1:39" x14ac:dyDescent="0.3">
      <c r="A119" s="246">
        <f>YEAR(Table5[[#This Row],[Date]])+IF(MONTH(Table5[[#This Row],[Date]])&gt;=4,1,0)</f>
        <v>2026</v>
      </c>
      <c r="B119" s="246"/>
      <c r="C119" s="246">
        <f>YEAR(Table5[[#This Row],[Date]])</f>
        <v>2025</v>
      </c>
      <c r="D119" s="246"/>
      <c r="E119" s="246"/>
      <c r="F119" s="247" t="str">
        <f>TEXT(Table5[[#This Row],[Date]],"mmm-yy")</f>
        <v>Jul-25</v>
      </c>
      <c r="G119" s="246">
        <f t="shared" si="8"/>
        <v>31</v>
      </c>
      <c r="H119" s="125">
        <f t="shared" si="6"/>
        <v>45862</v>
      </c>
      <c r="I119" s="55">
        <v>8.02</v>
      </c>
      <c r="J119" s="59" t="str">
        <f>IFERROR(Inv_SY!J121/Inv_SY!$Y121-1,"")</f>
        <v/>
      </c>
      <c r="K119" s="59" t="str">
        <f>IFERROR(Inv_SY!K121/Inv_SY!$Y121-1,"")</f>
        <v/>
      </c>
      <c r="L119" s="59" t="str">
        <f>IFERROR(Inv_SY!L121/Inv_SY!$Y121-1,"")</f>
        <v/>
      </c>
      <c r="M119" s="59" t="str">
        <f>IFERROR(Inv_SY!M121/Inv_SY!$Y121-1,"")</f>
        <v/>
      </c>
      <c r="N119" s="59" t="str">
        <f>IFERROR(Inv_SY!N121/Inv_SY!$Y121-1,"")</f>
        <v/>
      </c>
      <c r="O119" s="59" t="str">
        <f>IFERROR(Inv_SY!O121/Inv_SY!$Y121-1,"")</f>
        <v/>
      </c>
      <c r="P119" s="59" t="str">
        <f>IFERROR(Inv_SY!P121/Inv_SY!$Y121-1,"")</f>
        <v/>
      </c>
      <c r="Q119" s="59" t="str">
        <f>IFERROR(Inv_SY!Q121/Inv_SY!$Y121-1,"")</f>
        <v/>
      </c>
      <c r="R119" s="59" t="str">
        <f>IFERROR(Inv_SY!R121/Inv_SY!$Y121-1,"")</f>
        <v/>
      </c>
      <c r="S119" s="59" t="str">
        <f>IFERROR(Inv_SY!S121/Inv_SY!$Y121-1,"")</f>
        <v/>
      </c>
      <c r="T119" s="59" t="str">
        <f>IFERROR(Inv_SY!T121/Inv_SY!$Y121-1,"")</f>
        <v/>
      </c>
      <c r="U119" s="59" t="str">
        <f>IFERROR(Inv_SY!U121/Inv_SY!$Y121-1,"")</f>
        <v/>
      </c>
      <c r="V119" s="59" t="str">
        <f>IFERROR(Inv_SY!J121/Inv_SY!$Z121-1,"")</f>
        <v/>
      </c>
      <c r="W119" s="59" t="str">
        <f>IFERROR(Inv_SY!K121/Inv_SY!$Z121-1,"")</f>
        <v/>
      </c>
      <c r="X119" s="59" t="str">
        <f>IFERROR(Inv_SY!L121/Inv_SY!$Z121-1,"")</f>
        <v/>
      </c>
      <c r="Y119" s="59" t="str">
        <f>IFERROR(Inv_SY!M121/Inv_SY!$Z121-1,"")</f>
        <v/>
      </c>
      <c r="Z119" s="59" t="str">
        <f>IFERROR(Inv_SY!N121/Inv_SY!$Z121-1,"")</f>
        <v/>
      </c>
      <c r="AA119" s="59" t="str">
        <f>IFERROR(Inv_SY!O121/Inv_SY!$Z121-1,"")</f>
        <v/>
      </c>
      <c r="AB119" s="59" t="str">
        <f>IFERROR(Inv_SY!P121/Inv_SY!$Z121-1,"")</f>
        <v/>
      </c>
      <c r="AC119" s="59" t="str">
        <f>IFERROR(Inv_SY!Q121/Inv_SY!$Z121-1,"")</f>
        <v/>
      </c>
      <c r="AD119" s="59" t="str">
        <f>IFERROR(Inv_SY!R121/Inv_SY!$Z121-1,"")</f>
        <v/>
      </c>
      <c r="AE119" s="59" t="str">
        <f>IFERROR(Inv_SY!S121/Inv_SY!$Z121-1,"")</f>
        <v/>
      </c>
      <c r="AF119" s="59" t="str">
        <f>IFERROR(Inv_SY!T121/Inv_SY!$Z121-1,"")</f>
        <v/>
      </c>
      <c r="AG119" s="59" t="str">
        <f>IFERROR(Inv_SY!U121/Inv_SY!$Z121-1,"")</f>
        <v/>
      </c>
      <c r="AH119" s="59" t="str">
        <f>IFERROR(Inv_SY!V121/Inv_SY!$Y121-1,"")</f>
        <v/>
      </c>
      <c r="AI119" s="59" t="str">
        <f>IFERROR(Inv_SY!W121/Inv_SY!$Y121-1,"")</f>
        <v/>
      </c>
      <c r="AJ119" s="59" t="str">
        <f>IFERROR(Inv_SY!X121/Inv_SY!$Y121-1,"")</f>
        <v/>
      </c>
      <c r="AK119" s="59" t="str">
        <f>IFERROR(Inv_SY!V121/Inv_SY!$Z121-1,"")</f>
        <v/>
      </c>
      <c r="AL119" s="59" t="str">
        <f>IFERROR(Inv_SY!W121/Inv_SY!$Z121-1,"")</f>
        <v/>
      </c>
      <c r="AM119" s="59" t="str">
        <f>IFERROR(Inv_SY!X121/Inv_SY!$Z121-1,"")</f>
        <v/>
      </c>
    </row>
    <row r="120" spans="1:39" x14ac:dyDescent="0.3">
      <c r="A120" s="246">
        <f>YEAR(Table5[[#This Row],[Date]])+IF(MONTH(Table5[[#This Row],[Date]])&gt;=4,1,0)</f>
        <v>2026</v>
      </c>
      <c r="B120" s="246"/>
      <c r="C120" s="246">
        <f>YEAR(Table5[[#This Row],[Date]])</f>
        <v>2025</v>
      </c>
      <c r="D120" s="246"/>
      <c r="E120" s="246"/>
      <c r="F120" s="247" t="str">
        <f>TEXT(Table5[[#This Row],[Date]],"mmm-yy")</f>
        <v>Jul-25</v>
      </c>
      <c r="G120" s="246">
        <f t="shared" si="8"/>
        <v>31</v>
      </c>
      <c r="H120" s="125">
        <f t="shared" si="6"/>
        <v>45863</v>
      </c>
      <c r="I120" s="55">
        <v>8.02</v>
      </c>
      <c r="J120" s="59" t="str">
        <f>IFERROR(Inv_SY!J122/Inv_SY!$Y122-1,"")</f>
        <v/>
      </c>
      <c r="K120" s="59" t="str">
        <f>IFERROR(Inv_SY!K122/Inv_SY!$Y122-1,"")</f>
        <v/>
      </c>
      <c r="L120" s="59" t="str">
        <f>IFERROR(Inv_SY!L122/Inv_SY!$Y122-1,"")</f>
        <v/>
      </c>
      <c r="M120" s="59" t="str">
        <f>IFERROR(Inv_SY!M122/Inv_SY!$Y122-1,"")</f>
        <v/>
      </c>
      <c r="N120" s="59" t="str">
        <f>IFERROR(Inv_SY!N122/Inv_SY!$Y122-1,"")</f>
        <v/>
      </c>
      <c r="O120" s="59" t="str">
        <f>IFERROR(Inv_SY!O122/Inv_SY!$Y122-1,"")</f>
        <v/>
      </c>
      <c r="P120" s="59" t="str">
        <f>IFERROR(Inv_SY!P122/Inv_SY!$Y122-1,"")</f>
        <v/>
      </c>
      <c r="Q120" s="59" t="str">
        <f>IFERROR(Inv_SY!Q122/Inv_SY!$Y122-1,"")</f>
        <v/>
      </c>
      <c r="R120" s="59" t="str">
        <f>IFERROR(Inv_SY!R122/Inv_SY!$Y122-1,"")</f>
        <v/>
      </c>
      <c r="S120" s="59" t="str">
        <f>IFERROR(Inv_SY!S122/Inv_SY!$Y122-1,"")</f>
        <v/>
      </c>
      <c r="T120" s="59" t="str">
        <f>IFERROR(Inv_SY!T122/Inv_SY!$Y122-1,"")</f>
        <v/>
      </c>
      <c r="U120" s="59" t="str">
        <f>IFERROR(Inv_SY!U122/Inv_SY!$Y122-1,"")</f>
        <v/>
      </c>
      <c r="V120" s="59" t="str">
        <f>IFERROR(Inv_SY!J122/Inv_SY!$Z122-1,"")</f>
        <v/>
      </c>
      <c r="W120" s="59" t="str">
        <f>IFERROR(Inv_SY!K122/Inv_SY!$Z122-1,"")</f>
        <v/>
      </c>
      <c r="X120" s="59" t="str">
        <f>IFERROR(Inv_SY!L122/Inv_SY!$Z122-1,"")</f>
        <v/>
      </c>
      <c r="Y120" s="59" t="str">
        <f>IFERROR(Inv_SY!M122/Inv_SY!$Z122-1,"")</f>
        <v/>
      </c>
      <c r="Z120" s="59" t="str">
        <f>IFERROR(Inv_SY!N122/Inv_SY!$Z122-1,"")</f>
        <v/>
      </c>
      <c r="AA120" s="59" t="str">
        <f>IFERROR(Inv_SY!O122/Inv_SY!$Z122-1,"")</f>
        <v/>
      </c>
      <c r="AB120" s="59" t="str">
        <f>IFERROR(Inv_SY!P122/Inv_SY!$Z122-1,"")</f>
        <v/>
      </c>
      <c r="AC120" s="59" t="str">
        <f>IFERROR(Inv_SY!Q122/Inv_SY!$Z122-1,"")</f>
        <v/>
      </c>
      <c r="AD120" s="59" t="str">
        <f>IFERROR(Inv_SY!R122/Inv_SY!$Z122-1,"")</f>
        <v/>
      </c>
      <c r="AE120" s="59" t="str">
        <f>IFERROR(Inv_SY!S122/Inv_SY!$Z122-1,"")</f>
        <v/>
      </c>
      <c r="AF120" s="59" t="str">
        <f>IFERROR(Inv_SY!T122/Inv_SY!$Z122-1,"")</f>
        <v/>
      </c>
      <c r="AG120" s="59" t="str">
        <f>IFERROR(Inv_SY!U122/Inv_SY!$Z122-1,"")</f>
        <v/>
      </c>
      <c r="AH120" s="59" t="str">
        <f>IFERROR(Inv_SY!V122/Inv_SY!$Y122-1,"")</f>
        <v/>
      </c>
      <c r="AI120" s="59" t="str">
        <f>IFERROR(Inv_SY!W122/Inv_SY!$Y122-1,"")</f>
        <v/>
      </c>
      <c r="AJ120" s="59" t="str">
        <f>IFERROR(Inv_SY!X122/Inv_SY!$Y122-1,"")</f>
        <v/>
      </c>
      <c r="AK120" s="59" t="str">
        <f>IFERROR(Inv_SY!V122/Inv_SY!$Z122-1,"")</f>
        <v/>
      </c>
      <c r="AL120" s="59" t="str">
        <f>IFERROR(Inv_SY!W122/Inv_SY!$Z122-1,"")</f>
        <v/>
      </c>
      <c r="AM120" s="59" t="str">
        <f>IFERROR(Inv_SY!X122/Inv_SY!$Z122-1,"")</f>
        <v/>
      </c>
    </row>
    <row r="121" spans="1:39" x14ac:dyDescent="0.3">
      <c r="A121" s="246">
        <f>YEAR(Table5[[#This Row],[Date]])+IF(MONTH(Table5[[#This Row],[Date]])&gt;=4,1,0)</f>
        <v>2026</v>
      </c>
      <c r="B121" s="246"/>
      <c r="C121" s="246">
        <f>YEAR(Table5[[#This Row],[Date]])</f>
        <v>2025</v>
      </c>
      <c r="D121" s="246"/>
      <c r="E121" s="246"/>
      <c r="F121" s="247" t="str">
        <f>TEXT(Table5[[#This Row],[Date]],"mmm-yy")</f>
        <v>Jul-25</v>
      </c>
      <c r="G121" s="246">
        <f t="shared" si="8"/>
        <v>31</v>
      </c>
      <c r="H121" s="125">
        <f t="shared" si="6"/>
        <v>45864</v>
      </c>
      <c r="I121" s="55">
        <v>8.02</v>
      </c>
      <c r="J121" s="59" t="str">
        <f>IFERROR(Inv_SY!J123/Inv_SY!$Y123-1,"")</f>
        <v/>
      </c>
      <c r="K121" s="59" t="str">
        <f>IFERROR(Inv_SY!K123/Inv_SY!$Y123-1,"")</f>
        <v/>
      </c>
      <c r="L121" s="59" t="str">
        <f>IFERROR(Inv_SY!L123/Inv_SY!$Y123-1,"")</f>
        <v/>
      </c>
      <c r="M121" s="59" t="str">
        <f>IFERROR(Inv_SY!M123/Inv_SY!$Y123-1,"")</f>
        <v/>
      </c>
      <c r="N121" s="59" t="str">
        <f>IFERROR(Inv_SY!N123/Inv_SY!$Y123-1,"")</f>
        <v/>
      </c>
      <c r="O121" s="59" t="str">
        <f>IFERROR(Inv_SY!O123/Inv_SY!$Y123-1,"")</f>
        <v/>
      </c>
      <c r="P121" s="59" t="str">
        <f>IFERROR(Inv_SY!P123/Inv_SY!$Y123-1,"")</f>
        <v/>
      </c>
      <c r="Q121" s="59" t="str">
        <f>IFERROR(Inv_SY!Q123/Inv_SY!$Y123-1,"")</f>
        <v/>
      </c>
      <c r="R121" s="59" t="str">
        <f>IFERROR(Inv_SY!R123/Inv_SY!$Y123-1,"")</f>
        <v/>
      </c>
      <c r="S121" s="59" t="str">
        <f>IFERROR(Inv_SY!S123/Inv_SY!$Y123-1,"")</f>
        <v/>
      </c>
      <c r="T121" s="59" t="str">
        <f>IFERROR(Inv_SY!T123/Inv_SY!$Y123-1,"")</f>
        <v/>
      </c>
      <c r="U121" s="59" t="str">
        <f>IFERROR(Inv_SY!U123/Inv_SY!$Y123-1,"")</f>
        <v/>
      </c>
      <c r="V121" s="59" t="str">
        <f>IFERROR(Inv_SY!J123/Inv_SY!$Z123-1,"")</f>
        <v/>
      </c>
      <c r="W121" s="59" t="str">
        <f>IFERROR(Inv_SY!K123/Inv_SY!$Z123-1,"")</f>
        <v/>
      </c>
      <c r="X121" s="59" t="str">
        <f>IFERROR(Inv_SY!L123/Inv_SY!$Z123-1,"")</f>
        <v/>
      </c>
      <c r="Y121" s="59" t="str">
        <f>IFERROR(Inv_SY!M123/Inv_SY!$Z123-1,"")</f>
        <v/>
      </c>
      <c r="Z121" s="59" t="str">
        <f>IFERROR(Inv_SY!N123/Inv_SY!$Z123-1,"")</f>
        <v/>
      </c>
      <c r="AA121" s="59" t="str">
        <f>IFERROR(Inv_SY!O123/Inv_SY!$Z123-1,"")</f>
        <v/>
      </c>
      <c r="AB121" s="59" t="str">
        <f>IFERROR(Inv_SY!P123/Inv_SY!$Z123-1,"")</f>
        <v/>
      </c>
      <c r="AC121" s="59" t="str">
        <f>IFERROR(Inv_SY!Q123/Inv_SY!$Z123-1,"")</f>
        <v/>
      </c>
      <c r="AD121" s="59" t="str">
        <f>IFERROR(Inv_SY!R123/Inv_SY!$Z123-1,"")</f>
        <v/>
      </c>
      <c r="AE121" s="59" t="str">
        <f>IFERROR(Inv_SY!S123/Inv_SY!$Z123-1,"")</f>
        <v/>
      </c>
      <c r="AF121" s="59" t="str">
        <f>IFERROR(Inv_SY!T123/Inv_SY!$Z123-1,"")</f>
        <v/>
      </c>
      <c r="AG121" s="59" t="str">
        <f>IFERROR(Inv_SY!U123/Inv_SY!$Z123-1,"")</f>
        <v/>
      </c>
      <c r="AH121" s="59" t="str">
        <f>IFERROR(Inv_SY!V123/Inv_SY!$Y123-1,"")</f>
        <v/>
      </c>
      <c r="AI121" s="59" t="str">
        <f>IFERROR(Inv_SY!W123/Inv_SY!$Y123-1,"")</f>
        <v/>
      </c>
      <c r="AJ121" s="59" t="str">
        <f>IFERROR(Inv_SY!X123/Inv_SY!$Y123-1,"")</f>
        <v/>
      </c>
      <c r="AK121" s="59" t="str">
        <f>IFERROR(Inv_SY!V123/Inv_SY!$Z123-1,"")</f>
        <v/>
      </c>
      <c r="AL121" s="59" t="str">
        <f>IFERROR(Inv_SY!W123/Inv_SY!$Z123-1,"")</f>
        <v/>
      </c>
      <c r="AM121" s="59" t="str">
        <f>IFERROR(Inv_SY!X123/Inv_SY!$Z123-1,"")</f>
        <v/>
      </c>
    </row>
    <row r="122" spans="1:39" x14ac:dyDescent="0.3">
      <c r="A122" s="246">
        <f>YEAR(Table5[[#This Row],[Date]])+IF(MONTH(Table5[[#This Row],[Date]])&gt;=4,1,0)</f>
        <v>2026</v>
      </c>
      <c r="B122" s="246"/>
      <c r="C122" s="246">
        <f>YEAR(Table5[[#This Row],[Date]])</f>
        <v>2025</v>
      </c>
      <c r="D122" s="246"/>
      <c r="E122" s="246"/>
      <c r="F122" s="247" t="str">
        <f>TEXT(Table5[[#This Row],[Date]],"mmm-yy")</f>
        <v>Jul-25</v>
      </c>
      <c r="G122" s="246">
        <f t="shared" si="8"/>
        <v>31</v>
      </c>
      <c r="H122" s="125">
        <f t="shared" si="6"/>
        <v>45865</v>
      </c>
      <c r="I122" s="55">
        <v>8.02</v>
      </c>
      <c r="J122" s="59" t="str">
        <f>IFERROR(Inv_SY!J124/Inv_SY!$Y124-1,"")</f>
        <v/>
      </c>
      <c r="K122" s="59" t="str">
        <f>IFERROR(Inv_SY!K124/Inv_SY!$Y124-1,"")</f>
        <v/>
      </c>
      <c r="L122" s="59" t="str">
        <f>IFERROR(Inv_SY!L124/Inv_SY!$Y124-1,"")</f>
        <v/>
      </c>
      <c r="M122" s="59" t="str">
        <f>IFERROR(Inv_SY!M124/Inv_SY!$Y124-1,"")</f>
        <v/>
      </c>
      <c r="N122" s="59" t="str">
        <f>IFERROR(Inv_SY!N124/Inv_SY!$Y124-1,"")</f>
        <v/>
      </c>
      <c r="O122" s="59" t="str">
        <f>IFERROR(Inv_SY!O124/Inv_SY!$Y124-1,"")</f>
        <v/>
      </c>
      <c r="P122" s="59" t="str">
        <f>IFERROR(Inv_SY!P124/Inv_SY!$Y124-1,"")</f>
        <v/>
      </c>
      <c r="Q122" s="59" t="str">
        <f>IFERROR(Inv_SY!Q124/Inv_SY!$Y124-1,"")</f>
        <v/>
      </c>
      <c r="R122" s="59" t="str">
        <f>IFERROR(Inv_SY!R124/Inv_SY!$Y124-1,"")</f>
        <v/>
      </c>
      <c r="S122" s="59" t="str">
        <f>IFERROR(Inv_SY!S124/Inv_SY!$Y124-1,"")</f>
        <v/>
      </c>
      <c r="T122" s="59" t="str">
        <f>IFERROR(Inv_SY!T124/Inv_SY!$Y124-1,"")</f>
        <v/>
      </c>
      <c r="U122" s="59" t="str">
        <f>IFERROR(Inv_SY!U124/Inv_SY!$Y124-1,"")</f>
        <v/>
      </c>
      <c r="V122" s="59" t="str">
        <f>IFERROR(Inv_SY!J124/Inv_SY!$Z124-1,"")</f>
        <v/>
      </c>
      <c r="W122" s="59" t="str">
        <f>IFERROR(Inv_SY!K124/Inv_SY!$Z124-1,"")</f>
        <v/>
      </c>
      <c r="X122" s="59" t="str">
        <f>IFERROR(Inv_SY!L124/Inv_SY!$Z124-1,"")</f>
        <v/>
      </c>
      <c r="Y122" s="59" t="str">
        <f>IFERROR(Inv_SY!M124/Inv_SY!$Z124-1,"")</f>
        <v/>
      </c>
      <c r="Z122" s="59" t="str">
        <f>IFERROR(Inv_SY!N124/Inv_SY!$Z124-1,"")</f>
        <v/>
      </c>
      <c r="AA122" s="59" t="str">
        <f>IFERROR(Inv_SY!O124/Inv_SY!$Z124-1,"")</f>
        <v/>
      </c>
      <c r="AB122" s="59" t="str">
        <f>IFERROR(Inv_SY!P124/Inv_SY!$Z124-1,"")</f>
        <v/>
      </c>
      <c r="AC122" s="59" t="str">
        <f>IFERROR(Inv_SY!Q124/Inv_SY!$Z124-1,"")</f>
        <v/>
      </c>
      <c r="AD122" s="59" t="str">
        <f>IFERROR(Inv_SY!R124/Inv_SY!$Z124-1,"")</f>
        <v/>
      </c>
      <c r="AE122" s="59" t="str">
        <f>IFERROR(Inv_SY!S124/Inv_SY!$Z124-1,"")</f>
        <v/>
      </c>
      <c r="AF122" s="59" t="str">
        <f>IFERROR(Inv_SY!T124/Inv_SY!$Z124-1,"")</f>
        <v/>
      </c>
      <c r="AG122" s="59" t="str">
        <f>IFERROR(Inv_SY!U124/Inv_SY!$Z124-1,"")</f>
        <v/>
      </c>
      <c r="AH122" s="59" t="str">
        <f>IFERROR(Inv_SY!V124/Inv_SY!$Y124-1,"")</f>
        <v/>
      </c>
      <c r="AI122" s="59" t="str">
        <f>IFERROR(Inv_SY!W124/Inv_SY!$Y124-1,"")</f>
        <v/>
      </c>
      <c r="AJ122" s="59" t="str">
        <f>IFERROR(Inv_SY!X124/Inv_SY!$Y124-1,"")</f>
        <v/>
      </c>
      <c r="AK122" s="59" t="str">
        <f>IFERROR(Inv_SY!V124/Inv_SY!$Z124-1,"")</f>
        <v/>
      </c>
      <c r="AL122" s="59" t="str">
        <f>IFERROR(Inv_SY!W124/Inv_SY!$Z124-1,"")</f>
        <v/>
      </c>
      <c r="AM122" s="59" t="str">
        <f>IFERROR(Inv_SY!X124/Inv_SY!$Z124-1,"")</f>
        <v/>
      </c>
    </row>
    <row r="123" spans="1:39" x14ac:dyDescent="0.3">
      <c r="A123" s="246">
        <f>YEAR(Table5[[#This Row],[Date]])+IF(MONTH(Table5[[#This Row],[Date]])&gt;=4,1,0)</f>
        <v>2026</v>
      </c>
      <c r="B123" s="246"/>
      <c r="C123" s="246">
        <f>YEAR(Table5[[#This Row],[Date]])</f>
        <v>2025</v>
      </c>
      <c r="D123" s="246"/>
      <c r="E123" s="246"/>
      <c r="F123" s="247" t="str">
        <f>TEXT(Table5[[#This Row],[Date]],"mmm-yy")</f>
        <v>Jul-25</v>
      </c>
      <c r="G123" s="246">
        <f t="shared" si="8"/>
        <v>31</v>
      </c>
      <c r="H123" s="125">
        <f t="shared" si="6"/>
        <v>45866</v>
      </c>
      <c r="I123" s="55">
        <v>8.02</v>
      </c>
      <c r="J123" s="59" t="str">
        <f>IFERROR(Inv_SY!J125/Inv_SY!$Y125-1,"")</f>
        <v/>
      </c>
      <c r="K123" s="59" t="str">
        <f>IFERROR(Inv_SY!K125/Inv_SY!$Y125-1,"")</f>
        <v/>
      </c>
      <c r="L123" s="59" t="str">
        <f>IFERROR(Inv_SY!L125/Inv_SY!$Y125-1,"")</f>
        <v/>
      </c>
      <c r="M123" s="59" t="str">
        <f>IFERROR(Inv_SY!M125/Inv_SY!$Y125-1,"")</f>
        <v/>
      </c>
      <c r="N123" s="59" t="str">
        <f>IFERROR(Inv_SY!N125/Inv_SY!$Y125-1,"")</f>
        <v/>
      </c>
      <c r="O123" s="59" t="str">
        <f>IFERROR(Inv_SY!O125/Inv_SY!$Y125-1,"")</f>
        <v/>
      </c>
      <c r="P123" s="59" t="str">
        <f>IFERROR(Inv_SY!P125/Inv_SY!$Y125-1,"")</f>
        <v/>
      </c>
      <c r="Q123" s="59" t="str">
        <f>IFERROR(Inv_SY!Q125/Inv_SY!$Y125-1,"")</f>
        <v/>
      </c>
      <c r="R123" s="59" t="str">
        <f>IFERROR(Inv_SY!R125/Inv_SY!$Y125-1,"")</f>
        <v/>
      </c>
      <c r="S123" s="59" t="str">
        <f>IFERROR(Inv_SY!S125/Inv_SY!$Y125-1,"")</f>
        <v/>
      </c>
      <c r="T123" s="59" t="str">
        <f>IFERROR(Inv_SY!T125/Inv_SY!$Y125-1,"")</f>
        <v/>
      </c>
      <c r="U123" s="59" t="str">
        <f>IFERROR(Inv_SY!U125/Inv_SY!$Y125-1,"")</f>
        <v/>
      </c>
      <c r="V123" s="59" t="str">
        <f>IFERROR(Inv_SY!J125/Inv_SY!$Z125-1,"")</f>
        <v/>
      </c>
      <c r="W123" s="59" t="str">
        <f>IFERROR(Inv_SY!K125/Inv_SY!$Z125-1,"")</f>
        <v/>
      </c>
      <c r="X123" s="59" t="str">
        <f>IFERROR(Inv_SY!L125/Inv_SY!$Z125-1,"")</f>
        <v/>
      </c>
      <c r="Y123" s="59" t="str">
        <f>IFERROR(Inv_SY!M125/Inv_SY!$Z125-1,"")</f>
        <v/>
      </c>
      <c r="Z123" s="59" t="str">
        <f>IFERROR(Inv_SY!N125/Inv_SY!$Z125-1,"")</f>
        <v/>
      </c>
      <c r="AA123" s="59" t="str">
        <f>IFERROR(Inv_SY!O125/Inv_SY!$Z125-1,"")</f>
        <v/>
      </c>
      <c r="AB123" s="59" t="str">
        <f>IFERROR(Inv_SY!P125/Inv_SY!$Z125-1,"")</f>
        <v/>
      </c>
      <c r="AC123" s="59" t="str">
        <f>IFERROR(Inv_SY!Q125/Inv_SY!$Z125-1,"")</f>
        <v/>
      </c>
      <c r="AD123" s="59" t="str">
        <f>IFERROR(Inv_SY!R125/Inv_SY!$Z125-1,"")</f>
        <v/>
      </c>
      <c r="AE123" s="59" t="str">
        <f>IFERROR(Inv_SY!S125/Inv_SY!$Z125-1,"")</f>
        <v/>
      </c>
      <c r="AF123" s="59" t="str">
        <f>IFERROR(Inv_SY!T125/Inv_SY!$Z125-1,"")</f>
        <v/>
      </c>
      <c r="AG123" s="59" t="str">
        <f>IFERROR(Inv_SY!U125/Inv_SY!$Z125-1,"")</f>
        <v/>
      </c>
      <c r="AH123" s="59" t="str">
        <f>IFERROR(Inv_SY!V125/Inv_SY!$Y125-1,"")</f>
        <v/>
      </c>
      <c r="AI123" s="59" t="str">
        <f>IFERROR(Inv_SY!W125/Inv_SY!$Y125-1,"")</f>
        <v/>
      </c>
      <c r="AJ123" s="59" t="str">
        <f>IFERROR(Inv_SY!X125/Inv_SY!$Y125-1,"")</f>
        <v/>
      </c>
      <c r="AK123" s="59" t="str">
        <f>IFERROR(Inv_SY!V125/Inv_SY!$Z125-1,"")</f>
        <v/>
      </c>
      <c r="AL123" s="59" t="str">
        <f>IFERROR(Inv_SY!W125/Inv_SY!$Z125-1,"")</f>
        <v/>
      </c>
      <c r="AM123" s="59" t="str">
        <f>IFERROR(Inv_SY!X125/Inv_SY!$Z125-1,"")</f>
        <v/>
      </c>
    </row>
    <row r="124" spans="1:39" x14ac:dyDescent="0.3">
      <c r="A124" s="246">
        <f>YEAR(Table5[[#This Row],[Date]])+IF(MONTH(Table5[[#This Row],[Date]])&gt;=4,1,0)</f>
        <v>2026</v>
      </c>
      <c r="B124" s="246"/>
      <c r="C124" s="246">
        <f>YEAR(Table5[[#This Row],[Date]])</f>
        <v>2025</v>
      </c>
      <c r="D124" s="246"/>
      <c r="E124" s="246"/>
      <c r="F124" s="247" t="str">
        <f>TEXT(Table5[[#This Row],[Date]],"mmm-yy")</f>
        <v>Jul-25</v>
      </c>
      <c r="G124" s="246">
        <f t="shared" si="8"/>
        <v>31</v>
      </c>
      <c r="H124" s="125">
        <f t="shared" si="6"/>
        <v>45867</v>
      </c>
      <c r="I124" s="55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46">
        <f>YEAR(Table5[[#This Row],[Date]])+IF(MONTH(Table5[[#This Row],[Date]])&gt;=4,1,0)</f>
        <v>2026</v>
      </c>
      <c r="B125" s="246"/>
      <c r="C125" s="246">
        <f>YEAR(Table5[[#This Row],[Date]])</f>
        <v>2025</v>
      </c>
      <c r="D125" s="246"/>
      <c r="E125" s="246"/>
      <c r="F125" s="247" t="str">
        <f>TEXT(Table5[[#This Row],[Date]],"mmm-yy")</f>
        <v>Jul-25</v>
      </c>
      <c r="G125" s="246">
        <f t="shared" si="8"/>
        <v>31</v>
      </c>
      <c r="H125" s="125">
        <f t="shared" si="6"/>
        <v>45868</v>
      </c>
      <c r="I125" s="55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46">
        <f>YEAR(Table5[[#This Row],[Date]])+IF(MONTH(Table5[[#This Row],[Date]])&gt;=4,1,0)</f>
        <v>2026</v>
      </c>
      <c r="B126" s="246"/>
      <c r="C126" s="246">
        <f>YEAR(Table5[[#This Row],[Date]])</f>
        <v>2025</v>
      </c>
      <c r="D126" s="246"/>
      <c r="E126" s="246"/>
      <c r="F126" s="247" t="str">
        <f>TEXT(Table5[[#This Row],[Date]],"mmm-yy")</f>
        <v>Jul-25</v>
      </c>
      <c r="G126" s="246">
        <f t="shared" si="8"/>
        <v>31</v>
      </c>
      <c r="H126" s="125">
        <f t="shared" si="6"/>
        <v>45869</v>
      </c>
      <c r="I126" s="55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46">
        <f>YEAR(Table5[[#This Row],[Date]])+IF(MONTH(Table5[[#This Row],[Date]])&gt;=4,1,0)</f>
        <v>2026</v>
      </c>
      <c r="B127" s="246"/>
      <c r="C127" s="246">
        <f>YEAR(Table5[[#This Row],[Date]])</f>
        <v>2025</v>
      </c>
      <c r="D127" s="246"/>
      <c r="E127" s="246"/>
      <c r="F127" s="247" t="str">
        <f>TEXT(Table5[[#This Row],[Date]],"mmm-yy")</f>
        <v>Aug-25</v>
      </c>
      <c r="G127" s="246">
        <f t="shared" si="8"/>
        <v>31</v>
      </c>
      <c r="H127" s="125">
        <f t="shared" si="6"/>
        <v>45870</v>
      </c>
      <c r="I127" s="55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46">
        <f>YEAR(Table5[[#This Row],[Date]])+IF(MONTH(Table5[[#This Row],[Date]])&gt;=4,1,0)</f>
        <v>2026</v>
      </c>
      <c r="B128" s="246"/>
      <c r="C128" s="246">
        <f>YEAR(Table5[[#This Row],[Date]])</f>
        <v>2025</v>
      </c>
      <c r="D128" s="246"/>
      <c r="E128" s="246"/>
      <c r="F128" s="247" t="str">
        <f>TEXT(Table5[[#This Row],[Date]],"mmm-yy")</f>
        <v>Aug-25</v>
      </c>
      <c r="G128" s="246">
        <f t="shared" si="8"/>
        <v>31</v>
      </c>
      <c r="H128" s="125">
        <f t="shared" si="6"/>
        <v>45871</v>
      </c>
      <c r="I128" s="55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46">
        <f>YEAR(Table5[[#This Row],[Date]])+IF(MONTH(Table5[[#This Row],[Date]])&gt;=4,1,0)</f>
        <v>2026</v>
      </c>
      <c r="B129" s="246"/>
      <c r="C129" s="246">
        <f>YEAR(Table5[[#This Row],[Date]])</f>
        <v>2025</v>
      </c>
      <c r="D129" s="246"/>
      <c r="E129" s="246"/>
      <c r="F129" s="247" t="str">
        <f>TEXT(Table5[[#This Row],[Date]],"mmm-yy")</f>
        <v>Aug-25</v>
      </c>
      <c r="G129" s="246">
        <f t="shared" si="8"/>
        <v>31</v>
      </c>
      <c r="H129" s="125">
        <f t="shared" si="6"/>
        <v>45872</v>
      </c>
      <c r="I129" s="55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46">
        <f>YEAR(Table5[[#This Row],[Date]])+IF(MONTH(Table5[[#This Row],[Date]])&gt;=4,1,0)</f>
        <v>2026</v>
      </c>
      <c r="B130" s="246"/>
      <c r="C130" s="246">
        <f>YEAR(Table5[[#This Row],[Date]])</f>
        <v>2025</v>
      </c>
      <c r="D130" s="246"/>
      <c r="E130" s="246"/>
      <c r="F130" s="247" t="str">
        <f>TEXT(Table5[[#This Row],[Date]],"mmm-yy")</f>
        <v>Aug-25</v>
      </c>
      <c r="G130" s="246">
        <f t="shared" si="8"/>
        <v>31</v>
      </c>
      <c r="H130" s="125">
        <f t="shared" si="6"/>
        <v>45873</v>
      </c>
      <c r="I130" s="55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46">
        <f>YEAR(Table5[[#This Row],[Date]])+IF(MONTH(Table5[[#This Row],[Date]])&gt;=4,1,0)</f>
        <v>2026</v>
      </c>
      <c r="B131" s="246"/>
      <c r="C131" s="246">
        <f>YEAR(Table5[[#This Row],[Date]])</f>
        <v>2025</v>
      </c>
      <c r="D131" s="246"/>
      <c r="E131" s="246"/>
      <c r="F131" s="247" t="str">
        <f>TEXT(Table5[[#This Row],[Date]],"mmm-yy")</f>
        <v>Aug-25</v>
      </c>
      <c r="G131" s="246">
        <f t="shared" si="8"/>
        <v>31</v>
      </c>
      <c r="H131" s="125">
        <f t="shared" si="6"/>
        <v>45874</v>
      </c>
      <c r="I131" s="55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46">
        <f>YEAR(Table5[[#This Row],[Date]])+IF(MONTH(Table5[[#This Row],[Date]])&gt;=4,1,0)</f>
        <v>2026</v>
      </c>
      <c r="B132" s="246"/>
      <c r="C132" s="246">
        <f>YEAR(Table5[[#This Row],[Date]])</f>
        <v>2025</v>
      </c>
      <c r="D132" s="246"/>
      <c r="E132" s="246"/>
      <c r="F132" s="247" t="str">
        <f>TEXT(Table5[[#This Row],[Date]],"mmm-yy")</f>
        <v>Aug-25</v>
      </c>
      <c r="G132" s="246">
        <f t="shared" si="8"/>
        <v>31</v>
      </c>
      <c r="H132" s="125">
        <f t="shared" si="6"/>
        <v>45875</v>
      </c>
      <c r="I132" s="55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46">
        <f>YEAR(Table5[[#This Row],[Date]])+IF(MONTH(Table5[[#This Row],[Date]])&gt;=4,1,0)</f>
        <v>2026</v>
      </c>
      <c r="B133" s="246"/>
      <c r="C133" s="246">
        <f>YEAR(Table5[[#This Row],[Date]])</f>
        <v>2025</v>
      </c>
      <c r="D133" s="246"/>
      <c r="E133" s="246"/>
      <c r="F133" s="247" t="str">
        <f>TEXT(Table5[[#This Row],[Date]],"mmm-yy")</f>
        <v>Aug-25</v>
      </c>
      <c r="G133" s="246">
        <f t="shared" si="8"/>
        <v>31</v>
      </c>
      <c r="H133" s="125">
        <f t="shared" ref="H133:H196" si="9">H132+1</f>
        <v>45876</v>
      </c>
      <c r="I133" s="55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46">
        <f>YEAR(Table5[[#This Row],[Date]])+IF(MONTH(Table5[[#This Row],[Date]])&gt;=4,1,0)</f>
        <v>2026</v>
      </c>
      <c r="B134" s="246"/>
      <c r="C134" s="246">
        <f>YEAR(Table5[[#This Row],[Date]])</f>
        <v>2025</v>
      </c>
      <c r="D134" s="246"/>
      <c r="E134" s="246"/>
      <c r="F134" s="247" t="str">
        <f>TEXT(Table5[[#This Row],[Date]],"mmm-yy")</f>
        <v>Aug-25</v>
      </c>
      <c r="G134" s="246">
        <f t="shared" si="8"/>
        <v>31</v>
      </c>
      <c r="H134" s="125">
        <f t="shared" si="9"/>
        <v>45877</v>
      </c>
      <c r="I134" s="55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46">
        <f>YEAR(Table5[[#This Row],[Date]])+IF(MONTH(Table5[[#This Row],[Date]])&gt;=4,1,0)</f>
        <v>2026</v>
      </c>
      <c r="B135" s="246"/>
      <c r="C135" s="246">
        <f>YEAR(Table5[[#This Row],[Date]])</f>
        <v>2025</v>
      </c>
      <c r="D135" s="246"/>
      <c r="E135" s="246"/>
      <c r="F135" s="247" t="str">
        <f>TEXT(Table5[[#This Row],[Date]],"mmm-yy")</f>
        <v>Aug-25</v>
      </c>
      <c r="G135" s="246">
        <f t="shared" si="8"/>
        <v>31</v>
      </c>
      <c r="H135" s="125">
        <f t="shared" si="9"/>
        <v>45878</v>
      </c>
      <c r="I135" s="55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46">
        <f>YEAR(Table5[[#This Row],[Date]])+IF(MONTH(Table5[[#This Row],[Date]])&gt;=4,1,0)</f>
        <v>2026</v>
      </c>
      <c r="B136" s="246"/>
      <c r="C136" s="246">
        <f>YEAR(Table5[[#This Row],[Date]])</f>
        <v>2025</v>
      </c>
      <c r="D136" s="246"/>
      <c r="E136" s="246"/>
      <c r="F136" s="247" t="str">
        <f>TEXT(Table5[[#This Row],[Date]],"mmm-yy")</f>
        <v>Aug-25</v>
      </c>
      <c r="G136" s="246">
        <f t="shared" si="8"/>
        <v>31</v>
      </c>
      <c r="H136" s="125">
        <f t="shared" si="9"/>
        <v>45879</v>
      </c>
      <c r="I136" s="55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46">
        <f>YEAR(Table5[[#This Row],[Date]])+IF(MONTH(Table5[[#This Row],[Date]])&gt;=4,1,0)</f>
        <v>2026</v>
      </c>
      <c r="B137" s="246"/>
      <c r="C137" s="246">
        <f>YEAR(Table5[[#This Row],[Date]])</f>
        <v>2025</v>
      </c>
      <c r="D137" s="246"/>
      <c r="E137" s="246"/>
      <c r="F137" s="247" t="str">
        <f>TEXT(Table5[[#This Row],[Date]],"mmm-yy")</f>
        <v>Aug-25</v>
      </c>
      <c r="G137" s="246">
        <f t="shared" si="8"/>
        <v>31</v>
      </c>
      <c r="H137" s="125">
        <f t="shared" si="9"/>
        <v>45880</v>
      </c>
      <c r="I137" s="55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46">
        <f>YEAR(Table5[[#This Row],[Date]])+IF(MONTH(Table5[[#This Row],[Date]])&gt;=4,1,0)</f>
        <v>2026</v>
      </c>
      <c r="B138" s="246"/>
      <c r="C138" s="246">
        <f>YEAR(Table5[[#This Row],[Date]])</f>
        <v>2025</v>
      </c>
      <c r="D138" s="246"/>
      <c r="E138" s="246"/>
      <c r="F138" s="247" t="str">
        <f>TEXT(Table5[[#This Row],[Date]],"mmm-yy")</f>
        <v>Aug-25</v>
      </c>
      <c r="G138" s="246">
        <f t="shared" si="8"/>
        <v>31</v>
      </c>
      <c r="H138" s="125">
        <f t="shared" si="9"/>
        <v>45881</v>
      </c>
      <c r="I138" s="55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46">
        <f>YEAR(Table5[[#This Row],[Date]])+IF(MONTH(Table5[[#This Row],[Date]])&gt;=4,1,0)</f>
        <v>2026</v>
      </c>
      <c r="B139" s="246"/>
      <c r="C139" s="246">
        <f>YEAR(Table5[[#This Row],[Date]])</f>
        <v>2025</v>
      </c>
      <c r="D139" s="246"/>
      <c r="E139" s="246"/>
      <c r="F139" s="247" t="str">
        <f>TEXT(Table5[[#This Row],[Date]],"mmm-yy")</f>
        <v>Aug-25</v>
      </c>
      <c r="G139" s="246">
        <f t="shared" si="8"/>
        <v>31</v>
      </c>
      <c r="H139" s="125">
        <f t="shared" si="9"/>
        <v>45882</v>
      </c>
      <c r="I139" s="55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46">
        <f>YEAR(Table5[[#This Row],[Date]])+IF(MONTH(Table5[[#This Row],[Date]])&gt;=4,1,0)</f>
        <v>2026</v>
      </c>
      <c r="B140" s="246"/>
      <c r="C140" s="246">
        <f>YEAR(Table5[[#This Row],[Date]])</f>
        <v>2025</v>
      </c>
      <c r="D140" s="246"/>
      <c r="E140" s="246"/>
      <c r="F140" s="247" t="str">
        <f>TEXT(Table5[[#This Row],[Date]],"mmm-yy")</f>
        <v>Aug-25</v>
      </c>
      <c r="G140" s="246">
        <f t="shared" si="8"/>
        <v>31</v>
      </c>
      <c r="H140" s="125">
        <f t="shared" si="9"/>
        <v>45883</v>
      </c>
      <c r="I140" s="55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46">
        <f>YEAR(Table5[[#This Row],[Date]])+IF(MONTH(Table5[[#This Row],[Date]])&gt;=4,1,0)</f>
        <v>2026</v>
      </c>
      <c r="B141" s="246"/>
      <c r="C141" s="246">
        <f>YEAR(Table5[[#This Row],[Date]])</f>
        <v>2025</v>
      </c>
      <c r="D141" s="246"/>
      <c r="E141" s="246"/>
      <c r="F141" s="247" t="str">
        <f>TEXT(Table5[[#This Row],[Date]],"mmm-yy")</f>
        <v>Aug-25</v>
      </c>
      <c r="G141" s="246">
        <f t="shared" ref="G141:G172" si="10">DAY(EOMONTH(F141,0))</f>
        <v>31</v>
      </c>
      <c r="H141" s="125">
        <f t="shared" si="9"/>
        <v>45884</v>
      </c>
      <c r="I141" s="55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46">
        <f>YEAR(Table5[[#This Row],[Date]])+IF(MONTH(Table5[[#This Row],[Date]])&gt;=4,1,0)</f>
        <v>2026</v>
      </c>
      <c r="B142" s="246"/>
      <c r="C142" s="246">
        <f>YEAR(Table5[[#This Row],[Date]])</f>
        <v>2025</v>
      </c>
      <c r="D142" s="246"/>
      <c r="E142" s="246"/>
      <c r="F142" s="247" t="str">
        <f>TEXT(Table5[[#This Row],[Date]],"mmm-yy")</f>
        <v>Aug-25</v>
      </c>
      <c r="G142" s="246">
        <f t="shared" si="10"/>
        <v>31</v>
      </c>
      <c r="H142" s="125">
        <f t="shared" si="9"/>
        <v>45885</v>
      </c>
      <c r="I142" s="55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46">
        <f>YEAR(Table5[[#This Row],[Date]])+IF(MONTH(Table5[[#This Row],[Date]])&gt;=4,1,0)</f>
        <v>2026</v>
      </c>
      <c r="B143" s="246"/>
      <c r="C143" s="246">
        <f>YEAR(Table5[[#This Row],[Date]])</f>
        <v>2025</v>
      </c>
      <c r="D143" s="246"/>
      <c r="E143" s="246"/>
      <c r="F143" s="247" t="str">
        <f>TEXT(Table5[[#This Row],[Date]],"mmm-yy")</f>
        <v>Aug-25</v>
      </c>
      <c r="G143" s="246">
        <f t="shared" si="10"/>
        <v>31</v>
      </c>
      <c r="H143" s="125">
        <f t="shared" si="9"/>
        <v>45886</v>
      </c>
      <c r="I143" s="55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46">
        <f>YEAR(Table5[[#This Row],[Date]])+IF(MONTH(Table5[[#This Row],[Date]])&gt;=4,1,0)</f>
        <v>2026</v>
      </c>
      <c r="B144" s="246"/>
      <c r="C144" s="246">
        <f>YEAR(Table5[[#This Row],[Date]])</f>
        <v>2025</v>
      </c>
      <c r="D144" s="246"/>
      <c r="E144" s="246"/>
      <c r="F144" s="247" t="str">
        <f>TEXT(Table5[[#This Row],[Date]],"mmm-yy")</f>
        <v>Aug-25</v>
      </c>
      <c r="G144" s="246">
        <f t="shared" si="10"/>
        <v>31</v>
      </c>
      <c r="H144" s="125">
        <f t="shared" si="9"/>
        <v>45887</v>
      </c>
      <c r="I144" s="55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46">
        <f>YEAR(Table5[[#This Row],[Date]])+IF(MONTH(Table5[[#This Row],[Date]])&gt;=4,1,0)</f>
        <v>2026</v>
      </c>
      <c r="B145" s="246"/>
      <c r="C145" s="246">
        <f>YEAR(Table5[[#This Row],[Date]])</f>
        <v>2025</v>
      </c>
      <c r="D145" s="246"/>
      <c r="E145" s="246"/>
      <c r="F145" s="247" t="str">
        <f>TEXT(Table5[[#This Row],[Date]],"mmm-yy")</f>
        <v>Aug-25</v>
      </c>
      <c r="G145" s="246">
        <f t="shared" si="10"/>
        <v>31</v>
      </c>
      <c r="H145" s="125">
        <f t="shared" si="9"/>
        <v>45888</v>
      </c>
      <c r="I145" s="55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46">
        <f>YEAR(Table5[[#This Row],[Date]])+IF(MONTH(Table5[[#This Row],[Date]])&gt;=4,1,0)</f>
        <v>2026</v>
      </c>
      <c r="B146" s="246"/>
      <c r="C146" s="246">
        <f>YEAR(Table5[[#This Row],[Date]])</f>
        <v>2025</v>
      </c>
      <c r="D146" s="246"/>
      <c r="E146" s="246"/>
      <c r="F146" s="247" t="str">
        <f>TEXT(Table5[[#This Row],[Date]],"mmm-yy")</f>
        <v>Aug-25</v>
      </c>
      <c r="G146" s="246">
        <f t="shared" si="10"/>
        <v>31</v>
      </c>
      <c r="H146" s="125">
        <f t="shared" si="9"/>
        <v>45889</v>
      </c>
      <c r="I146" s="55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46">
        <f>YEAR(Table5[[#This Row],[Date]])+IF(MONTH(Table5[[#This Row],[Date]])&gt;=4,1,0)</f>
        <v>2026</v>
      </c>
      <c r="B147" s="246"/>
      <c r="C147" s="246">
        <f>YEAR(Table5[[#This Row],[Date]])</f>
        <v>2025</v>
      </c>
      <c r="D147" s="246"/>
      <c r="E147" s="246"/>
      <c r="F147" s="247" t="str">
        <f>TEXT(Table5[[#This Row],[Date]],"mmm-yy")</f>
        <v>Aug-25</v>
      </c>
      <c r="G147" s="246">
        <f t="shared" si="10"/>
        <v>31</v>
      </c>
      <c r="H147" s="125">
        <f t="shared" si="9"/>
        <v>45890</v>
      </c>
      <c r="I147" s="55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46">
        <f>YEAR(Table5[[#This Row],[Date]])+IF(MONTH(Table5[[#This Row],[Date]])&gt;=4,1,0)</f>
        <v>2026</v>
      </c>
      <c r="B148" s="246"/>
      <c r="C148" s="246">
        <f>YEAR(Table5[[#This Row],[Date]])</f>
        <v>2025</v>
      </c>
      <c r="D148" s="246"/>
      <c r="E148" s="246"/>
      <c r="F148" s="247" t="str">
        <f>TEXT(Table5[[#This Row],[Date]],"mmm-yy")</f>
        <v>Aug-25</v>
      </c>
      <c r="G148" s="246">
        <f t="shared" si="10"/>
        <v>31</v>
      </c>
      <c r="H148" s="125">
        <f t="shared" si="9"/>
        <v>45891</v>
      </c>
      <c r="I148" s="55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46">
        <f>YEAR(Table5[[#This Row],[Date]])+IF(MONTH(Table5[[#This Row],[Date]])&gt;=4,1,0)</f>
        <v>2026</v>
      </c>
      <c r="B149" s="246"/>
      <c r="C149" s="246">
        <f>YEAR(Table5[[#This Row],[Date]])</f>
        <v>2025</v>
      </c>
      <c r="D149" s="246"/>
      <c r="E149" s="246"/>
      <c r="F149" s="247" t="str">
        <f>TEXT(Table5[[#This Row],[Date]],"mmm-yy")</f>
        <v>Aug-25</v>
      </c>
      <c r="G149" s="246">
        <f t="shared" si="10"/>
        <v>31</v>
      </c>
      <c r="H149" s="125">
        <f t="shared" si="9"/>
        <v>45892</v>
      </c>
      <c r="I149" s="55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46">
        <f>YEAR(Table5[[#This Row],[Date]])+IF(MONTH(Table5[[#This Row],[Date]])&gt;=4,1,0)</f>
        <v>2026</v>
      </c>
      <c r="B150" s="246"/>
      <c r="C150" s="246">
        <f>YEAR(Table5[[#This Row],[Date]])</f>
        <v>2025</v>
      </c>
      <c r="D150" s="246"/>
      <c r="E150" s="246"/>
      <c r="F150" s="247" t="str">
        <f>TEXT(Table5[[#This Row],[Date]],"mmm-yy")</f>
        <v>Aug-25</v>
      </c>
      <c r="G150" s="246">
        <f t="shared" si="10"/>
        <v>31</v>
      </c>
      <c r="H150" s="125">
        <f t="shared" si="9"/>
        <v>45893</v>
      </c>
      <c r="I150" s="55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46">
        <f>YEAR(Table5[[#This Row],[Date]])+IF(MONTH(Table5[[#This Row],[Date]])&gt;=4,1,0)</f>
        <v>2026</v>
      </c>
      <c r="B151" s="246"/>
      <c r="C151" s="246">
        <f>YEAR(Table5[[#This Row],[Date]])</f>
        <v>2025</v>
      </c>
      <c r="D151" s="246"/>
      <c r="E151" s="246"/>
      <c r="F151" s="247" t="str">
        <f>TEXT(Table5[[#This Row],[Date]],"mmm-yy")</f>
        <v>Aug-25</v>
      </c>
      <c r="G151" s="246">
        <f t="shared" si="10"/>
        <v>31</v>
      </c>
      <c r="H151" s="125">
        <f t="shared" si="9"/>
        <v>45894</v>
      </c>
      <c r="I151" s="55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46">
        <f>YEAR(Table5[[#This Row],[Date]])+IF(MONTH(Table5[[#This Row],[Date]])&gt;=4,1,0)</f>
        <v>2026</v>
      </c>
      <c r="B152" s="246"/>
      <c r="C152" s="246">
        <f>YEAR(Table5[[#This Row],[Date]])</f>
        <v>2025</v>
      </c>
      <c r="D152" s="246"/>
      <c r="E152" s="246"/>
      <c r="F152" s="247" t="str">
        <f>TEXT(Table5[[#This Row],[Date]],"mmm-yy")</f>
        <v>Aug-25</v>
      </c>
      <c r="G152" s="246">
        <f t="shared" si="10"/>
        <v>31</v>
      </c>
      <c r="H152" s="125">
        <f t="shared" si="9"/>
        <v>45895</v>
      </c>
      <c r="I152" s="55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46">
        <f>YEAR(Table5[[#This Row],[Date]])+IF(MONTH(Table5[[#This Row],[Date]])&gt;=4,1,0)</f>
        <v>2026</v>
      </c>
      <c r="B153" s="246"/>
      <c r="C153" s="246">
        <f>YEAR(Table5[[#This Row],[Date]])</f>
        <v>2025</v>
      </c>
      <c r="D153" s="246"/>
      <c r="E153" s="246"/>
      <c r="F153" s="247" t="str">
        <f>TEXT(Table5[[#This Row],[Date]],"mmm-yy")</f>
        <v>Aug-25</v>
      </c>
      <c r="G153" s="246">
        <f t="shared" si="10"/>
        <v>31</v>
      </c>
      <c r="H153" s="125">
        <f t="shared" si="9"/>
        <v>45896</v>
      </c>
      <c r="I153" s="55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46">
        <f>YEAR(Table5[[#This Row],[Date]])+IF(MONTH(Table5[[#This Row],[Date]])&gt;=4,1,0)</f>
        <v>2026</v>
      </c>
      <c r="B154" s="246"/>
      <c r="C154" s="246">
        <f>YEAR(Table5[[#This Row],[Date]])</f>
        <v>2025</v>
      </c>
      <c r="D154" s="246"/>
      <c r="E154" s="246"/>
      <c r="F154" s="247" t="str">
        <f>TEXT(Table5[[#This Row],[Date]],"mmm-yy")</f>
        <v>Aug-25</v>
      </c>
      <c r="G154" s="246">
        <f t="shared" si="10"/>
        <v>31</v>
      </c>
      <c r="H154" s="125">
        <f t="shared" si="9"/>
        <v>45897</v>
      </c>
      <c r="I154" s="55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46">
        <f>YEAR(Table5[[#This Row],[Date]])+IF(MONTH(Table5[[#This Row],[Date]])&gt;=4,1,0)</f>
        <v>2026</v>
      </c>
      <c r="B155" s="246"/>
      <c r="C155" s="246">
        <f>YEAR(Table5[[#This Row],[Date]])</f>
        <v>2025</v>
      </c>
      <c r="D155" s="246"/>
      <c r="E155" s="246"/>
      <c r="F155" s="247" t="str">
        <f>TEXT(Table5[[#This Row],[Date]],"mmm-yy")</f>
        <v>Aug-25</v>
      </c>
      <c r="G155" s="246">
        <f t="shared" si="10"/>
        <v>31</v>
      </c>
      <c r="H155" s="125">
        <f t="shared" si="9"/>
        <v>45898</v>
      </c>
      <c r="I155" s="55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46">
        <f>YEAR(Table5[[#This Row],[Date]])+IF(MONTH(Table5[[#This Row],[Date]])&gt;=4,1,0)</f>
        <v>2026</v>
      </c>
      <c r="B156" s="246"/>
      <c r="C156" s="246">
        <f>YEAR(Table5[[#This Row],[Date]])</f>
        <v>2025</v>
      </c>
      <c r="D156" s="246"/>
      <c r="E156" s="246"/>
      <c r="F156" s="247" t="str">
        <f>TEXT(Table5[[#This Row],[Date]],"mmm-yy")</f>
        <v>Aug-25</v>
      </c>
      <c r="G156" s="246">
        <f t="shared" si="10"/>
        <v>31</v>
      </c>
      <c r="H156" s="125">
        <f t="shared" si="9"/>
        <v>45899</v>
      </c>
      <c r="I156" s="55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46">
        <f>YEAR(Table5[[#This Row],[Date]])+IF(MONTH(Table5[[#This Row],[Date]])&gt;=4,1,0)</f>
        <v>2026</v>
      </c>
      <c r="B157" s="246"/>
      <c r="C157" s="246">
        <f>YEAR(Table5[[#This Row],[Date]])</f>
        <v>2025</v>
      </c>
      <c r="D157" s="246"/>
      <c r="E157" s="246"/>
      <c r="F157" s="247" t="str">
        <f>TEXT(Table5[[#This Row],[Date]],"mmm-yy")</f>
        <v>Aug-25</v>
      </c>
      <c r="G157" s="246">
        <f t="shared" si="10"/>
        <v>31</v>
      </c>
      <c r="H157" s="125">
        <f t="shared" si="9"/>
        <v>45900</v>
      </c>
      <c r="I157" s="55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46">
        <f>YEAR(Table5[[#This Row],[Date]])+IF(MONTH(Table5[[#This Row],[Date]])&gt;=4,1,0)</f>
        <v>2026</v>
      </c>
      <c r="B158" s="246"/>
      <c r="C158" s="246">
        <f>YEAR(Table5[[#This Row],[Date]])</f>
        <v>2025</v>
      </c>
      <c r="D158" s="246"/>
      <c r="E158" s="246"/>
      <c r="F158" s="247" t="str">
        <f>TEXT(Table5[[#This Row],[Date]],"mmm-yy")</f>
        <v>Sep-25</v>
      </c>
      <c r="G158" s="246">
        <f t="shared" si="10"/>
        <v>30</v>
      </c>
      <c r="H158" s="125">
        <f t="shared" si="9"/>
        <v>45901</v>
      </c>
      <c r="I158" s="55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46">
        <f>YEAR(Table5[[#This Row],[Date]])+IF(MONTH(Table5[[#This Row],[Date]])&gt;=4,1,0)</f>
        <v>2026</v>
      </c>
      <c r="B159" s="246"/>
      <c r="C159" s="246">
        <f>YEAR(Table5[[#This Row],[Date]])</f>
        <v>2025</v>
      </c>
      <c r="D159" s="246"/>
      <c r="E159" s="246"/>
      <c r="F159" s="247" t="str">
        <f>TEXT(Table5[[#This Row],[Date]],"mmm-yy")</f>
        <v>Sep-25</v>
      </c>
      <c r="G159" s="246">
        <f t="shared" si="10"/>
        <v>30</v>
      </c>
      <c r="H159" s="125">
        <f t="shared" si="9"/>
        <v>45902</v>
      </c>
      <c r="I159" s="55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46">
        <f>YEAR(Table5[[#This Row],[Date]])+IF(MONTH(Table5[[#This Row],[Date]])&gt;=4,1,0)</f>
        <v>2026</v>
      </c>
      <c r="B160" s="246"/>
      <c r="C160" s="246">
        <f>YEAR(Table5[[#This Row],[Date]])</f>
        <v>2025</v>
      </c>
      <c r="D160" s="246"/>
      <c r="E160" s="246"/>
      <c r="F160" s="247" t="str">
        <f>TEXT(Table5[[#This Row],[Date]],"mmm-yy")</f>
        <v>Sep-25</v>
      </c>
      <c r="G160" s="246">
        <f t="shared" si="10"/>
        <v>30</v>
      </c>
      <c r="H160" s="125">
        <f t="shared" si="9"/>
        <v>45903</v>
      </c>
      <c r="I160" s="55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46">
        <f>YEAR(Table5[[#This Row],[Date]])+IF(MONTH(Table5[[#This Row],[Date]])&gt;=4,1,0)</f>
        <v>2026</v>
      </c>
      <c r="B161" s="246"/>
      <c r="C161" s="246">
        <f>YEAR(Table5[[#This Row],[Date]])</f>
        <v>2025</v>
      </c>
      <c r="D161" s="246"/>
      <c r="E161" s="246"/>
      <c r="F161" s="247" t="str">
        <f>TEXT(Table5[[#This Row],[Date]],"mmm-yy")</f>
        <v>Sep-25</v>
      </c>
      <c r="G161" s="246">
        <f t="shared" si="10"/>
        <v>30</v>
      </c>
      <c r="H161" s="125">
        <f t="shared" si="9"/>
        <v>45904</v>
      </c>
      <c r="I161" s="55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46">
        <f>YEAR(Table5[[#This Row],[Date]])+IF(MONTH(Table5[[#This Row],[Date]])&gt;=4,1,0)</f>
        <v>2026</v>
      </c>
      <c r="B162" s="246"/>
      <c r="C162" s="246">
        <f>YEAR(Table5[[#This Row],[Date]])</f>
        <v>2025</v>
      </c>
      <c r="D162" s="246"/>
      <c r="E162" s="246"/>
      <c r="F162" s="247" t="str">
        <f>TEXT(Table5[[#This Row],[Date]],"mmm-yy")</f>
        <v>Sep-25</v>
      </c>
      <c r="G162" s="246">
        <f t="shared" si="10"/>
        <v>30</v>
      </c>
      <c r="H162" s="125">
        <f t="shared" si="9"/>
        <v>45905</v>
      </c>
      <c r="I162" s="55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46">
        <f>YEAR(Table5[[#This Row],[Date]])+IF(MONTH(Table5[[#This Row],[Date]])&gt;=4,1,0)</f>
        <v>2026</v>
      </c>
      <c r="B163" s="246"/>
      <c r="C163" s="246">
        <f>YEAR(Table5[[#This Row],[Date]])</f>
        <v>2025</v>
      </c>
      <c r="D163" s="246"/>
      <c r="E163" s="246"/>
      <c r="F163" s="247" t="str">
        <f>TEXT(Table5[[#This Row],[Date]],"mmm-yy")</f>
        <v>Sep-25</v>
      </c>
      <c r="G163" s="246">
        <f t="shared" si="10"/>
        <v>30</v>
      </c>
      <c r="H163" s="125">
        <f t="shared" si="9"/>
        <v>45906</v>
      </c>
      <c r="I163" s="55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46">
        <f>YEAR(Table5[[#This Row],[Date]])+IF(MONTH(Table5[[#This Row],[Date]])&gt;=4,1,0)</f>
        <v>2026</v>
      </c>
      <c r="B164" s="246"/>
      <c r="C164" s="246">
        <f>YEAR(Table5[[#This Row],[Date]])</f>
        <v>2025</v>
      </c>
      <c r="D164" s="246"/>
      <c r="E164" s="246"/>
      <c r="F164" s="247" t="str">
        <f>TEXT(Table5[[#This Row],[Date]],"mmm-yy")</f>
        <v>Sep-25</v>
      </c>
      <c r="G164" s="246">
        <f t="shared" si="10"/>
        <v>30</v>
      </c>
      <c r="H164" s="125">
        <f t="shared" si="9"/>
        <v>45907</v>
      </c>
      <c r="I164" s="55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46">
        <f>YEAR(Table5[[#This Row],[Date]])+IF(MONTH(Table5[[#This Row],[Date]])&gt;=4,1,0)</f>
        <v>2026</v>
      </c>
      <c r="B165" s="246"/>
      <c r="C165" s="246">
        <f>YEAR(Table5[[#This Row],[Date]])</f>
        <v>2025</v>
      </c>
      <c r="D165" s="246"/>
      <c r="E165" s="246"/>
      <c r="F165" s="247" t="str">
        <f>TEXT(Table5[[#This Row],[Date]],"mmm-yy")</f>
        <v>Sep-25</v>
      </c>
      <c r="G165" s="246">
        <f t="shared" si="10"/>
        <v>30</v>
      </c>
      <c r="H165" s="125">
        <f t="shared" si="9"/>
        <v>45908</v>
      </c>
      <c r="I165" s="55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46">
        <f>YEAR(Table5[[#This Row],[Date]])+IF(MONTH(Table5[[#This Row],[Date]])&gt;=4,1,0)</f>
        <v>2026</v>
      </c>
      <c r="B166" s="246"/>
      <c r="C166" s="246">
        <f>YEAR(Table5[[#This Row],[Date]])</f>
        <v>2025</v>
      </c>
      <c r="D166" s="246"/>
      <c r="E166" s="246"/>
      <c r="F166" s="247" t="str">
        <f>TEXT(Table5[[#This Row],[Date]],"mmm-yy")</f>
        <v>Sep-25</v>
      </c>
      <c r="G166" s="246">
        <f t="shared" si="10"/>
        <v>30</v>
      </c>
      <c r="H166" s="125">
        <f t="shared" si="9"/>
        <v>45909</v>
      </c>
      <c r="I166" s="55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46">
        <f>YEAR(Table5[[#This Row],[Date]])+IF(MONTH(Table5[[#This Row],[Date]])&gt;=4,1,0)</f>
        <v>2026</v>
      </c>
      <c r="B167" s="246"/>
      <c r="C167" s="246">
        <f>YEAR(Table5[[#This Row],[Date]])</f>
        <v>2025</v>
      </c>
      <c r="D167" s="246"/>
      <c r="E167" s="246"/>
      <c r="F167" s="247" t="str">
        <f>TEXT(Table5[[#This Row],[Date]],"mmm-yy")</f>
        <v>Sep-25</v>
      </c>
      <c r="G167" s="246">
        <f t="shared" si="10"/>
        <v>30</v>
      </c>
      <c r="H167" s="125">
        <f t="shared" si="9"/>
        <v>45910</v>
      </c>
      <c r="I167" s="55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46">
        <f>YEAR(Table5[[#This Row],[Date]])+IF(MONTH(Table5[[#This Row],[Date]])&gt;=4,1,0)</f>
        <v>2026</v>
      </c>
      <c r="B168" s="246"/>
      <c r="C168" s="246">
        <f>YEAR(Table5[[#This Row],[Date]])</f>
        <v>2025</v>
      </c>
      <c r="D168" s="246"/>
      <c r="E168" s="246"/>
      <c r="F168" s="247" t="str">
        <f>TEXT(Table5[[#This Row],[Date]],"mmm-yy")</f>
        <v>Sep-25</v>
      </c>
      <c r="G168" s="246">
        <f t="shared" si="10"/>
        <v>30</v>
      </c>
      <c r="H168" s="125">
        <f t="shared" si="9"/>
        <v>45911</v>
      </c>
      <c r="I168" s="55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46">
        <f>YEAR(Table5[[#This Row],[Date]])+IF(MONTH(Table5[[#This Row],[Date]])&gt;=4,1,0)</f>
        <v>2026</v>
      </c>
      <c r="B169" s="246"/>
      <c r="C169" s="246">
        <f>YEAR(Table5[[#This Row],[Date]])</f>
        <v>2025</v>
      </c>
      <c r="D169" s="246"/>
      <c r="E169" s="246"/>
      <c r="F169" s="247" t="str">
        <f>TEXT(Table5[[#This Row],[Date]],"mmm-yy")</f>
        <v>Sep-25</v>
      </c>
      <c r="G169" s="246">
        <f t="shared" si="10"/>
        <v>30</v>
      </c>
      <c r="H169" s="125">
        <f t="shared" si="9"/>
        <v>45912</v>
      </c>
      <c r="I169" s="55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46">
        <f>YEAR(Table5[[#This Row],[Date]])+IF(MONTH(Table5[[#This Row],[Date]])&gt;=4,1,0)</f>
        <v>2026</v>
      </c>
      <c r="B170" s="246"/>
      <c r="C170" s="246">
        <f>YEAR(Table5[[#This Row],[Date]])</f>
        <v>2025</v>
      </c>
      <c r="D170" s="246"/>
      <c r="E170" s="246"/>
      <c r="F170" s="247" t="str">
        <f>TEXT(Table5[[#This Row],[Date]],"mmm-yy")</f>
        <v>Sep-25</v>
      </c>
      <c r="G170" s="246">
        <f t="shared" si="10"/>
        <v>30</v>
      </c>
      <c r="H170" s="125">
        <f t="shared" si="9"/>
        <v>45913</v>
      </c>
      <c r="I170" s="55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46">
        <f>YEAR(Table5[[#This Row],[Date]])+IF(MONTH(Table5[[#This Row],[Date]])&gt;=4,1,0)</f>
        <v>2026</v>
      </c>
      <c r="B171" s="246"/>
      <c r="C171" s="246">
        <f>YEAR(Table5[[#This Row],[Date]])</f>
        <v>2025</v>
      </c>
      <c r="D171" s="246"/>
      <c r="E171" s="246"/>
      <c r="F171" s="247" t="str">
        <f>TEXT(Table5[[#This Row],[Date]],"mmm-yy")</f>
        <v>Sep-25</v>
      </c>
      <c r="G171" s="246">
        <f t="shared" si="10"/>
        <v>30</v>
      </c>
      <c r="H171" s="125">
        <f t="shared" si="9"/>
        <v>45914</v>
      </c>
      <c r="I171" s="55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46">
        <f>YEAR(Table5[[#This Row],[Date]])+IF(MONTH(Table5[[#This Row],[Date]])&gt;=4,1,0)</f>
        <v>2026</v>
      </c>
      <c r="B172" s="246"/>
      <c r="C172" s="246">
        <f>YEAR(Table5[[#This Row],[Date]])</f>
        <v>2025</v>
      </c>
      <c r="D172" s="246"/>
      <c r="E172" s="246"/>
      <c r="F172" s="247" t="str">
        <f>TEXT(Table5[[#This Row],[Date]],"mmm-yy")</f>
        <v>Sep-25</v>
      </c>
      <c r="G172" s="246">
        <f t="shared" si="10"/>
        <v>30</v>
      </c>
      <c r="H172" s="125">
        <f t="shared" si="9"/>
        <v>45915</v>
      </c>
      <c r="I172" s="55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46">
        <f>YEAR(Table5[[#This Row],[Date]])+IF(MONTH(Table5[[#This Row],[Date]])&gt;=4,1,0)</f>
        <v>2026</v>
      </c>
      <c r="B173" s="246"/>
      <c r="C173" s="246">
        <f>YEAR(Table5[[#This Row],[Date]])</f>
        <v>2025</v>
      </c>
      <c r="D173" s="246"/>
      <c r="E173" s="246"/>
      <c r="F173" s="247" t="str">
        <f>TEXT(Table5[[#This Row],[Date]],"mmm-yy")</f>
        <v>Sep-25</v>
      </c>
      <c r="G173" s="246">
        <f t="shared" ref="G173:G204" si="11">DAY(EOMONTH(F173,0))</f>
        <v>30</v>
      </c>
      <c r="H173" s="125">
        <f t="shared" si="9"/>
        <v>45916</v>
      </c>
      <c r="I173" s="55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46">
        <f>YEAR(Table5[[#This Row],[Date]])+IF(MONTH(Table5[[#This Row],[Date]])&gt;=4,1,0)</f>
        <v>2026</v>
      </c>
      <c r="B174" s="246"/>
      <c r="C174" s="246">
        <f>YEAR(Table5[[#This Row],[Date]])</f>
        <v>2025</v>
      </c>
      <c r="D174" s="246"/>
      <c r="E174" s="246"/>
      <c r="F174" s="247" t="str">
        <f>TEXT(Table5[[#This Row],[Date]],"mmm-yy")</f>
        <v>Sep-25</v>
      </c>
      <c r="G174" s="246">
        <f t="shared" si="11"/>
        <v>30</v>
      </c>
      <c r="H174" s="125">
        <f t="shared" si="9"/>
        <v>45917</v>
      </c>
      <c r="I174" s="55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46">
        <f>YEAR(Table5[[#This Row],[Date]])+IF(MONTH(Table5[[#This Row],[Date]])&gt;=4,1,0)</f>
        <v>2026</v>
      </c>
      <c r="B175" s="246"/>
      <c r="C175" s="246">
        <f>YEAR(Table5[[#This Row],[Date]])</f>
        <v>2025</v>
      </c>
      <c r="D175" s="246"/>
      <c r="E175" s="246"/>
      <c r="F175" s="247" t="str">
        <f>TEXT(Table5[[#This Row],[Date]],"mmm-yy")</f>
        <v>Sep-25</v>
      </c>
      <c r="G175" s="246">
        <f t="shared" si="11"/>
        <v>30</v>
      </c>
      <c r="H175" s="125">
        <f t="shared" si="9"/>
        <v>45918</v>
      </c>
      <c r="I175" s="55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46">
        <f>YEAR(Table5[[#This Row],[Date]])+IF(MONTH(Table5[[#This Row],[Date]])&gt;=4,1,0)</f>
        <v>2026</v>
      </c>
      <c r="B176" s="246"/>
      <c r="C176" s="246">
        <f>YEAR(Table5[[#This Row],[Date]])</f>
        <v>2025</v>
      </c>
      <c r="D176" s="246"/>
      <c r="E176" s="246"/>
      <c r="F176" s="247" t="str">
        <f>TEXT(Table5[[#This Row],[Date]],"mmm-yy")</f>
        <v>Sep-25</v>
      </c>
      <c r="G176" s="246">
        <f t="shared" si="11"/>
        <v>30</v>
      </c>
      <c r="H176" s="125">
        <f t="shared" si="9"/>
        <v>45919</v>
      </c>
      <c r="I176" s="55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46">
        <f>YEAR(Table5[[#This Row],[Date]])+IF(MONTH(Table5[[#This Row],[Date]])&gt;=4,1,0)</f>
        <v>2026</v>
      </c>
      <c r="B177" s="246"/>
      <c r="C177" s="246">
        <f>YEAR(Table5[[#This Row],[Date]])</f>
        <v>2025</v>
      </c>
      <c r="D177" s="246"/>
      <c r="E177" s="246"/>
      <c r="F177" s="247" t="str">
        <f>TEXT(Table5[[#This Row],[Date]],"mmm-yy")</f>
        <v>Sep-25</v>
      </c>
      <c r="G177" s="246">
        <f t="shared" si="11"/>
        <v>30</v>
      </c>
      <c r="H177" s="125">
        <f t="shared" si="9"/>
        <v>45920</v>
      </c>
      <c r="I177" s="55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46">
        <f>YEAR(Table5[[#This Row],[Date]])+IF(MONTH(Table5[[#This Row],[Date]])&gt;=4,1,0)</f>
        <v>2026</v>
      </c>
      <c r="B178" s="246"/>
      <c r="C178" s="246">
        <f>YEAR(Table5[[#This Row],[Date]])</f>
        <v>2025</v>
      </c>
      <c r="D178" s="246"/>
      <c r="E178" s="246"/>
      <c r="F178" s="247" t="str">
        <f>TEXT(Table5[[#This Row],[Date]],"mmm-yy")</f>
        <v>Sep-25</v>
      </c>
      <c r="G178" s="246">
        <f t="shared" si="11"/>
        <v>30</v>
      </c>
      <c r="H178" s="125">
        <f t="shared" si="9"/>
        <v>45921</v>
      </c>
      <c r="I178" s="55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46">
        <f>YEAR(Table5[[#This Row],[Date]])+IF(MONTH(Table5[[#This Row],[Date]])&gt;=4,1,0)</f>
        <v>2026</v>
      </c>
      <c r="B179" s="246"/>
      <c r="C179" s="246">
        <f>YEAR(Table5[[#This Row],[Date]])</f>
        <v>2025</v>
      </c>
      <c r="D179" s="246"/>
      <c r="E179" s="246"/>
      <c r="F179" s="247" t="str">
        <f>TEXT(Table5[[#This Row],[Date]],"mmm-yy")</f>
        <v>Sep-25</v>
      </c>
      <c r="G179" s="246">
        <f t="shared" si="11"/>
        <v>30</v>
      </c>
      <c r="H179" s="125">
        <f t="shared" si="9"/>
        <v>45922</v>
      </c>
      <c r="I179" s="55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46">
        <f>YEAR(Table5[[#This Row],[Date]])+IF(MONTH(Table5[[#This Row],[Date]])&gt;=4,1,0)</f>
        <v>2026</v>
      </c>
      <c r="B180" s="246"/>
      <c r="C180" s="246">
        <f>YEAR(Table5[[#This Row],[Date]])</f>
        <v>2025</v>
      </c>
      <c r="D180" s="246"/>
      <c r="E180" s="246"/>
      <c r="F180" s="247" t="str">
        <f>TEXT(Table5[[#This Row],[Date]],"mmm-yy")</f>
        <v>Sep-25</v>
      </c>
      <c r="G180" s="246">
        <f t="shared" si="11"/>
        <v>30</v>
      </c>
      <c r="H180" s="125">
        <f t="shared" si="9"/>
        <v>45923</v>
      </c>
      <c r="I180" s="55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46">
        <f>YEAR(Table5[[#This Row],[Date]])+IF(MONTH(Table5[[#This Row],[Date]])&gt;=4,1,0)</f>
        <v>2026</v>
      </c>
      <c r="B181" s="246"/>
      <c r="C181" s="246">
        <f>YEAR(Table5[[#This Row],[Date]])</f>
        <v>2025</v>
      </c>
      <c r="D181" s="246"/>
      <c r="E181" s="246"/>
      <c r="F181" s="247" t="str">
        <f>TEXT(Table5[[#This Row],[Date]],"mmm-yy")</f>
        <v>Sep-25</v>
      </c>
      <c r="G181" s="246">
        <f t="shared" si="11"/>
        <v>30</v>
      </c>
      <c r="H181" s="125">
        <f t="shared" si="9"/>
        <v>45924</v>
      </c>
      <c r="I181" s="55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46">
        <f>YEAR(Table5[[#This Row],[Date]])+IF(MONTH(Table5[[#This Row],[Date]])&gt;=4,1,0)</f>
        <v>2026</v>
      </c>
      <c r="B182" s="246"/>
      <c r="C182" s="246">
        <f>YEAR(Table5[[#This Row],[Date]])</f>
        <v>2025</v>
      </c>
      <c r="D182" s="246"/>
      <c r="E182" s="246"/>
      <c r="F182" s="247" t="str">
        <f>TEXT(Table5[[#This Row],[Date]],"mmm-yy")</f>
        <v>Sep-25</v>
      </c>
      <c r="G182" s="246">
        <f t="shared" si="11"/>
        <v>30</v>
      </c>
      <c r="H182" s="125">
        <f t="shared" si="9"/>
        <v>45925</v>
      </c>
      <c r="I182" s="55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46">
        <f>YEAR(Table5[[#This Row],[Date]])+IF(MONTH(Table5[[#This Row],[Date]])&gt;=4,1,0)</f>
        <v>2026</v>
      </c>
      <c r="B183" s="246"/>
      <c r="C183" s="246">
        <f>YEAR(Table5[[#This Row],[Date]])</f>
        <v>2025</v>
      </c>
      <c r="D183" s="246"/>
      <c r="E183" s="246"/>
      <c r="F183" s="247" t="str">
        <f>TEXT(Table5[[#This Row],[Date]],"mmm-yy")</f>
        <v>Sep-25</v>
      </c>
      <c r="G183" s="246">
        <f t="shared" si="11"/>
        <v>30</v>
      </c>
      <c r="H183" s="125">
        <f t="shared" si="9"/>
        <v>45926</v>
      </c>
      <c r="I183" s="55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46">
        <f>YEAR(Table5[[#This Row],[Date]])+IF(MONTH(Table5[[#This Row],[Date]])&gt;=4,1,0)</f>
        <v>2026</v>
      </c>
      <c r="B184" s="246"/>
      <c r="C184" s="246">
        <f>YEAR(Table5[[#This Row],[Date]])</f>
        <v>2025</v>
      </c>
      <c r="D184" s="246"/>
      <c r="E184" s="246"/>
      <c r="F184" s="247" t="str">
        <f>TEXT(Table5[[#This Row],[Date]],"mmm-yy")</f>
        <v>Sep-25</v>
      </c>
      <c r="G184" s="246">
        <f t="shared" si="11"/>
        <v>30</v>
      </c>
      <c r="H184" s="125">
        <f t="shared" si="9"/>
        <v>45927</v>
      </c>
      <c r="I184" s="55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46">
        <f>YEAR(Table5[[#This Row],[Date]])+IF(MONTH(Table5[[#This Row],[Date]])&gt;=4,1,0)</f>
        <v>2026</v>
      </c>
      <c r="B185" s="246"/>
      <c r="C185" s="246">
        <f>YEAR(Table5[[#This Row],[Date]])</f>
        <v>2025</v>
      </c>
      <c r="D185" s="246"/>
      <c r="E185" s="246"/>
      <c r="F185" s="247" t="str">
        <f>TEXT(Table5[[#This Row],[Date]],"mmm-yy")</f>
        <v>Sep-25</v>
      </c>
      <c r="G185" s="246">
        <f t="shared" si="11"/>
        <v>30</v>
      </c>
      <c r="H185" s="125">
        <f t="shared" si="9"/>
        <v>45928</v>
      </c>
      <c r="I185" s="55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46">
        <f>YEAR(Table5[[#This Row],[Date]])+IF(MONTH(Table5[[#This Row],[Date]])&gt;=4,1,0)</f>
        <v>2026</v>
      </c>
      <c r="B186" s="246"/>
      <c r="C186" s="246">
        <f>YEAR(Table5[[#This Row],[Date]])</f>
        <v>2025</v>
      </c>
      <c r="D186" s="246"/>
      <c r="E186" s="246"/>
      <c r="F186" s="247" t="str">
        <f>TEXT(Table5[[#This Row],[Date]],"mmm-yy")</f>
        <v>Sep-25</v>
      </c>
      <c r="G186" s="246">
        <f t="shared" si="11"/>
        <v>30</v>
      </c>
      <c r="H186" s="125">
        <f t="shared" si="9"/>
        <v>45929</v>
      </c>
      <c r="I186" s="55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46">
        <f>YEAR(Table5[[#This Row],[Date]])+IF(MONTH(Table5[[#This Row],[Date]])&gt;=4,1,0)</f>
        <v>2026</v>
      </c>
      <c r="B187" s="246"/>
      <c r="C187" s="246">
        <f>YEAR(Table5[[#This Row],[Date]])</f>
        <v>2025</v>
      </c>
      <c r="D187" s="246"/>
      <c r="E187" s="246"/>
      <c r="F187" s="247" t="str">
        <f>TEXT(Table5[[#This Row],[Date]],"mmm-yy")</f>
        <v>Sep-25</v>
      </c>
      <c r="G187" s="246">
        <f t="shared" si="11"/>
        <v>30</v>
      </c>
      <c r="H187" s="125">
        <f t="shared" si="9"/>
        <v>45930</v>
      </c>
      <c r="I187" s="55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46">
        <f>YEAR(Table5[[#This Row],[Date]])+IF(MONTH(Table5[[#This Row],[Date]])&gt;=4,1,0)</f>
        <v>2026</v>
      </c>
      <c r="B188" s="246"/>
      <c r="C188" s="246">
        <f>YEAR(Table5[[#This Row],[Date]])</f>
        <v>2025</v>
      </c>
      <c r="D188" s="246"/>
      <c r="E188" s="246"/>
      <c r="F188" s="247" t="str">
        <f>TEXT(Table5[[#This Row],[Date]],"mmm-yy")</f>
        <v>Oct-25</v>
      </c>
      <c r="G188" s="246">
        <f t="shared" si="11"/>
        <v>31</v>
      </c>
      <c r="H188" s="125">
        <f t="shared" si="9"/>
        <v>45931</v>
      </c>
      <c r="I188" s="55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46">
        <f>YEAR(Table5[[#This Row],[Date]])+IF(MONTH(Table5[[#This Row],[Date]])&gt;=4,1,0)</f>
        <v>2026</v>
      </c>
      <c r="B189" s="246"/>
      <c r="C189" s="246">
        <f>YEAR(Table5[[#This Row],[Date]])</f>
        <v>2025</v>
      </c>
      <c r="D189" s="246"/>
      <c r="E189" s="246"/>
      <c r="F189" s="247" t="str">
        <f>TEXT(Table5[[#This Row],[Date]],"mmm-yy")</f>
        <v>Oct-25</v>
      </c>
      <c r="G189" s="246">
        <f t="shared" si="11"/>
        <v>31</v>
      </c>
      <c r="H189" s="125">
        <f t="shared" si="9"/>
        <v>45932</v>
      </c>
      <c r="I189" s="55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46">
        <f>YEAR(Table5[[#This Row],[Date]])+IF(MONTH(Table5[[#This Row],[Date]])&gt;=4,1,0)</f>
        <v>2026</v>
      </c>
      <c r="B190" s="246"/>
      <c r="C190" s="246">
        <f>YEAR(Table5[[#This Row],[Date]])</f>
        <v>2025</v>
      </c>
      <c r="D190" s="246"/>
      <c r="E190" s="246"/>
      <c r="F190" s="247" t="str">
        <f>TEXT(Table5[[#This Row],[Date]],"mmm-yy")</f>
        <v>Oct-25</v>
      </c>
      <c r="G190" s="246">
        <f t="shared" si="11"/>
        <v>31</v>
      </c>
      <c r="H190" s="125">
        <f t="shared" si="9"/>
        <v>45933</v>
      </c>
      <c r="I190" s="55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46">
        <f>YEAR(Table5[[#This Row],[Date]])+IF(MONTH(Table5[[#This Row],[Date]])&gt;=4,1,0)</f>
        <v>2026</v>
      </c>
      <c r="B191" s="246"/>
      <c r="C191" s="246">
        <f>YEAR(Table5[[#This Row],[Date]])</f>
        <v>2025</v>
      </c>
      <c r="D191" s="246"/>
      <c r="E191" s="246"/>
      <c r="F191" s="247" t="str">
        <f>TEXT(Table5[[#This Row],[Date]],"mmm-yy")</f>
        <v>Oct-25</v>
      </c>
      <c r="G191" s="246">
        <f t="shared" si="11"/>
        <v>31</v>
      </c>
      <c r="H191" s="125">
        <f t="shared" si="9"/>
        <v>45934</v>
      </c>
      <c r="I191" s="55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46">
        <f>YEAR(Table5[[#This Row],[Date]])+IF(MONTH(Table5[[#This Row],[Date]])&gt;=4,1,0)</f>
        <v>2026</v>
      </c>
      <c r="B192" s="246"/>
      <c r="C192" s="246">
        <f>YEAR(Table5[[#This Row],[Date]])</f>
        <v>2025</v>
      </c>
      <c r="D192" s="246"/>
      <c r="E192" s="246"/>
      <c r="F192" s="247" t="str">
        <f>TEXT(Table5[[#This Row],[Date]],"mmm-yy")</f>
        <v>Oct-25</v>
      </c>
      <c r="G192" s="246">
        <f t="shared" si="11"/>
        <v>31</v>
      </c>
      <c r="H192" s="125">
        <f t="shared" si="9"/>
        <v>45935</v>
      </c>
      <c r="I192" s="55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46">
        <f>YEAR(Table5[[#This Row],[Date]])+IF(MONTH(Table5[[#This Row],[Date]])&gt;=4,1,0)</f>
        <v>2026</v>
      </c>
      <c r="B193" s="246"/>
      <c r="C193" s="246">
        <f>YEAR(Table5[[#This Row],[Date]])</f>
        <v>2025</v>
      </c>
      <c r="D193" s="246"/>
      <c r="E193" s="246"/>
      <c r="F193" s="247" t="str">
        <f>TEXT(Table5[[#This Row],[Date]],"mmm-yy")</f>
        <v>Oct-25</v>
      </c>
      <c r="G193" s="246">
        <f t="shared" si="11"/>
        <v>31</v>
      </c>
      <c r="H193" s="125">
        <f t="shared" si="9"/>
        <v>45936</v>
      </c>
      <c r="I193" s="55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46">
        <f>YEAR(Table5[[#This Row],[Date]])+IF(MONTH(Table5[[#This Row],[Date]])&gt;=4,1,0)</f>
        <v>2026</v>
      </c>
      <c r="B194" s="246"/>
      <c r="C194" s="246">
        <f>YEAR(Table5[[#This Row],[Date]])</f>
        <v>2025</v>
      </c>
      <c r="D194" s="246"/>
      <c r="E194" s="246"/>
      <c r="F194" s="247" t="str">
        <f>TEXT(Table5[[#This Row],[Date]],"mmm-yy")</f>
        <v>Oct-25</v>
      </c>
      <c r="G194" s="246">
        <f t="shared" si="11"/>
        <v>31</v>
      </c>
      <c r="H194" s="125">
        <f t="shared" si="9"/>
        <v>45937</v>
      </c>
      <c r="I194" s="55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46">
        <f>YEAR(Table5[[#This Row],[Date]])+IF(MONTH(Table5[[#This Row],[Date]])&gt;=4,1,0)</f>
        <v>2026</v>
      </c>
      <c r="B195" s="246"/>
      <c r="C195" s="246">
        <f>YEAR(Table5[[#This Row],[Date]])</f>
        <v>2025</v>
      </c>
      <c r="D195" s="246"/>
      <c r="E195" s="246"/>
      <c r="F195" s="247" t="str">
        <f>TEXT(Table5[[#This Row],[Date]],"mmm-yy")</f>
        <v>Oct-25</v>
      </c>
      <c r="G195" s="246">
        <f t="shared" si="11"/>
        <v>31</v>
      </c>
      <c r="H195" s="125">
        <f t="shared" si="9"/>
        <v>45938</v>
      </c>
      <c r="I195" s="55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46">
        <f>YEAR(Table5[[#This Row],[Date]])+IF(MONTH(Table5[[#This Row],[Date]])&gt;=4,1,0)</f>
        <v>2026</v>
      </c>
      <c r="B196" s="246"/>
      <c r="C196" s="246">
        <f>YEAR(Table5[[#This Row],[Date]])</f>
        <v>2025</v>
      </c>
      <c r="D196" s="246"/>
      <c r="E196" s="246"/>
      <c r="F196" s="247" t="str">
        <f>TEXT(Table5[[#This Row],[Date]],"mmm-yy")</f>
        <v>Oct-25</v>
      </c>
      <c r="G196" s="246">
        <f t="shared" si="11"/>
        <v>31</v>
      </c>
      <c r="H196" s="125">
        <f t="shared" si="9"/>
        <v>45939</v>
      </c>
      <c r="I196" s="55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46">
        <f>YEAR(Table5[[#This Row],[Date]])+IF(MONTH(Table5[[#This Row],[Date]])&gt;=4,1,0)</f>
        <v>2026</v>
      </c>
      <c r="B197" s="246"/>
      <c r="C197" s="246">
        <f>YEAR(Table5[[#This Row],[Date]])</f>
        <v>2025</v>
      </c>
      <c r="D197" s="246"/>
      <c r="E197" s="246"/>
      <c r="F197" s="247" t="str">
        <f>TEXT(Table5[[#This Row],[Date]],"mmm-yy")</f>
        <v>Oct-25</v>
      </c>
      <c r="G197" s="246">
        <f t="shared" si="11"/>
        <v>31</v>
      </c>
      <c r="H197" s="125">
        <f t="shared" ref="H197:H209" si="12">H196+1</f>
        <v>45940</v>
      </c>
      <c r="I197" s="55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46">
        <f>YEAR(Table5[[#This Row],[Date]])+IF(MONTH(Table5[[#This Row],[Date]])&gt;=4,1,0)</f>
        <v>2026</v>
      </c>
      <c r="B198" s="246"/>
      <c r="C198" s="246">
        <f>YEAR(Table5[[#This Row],[Date]])</f>
        <v>2025</v>
      </c>
      <c r="D198" s="246"/>
      <c r="E198" s="246"/>
      <c r="F198" s="247" t="str">
        <f>TEXT(Table5[[#This Row],[Date]],"mmm-yy")</f>
        <v>Oct-25</v>
      </c>
      <c r="G198" s="246">
        <f t="shared" si="11"/>
        <v>31</v>
      </c>
      <c r="H198" s="125">
        <f t="shared" si="12"/>
        <v>45941</v>
      </c>
      <c r="I198" s="55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46">
        <f>YEAR(Table5[[#This Row],[Date]])+IF(MONTH(Table5[[#This Row],[Date]])&gt;=4,1,0)</f>
        <v>2026</v>
      </c>
      <c r="B199" s="246"/>
      <c r="C199" s="246">
        <f>YEAR(Table5[[#This Row],[Date]])</f>
        <v>2025</v>
      </c>
      <c r="D199" s="246"/>
      <c r="E199" s="246"/>
      <c r="F199" s="247" t="str">
        <f>TEXT(Table5[[#This Row],[Date]],"mmm-yy")</f>
        <v>Oct-25</v>
      </c>
      <c r="G199" s="246">
        <f t="shared" si="11"/>
        <v>31</v>
      </c>
      <c r="H199" s="125">
        <f t="shared" si="12"/>
        <v>45942</v>
      </c>
      <c r="I199" s="55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46">
        <f>YEAR(Table5[[#This Row],[Date]])+IF(MONTH(Table5[[#This Row],[Date]])&gt;=4,1,0)</f>
        <v>2026</v>
      </c>
      <c r="B200" s="246"/>
      <c r="C200" s="246">
        <f>YEAR(Table5[[#This Row],[Date]])</f>
        <v>2025</v>
      </c>
      <c r="D200" s="246"/>
      <c r="E200" s="246"/>
      <c r="F200" s="247" t="str">
        <f>TEXT(Table5[[#This Row],[Date]],"mmm-yy")</f>
        <v>Oct-25</v>
      </c>
      <c r="G200" s="246">
        <f t="shared" si="11"/>
        <v>31</v>
      </c>
      <c r="H200" s="125">
        <f t="shared" si="12"/>
        <v>45943</v>
      </c>
      <c r="I200" s="55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46">
        <f>YEAR(Table5[[#This Row],[Date]])+IF(MONTH(Table5[[#This Row],[Date]])&gt;=4,1,0)</f>
        <v>2026</v>
      </c>
      <c r="B201" s="246"/>
      <c r="C201" s="246">
        <f>YEAR(Table5[[#This Row],[Date]])</f>
        <v>2025</v>
      </c>
      <c r="D201" s="246"/>
      <c r="E201" s="246"/>
      <c r="F201" s="247" t="str">
        <f>TEXT(Table5[[#This Row],[Date]],"mmm-yy")</f>
        <v>Oct-25</v>
      </c>
      <c r="G201" s="246">
        <f t="shared" si="11"/>
        <v>31</v>
      </c>
      <c r="H201" s="125">
        <f t="shared" si="12"/>
        <v>45944</v>
      </c>
      <c r="I201" s="55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46">
        <f>YEAR(Table5[[#This Row],[Date]])+IF(MONTH(Table5[[#This Row],[Date]])&gt;=4,1,0)</f>
        <v>2026</v>
      </c>
      <c r="B202" s="246"/>
      <c r="C202" s="246">
        <f>YEAR(Table5[[#This Row],[Date]])</f>
        <v>2025</v>
      </c>
      <c r="D202" s="246"/>
      <c r="E202" s="246"/>
      <c r="F202" s="247" t="str">
        <f>TEXT(Table5[[#This Row],[Date]],"mmm-yy")</f>
        <v>Oct-25</v>
      </c>
      <c r="G202" s="246">
        <f t="shared" si="11"/>
        <v>31</v>
      </c>
      <c r="H202" s="125">
        <f t="shared" si="12"/>
        <v>45945</v>
      </c>
      <c r="I202" s="55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46">
        <f>YEAR(Table5[[#This Row],[Date]])+IF(MONTH(Table5[[#This Row],[Date]])&gt;=4,1,0)</f>
        <v>2026</v>
      </c>
      <c r="B203" s="246"/>
      <c r="C203" s="246">
        <f>YEAR(Table5[[#This Row],[Date]])</f>
        <v>2025</v>
      </c>
      <c r="D203" s="246"/>
      <c r="E203" s="246"/>
      <c r="F203" s="247" t="str">
        <f>TEXT(Table5[[#This Row],[Date]],"mmm-yy")</f>
        <v>Oct-25</v>
      </c>
      <c r="G203" s="246">
        <f t="shared" si="11"/>
        <v>31</v>
      </c>
      <c r="H203" s="125">
        <f t="shared" si="12"/>
        <v>45946</v>
      </c>
      <c r="I203" s="55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46">
        <f>YEAR(Table5[[#This Row],[Date]])+IF(MONTH(Table5[[#This Row],[Date]])&gt;=4,1,0)</f>
        <v>2026</v>
      </c>
      <c r="B204" s="246"/>
      <c r="C204" s="246">
        <f>YEAR(Table5[[#This Row],[Date]])</f>
        <v>2025</v>
      </c>
      <c r="D204" s="246"/>
      <c r="E204" s="246"/>
      <c r="F204" s="247" t="str">
        <f>TEXT(Table5[[#This Row],[Date]],"mmm-yy")</f>
        <v>Oct-25</v>
      </c>
      <c r="G204" s="246">
        <f t="shared" si="11"/>
        <v>31</v>
      </c>
      <c r="H204" s="125">
        <f t="shared" si="12"/>
        <v>45947</v>
      </c>
      <c r="I204" s="55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46">
        <f>YEAR(Table5[[#This Row],[Date]])+IF(MONTH(Table5[[#This Row],[Date]])&gt;=4,1,0)</f>
        <v>2026</v>
      </c>
      <c r="B205" s="246"/>
      <c r="C205" s="246">
        <f>YEAR(Table5[[#This Row],[Date]])</f>
        <v>2025</v>
      </c>
      <c r="D205" s="246"/>
      <c r="E205" s="246"/>
      <c r="F205" s="247" t="str">
        <f>TEXT(Table5[[#This Row],[Date]],"mmm-yy")</f>
        <v>Oct-25</v>
      </c>
      <c r="G205" s="246">
        <f t="shared" ref="G205:G236" si="13">DAY(EOMONTH(F205,0))</f>
        <v>31</v>
      </c>
      <c r="H205" s="125">
        <f t="shared" si="12"/>
        <v>45948</v>
      </c>
      <c r="I205" s="55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46">
        <f>YEAR(Table5[[#This Row],[Date]])+IF(MONTH(Table5[[#This Row],[Date]])&gt;=4,1,0)</f>
        <v>2026</v>
      </c>
      <c r="B206" s="246"/>
      <c r="C206" s="246">
        <f>YEAR(Table5[[#This Row],[Date]])</f>
        <v>2025</v>
      </c>
      <c r="D206" s="246"/>
      <c r="E206" s="246"/>
      <c r="F206" s="247" t="str">
        <f>TEXT(Table5[[#This Row],[Date]],"mmm-yy")</f>
        <v>Oct-25</v>
      </c>
      <c r="G206" s="246">
        <f t="shared" si="13"/>
        <v>31</v>
      </c>
      <c r="H206" s="125">
        <f t="shared" si="12"/>
        <v>45949</v>
      </c>
      <c r="I206" s="55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46">
        <f>YEAR(Table5[[#This Row],[Date]])+IF(MONTH(Table5[[#This Row],[Date]])&gt;=4,1,0)</f>
        <v>2026</v>
      </c>
      <c r="B207" s="246"/>
      <c r="C207" s="246">
        <f>YEAR(Table5[[#This Row],[Date]])</f>
        <v>2025</v>
      </c>
      <c r="D207" s="246"/>
      <c r="E207" s="246"/>
      <c r="F207" s="247" t="str">
        <f>TEXT(Table5[[#This Row],[Date]],"mmm-yy")</f>
        <v>Oct-25</v>
      </c>
      <c r="G207" s="246">
        <f t="shared" si="13"/>
        <v>31</v>
      </c>
      <c r="H207" s="125">
        <f t="shared" si="12"/>
        <v>45950</v>
      </c>
      <c r="I207" s="55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46">
        <f>YEAR(Table5[[#This Row],[Date]])+IF(MONTH(Table5[[#This Row],[Date]])&gt;=4,1,0)</f>
        <v>2026</v>
      </c>
      <c r="B208" s="246"/>
      <c r="C208" s="246">
        <f>YEAR(Table5[[#This Row],[Date]])</f>
        <v>2025</v>
      </c>
      <c r="D208" s="246"/>
      <c r="E208" s="246"/>
      <c r="F208" s="247" t="str">
        <f>TEXT(Table5[[#This Row],[Date]],"mmm-yy")</f>
        <v>Oct-25</v>
      </c>
      <c r="G208" s="246">
        <f t="shared" si="13"/>
        <v>31</v>
      </c>
      <c r="H208" s="125">
        <f t="shared" si="12"/>
        <v>45951</v>
      </c>
      <c r="I208" s="55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46">
        <f>YEAR(Table5[[#This Row],[Date]])+IF(MONTH(Table5[[#This Row],[Date]])&gt;=4,1,0)</f>
        <v>2026</v>
      </c>
      <c r="B209" s="246"/>
      <c r="C209" s="246">
        <f>YEAR(Table5[[#This Row],[Date]])</f>
        <v>2025</v>
      </c>
      <c r="D209" s="246"/>
      <c r="E209" s="246"/>
      <c r="F209" s="247" t="str">
        <f>TEXT(Table5[[#This Row],[Date]],"mmm-yy")</f>
        <v>Oct-25</v>
      </c>
      <c r="G209" s="246">
        <f t="shared" si="13"/>
        <v>31</v>
      </c>
      <c r="H209" s="125">
        <f t="shared" si="12"/>
        <v>45952</v>
      </c>
      <c r="I209" s="55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</sheetData>
  <phoneticPr fontId="16" type="noConversion"/>
  <conditionalFormatting sqref="J2:J20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20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20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20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209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20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20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20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20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20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209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20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20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1"/>
  <sheetViews>
    <sheetView zoomScale="85" zoomScaleNormal="85" workbookViewId="0">
      <pane xSplit="8" ySplit="3" topLeftCell="P205" activePane="bottomRight" state="frozen"/>
      <selection pane="topRight" activeCell="I1" sqref="I1"/>
      <selection pane="bottomLeft" activeCell="A4" sqref="A4"/>
      <selection pane="bottomRight" activeCell="S222" sqref="S222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5"/>
  <sheetViews>
    <sheetView topLeftCell="A2" zoomScale="85" zoomScaleNormal="85" workbookViewId="0">
      <pane xSplit="8" ySplit="1" topLeftCell="I51" activePane="bottomRight" state="frozen"/>
      <selection activeCell="A2" sqref="A2"/>
      <selection pane="topRight" activeCell="I2" sqref="I2"/>
      <selection pane="bottomLeft" activeCell="A3" sqref="A3"/>
      <selection pane="bottomRight" activeCell="A65" sqref="A65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  <row r="65" spans="1:30" x14ac:dyDescent="0.3">
      <c r="A65" s="2">
        <v>63</v>
      </c>
      <c r="B65" s="101">
        <f>YEAR(Table19[[#This Row],[Date]])+IF(MONTH(Table19[[#This Row],[Date]])&gt;=4,1,0)</f>
        <v>2026</v>
      </c>
      <c r="C65" s="101">
        <f>YEAR(Table19[[#This Row],[Date]])</f>
        <v>2025</v>
      </c>
      <c r="D65" s="99" t="s">
        <v>1082</v>
      </c>
      <c r="E65" s="99" t="s">
        <v>1082</v>
      </c>
      <c r="F65" s="116" t="str">
        <f>TEXT(Table19[[#This Row],[Date]],"mmm-yy")</f>
        <v>Jul-25</v>
      </c>
      <c r="G65" s="2">
        <f>DAY(EOMONTH(Table19[[#This Row],[Month Year]],0))</f>
        <v>31</v>
      </c>
      <c r="H65" s="100">
        <v>45860</v>
      </c>
      <c r="I65" s="58">
        <f>IFERROR(VLOOKUP(Table19[[#This Row],[Date]],Table3[[#All],[Date]:[Sunset Time (POA&lt;20 W/m2)]],3,0),"")</f>
        <v>0.2638888888888889</v>
      </c>
      <c r="J65" s="107">
        <f>IFERROR(VLOOKUP(Table19[[#This Row],[Date]],Table3[[#All],[Date]:[Sunset Time (POA&lt;20 W/m2)]],4,0),"")</f>
        <v>0.77777777777777779</v>
      </c>
      <c r="K65" s="52">
        <f>IFERROR((Table19[[#This Row],[Sunset Time (POA&lt;20 W/m2)]]-Table19[[#This Row],[Sunrise Time (POA&gt;20 W/m2)]])*24,"")</f>
        <v>12.333333333333332</v>
      </c>
      <c r="L65" s="101" t="s">
        <v>304</v>
      </c>
      <c r="M65" s="7">
        <f>VLOOKUP(Table19[[#This Row],[Affceted Equipment]],'Basic Data'!$A$2:$B$108,2,0)</f>
        <v>8020.9</v>
      </c>
      <c r="N65" s="223" t="s">
        <v>305</v>
      </c>
      <c r="O65" s="223" t="s">
        <v>20</v>
      </c>
      <c r="P65" s="117">
        <f>IFERROR(VLOOKUP(Table19[[#This Row],[Affceted Equipment]],'Basic Data'!$A$2:$C$118,3,0),"")</f>
        <v>1</v>
      </c>
      <c r="Q65" s="101"/>
      <c r="R65" s="224" t="s">
        <v>306</v>
      </c>
      <c r="S65" s="102">
        <v>0.47916666666666669</v>
      </c>
      <c r="T65" s="102"/>
      <c r="U65" s="102"/>
      <c r="V65" s="102">
        <v>0.50208333333333333</v>
      </c>
      <c r="W65" s="73"/>
      <c r="X65" s="52"/>
      <c r="Y65" s="52">
        <f>(Table19[[#This Row],[Work Completiuon time on fualt]]-Table19[[#This Row],[Fault Time]])*24</f>
        <v>0.54999999999999938</v>
      </c>
      <c r="Z65" s="103" t="s">
        <v>4</v>
      </c>
      <c r="AA65" s="101" t="s">
        <v>81</v>
      </c>
      <c r="AB65" s="52">
        <f>IFERROR(Table19[[#This Row],[Plant Equivalent Weightage]]*Table19[[#This Row],[Resolution Time]],"")</f>
        <v>0.54999999999999938</v>
      </c>
      <c r="AC65" s="87">
        <v>0.37</v>
      </c>
      <c r="AD65" s="52">
        <f>Table19[[#This Row],[Lost POA (Wh/m2)]]*Table19[[#This Row],[DC Capacity Affceted (kW)]]</f>
        <v>2967.7329999999997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2025-07-23T12:59:32Z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