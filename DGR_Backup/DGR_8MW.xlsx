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esktop\OneDrive_1_27-07-2025\"/>
    </mc:Choice>
  </mc:AlternateContent>
  <xr:revisionPtr revIDLastSave="0" documentId="13_ncr:1_{FEEADE61-4EDC-4DE3-8B1C-CA88AD321804}" xr6:coauthVersionLast="47" xr6:coauthVersionMax="47" xr10:uidLastSave="{00000000-0000-0000-0000-000000000000}"/>
  <bookViews>
    <workbookView xWindow="-108" yWindow="-108" windowWidth="23256" windowHeight="12456" firstSheet="2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7" i="7" l="1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Z99" i="6" s="1"/>
  <c r="W99" i="6"/>
  <c r="X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 s="1"/>
  <c r="Z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Z101" i="6" s="1"/>
  <c r="W101" i="6"/>
  <c r="X101" i="6"/>
  <c r="Y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Z103" i="6" s="1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 s="1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Z106" i="6" s="1"/>
  <c r="X106" i="6"/>
  <c r="Y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Y107" i="6" s="1"/>
  <c r="W107" i="6"/>
  <c r="X107" i="6"/>
  <c r="Z107" i="6" s="1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 s="1"/>
  <c r="X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Z112" i="6" s="1"/>
  <c r="W112" i="6"/>
  <c r="X112" i="6"/>
  <c r="Y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Y113" i="6" s="1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Z115" i="6" s="1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 s="1"/>
  <c r="Z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Z117" i="6" s="1"/>
  <c r="W117" i="6"/>
  <c r="X117" i="6"/>
  <c r="Y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Z119" i="6" s="1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 s="1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Z122" i="6" s="1"/>
  <c r="X122" i="6"/>
  <c r="Y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X123" i="6"/>
  <c r="Z123" i="6" s="1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Z128" i="6" s="1"/>
  <c r="W128" i="6"/>
  <c r="X128" i="6"/>
  <c r="Y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Y129" i="6" s="1"/>
  <c r="W129" i="6"/>
  <c r="X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Z131" i="6" s="1"/>
  <c r="W131" i="6"/>
  <c r="X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 s="1"/>
  <c r="Z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Z133" i="6" s="1"/>
  <c r="W133" i="6"/>
  <c r="X133" i="6"/>
  <c r="Y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Z135" i="6" s="1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Z136" i="6" s="1"/>
  <c r="W136" i="6"/>
  <c r="X136" i="6"/>
  <c r="Y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 s="1"/>
  <c r="Z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Z138" i="6" s="1"/>
  <c r="X138" i="6"/>
  <c r="Y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Y139" i="6" s="1"/>
  <c r="W139" i="6"/>
  <c r="X139" i="6"/>
  <c r="Z139" i="6" s="1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 s="1"/>
  <c r="X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Z144" i="6" s="1"/>
  <c r="W144" i="6"/>
  <c r="X144" i="6"/>
  <c r="Y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Y145" i="6" s="1"/>
  <c r="W145" i="6"/>
  <c r="X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Y146" i="6" s="1"/>
  <c r="W146" i="6"/>
  <c r="X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Z147" i="6" s="1"/>
  <c r="W147" i="6"/>
  <c r="X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 s="1"/>
  <c r="Z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Z149" i="6" s="1"/>
  <c r="W149" i="6"/>
  <c r="X149" i="6"/>
  <c r="Y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Z151" i="6" s="1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Y152" i="6" s="1"/>
  <c r="W152" i="6"/>
  <c r="X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 s="1"/>
  <c r="Z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Z154" i="6" s="1"/>
  <c r="X154" i="6"/>
  <c r="Y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Y155" i="6" s="1"/>
  <c r="W155" i="6"/>
  <c r="X155" i="6"/>
  <c r="Z155" i="6" s="1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 s="1"/>
  <c r="X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Z160" i="6" s="1"/>
  <c r="W160" i="6"/>
  <c r="X160" i="6"/>
  <c r="Y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Y161" i="6" s="1"/>
  <c r="W161" i="6"/>
  <c r="X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Y162" i="6" s="1"/>
  <c r="W162" i="6"/>
  <c r="X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Z163" i="6" s="1"/>
  <c r="W163" i="6"/>
  <c r="X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 s="1"/>
  <c r="Z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Z165" i="6" s="1"/>
  <c r="W165" i="6"/>
  <c r="X165" i="6"/>
  <c r="Y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Z167" i="6" s="1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Y168" i="6" s="1"/>
  <c r="W168" i="6"/>
  <c r="X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 s="1"/>
  <c r="Z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Z170" i="6" s="1"/>
  <c r="X170" i="6"/>
  <c r="Y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Y171" i="6" s="1"/>
  <c r="W171" i="6"/>
  <c r="X171" i="6"/>
  <c r="Z171" i="6" s="1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 s="1"/>
  <c r="X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Z176" i="6" s="1"/>
  <c r="W176" i="6"/>
  <c r="X176" i="6"/>
  <c r="Y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Y177" i="6" s="1"/>
  <c r="W177" i="6"/>
  <c r="X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Y178" i="6" s="1"/>
  <c r="W178" i="6"/>
  <c r="X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Z179" i="6" s="1"/>
  <c r="W179" i="6"/>
  <c r="X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 s="1"/>
  <c r="Z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Z181" i="6" s="1"/>
  <c r="W181" i="6"/>
  <c r="X181" i="6"/>
  <c r="Y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Y182" i="6" s="1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Y183" i="6" s="1"/>
  <c r="W183" i="6"/>
  <c r="Z183" i="6" s="1"/>
  <c r="X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Y184" i="6" s="1"/>
  <c r="W184" i="6"/>
  <c r="X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 s="1"/>
  <c r="Z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Z186" i="6" s="1"/>
  <c r="X186" i="6"/>
  <c r="Y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Y187" i="6" s="1"/>
  <c r="W187" i="6"/>
  <c r="X187" i="6"/>
  <c r="Z187" i="6" s="1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 s="1"/>
  <c r="X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Z192" i="6" s="1"/>
  <c r="W192" i="6"/>
  <c r="X192" i="6"/>
  <c r="Y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Y193" i="6" s="1"/>
  <c r="W193" i="6"/>
  <c r="X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Y194" i="6" s="1"/>
  <c r="W194" i="6"/>
  <c r="X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Z195" i="6" s="1"/>
  <c r="W195" i="6"/>
  <c r="X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 s="1"/>
  <c r="Z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Z197" i="6" s="1"/>
  <c r="W197" i="6"/>
  <c r="X197" i="6"/>
  <c r="Y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Y199" i="6" s="1"/>
  <c r="W199" i="6"/>
  <c r="Z199" i="6" s="1"/>
  <c r="X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Y200" i="6" s="1"/>
  <c r="W200" i="6"/>
  <c r="X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 s="1"/>
  <c r="Z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Z202" i="6" s="1"/>
  <c r="X202" i="6"/>
  <c r="Y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Y203" i="6" s="1"/>
  <c r="W203" i="6"/>
  <c r="X203" i="6"/>
  <c r="Z203" i="6" s="1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Y204" i="6" s="1"/>
  <c r="X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Z208" i="6" s="1"/>
  <c r="W208" i="6"/>
  <c r="X208" i="6"/>
  <c r="Y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Y209" i="6" s="1"/>
  <c r="W209" i="6"/>
  <c r="X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Y210" i="6" s="1"/>
  <c r="W210" i="6"/>
  <c r="X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Z211" i="6" s="1"/>
  <c r="W211" i="6"/>
  <c r="X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 s="1"/>
  <c r="Z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Z213" i="6" s="1"/>
  <c r="W213" i="6"/>
  <c r="X213" i="6"/>
  <c r="Y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Y214" i="6" s="1"/>
  <c r="W214" i="6"/>
  <c r="X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Y215" i="6" s="1"/>
  <c r="W215" i="6"/>
  <c r="Z215" i="6" s="1"/>
  <c r="X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Y216" i="6" s="1"/>
  <c r="W216" i="6"/>
  <c r="X216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 s="1"/>
  <c r="Z217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Z218" i="6" s="1"/>
  <c r="X218" i="6"/>
  <c r="Y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Y219" i="6" s="1"/>
  <c r="W219" i="6"/>
  <c r="X219" i="6"/>
  <c r="Z219" i="6" s="1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Y220" i="6" s="1"/>
  <c r="X220" i="6"/>
  <c r="Z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Z224" i="6" s="1"/>
  <c r="W224" i="6"/>
  <c r="X224" i="6"/>
  <c r="Y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Y225" i="6" s="1"/>
  <c r="W225" i="6"/>
  <c r="X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Y226" i="6" s="1"/>
  <c r="W226" i="6"/>
  <c r="X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Z227" i="6" s="1"/>
  <c r="W227" i="6"/>
  <c r="X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 s="1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Z229" i="6" s="1"/>
  <c r="W229" i="6"/>
  <c r="X229" i="6"/>
  <c r="Y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Y230" i="6" s="1"/>
  <c r="W230" i="6"/>
  <c r="X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Y231" i="6" s="1"/>
  <c r="W231" i="6"/>
  <c r="Z231" i="6" s="1"/>
  <c r="X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Y232" i="6" s="1"/>
  <c r="W232" i="6"/>
  <c r="X232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 s="1"/>
  <c r="Z233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Z234" i="6" s="1"/>
  <c r="X234" i="6"/>
  <c r="Y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Y235" i="6" s="1"/>
  <c r="W235" i="6"/>
  <c r="X235" i="6"/>
  <c r="Z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H99" i="6"/>
  <c r="C99" i="6" s="1"/>
  <c r="H100" i="6"/>
  <c r="H101" i="6"/>
  <c r="H102" i="6"/>
  <c r="H103" i="6" s="1"/>
  <c r="AJ58" i="7"/>
  <c r="AD73" i="7"/>
  <c r="AE75" i="7"/>
  <c r="AF75" i="7"/>
  <c r="AI82" i="7"/>
  <c r="AJ82" i="7"/>
  <c r="C106" i="7"/>
  <c r="H106" i="7"/>
  <c r="A106" i="7" s="1"/>
  <c r="C45" i="7"/>
  <c r="F45" i="7"/>
  <c r="G45" i="7" s="1"/>
  <c r="H45" i="7"/>
  <c r="A45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Z44" i="6" s="1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Y45" i="6" s="1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Y47" i="6" s="1"/>
  <c r="W47" i="6"/>
  <c r="X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Y48" i="6" s="1"/>
  <c r="L46" i="7" s="1"/>
  <c r="W48" i="6"/>
  <c r="X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AA57" i="7" s="1"/>
  <c r="P59" i="6"/>
  <c r="Q59" i="6"/>
  <c r="R59" i="6"/>
  <c r="S59" i="6"/>
  <c r="T59" i="6"/>
  <c r="U59" i="6"/>
  <c r="V59" i="6"/>
  <c r="W59" i="6"/>
  <c r="X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AH58" i="7" s="1"/>
  <c r="Z60" i="6"/>
  <c r="AK58" i="7" s="1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AE73" i="7" s="1"/>
  <c r="T75" i="6"/>
  <c r="U75" i="6"/>
  <c r="V75" i="6"/>
  <c r="Z75" i="6" s="1"/>
  <c r="AC73" i="7" s="1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S75" i="7" s="1"/>
  <c r="T77" i="6"/>
  <c r="U77" i="6"/>
  <c r="AG75" i="7" s="1"/>
  <c r="V77" i="6"/>
  <c r="Y77" i="6" s="1"/>
  <c r="W77" i="6"/>
  <c r="X77" i="6"/>
  <c r="Z77" i="6"/>
  <c r="J78" i="6"/>
  <c r="K78" i="6"/>
  <c r="L78" i="6"/>
  <c r="M78" i="6"/>
  <c r="N78" i="6"/>
  <c r="O78" i="6"/>
  <c r="O76" i="7" s="1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Z79" i="6" s="1"/>
  <c r="V77" i="7" s="1"/>
  <c r="Y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W81" i="7" s="1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Z83" i="6"/>
  <c r="AM81" i="7" s="1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AH82" i="7" s="1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M93" i="7" s="1"/>
  <c r="N95" i="6"/>
  <c r="O95" i="6"/>
  <c r="P95" i="6"/>
  <c r="Q95" i="6"/>
  <c r="R95" i="6"/>
  <c r="S95" i="6"/>
  <c r="T95" i="6"/>
  <c r="U95" i="6"/>
  <c r="V95" i="6"/>
  <c r="Y95" i="6" s="1"/>
  <c r="W95" i="6"/>
  <c r="X95" i="6"/>
  <c r="J96" i="6"/>
  <c r="K96" i="6"/>
  <c r="K94" i="7" s="1"/>
  <c r="L96" i="6"/>
  <c r="M96" i="6"/>
  <c r="N96" i="6"/>
  <c r="O96" i="6"/>
  <c r="P96" i="6"/>
  <c r="Q96" i="6"/>
  <c r="R96" i="6"/>
  <c r="S96" i="6"/>
  <c r="T96" i="6"/>
  <c r="U96" i="6"/>
  <c r="V96" i="6"/>
  <c r="Y96" i="6" s="1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C224" i="3"/>
  <c r="B224" i="3"/>
  <c r="C223" i="3"/>
  <c r="B223" i="3"/>
  <c r="F224" i="3"/>
  <c r="G224" i="3"/>
  <c r="I224" i="3"/>
  <c r="J224" i="3"/>
  <c r="K224" i="3" s="1"/>
  <c r="M224" i="3"/>
  <c r="AE224" i="3" s="1"/>
  <c r="N224" i="3"/>
  <c r="W224" i="3"/>
  <c r="X224" i="3"/>
  <c r="Y224" i="3"/>
  <c r="Z224" i="3"/>
  <c r="F223" i="3"/>
  <c r="G223" i="3"/>
  <c r="I223" i="3"/>
  <c r="J223" i="3"/>
  <c r="M223" i="3"/>
  <c r="AE223" i="3" s="1"/>
  <c r="N223" i="3"/>
  <c r="W223" i="3"/>
  <c r="X223" i="3"/>
  <c r="Y223" i="3"/>
  <c r="Z223" i="3"/>
  <c r="C222" i="3"/>
  <c r="B222" i="3"/>
  <c r="F222" i="3"/>
  <c r="G222" i="3"/>
  <c r="I222" i="3"/>
  <c r="J222" i="3"/>
  <c r="M222" i="3"/>
  <c r="N222" i="3"/>
  <c r="W222" i="3"/>
  <c r="X222" i="3"/>
  <c r="Y222" i="3"/>
  <c r="Z222" i="3"/>
  <c r="AK123" i="1"/>
  <c r="Y123" i="1"/>
  <c r="X123" i="1"/>
  <c r="W123" i="1"/>
  <c r="AI123" i="1" s="1"/>
  <c r="H123" i="1"/>
  <c r="A123" i="1"/>
  <c r="B123" i="1"/>
  <c r="E123" i="1"/>
  <c r="F123" i="1" s="1"/>
  <c r="AJ123" i="1"/>
  <c r="AL123" i="1" s="1"/>
  <c r="AM123" i="1"/>
  <c r="AK122" i="1"/>
  <c r="Y122" i="1"/>
  <c r="X122" i="1"/>
  <c r="W122" i="1"/>
  <c r="H121" i="1"/>
  <c r="H122" i="1"/>
  <c r="AJ122" i="1"/>
  <c r="AL122" i="1" s="1"/>
  <c r="AM122" i="1"/>
  <c r="C68" i="11"/>
  <c r="B68" i="11"/>
  <c r="P68" i="11"/>
  <c r="M68" i="11"/>
  <c r="AD68" i="11" s="1"/>
  <c r="F68" i="11"/>
  <c r="G68" i="11"/>
  <c r="Y68" i="11"/>
  <c r="P67" i="11"/>
  <c r="M67" i="11"/>
  <c r="AD67" i="11" s="1"/>
  <c r="C67" i="11"/>
  <c r="B67" i="11"/>
  <c r="F67" i="11"/>
  <c r="G67" i="11" s="1"/>
  <c r="Y67" i="11"/>
  <c r="AB67" i="11" s="1"/>
  <c r="P66" i="11"/>
  <c r="M66" i="11"/>
  <c r="B66" i="11"/>
  <c r="C66" i="11"/>
  <c r="F66" i="11"/>
  <c r="G66" i="11" s="1"/>
  <c r="AD66" i="11"/>
  <c r="Y66" i="1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P65" i="11"/>
  <c r="M65" i="11"/>
  <c r="AD65" i="11" s="1"/>
  <c r="B65" i="11"/>
  <c r="C65" i="11"/>
  <c r="F65" i="11"/>
  <c r="G65" i="11" s="1"/>
  <c r="Y65" i="11"/>
  <c r="AK119" i="1"/>
  <c r="Y119" i="1"/>
  <c r="X119" i="1"/>
  <c r="W119" i="1"/>
  <c r="H119" i="1"/>
  <c r="AJ119" i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Y227" i="6" l="1"/>
  <c r="Z226" i="6"/>
  <c r="Y211" i="6"/>
  <c r="Z210" i="6"/>
  <c r="Y195" i="6"/>
  <c r="Z194" i="6"/>
  <c r="Y179" i="6"/>
  <c r="Z178" i="6"/>
  <c r="Y163" i="6"/>
  <c r="Z162" i="6"/>
  <c r="Y147" i="6"/>
  <c r="Z146" i="6"/>
  <c r="Y131" i="6"/>
  <c r="Z130" i="6"/>
  <c r="Y115" i="6"/>
  <c r="Z114" i="6"/>
  <c r="Y99" i="6"/>
  <c r="Z225" i="6"/>
  <c r="Z209" i="6"/>
  <c r="Z193" i="6"/>
  <c r="Z177" i="6"/>
  <c r="Z161" i="6"/>
  <c r="Z145" i="6"/>
  <c r="Z129" i="6"/>
  <c r="Z113" i="6"/>
  <c r="Z232" i="6"/>
  <c r="Z216" i="6"/>
  <c r="Z200" i="6"/>
  <c r="Z184" i="6"/>
  <c r="Z168" i="6"/>
  <c r="Z152" i="6"/>
  <c r="Z120" i="6"/>
  <c r="Z104" i="6"/>
  <c r="Z230" i="6"/>
  <c r="Z214" i="6"/>
  <c r="Z198" i="6"/>
  <c r="Z182" i="6"/>
  <c r="Z166" i="6"/>
  <c r="Z150" i="6"/>
  <c r="Z134" i="6"/>
  <c r="Z118" i="6"/>
  <c r="Z102" i="6"/>
  <c r="Z228" i="6"/>
  <c r="F103" i="6"/>
  <c r="G103" i="6" s="1"/>
  <c r="C103" i="6"/>
  <c r="H104" i="6"/>
  <c r="F102" i="6"/>
  <c r="G102" i="6" s="1"/>
  <c r="C102" i="6"/>
  <c r="C101" i="6"/>
  <c r="F101" i="6"/>
  <c r="G101" i="6" s="1"/>
  <c r="C100" i="6"/>
  <c r="F100" i="6"/>
  <c r="G100" i="6" s="1"/>
  <c r="F99" i="6"/>
  <c r="G99" i="6" s="1"/>
  <c r="AK61" i="7"/>
  <c r="Y71" i="7"/>
  <c r="AA95" i="7"/>
  <c r="Y77" i="7"/>
  <c r="M77" i="7"/>
  <c r="R94" i="7"/>
  <c r="AD94" i="7"/>
  <c r="AA91" i="7"/>
  <c r="O91" i="7"/>
  <c r="M89" i="7"/>
  <c r="V86" i="7"/>
  <c r="AG76" i="7"/>
  <c r="Q94" i="7"/>
  <c r="P93" i="7"/>
  <c r="S74" i="7"/>
  <c r="AI61" i="7"/>
  <c r="AL61" i="7"/>
  <c r="AI60" i="7"/>
  <c r="Z62" i="6"/>
  <c r="AJ59" i="7"/>
  <c r="AL55" i="7"/>
  <c r="Y56" i="6"/>
  <c r="AH54" i="7"/>
  <c r="T52" i="7"/>
  <c r="S51" i="7"/>
  <c r="AE51" i="7"/>
  <c r="S50" i="7"/>
  <c r="Q48" i="7"/>
  <c r="AL87" i="7"/>
  <c r="AD81" i="7"/>
  <c r="X81" i="7"/>
  <c r="P94" i="7"/>
  <c r="AB94" i="7"/>
  <c r="O93" i="7"/>
  <c r="AA93" i="7"/>
  <c r="Z92" i="7"/>
  <c r="N92" i="7"/>
  <c r="M91" i="7"/>
  <c r="X90" i="7"/>
  <c r="AH61" i="7"/>
  <c r="Y63" i="6"/>
  <c r="Z63" i="6"/>
  <c r="AD61" i="7" s="1"/>
  <c r="AI59" i="7"/>
  <c r="R51" i="7"/>
  <c r="N46" i="7"/>
  <c r="Z45" i="7"/>
  <c r="N45" i="7"/>
  <c r="Y89" i="6"/>
  <c r="AH87" i="7" s="1"/>
  <c r="O94" i="7"/>
  <c r="AA94" i="7"/>
  <c r="L91" i="7"/>
  <c r="W90" i="7"/>
  <c r="AF83" i="7"/>
  <c r="AE80" i="7"/>
  <c r="Q78" i="7"/>
  <c r="Q77" i="7"/>
  <c r="R76" i="7"/>
  <c r="AD76" i="7"/>
  <c r="AD75" i="7"/>
  <c r="R75" i="7"/>
  <c r="AB73" i="7"/>
  <c r="AA72" i="7"/>
  <c r="N71" i="7"/>
  <c r="M70" i="7"/>
  <c r="Y70" i="7"/>
  <c r="L69" i="7"/>
  <c r="X69" i="7"/>
  <c r="W68" i="7"/>
  <c r="K68" i="7"/>
  <c r="V67" i="7"/>
  <c r="J66" i="7"/>
  <c r="Z64" i="6"/>
  <c r="AG62" i="7" s="1"/>
  <c r="AK62" i="7"/>
  <c r="Y64" i="6"/>
  <c r="M62" i="7" s="1"/>
  <c r="U60" i="7"/>
  <c r="AK59" i="7"/>
  <c r="AH59" i="7"/>
  <c r="AI58" i="7"/>
  <c r="AL58" i="7"/>
  <c r="AL57" i="7"/>
  <c r="Z58" i="6"/>
  <c r="AH56" i="7"/>
  <c r="AK56" i="7"/>
  <c r="U55" i="7"/>
  <c r="T54" i="7"/>
  <c r="AF54" i="7"/>
  <c r="R52" i="7"/>
  <c r="AC51" i="7"/>
  <c r="Q51" i="7"/>
  <c r="Q50" i="7"/>
  <c r="AC77" i="7"/>
  <c r="Y90" i="6"/>
  <c r="K88" i="7" s="1"/>
  <c r="AL88" i="7"/>
  <c r="AA78" i="7"/>
  <c r="P76" i="7"/>
  <c r="AB76" i="7"/>
  <c r="O74" i="7"/>
  <c r="AA74" i="7"/>
  <c r="L71" i="7"/>
  <c r="X71" i="7"/>
  <c r="AM67" i="7"/>
  <c r="AL41" i="7"/>
  <c r="L94" i="7"/>
  <c r="X94" i="7"/>
  <c r="AJ90" i="7"/>
  <c r="AK88" i="7"/>
  <c r="Q82" i="7"/>
  <c r="AC81" i="7"/>
  <c r="P80" i="7"/>
  <c r="AB80" i="7"/>
  <c r="O75" i="7"/>
  <c r="AA75" i="7"/>
  <c r="AL42" i="7"/>
  <c r="AK41" i="7"/>
  <c r="V90" i="7"/>
  <c r="AG85" i="7"/>
  <c r="Q75" i="7"/>
  <c r="AC75" i="7"/>
  <c r="Y65" i="6"/>
  <c r="AH63" i="7" s="1"/>
  <c r="R82" i="7"/>
  <c r="AJ66" i="7"/>
  <c r="Q84" i="7"/>
  <c r="AA80" i="7"/>
  <c r="O80" i="7"/>
  <c r="N76" i="7"/>
  <c r="Z76" i="7"/>
  <c r="AJ69" i="7"/>
  <c r="Z68" i="6"/>
  <c r="W66" i="7" s="1"/>
  <c r="AH66" i="7"/>
  <c r="X77" i="7"/>
  <c r="L77" i="7"/>
  <c r="M75" i="7"/>
  <c r="Y75" i="7"/>
  <c r="L74" i="7"/>
  <c r="AC59" i="7"/>
  <c r="J43" i="7"/>
  <c r="K43" i="7"/>
  <c r="Y93" i="6"/>
  <c r="Z93" i="6"/>
  <c r="AC91" i="7" s="1"/>
  <c r="AH91" i="7"/>
  <c r="AG90" i="7"/>
  <c r="U90" i="7"/>
  <c r="AF89" i="7"/>
  <c r="S88" i="7"/>
  <c r="AE88" i="7"/>
  <c r="AD87" i="7"/>
  <c r="R87" i="7"/>
  <c r="N82" i="7"/>
  <c r="Z81" i="7"/>
  <c r="M80" i="7"/>
  <c r="Y80" i="7"/>
  <c r="K77" i="7"/>
  <c r="W77" i="7"/>
  <c r="L76" i="7"/>
  <c r="X76" i="7"/>
  <c r="T67" i="7"/>
  <c r="P77" i="7"/>
  <c r="AB77" i="7"/>
  <c r="M71" i="7"/>
  <c r="X70" i="7"/>
  <c r="L70" i="7"/>
  <c r="K69" i="7"/>
  <c r="W69" i="7"/>
  <c r="O77" i="7"/>
  <c r="AA77" i="7"/>
  <c r="Z73" i="7"/>
  <c r="N73" i="7"/>
  <c r="AL65" i="7"/>
  <c r="AI65" i="7"/>
  <c r="AI90" i="7"/>
  <c r="AB81" i="7"/>
  <c r="W72" i="7"/>
  <c r="AI68" i="7"/>
  <c r="AL68" i="7"/>
  <c r="U65" i="7"/>
  <c r="AG65" i="7"/>
  <c r="AI91" i="7"/>
  <c r="AK90" i="7"/>
  <c r="Y92" i="6"/>
  <c r="AH90" i="7" s="1"/>
  <c r="Z92" i="6"/>
  <c r="M76" i="7"/>
  <c r="Y76" i="7"/>
  <c r="AL93" i="7"/>
  <c r="Y94" i="6"/>
  <c r="J92" i="7" s="1"/>
  <c r="Z94" i="6"/>
  <c r="AK92" i="7" s="1"/>
  <c r="U91" i="7"/>
  <c r="AF90" i="7"/>
  <c r="Q87" i="7"/>
  <c r="AB86" i="7"/>
  <c r="P86" i="7"/>
  <c r="AA85" i="7"/>
  <c r="O85" i="7"/>
  <c r="Z84" i="7"/>
  <c r="N84" i="7"/>
  <c r="M82" i="7"/>
  <c r="Y81" i="7"/>
  <c r="K79" i="7"/>
  <c r="V78" i="7"/>
  <c r="W76" i="7"/>
  <c r="W75" i="7"/>
  <c r="K75" i="7"/>
  <c r="Q64" i="7"/>
  <c r="V76" i="7"/>
  <c r="J76" i="7"/>
  <c r="AA58" i="7"/>
  <c r="Z56" i="7"/>
  <c r="N94" i="7"/>
  <c r="Z94" i="7"/>
  <c r="S66" i="7"/>
  <c r="T66" i="7"/>
  <c r="U66" i="7"/>
  <c r="AF61" i="7"/>
  <c r="T61" i="7"/>
  <c r="Y66" i="6"/>
  <c r="AI64" i="7" s="1"/>
  <c r="T87" i="7"/>
  <c r="P82" i="7"/>
  <c r="N75" i="7"/>
  <c r="Z75" i="7"/>
  <c r="T64" i="7"/>
  <c r="AF64" i="7"/>
  <c r="L61" i="7"/>
  <c r="M59" i="7"/>
  <c r="Y59" i="7"/>
  <c r="Z58" i="7"/>
  <c r="N58" i="7"/>
  <c r="M56" i="7"/>
  <c r="Y56" i="7"/>
  <c r="AI49" i="7"/>
  <c r="AC42" i="7"/>
  <c r="X37" i="7"/>
  <c r="K36" i="7"/>
  <c r="W36" i="7"/>
  <c r="J35" i="7"/>
  <c r="J34" i="7"/>
  <c r="V66" i="7"/>
  <c r="AC76" i="7"/>
  <c r="Q76" i="7"/>
  <c r="P74" i="7"/>
  <c r="AA73" i="7"/>
  <c r="O73" i="7"/>
  <c r="Z72" i="7"/>
  <c r="P79" i="7"/>
  <c r="K70" i="7"/>
  <c r="Y91" i="6"/>
  <c r="Z91" i="6"/>
  <c r="AM89" i="7" s="1"/>
  <c r="AH89" i="7"/>
  <c r="X73" i="7"/>
  <c r="Z69" i="6"/>
  <c r="W67" i="7" s="1"/>
  <c r="AH67" i="7"/>
  <c r="AK67" i="7"/>
  <c r="S63" i="7"/>
  <c r="R38" i="7"/>
  <c r="Z85" i="7"/>
  <c r="N85" i="7"/>
  <c r="L83" i="7"/>
  <c r="L82" i="7"/>
  <c r="J79" i="7"/>
  <c r="U93" i="7"/>
  <c r="S91" i="7"/>
  <c r="AE91" i="7"/>
  <c r="R90" i="7"/>
  <c r="AD90" i="7"/>
  <c r="Z86" i="7"/>
  <c r="W83" i="7"/>
  <c r="Z57" i="7"/>
  <c r="T93" i="7"/>
  <c r="R91" i="7"/>
  <c r="O88" i="7"/>
  <c r="AA88" i="7"/>
  <c r="Z87" i="7"/>
  <c r="N87" i="7"/>
  <c r="Y86" i="7"/>
  <c r="M86" i="7"/>
  <c r="X85" i="7"/>
  <c r="J82" i="7"/>
  <c r="AJ79" i="7"/>
  <c r="Y80" i="6"/>
  <c r="M78" i="7" s="1"/>
  <c r="AI74" i="7"/>
  <c r="AG72" i="7"/>
  <c r="AJ52" i="7"/>
  <c r="Q43" i="7"/>
  <c r="AB42" i="7"/>
  <c r="Y39" i="7"/>
  <c r="J36" i="7"/>
  <c r="T94" i="7"/>
  <c r="AF94" i="7"/>
  <c r="S93" i="7"/>
  <c r="Q91" i="7"/>
  <c r="P90" i="7"/>
  <c r="AB90" i="7"/>
  <c r="AG73" i="7"/>
  <c r="AF72" i="7"/>
  <c r="AD46" i="7"/>
  <c r="R46" i="7"/>
  <c r="R45" i="7"/>
  <c r="AD45" i="7"/>
  <c r="AC44" i="7"/>
  <c r="P43" i="7"/>
  <c r="AA42" i="7"/>
  <c r="L39" i="7"/>
  <c r="X39" i="7"/>
  <c r="W38" i="7"/>
  <c r="K38" i="7"/>
  <c r="V37" i="7"/>
  <c r="AM34" i="7"/>
  <c r="AJ34" i="7"/>
  <c r="V81" i="7"/>
  <c r="AJ35" i="7"/>
  <c r="AG96" i="7"/>
  <c r="AF95" i="7"/>
  <c r="S94" i="7"/>
  <c r="AE94" i="7"/>
  <c r="AD93" i="7"/>
  <c r="R93" i="7"/>
  <c r="P91" i="7"/>
  <c r="AF73" i="7"/>
  <c r="AE72" i="7"/>
  <c r="R71" i="7"/>
  <c r="AD71" i="7"/>
  <c r="Q70" i="7"/>
  <c r="AC70" i="7"/>
  <c r="P69" i="7"/>
  <c r="Y62" i="6"/>
  <c r="O60" i="7" s="1"/>
  <c r="Z61" i="6"/>
  <c r="AE59" i="7" s="1"/>
  <c r="J59" i="7"/>
  <c r="V59" i="7"/>
  <c r="K58" i="7"/>
  <c r="W58" i="7"/>
  <c r="W57" i="7"/>
  <c r="K57" i="7"/>
  <c r="J56" i="7"/>
  <c r="AJ54" i="7"/>
  <c r="AM54" i="7"/>
  <c r="Y54" i="6"/>
  <c r="O52" i="7" s="1"/>
  <c r="AH52" i="7"/>
  <c r="U50" i="7"/>
  <c r="T49" i="7"/>
  <c r="AF49" i="7"/>
  <c r="S48" i="7"/>
  <c r="AE48" i="7"/>
  <c r="AD47" i="7"/>
  <c r="AC46" i="7"/>
  <c r="Q46" i="7"/>
  <c r="Q45" i="7"/>
  <c r="AC45" i="7"/>
  <c r="O43" i="7"/>
  <c r="V71" i="7"/>
  <c r="T91" i="7"/>
  <c r="AF91" i="7"/>
  <c r="S90" i="7"/>
  <c r="AE90" i="7"/>
  <c r="AB87" i="7"/>
  <c r="P87" i="7"/>
  <c r="AC93" i="7"/>
  <c r="Q93" i="7"/>
  <c r="AD72" i="7"/>
  <c r="Q71" i="7"/>
  <c r="AC71" i="7"/>
  <c r="P70" i="7"/>
  <c r="AB70" i="7"/>
  <c r="Y67" i="7"/>
  <c r="M66" i="7"/>
  <c r="Y66" i="7"/>
  <c r="X65" i="7"/>
  <c r="K64" i="7"/>
  <c r="J63" i="7"/>
  <c r="AJ61" i="7"/>
  <c r="AM61" i="7"/>
  <c r="AC58" i="7"/>
  <c r="AF58" i="7"/>
  <c r="V58" i="7"/>
  <c r="J58" i="7"/>
  <c r="V57" i="7"/>
  <c r="Z57" i="6"/>
  <c r="Y55" i="7" s="1"/>
  <c r="AM55" i="7"/>
  <c r="AI54" i="7"/>
  <c r="AL54" i="7"/>
  <c r="Y55" i="6"/>
  <c r="L53" i="7" s="1"/>
  <c r="AH53" i="7"/>
  <c r="U52" i="7"/>
  <c r="AF51" i="7"/>
  <c r="T50" i="7"/>
  <c r="S49" i="7"/>
  <c r="AB46" i="7"/>
  <c r="P46" i="7"/>
  <c r="P45" i="7"/>
  <c r="AB45" i="7"/>
  <c r="O44" i="7"/>
  <c r="AA44" i="7"/>
  <c r="AM90" i="7"/>
  <c r="L55" i="7"/>
  <c r="AM51" i="7"/>
  <c r="AJ50" i="7"/>
  <c r="Y50" i="6"/>
  <c r="AJ48" i="7" s="1"/>
  <c r="AG47" i="7"/>
  <c r="AG46" i="7"/>
  <c r="U46" i="7"/>
  <c r="AG45" i="7"/>
  <c r="U45" i="7"/>
  <c r="T43" i="7"/>
  <c r="AF42" i="7"/>
  <c r="S41" i="7"/>
  <c r="Q39" i="7"/>
  <c r="AC39" i="7"/>
  <c r="P38" i="7"/>
  <c r="AB38" i="7"/>
  <c r="AA37" i="7"/>
  <c r="M34" i="7"/>
  <c r="O70" i="7"/>
  <c r="Z69" i="7"/>
  <c r="N69" i="7"/>
  <c r="M68" i="7"/>
  <c r="X67" i="7"/>
  <c r="L67" i="7"/>
  <c r="L66" i="7"/>
  <c r="K65" i="7"/>
  <c r="K60" i="7"/>
  <c r="X59" i="7"/>
  <c r="L59" i="7"/>
  <c r="M58" i="7"/>
  <c r="Y58" i="7"/>
  <c r="Y57" i="7"/>
  <c r="X56" i="7"/>
  <c r="L56" i="7"/>
  <c r="K55" i="7"/>
  <c r="Y53" i="6"/>
  <c r="M51" i="7" s="1"/>
  <c r="AI51" i="7"/>
  <c r="AI50" i="7"/>
  <c r="Y51" i="6"/>
  <c r="AJ49" i="7" s="1"/>
  <c r="AK49" i="7"/>
  <c r="U48" i="7"/>
  <c r="AF47" i="7"/>
  <c r="T46" i="7"/>
  <c r="AF46" i="7"/>
  <c r="AF45" i="7"/>
  <c r="T45" i="7"/>
  <c r="S44" i="7"/>
  <c r="S43" i="7"/>
  <c r="AE42" i="7"/>
  <c r="AD41" i="7"/>
  <c r="P39" i="7"/>
  <c r="O38" i="7"/>
  <c r="AA38" i="7"/>
  <c r="N37" i="7"/>
  <c r="Z37" i="7"/>
  <c r="Y36" i="7"/>
  <c r="M36" i="7"/>
  <c r="L34" i="7"/>
  <c r="AK93" i="7"/>
  <c r="K54" i="7"/>
  <c r="P84" i="7"/>
  <c r="AB84" i="7"/>
  <c r="AA83" i="7"/>
  <c r="O83" i="7"/>
  <c r="AA81" i="7"/>
  <c r="N80" i="7"/>
  <c r="Z77" i="7"/>
  <c r="N77" i="7"/>
  <c r="P75" i="7"/>
  <c r="Q74" i="7"/>
  <c r="AB72" i="7"/>
  <c r="P72" i="7"/>
  <c r="O71" i="7"/>
  <c r="N70" i="7"/>
  <c r="Z70" i="7"/>
  <c r="K67" i="7"/>
  <c r="K66" i="7"/>
  <c r="AJ63" i="7"/>
  <c r="AM62" i="7"/>
  <c r="J60" i="7"/>
  <c r="W59" i="7"/>
  <c r="K59" i="7"/>
  <c r="L58" i="7"/>
  <c r="X58" i="7"/>
  <c r="X57" i="7"/>
  <c r="V55" i="7"/>
  <c r="AI52" i="7"/>
  <c r="Z53" i="6"/>
  <c r="W51" i="7" s="1"/>
  <c r="AH51" i="7"/>
  <c r="AK51" i="7"/>
  <c r="Z52" i="6"/>
  <c r="AH50" i="7"/>
  <c r="U49" i="7"/>
  <c r="AG49" i="7"/>
  <c r="T48" i="7"/>
  <c r="S46" i="7"/>
  <c r="S45" i="7"/>
  <c r="AE45" i="7"/>
  <c r="AD44" i="7"/>
  <c r="R43" i="7"/>
  <c r="R42" i="7"/>
  <c r="AD42" i="7"/>
  <c r="AC41" i="7"/>
  <c r="Q41" i="7"/>
  <c r="AA39" i="7"/>
  <c r="K34" i="7"/>
  <c r="AJ93" i="7"/>
  <c r="AB71" i="7"/>
  <c r="X66" i="7"/>
  <c r="J54" i="7"/>
  <c r="AI41" i="7"/>
  <c r="Z96" i="7"/>
  <c r="Y95" i="7"/>
  <c r="M94" i="7"/>
  <c r="N93" i="7"/>
  <c r="Q90" i="7"/>
  <c r="AC90" i="7"/>
  <c r="P88" i="7"/>
  <c r="O87" i="7"/>
  <c r="N86" i="7"/>
  <c r="Y85" i="7"/>
  <c r="L84" i="7"/>
  <c r="K83" i="7"/>
  <c r="J77" i="7"/>
  <c r="K76" i="7"/>
  <c r="L75" i="7"/>
  <c r="X75" i="7"/>
  <c r="Y73" i="7"/>
  <c r="X72" i="7"/>
  <c r="K71" i="7"/>
  <c r="W71" i="7"/>
  <c r="V70" i="7"/>
  <c r="J70" i="7"/>
  <c r="AM68" i="7"/>
  <c r="Y69" i="6"/>
  <c r="AJ67" i="7" s="1"/>
  <c r="AI66" i="7"/>
  <c r="AL66" i="7"/>
  <c r="Y67" i="6"/>
  <c r="J65" i="7" s="1"/>
  <c r="AH65" i="7"/>
  <c r="U64" i="7"/>
  <c r="T62" i="7"/>
  <c r="AF62" i="7"/>
  <c r="U61" i="7"/>
  <c r="AG61" i="7"/>
  <c r="AH60" i="7"/>
  <c r="AM58" i="7"/>
  <c r="AM57" i="7"/>
  <c r="Y58" i="6"/>
  <c r="AJ56" i="7" s="1"/>
  <c r="AI56" i="7"/>
  <c r="AL56" i="7"/>
  <c r="Y57" i="6"/>
  <c r="N55" i="7" s="1"/>
  <c r="AH55" i="7"/>
  <c r="AK55" i="7"/>
  <c r="AG54" i="7"/>
  <c r="U54" i="7"/>
  <c r="T53" i="7"/>
  <c r="AF53" i="7"/>
  <c r="AE52" i="7"/>
  <c r="S52" i="7"/>
  <c r="AD51" i="7"/>
  <c r="R50" i="7"/>
  <c r="Q49" i="7"/>
  <c r="P48" i="7"/>
  <c r="AA45" i="7"/>
  <c r="O45" i="7"/>
  <c r="N44" i="7"/>
  <c r="N43" i="7"/>
  <c r="Z42" i="7"/>
  <c r="Y41" i="7"/>
  <c r="M41" i="7"/>
  <c r="AI34" i="7"/>
  <c r="AB75" i="7"/>
  <c r="AL49" i="7"/>
  <c r="J84" i="7"/>
  <c r="K74" i="7"/>
  <c r="W73" i="7"/>
  <c r="AJ70" i="7"/>
  <c r="AM70" i="7"/>
  <c r="Y70" i="6"/>
  <c r="N68" i="7" s="1"/>
  <c r="T60" i="7"/>
  <c r="U59" i="7"/>
  <c r="Y59" i="6"/>
  <c r="AH57" i="7"/>
  <c r="AK57" i="7"/>
  <c r="U56" i="7"/>
  <c r="AG56" i="7"/>
  <c r="T55" i="7"/>
  <c r="AF55" i="7"/>
  <c r="S54" i="7"/>
  <c r="Q52" i="7"/>
  <c r="P50" i="7"/>
  <c r="O49" i="7"/>
  <c r="AA49" i="7"/>
  <c r="Z48" i="7"/>
  <c r="N48" i="7"/>
  <c r="M45" i="7"/>
  <c r="Y45" i="7"/>
  <c r="L43" i="7"/>
  <c r="Y38" i="6"/>
  <c r="AI36" i="7" s="1"/>
  <c r="AH36" i="7"/>
  <c r="U34" i="7"/>
  <c r="AE87" i="7"/>
  <c r="M79" i="7"/>
  <c r="X55" i="7"/>
  <c r="AI80" i="7"/>
  <c r="Y81" i="6"/>
  <c r="N79" i="7" s="1"/>
  <c r="Z80" i="6"/>
  <c r="Z78" i="7" s="1"/>
  <c r="AK78" i="7"/>
  <c r="AI77" i="7"/>
  <c r="AL77" i="7"/>
  <c r="AM76" i="7"/>
  <c r="AJ76" i="7"/>
  <c r="Z76" i="6"/>
  <c r="V74" i="7"/>
  <c r="V73" i="7"/>
  <c r="Z73" i="6"/>
  <c r="AA71" i="7" s="1"/>
  <c r="AJ71" i="7"/>
  <c r="AM71" i="7"/>
  <c r="Y71" i="6"/>
  <c r="AI69" i="7" s="1"/>
  <c r="U68" i="7"/>
  <c r="AF66" i="7"/>
  <c r="AE65" i="7"/>
  <c r="S65" i="7"/>
  <c r="AC62" i="7"/>
  <c r="R61" i="7"/>
  <c r="S60" i="7"/>
  <c r="T59" i="7"/>
  <c r="AF59" i="7"/>
  <c r="AG58" i="7"/>
  <c r="U58" i="7"/>
  <c r="AG57" i="7"/>
  <c r="AF56" i="7"/>
  <c r="S55" i="7"/>
  <c r="AE55" i="7"/>
  <c r="R54" i="7"/>
  <c r="AD54" i="7"/>
  <c r="P52" i="7"/>
  <c r="O51" i="7"/>
  <c r="O50" i="7"/>
  <c r="Z49" i="7"/>
  <c r="N49" i="7"/>
  <c r="M48" i="7"/>
  <c r="X47" i="7"/>
  <c r="X46" i="7"/>
  <c r="L45" i="7"/>
  <c r="X45" i="7"/>
  <c r="K44" i="7"/>
  <c r="J41" i="7"/>
  <c r="V41" i="7"/>
  <c r="Z41" i="6"/>
  <c r="W39" i="7" s="1"/>
  <c r="AM39" i="7"/>
  <c r="W55" i="7"/>
  <c r="AH49" i="7"/>
  <c r="O46" i="7"/>
  <c r="M43" i="7"/>
  <c r="R40" i="7"/>
  <c r="J86" i="7"/>
  <c r="Y85" i="6"/>
  <c r="J83" i="7" s="1"/>
  <c r="AI83" i="7"/>
  <c r="AL81" i="7"/>
  <c r="Y82" i="6"/>
  <c r="K80" i="7" s="1"/>
  <c r="AH80" i="7"/>
  <c r="U79" i="7"/>
  <c r="AG78" i="7"/>
  <c r="AH77" i="7"/>
  <c r="AK77" i="7"/>
  <c r="AL76" i="7"/>
  <c r="AI76" i="7"/>
  <c r="AM75" i="7"/>
  <c r="AJ75" i="7"/>
  <c r="Y76" i="6"/>
  <c r="R74" i="7" s="1"/>
  <c r="AM72" i="7"/>
  <c r="AL71" i="7"/>
  <c r="AI71" i="7"/>
  <c r="Y72" i="6"/>
  <c r="AK70" i="7"/>
  <c r="AG69" i="7"/>
  <c r="U69" i="7"/>
  <c r="AF68" i="7"/>
  <c r="T68" i="7"/>
  <c r="S67" i="7"/>
  <c r="AE66" i="7"/>
  <c r="R65" i="7"/>
  <c r="Q61" i="7"/>
  <c r="R60" i="7"/>
  <c r="S59" i="7"/>
  <c r="T58" i="7"/>
  <c r="AF57" i="7"/>
  <c r="AE56" i="7"/>
  <c r="AD55" i="7"/>
  <c r="R55" i="7"/>
  <c r="Q54" i="7"/>
  <c r="N51" i="7"/>
  <c r="Z51" i="7"/>
  <c r="N50" i="7"/>
  <c r="Y49" i="7"/>
  <c r="M49" i="7"/>
  <c r="X48" i="7"/>
  <c r="L48" i="7"/>
  <c r="K47" i="7"/>
  <c r="K46" i="7"/>
  <c r="W45" i="7"/>
  <c r="K45" i="7"/>
  <c r="V42" i="7"/>
  <c r="Z40" i="6"/>
  <c r="AL38" i="7" s="1"/>
  <c r="Y40" i="6"/>
  <c r="J38" i="7" s="1"/>
  <c r="AG37" i="7"/>
  <c r="AF36" i="7"/>
  <c r="T36" i="7"/>
  <c r="S35" i="7"/>
  <c r="S34" i="7"/>
  <c r="AF67" i="7"/>
  <c r="L86" i="7"/>
  <c r="AI79" i="7"/>
  <c r="AL79" i="7"/>
  <c r="AI78" i="7"/>
  <c r="AL78" i="7"/>
  <c r="AG67" i="7"/>
  <c r="AG66" i="7"/>
  <c r="T65" i="7"/>
  <c r="R63" i="7"/>
  <c r="S61" i="7"/>
  <c r="U35" i="7"/>
  <c r="W96" i="7"/>
  <c r="V95" i="7"/>
  <c r="V94" i="7"/>
  <c r="K93" i="7"/>
  <c r="Y91" i="7"/>
  <c r="N90" i="7"/>
  <c r="L87" i="7"/>
  <c r="K86" i="7"/>
  <c r="AM83" i="7"/>
  <c r="AJ83" i="7"/>
  <c r="V96" i="7"/>
  <c r="Z95" i="6"/>
  <c r="Y93" i="7" s="1"/>
  <c r="J93" i="7"/>
  <c r="X91" i="7"/>
  <c r="M90" i="7"/>
  <c r="L88" i="7"/>
  <c r="K87" i="7"/>
  <c r="W87" i="7"/>
  <c r="AJ95" i="7"/>
  <c r="AJ94" i="7"/>
  <c r="AM94" i="7"/>
  <c r="W91" i="7"/>
  <c r="L90" i="7"/>
  <c r="J87" i="7"/>
  <c r="AJ85" i="7"/>
  <c r="Z85" i="6"/>
  <c r="AL83" i="7" s="1"/>
  <c r="AH83" i="7"/>
  <c r="AK83" i="7"/>
  <c r="Z84" i="6"/>
  <c r="Y83" i="6"/>
  <c r="N81" i="7" s="1"/>
  <c r="AK81" i="7"/>
  <c r="AH81" i="7"/>
  <c r="U80" i="7"/>
  <c r="T79" i="7"/>
  <c r="U77" i="7"/>
  <c r="AG77" i="7"/>
  <c r="AH76" i="7"/>
  <c r="AK76" i="7"/>
  <c r="AI75" i="7"/>
  <c r="AL75" i="7"/>
  <c r="AM74" i="7"/>
  <c r="AJ73" i="7"/>
  <c r="AM73" i="7"/>
  <c r="Y74" i="6"/>
  <c r="U72" i="7" s="1"/>
  <c r="AL72" i="7"/>
  <c r="Y73" i="6"/>
  <c r="J71" i="7" s="1"/>
  <c r="AK71" i="7"/>
  <c r="AF69" i="7"/>
  <c r="AD67" i="7"/>
  <c r="R66" i="7"/>
  <c r="AD66" i="7"/>
  <c r="Q65" i="7"/>
  <c r="AC65" i="7"/>
  <c r="O62" i="7"/>
  <c r="AA62" i="7"/>
  <c r="Q60" i="7"/>
  <c r="AD59" i="7"/>
  <c r="R59" i="7"/>
  <c r="AE58" i="7"/>
  <c r="S58" i="7"/>
  <c r="AE57" i="7"/>
  <c r="R56" i="7"/>
  <c r="AD56" i="7"/>
  <c r="AC55" i="7"/>
  <c r="Q55" i="7"/>
  <c r="AB54" i="7"/>
  <c r="P54" i="7"/>
  <c r="O53" i="7"/>
  <c r="N52" i="7"/>
  <c r="Y51" i="7"/>
  <c r="M50" i="7"/>
  <c r="L49" i="7"/>
  <c r="X49" i="7"/>
  <c r="K48" i="7"/>
  <c r="V47" i="7"/>
  <c r="J46" i="7"/>
  <c r="V46" i="7"/>
  <c r="V45" i="7"/>
  <c r="J45" i="7"/>
  <c r="Y42" i="6"/>
  <c r="S40" i="7" s="1"/>
  <c r="Y41" i="6"/>
  <c r="AJ39" i="7" s="1"/>
  <c r="AK39" i="7"/>
  <c r="AF37" i="7"/>
  <c r="S36" i="7"/>
  <c r="R35" i="7"/>
  <c r="AD34" i="7"/>
  <c r="R34" i="7"/>
  <c r="W94" i="7"/>
  <c r="O82" i="7"/>
  <c r="AJ74" i="7"/>
  <c r="AE67" i="7"/>
  <c r="M46" i="7"/>
  <c r="Z47" i="7"/>
  <c r="M44" i="7"/>
  <c r="L41" i="7"/>
  <c r="N88" i="7"/>
  <c r="V75" i="7"/>
  <c r="J75" i="7"/>
  <c r="V91" i="7"/>
  <c r="O61" i="7"/>
  <c r="P55" i="7"/>
  <c r="AB55" i="7"/>
  <c r="AA54" i="7"/>
  <c r="Z53" i="7"/>
  <c r="N53" i="7"/>
  <c r="L51" i="7"/>
  <c r="L50" i="7"/>
  <c r="X50" i="7"/>
  <c r="W49" i="7"/>
  <c r="K49" i="7"/>
  <c r="AM44" i="7"/>
  <c r="AJ43" i="7"/>
  <c r="AM42" i="7"/>
  <c r="Z42" i="6"/>
  <c r="AG40" i="7" s="1"/>
  <c r="AH40" i="7"/>
  <c r="AK40" i="7"/>
  <c r="AG39" i="7"/>
  <c r="U39" i="7"/>
  <c r="T38" i="7"/>
  <c r="AF38" i="7"/>
  <c r="AE37" i="7"/>
  <c r="Q34" i="7"/>
  <c r="AL69" i="7"/>
  <c r="AC67" i="7"/>
  <c r="AL59" i="7"/>
  <c r="AB51" i="7"/>
  <c r="AH48" i="7"/>
  <c r="Q35" i="7"/>
  <c r="J88" i="7"/>
  <c r="AJ86" i="7"/>
  <c r="AI85" i="7"/>
  <c r="Y86" i="6"/>
  <c r="M84" i="7" s="1"/>
  <c r="U83" i="7"/>
  <c r="U82" i="7"/>
  <c r="AG81" i="7"/>
  <c r="T80" i="7"/>
  <c r="S79" i="7"/>
  <c r="AE78" i="7"/>
  <c r="T77" i="7"/>
  <c r="AF77" i="7"/>
  <c r="U76" i="7"/>
  <c r="AH75" i="7"/>
  <c r="AK75" i="7"/>
  <c r="AL73" i="7"/>
  <c r="Z74" i="6"/>
  <c r="AC72" i="7" s="1"/>
  <c r="AK72" i="7"/>
  <c r="AG71" i="7"/>
  <c r="U71" i="7"/>
  <c r="T70" i="7"/>
  <c r="AE69" i="7"/>
  <c r="S69" i="7"/>
  <c r="R68" i="7"/>
  <c r="AC66" i="7"/>
  <c r="Q66" i="7"/>
  <c r="AB65" i="7"/>
  <c r="P65" i="7"/>
  <c r="P60" i="7"/>
  <c r="Q59" i="7"/>
  <c r="AD58" i="7"/>
  <c r="R58" i="7"/>
  <c r="AD57" i="7"/>
  <c r="AC56" i="7"/>
  <c r="Q56" i="7"/>
  <c r="M52" i="7"/>
  <c r="AL96" i="7"/>
  <c r="Y97" i="6"/>
  <c r="AK95" i="7"/>
  <c r="AH95" i="7"/>
  <c r="AH94" i="7"/>
  <c r="AI93" i="7"/>
  <c r="J90" i="7"/>
  <c r="Z89" i="6"/>
  <c r="AK87" i="7" s="1"/>
  <c r="AI86" i="7"/>
  <c r="Z87" i="6"/>
  <c r="AB85" i="7" s="1"/>
  <c r="AK85" i="7"/>
  <c r="U84" i="7"/>
  <c r="AG84" i="7"/>
  <c r="T83" i="7"/>
  <c r="T82" i="7"/>
  <c r="AF81" i="7"/>
  <c r="S80" i="7"/>
  <c r="R79" i="7"/>
  <c r="S77" i="7"/>
  <c r="AE77" i="7"/>
  <c r="AF76" i="7"/>
  <c r="T76" i="7"/>
  <c r="U75" i="7"/>
  <c r="AH74" i="7"/>
  <c r="Y75" i="6"/>
  <c r="Q73" i="7" s="1"/>
  <c r="AK73" i="7"/>
  <c r="AF71" i="7"/>
  <c r="T71" i="7"/>
  <c r="AE70" i="7"/>
  <c r="S70" i="7"/>
  <c r="R69" i="7"/>
  <c r="AD69" i="7"/>
  <c r="AB67" i="7"/>
  <c r="AB66" i="7"/>
  <c r="P66" i="7"/>
  <c r="Y62" i="7"/>
  <c r="AB59" i="7"/>
  <c r="Q57" i="7"/>
  <c r="P56" i="7"/>
  <c r="M53" i="7"/>
  <c r="L52" i="7"/>
  <c r="AM47" i="7"/>
  <c r="AI43" i="7"/>
  <c r="Y43" i="6"/>
  <c r="P41" i="7" s="1"/>
  <c r="AH41" i="7"/>
  <c r="Z43" i="6"/>
  <c r="AF41" i="7" s="1"/>
  <c r="T39" i="7"/>
  <c r="AE38" i="7"/>
  <c r="S38" i="7"/>
  <c r="AD37" i="7"/>
  <c r="Q36" i="7"/>
  <c r="AC36" i="7"/>
  <c r="P35" i="7"/>
  <c r="P34" i="7"/>
  <c r="AB91" i="7"/>
  <c r="M87" i="7"/>
  <c r="AA76" i="7"/>
  <c r="U67" i="7"/>
  <c r="AA51" i="7"/>
  <c r="AM38" i="7"/>
  <c r="AA48" i="7"/>
  <c r="O48" i="7"/>
  <c r="Y42" i="7"/>
  <c r="L93" i="7"/>
  <c r="N91" i="7"/>
  <c r="AA90" i="7"/>
  <c r="O90" i="7"/>
  <c r="O89" i="7"/>
  <c r="AA89" i="7"/>
  <c r="W85" i="7"/>
  <c r="AM80" i="7"/>
  <c r="AJ80" i="7"/>
  <c r="AM77" i="7"/>
  <c r="AJ77" i="7"/>
  <c r="V72" i="7"/>
  <c r="Z96" i="6"/>
  <c r="AC94" i="7" s="1"/>
  <c r="AI94" i="7"/>
  <c r="AL94" i="7"/>
  <c r="K90" i="7"/>
  <c r="Y98" i="6"/>
  <c r="AH96" i="7" s="1"/>
  <c r="AK96" i="7"/>
  <c r="U95" i="7"/>
  <c r="U94" i="7"/>
  <c r="AG94" i="7"/>
  <c r="AH93" i="7"/>
  <c r="AM91" i="7"/>
  <c r="AJ91" i="7"/>
  <c r="Y88" i="6"/>
  <c r="T86" i="7" s="1"/>
  <c r="AH86" i="7"/>
  <c r="AE83" i="7"/>
  <c r="S83" i="7"/>
  <c r="S82" i="7"/>
  <c r="AE81" i="7"/>
  <c r="AD80" i="7"/>
  <c r="R80" i="7"/>
  <c r="Q79" i="7"/>
  <c r="AC78" i="7"/>
  <c r="R77" i="7"/>
  <c r="AD77" i="7"/>
  <c r="AE76" i="7"/>
  <c r="S76" i="7"/>
  <c r="T75" i="7"/>
  <c r="S71" i="7"/>
  <c r="AD70" i="7"/>
  <c r="R70" i="7"/>
  <c r="Q69" i="7"/>
  <c r="P68" i="7"/>
  <c r="AA67" i="7"/>
  <c r="O67" i="7"/>
  <c r="O66" i="7"/>
  <c r="AA66" i="7"/>
  <c r="N65" i="7"/>
  <c r="L63" i="7"/>
  <c r="X62" i="7"/>
  <c r="Y61" i="7"/>
  <c r="N60" i="7"/>
  <c r="AA59" i="7"/>
  <c r="P57" i="7"/>
  <c r="Z55" i="7"/>
  <c r="X53" i="7"/>
  <c r="K52" i="7"/>
  <c r="AI46" i="7"/>
  <c r="AI45" i="7"/>
  <c r="AL45" i="7"/>
  <c r="Y46" i="6"/>
  <c r="AJ44" i="7" s="1"/>
  <c r="Z46" i="6"/>
  <c r="AF44" i="7" s="1"/>
  <c r="AH43" i="7"/>
  <c r="Z45" i="6"/>
  <c r="AC43" i="7" s="1"/>
  <c r="Y44" i="6"/>
  <c r="AH42" i="7"/>
  <c r="AK42" i="7"/>
  <c r="AG41" i="7"/>
  <c r="U41" i="7"/>
  <c r="AE39" i="7"/>
  <c r="AD38" i="7"/>
  <c r="O34" i="7"/>
  <c r="J94" i="7"/>
  <c r="Y88" i="7"/>
  <c r="AM86" i="7"/>
  <c r="K82" i="7"/>
  <c r="J72" i="7"/>
  <c r="AC69" i="7"/>
  <c r="O54" i="7"/>
  <c r="X51" i="7"/>
  <c r="N67" i="7"/>
  <c r="Z67" i="7"/>
  <c r="N66" i="7"/>
  <c r="Z66" i="7"/>
  <c r="X64" i="7"/>
  <c r="L64" i="7"/>
  <c r="K63" i="7"/>
  <c r="W62" i="7"/>
  <c r="M60" i="7"/>
  <c r="N59" i="7"/>
  <c r="Z59" i="7"/>
  <c r="O58" i="7"/>
  <c r="N56" i="7"/>
  <c r="L54" i="7"/>
  <c r="X54" i="7"/>
  <c r="J52" i="7"/>
  <c r="V52" i="7"/>
  <c r="AM49" i="7"/>
  <c r="AL48" i="7"/>
  <c r="Y49" i="6"/>
  <c r="M47" i="7" s="1"/>
  <c r="Z48" i="6"/>
  <c r="AE46" i="7" s="1"/>
  <c r="AH46" i="7"/>
  <c r="U43" i="7"/>
  <c r="AG42" i="7"/>
  <c r="T41" i="7"/>
  <c r="AE40" i="7"/>
  <c r="R39" i="7"/>
  <c r="AD39" i="7"/>
  <c r="AC38" i="7"/>
  <c r="AB37" i="7"/>
  <c r="N35" i="7"/>
  <c r="N34" i="7"/>
  <c r="M85" i="7"/>
  <c r="J80" i="7"/>
  <c r="U78" i="7"/>
  <c r="W74" i="7"/>
  <c r="AE71" i="7"/>
  <c r="S64" i="7"/>
  <c r="AG59" i="7"/>
  <c r="AK38" i="7"/>
  <c r="AB56" i="7"/>
  <c r="AL46" i="7"/>
  <c r="M63" i="7"/>
  <c r="N61" i="7"/>
  <c r="Z61" i="7"/>
  <c r="AA60" i="7"/>
  <c r="P59" i="7"/>
  <c r="Q58" i="7"/>
  <c r="AC57" i="7"/>
  <c r="AA55" i="7"/>
  <c r="O55" i="7"/>
  <c r="K51" i="7"/>
  <c r="K50" i="7"/>
  <c r="J49" i="7"/>
  <c r="AJ46" i="7"/>
  <c r="AM46" i="7"/>
  <c r="J44" i="7"/>
  <c r="X42" i="7"/>
  <c r="X41" i="7"/>
  <c r="V39" i="7"/>
  <c r="J39" i="7"/>
  <c r="V38" i="7"/>
  <c r="Y37" i="6"/>
  <c r="AH35" i="7" s="1"/>
  <c r="AI35" i="7"/>
  <c r="O59" i="7"/>
  <c r="AB58" i="7"/>
  <c r="P58" i="7"/>
  <c r="AB57" i="7"/>
  <c r="O56" i="7"/>
  <c r="Y54" i="7"/>
  <c r="V51" i="7"/>
  <c r="J51" i="7"/>
  <c r="J50" i="7"/>
  <c r="AM45" i="7"/>
  <c r="AJ45" i="7"/>
  <c r="W42" i="7"/>
  <c r="K41" i="7"/>
  <c r="W41" i="7"/>
  <c r="V40" i="7"/>
  <c r="AM37" i="7"/>
  <c r="AL36" i="7"/>
  <c r="Z37" i="6"/>
  <c r="AK35" i="7" s="1"/>
  <c r="Z36" i="6"/>
  <c r="AH34" i="7"/>
  <c r="J40" i="7"/>
  <c r="AH45" i="7"/>
  <c r="AK45" i="7"/>
  <c r="AL39" i="7"/>
  <c r="AI39" i="7"/>
  <c r="AI38" i="7"/>
  <c r="Y39" i="6"/>
  <c r="AH37" i="7"/>
  <c r="U36" i="7"/>
  <c r="AG36" i="7"/>
  <c r="T35" i="7"/>
  <c r="T34" i="7"/>
  <c r="F106" i="7"/>
  <c r="G106" i="7" s="1"/>
  <c r="H107" i="7"/>
  <c r="H46" i="7"/>
  <c r="Z67" i="6"/>
  <c r="Z65" i="7" s="1"/>
  <c r="Z51" i="6"/>
  <c r="AB49" i="7" s="1"/>
  <c r="Z98" i="6"/>
  <c r="AM96" i="7" s="1"/>
  <c r="Z82" i="6"/>
  <c r="AC80" i="7" s="1"/>
  <c r="Z66" i="6"/>
  <c r="AD64" i="7" s="1"/>
  <c r="Z50" i="6"/>
  <c r="Z97" i="6"/>
  <c r="Z81" i="6"/>
  <c r="Z65" i="6"/>
  <c r="V63" i="7" s="1"/>
  <c r="Z49" i="6"/>
  <c r="W47" i="7" s="1"/>
  <c r="Z90" i="6"/>
  <c r="W88" i="7" s="1"/>
  <c r="Z88" i="6"/>
  <c r="AF86" i="7" s="1"/>
  <c r="Z72" i="6"/>
  <c r="AG70" i="7" s="1"/>
  <c r="Z56" i="6"/>
  <c r="AE54" i="7" s="1"/>
  <c r="Z71" i="6"/>
  <c r="AK69" i="7" s="1"/>
  <c r="Y87" i="6"/>
  <c r="AH85" i="7" s="1"/>
  <c r="Z55" i="6"/>
  <c r="AK53" i="7" s="1"/>
  <c r="Z39" i="6"/>
  <c r="Y37" i="7" s="1"/>
  <c r="Z86" i="6"/>
  <c r="W84" i="7" s="1"/>
  <c r="Z70" i="6"/>
  <c r="V68" i="7" s="1"/>
  <c r="Z54" i="6"/>
  <c r="Y52" i="7" s="1"/>
  <c r="Z38" i="6"/>
  <c r="AC224" i="3"/>
  <c r="AC223" i="3"/>
  <c r="K222" i="3"/>
  <c r="K223" i="3"/>
  <c r="AC222" i="3"/>
  <c r="AE222" i="3"/>
  <c r="AI122" i="1"/>
  <c r="AL120" i="1"/>
  <c r="AI119" i="1"/>
  <c r="AI121" i="1"/>
  <c r="AB68" i="11"/>
  <c r="AB66" i="11"/>
  <c r="AB61" i="11"/>
  <c r="AL121" i="1"/>
  <c r="AI120" i="1"/>
  <c r="AL119" i="1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F104" i="6" l="1"/>
  <c r="G104" i="6" s="1"/>
  <c r="H105" i="6"/>
  <c r="C104" i="6"/>
  <c r="P37" i="7"/>
  <c r="Q37" i="7"/>
  <c r="L37" i="7"/>
  <c r="K37" i="7"/>
  <c r="AI37" i="7"/>
  <c r="S37" i="7"/>
  <c r="T37" i="7"/>
  <c r="M37" i="7"/>
  <c r="AB64" i="7"/>
  <c r="V50" i="7"/>
  <c r="W50" i="7"/>
  <c r="AL50" i="7"/>
  <c r="Y50" i="7"/>
  <c r="AB50" i="7"/>
  <c r="Z50" i="7"/>
  <c r="AM50" i="7"/>
  <c r="AA50" i="7"/>
  <c r="AG50" i="7"/>
  <c r="AE50" i="7"/>
  <c r="AC50" i="7"/>
  <c r="AF50" i="7"/>
  <c r="AD50" i="7"/>
  <c r="AD89" i="7"/>
  <c r="AD79" i="7"/>
  <c r="AK79" i="7"/>
  <c r="AF79" i="7"/>
  <c r="AE79" i="7"/>
  <c r="V79" i="7"/>
  <c r="AB79" i="7"/>
  <c r="W79" i="7"/>
  <c r="AM79" i="7"/>
  <c r="AA79" i="7"/>
  <c r="AC79" i="7"/>
  <c r="Z79" i="7"/>
  <c r="Y79" i="7"/>
  <c r="X34" i="7"/>
  <c r="AC34" i="7"/>
  <c r="W34" i="7"/>
  <c r="Z34" i="7"/>
  <c r="AL34" i="7"/>
  <c r="AE34" i="7"/>
  <c r="V34" i="7"/>
  <c r="AK34" i="7"/>
  <c r="AF34" i="7"/>
  <c r="Y34" i="7"/>
  <c r="AB34" i="7"/>
  <c r="AA34" i="7"/>
  <c r="V92" i="7"/>
  <c r="AC63" i="7"/>
  <c r="AD52" i="7"/>
  <c r="W63" i="7"/>
  <c r="AJ37" i="7"/>
  <c r="AF35" i="7"/>
  <c r="AC35" i="7"/>
  <c r="AL35" i="7"/>
  <c r="Z35" i="7"/>
  <c r="AG35" i="7"/>
  <c r="W35" i="7"/>
  <c r="AE35" i="7"/>
  <c r="AM35" i="7"/>
  <c r="AA35" i="7"/>
  <c r="X35" i="7"/>
  <c r="AB35" i="7"/>
  <c r="Y35" i="7"/>
  <c r="L47" i="7"/>
  <c r="T47" i="7"/>
  <c r="AI47" i="7"/>
  <c r="P47" i="7"/>
  <c r="AJ47" i="7"/>
  <c r="Q47" i="7"/>
  <c r="R47" i="7"/>
  <c r="N47" i="7"/>
  <c r="U47" i="7"/>
  <c r="AH47" i="7"/>
  <c r="S47" i="7"/>
  <c r="K42" i="7"/>
  <c r="O42" i="7"/>
  <c r="S42" i="7"/>
  <c r="J42" i="7"/>
  <c r="T42" i="7"/>
  <c r="AJ42" i="7"/>
  <c r="U42" i="7"/>
  <c r="Q42" i="7"/>
  <c r="P42" i="7"/>
  <c r="AI42" i="7"/>
  <c r="M42" i="7"/>
  <c r="R37" i="7"/>
  <c r="AG82" i="7"/>
  <c r="AF82" i="7"/>
  <c r="AK82" i="7"/>
  <c r="AD82" i="7"/>
  <c r="Y82" i="7"/>
  <c r="AE82" i="7"/>
  <c r="V82" i="7"/>
  <c r="AL82" i="7"/>
  <c r="Z82" i="7"/>
  <c r="AB82" i="7"/>
  <c r="AC82" i="7"/>
  <c r="X82" i="7"/>
  <c r="K96" i="7"/>
  <c r="J37" i="7"/>
  <c r="AK89" i="7"/>
  <c r="P92" i="7"/>
  <c r="U92" i="7"/>
  <c r="AJ92" i="7"/>
  <c r="AI92" i="7"/>
  <c r="O92" i="7"/>
  <c r="M92" i="7"/>
  <c r="S92" i="7"/>
  <c r="T92" i="7"/>
  <c r="R92" i="7"/>
  <c r="L92" i="7"/>
  <c r="Q92" i="7"/>
  <c r="K92" i="7"/>
  <c r="Q81" i="7"/>
  <c r="AG95" i="7"/>
  <c r="AD95" i="7"/>
  <c r="AE95" i="7"/>
  <c r="W95" i="7"/>
  <c r="AL95" i="7"/>
  <c r="X95" i="7"/>
  <c r="AM95" i="7"/>
  <c r="AC95" i="7"/>
  <c r="AB95" i="7"/>
  <c r="Z95" i="7"/>
  <c r="J95" i="7"/>
  <c r="K95" i="7"/>
  <c r="N95" i="7"/>
  <c r="T95" i="7"/>
  <c r="L95" i="7"/>
  <c r="Q95" i="7"/>
  <c r="P95" i="7"/>
  <c r="AI95" i="7"/>
  <c r="M95" i="7"/>
  <c r="R95" i="7"/>
  <c r="S95" i="7"/>
  <c r="AJ72" i="7"/>
  <c r="AI72" i="7"/>
  <c r="R72" i="7"/>
  <c r="L72" i="7"/>
  <c r="AH72" i="7"/>
  <c r="S72" i="7"/>
  <c r="K72" i="7"/>
  <c r="O72" i="7"/>
  <c r="Q72" i="7"/>
  <c r="T72" i="7"/>
  <c r="M72" i="7"/>
  <c r="AG34" i="7"/>
  <c r="N89" i="7"/>
  <c r="R89" i="7"/>
  <c r="T89" i="7"/>
  <c r="S89" i="7"/>
  <c r="J89" i="7"/>
  <c r="Q89" i="7"/>
  <c r="U89" i="7"/>
  <c r="L89" i="7"/>
  <c r="P89" i="7"/>
  <c r="AJ89" i="7"/>
  <c r="K89" i="7"/>
  <c r="AH92" i="7"/>
  <c r="AD60" i="7"/>
  <c r="AG60" i="7"/>
  <c r="AE60" i="7"/>
  <c r="W60" i="7"/>
  <c r="AK60" i="7"/>
  <c r="X60" i="7"/>
  <c r="AF60" i="7"/>
  <c r="Z60" i="7"/>
  <c r="AM60" i="7"/>
  <c r="AC60" i="7"/>
  <c r="AB60" i="7"/>
  <c r="Y60" i="7"/>
  <c r="AM36" i="7"/>
  <c r="AK36" i="7"/>
  <c r="AE36" i="7"/>
  <c r="V36" i="7"/>
  <c r="X36" i="7"/>
  <c r="AB36" i="7"/>
  <c r="AD36" i="7"/>
  <c r="AA36" i="7"/>
  <c r="AC48" i="7"/>
  <c r="Y48" i="7"/>
  <c r="AK48" i="7"/>
  <c r="AD48" i="7"/>
  <c r="AG48" i="7"/>
  <c r="W48" i="7"/>
  <c r="AM48" i="7"/>
  <c r="V48" i="7"/>
  <c r="U37" i="7"/>
  <c r="AF63" i="7"/>
  <c r="V60" i="7"/>
  <c r="AG52" i="7"/>
  <c r="X79" i="7"/>
  <c r="AB92" i="7"/>
  <c r="AL60" i="7"/>
  <c r="O47" i="7"/>
  <c r="AD63" i="7"/>
  <c r="AB63" i="7"/>
  <c r="AL63" i="7"/>
  <c r="AG63" i="7"/>
  <c r="AM63" i="7"/>
  <c r="Y63" i="7"/>
  <c r="X63" i="7"/>
  <c r="AE63" i="7"/>
  <c r="Z63" i="7"/>
  <c r="AK63" i="7"/>
  <c r="J47" i="7"/>
  <c r="AE89" i="7"/>
  <c r="Z89" i="7"/>
  <c r="AG89" i="7"/>
  <c r="AC89" i="7"/>
  <c r="Y89" i="7"/>
  <c r="V89" i="7"/>
  <c r="AB89" i="7"/>
  <c r="W89" i="7"/>
  <c r="X89" i="7"/>
  <c r="AG79" i="7"/>
  <c r="AM64" i="7"/>
  <c r="AA64" i="7"/>
  <c r="AL64" i="7"/>
  <c r="AK64" i="7"/>
  <c r="Y64" i="7"/>
  <c r="AE64" i="7"/>
  <c r="AG64" i="7"/>
  <c r="W64" i="7"/>
  <c r="V64" i="7"/>
  <c r="AC64" i="7"/>
  <c r="V43" i="7"/>
  <c r="AF43" i="7"/>
  <c r="X43" i="7"/>
  <c r="AA43" i="7"/>
  <c r="AM43" i="7"/>
  <c r="AD43" i="7"/>
  <c r="Y43" i="7"/>
  <c r="AG43" i="7"/>
  <c r="AK43" i="7"/>
  <c r="AE43" i="7"/>
  <c r="AL43" i="7"/>
  <c r="AB43" i="7"/>
  <c r="L42" i="7"/>
  <c r="O81" i="7"/>
  <c r="W43" i="7"/>
  <c r="Z64" i="7"/>
  <c r="AD74" i="7"/>
  <c r="AE74" i="7"/>
  <c r="AB74" i="7"/>
  <c r="AG74" i="7"/>
  <c r="Y74" i="7"/>
  <c r="Z74" i="7"/>
  <c r="AK74" i="7"/>
  <c r="AL74" i="7"/>
  <c r="AC74" i="7"/>
  <c r="AF74" i="7"/>
  <c r="N42" i="7"/>
  <c r="K81" i="7"/>
  <c r="AA82" i="7"/>
  <c r="N72" i="7"/>
  <c r="AI89" i="7"/>
  <c r="AB48" i="7"/>
  <c r="L81" i="7"/>
  <c r="O95" i="7"/>
  <c r="AF48" i="7"/>
  <c r="AD35" i="7"/>
  <c r="J96" i="7"/>
  <c r="J57" i="7"/>
  <c r="AJ57" i="7"/>
  <c r="O57" i="7"/>
  <c r="R57" i="7"/>
  <c r="U57" i="7"/>
  <c r="N57" i="7"/>
  <c r="AI57" i="7"/>
  <c r="L57" i="7"/>
  <c r="T57" i="7"/>
  <c r="S57" i="7"/>
  <c r="W82" i="7"/>
  <c r="AK50" i="7"/>
  <c r="M57" i="7"/>
  <c r="Z36" i="7"/>
  <c r="X74" i="7"/>
  <c r="AL89" i="7"/>
  <c r="V35" i="7"/>
  <c r="AA92" i="7"/>
  <c r="W92" i="7"/>
  <c r="AM92" i="7"/>
  <c r="AE92" i="7"/>
  <c r="Y92" i="7"/>
  <c r="AG92" i="7"/>
  <c r="AF92" i="7"/>
  <c r="AL92" i="7"/>
  <c r="AD92" i="7"/>
  <c r="X92" i="7"/>
  <c r="AC92" i="7"/>
  <c r="S81" i="7"/>
  <c r="T81" i="7"/>
  <c r="AJ81" i="7"/>
  <c r="M81" i="7"/>
  <c r="P81" i="7"/>
  <c r="AI81" i="7"/>
  <c r="J81" i="7"/>
  <c r="U81" i="7"/>
  <c r="N96" i="7"/>
  <c r="P96" i="7"/>
  <c r="S96" i="7"/>
  <c r="AJ96" i="7"/>
  <c r="O96" i="7"/>
  <c r="R96" i="7"/>
  <c r="Q96" i="7"/>
  <c r="L96" i="7"/>
  <c r="U96" i="7"/>
  <c r="T96" i="7"/>
  <c r="M96" i="7"/>
  <c r="AI96" i="7"/>
  <c r="W52" i="7"/>
  <c r="AL52" i="7"/>
  <c r="X52" i="7"/>
  <c r="AK52" i="7"/>
  <c r="AB52" i="7"/>
  <c r="AF52" i="7"/>
  <c r="AA52" i="7"/>
  <c r="AM52" i="7"/>
  <c r="AC52" i="7"/>
  <c r="Z52" i="7"/>
  <c r="AA63" i="7"/>
  <c r="AM82" i="7"/>
  <c r="Z43" i="7"/>
  <c r="O37" i="7"/>
  <c r="R81" i="7"/>
  <c r="AE53" i="7"/>
  <c r="AK84" i="7"/>
  <c r="W65" i="7"/>
  <c r="P53" i="7"/>
  <c r="K39" i="7"/>
  <c r="AI67" i="7"/>
  <c r="Z93" i="7"/>
  <c r="L68" i="7"/>
  <c r="J64" i="7"/>
  <c r="J53" i="7"/>
  <c r="Z68" i="7"/>
  <c r="AA86" i="7"/>
  <c r="P44" i="7"/>
  <c r="M65" i="7"/>
  <c r="O65" i="7"/>
  <c r="Z40" i="7"/>
  <c r="AF93" i="7"/>
  <c r="P67" i="7"/>
  <c r="AB41" i="7"/>
  <c r="AM78" i="7"/>
  <c r="Q80" i="7"/>
  <c r="O63" i="7"/>
  <c r="U62" i="7"/>
  <c r="W78" i="7"/>
  <c r="AC86" i="7"/>
  <c r="N78" i="7"/>
  <c r="AG87" i="7"/>
  <c r="V69" i="7"/>
  <c r="P49" i="7"/>
  <c r="R78" i="7"/>
  <c r="AE96" i="7"/>
  <c r="R49" i="7"/>
  <c r="AK47" i="7"/>
  <c r="L62" i="7"/>
  <c r="AF40" i="7"/>
  <c r="AI73" i="7"/>
  <c r="R36" i="7"/>
  <c r="AL40" i="7"/>
  <c r="AB61" i="7"/>
  <c r="AH71" i="7"/>
  <c r="AG80" i="7"/>
  <c r="AF65" i="7"/>
  <c r="AC54" i="7"/>
  <c r="AD65" i="7"/>
  <c r="AJ84" i="7"/>
  <c r="Q53" i="7"/>
  <c r="J73" i="7"/>
  <c r="Y65" i="7"/>
  <c r="Y46" i="7"/>
  <c r="L40" i="7"/>
  <c r="N38" i="7"/>
  <c r="AE47" i="7"/>
  <c r="Y69" i="7"/>
  <c r="L35" i="7"/>
  <c r="T44" i="7"/>
  <c r="W54" i="7"/>
  <c r="O69" i="7"/>
  <c r="O86" i="7"/>
  <c r="AL53" i="7"/>
  <c r="AA68" i="7"/>
  <c r="K84" i="7"/>
  <c r="AD85" i="7"/>
  <c r="AJ65" i="7"/>
  <c r="AJ78" i="7"/>
  <c r="AG86" i="7"/>
  <c r="M83" i="7"/>
  <c r="AG91" i="7"/>
  <c r="AL91" i="7"/>
  <c r="J68" i="7"/>
  <c r="K78" i="7"/>
  <c r="Q86" i="7"/>
  <c r="O79" i="7"/>
  <c r="U87" i="7"/>
  <c r="J69" i="7"/>
  <c r="J67" i="7"/>
  <c r="AF80" i="7"/>
  <c r="AD49" i="7"/>
  <c r="AM59" i="7"/>
  <c r="T74" i="7"/>
  <c r="Y72" i="7"/>
  <c r="K62" i="7"/>
  <c r="Q38" i="7"/>
  <c r="X61" i="7"/>
  <c r="Z46" i="7"/>
  <c r="AK94" i="7"/>
  <c r="AL85" i="7"/>
  <c r="AB88" i="7"/>
  <c r="T40" i="7"/>
  <c r="AI40" i="7"/>
  <c r="AA53" i="7"/>
  <c r="W93" i="7"/>
  <c r="X93" i="7"/>
  <c r="W46" i="7"/>
  <c r="AC53" i="7"/>
  <c r="Q62" i="7"/>
  <c r="J74" i="7"/>
  <c r="Y68" i="7"/>
  <c r="Y47" i="7"/>
  <c r="K73" i="7"/>
  <c r="X40" i="7"/>
  <c r="AJ68" i="7"/>
  <c r="V80" i="7"/>
  <c r="O39" i="7"/>
  <c r="M69" i="7"/>
  <c r="Z80" i="7"/>
  <c r="V54" i="7"/>
  <c r="N36" i="7"/>
  <c r="T51" i="7"/>
  <c r="AA69" i="7"/>
  <c r="AI53" i="7"/>
  <c r="AB69" i="7"/>
  <c r="Q44" i="7"/>
  <c r="AE93" i="7"/>
  <c r="L85" i="7"/>
  <c r="X83" i="7"/>
  <c r="R85" i="7"/>
  <c r="AM65" i="7"/>
  <c r="Y83" i="7"/>
  <c r="O35" i="7"/>
  <c r="Y96" i="7"/>
  <c r="L79" i="7"/>
  <c r="AM69" i="7"/>
  <c r="Q63" i="7"/>
  <c r="T63" i="7"/>
  <c r="AH88" i="7"/>
  <c r="AI87" i="7"/>
  <c r="AJ87" i="7"/>
  <c r="V88" i="7"/>
  <c r="AJ60" i="7"/>
  <c r="AC68" i="7"/>
  <c r="AD68" i="7"/>
  <c r="AE68" i="7"/>
  <c r="V84" i="7"/>
  <c r="X84" i="7"/>
  <c r="AL84" i="7"/>
  <c r="AM84" i="7"/>
  <c r="AL86" i="7"/>
  <c r="U73" i="7"/>
  <c r="M38" i="7"/>
  <c r="AB96" i="7"/>
  <c r="AD83" i="7"/>
  <c r="S62" i="7"/>
  <c r="AG53" i="7"/>
  <c r="V85" i="7"/>
  <c r="AG68" i="7"/>
  <c r="U53" i="7"/>
  <c r="AF84" i="7"/>
  <c r="AM40" i="7"/>
  <c r="X88" i="7"/>
  <c r="W44" i="7"/>
  <c r="X44" i="7"/>
  <c r="Y44" i="7"/>
  <c r="U74" i="7"/>
  <c r="U85" i="7"/>
  <c r="Z91" i="7"/>
  <c r="AF39" i="7"/>
  <c r="AM87" i="7"/>
  <c r="R67" i="7"/>
  <c r="AI84" i="7"/>
  <c r="W86" i="7"/>
  <c r="L44" i="7"/>
  <c r="X86" i="7"/>
  <c r="AH38" i="7"/>
  <c r="AH70" i="7"/>
  <c r="AI70" i="7"/>
  <c r="X68" i="7"/>
  <c r="AH69" i="7"/>
  <c r="AH78" i="7"/>
  <c r="AL37" i="7"/>
  <c r="P51" i="7"/>
  <c r="R86" i="7"/>
  <c r="M73" i="7"/>
  <c r="AA87" i="7"/>
  <c r="R44" i="7"/>
  <c r="Q85" i="7"/>
  <c r="AB39" i="7"/>
  <c r="P71" i="7"/>
  <c r="AD40" i="7"/>
  <c r="AC47" i="7"/>
  <c r="AJ55" i="7"/>
  <c r="L65" i="7"/>
  <c r="U86" i="7"/>
  <c r="Y40" i="7"/>
  <c r="W37" i="7"/>
  <c r="W70" i="7"/>
  <c r="Y38" i="7"/>
  <c r="L60" i="7"/>
  <c r="AF87" i="7"/>
  <c r="Z38" i="7"/>
  <c r="AC87" i="7"/>
  <c r="T88" i="7"/>
  <c r="R83" i="7"/>
  <c r="T84" i="7"/>
  <c r="Z83" i="7"/>
  <c r="U88" i="7"/>
  <c r="AE62" i="7"/>
  <c r="Q83" i="7"/>
  <c r="AI88" i="7"/>
  <c r="AH62" i="7"/>
  <c r="Z71" i="7"/>
  <c r="M61" i="7"/>
  <c r="P61" i="7"/>
  <c r="AK54" i="7"/>
  <c r="S78" i="7"/>
  <c r="AF96" i="7"/>
  <c r="AK86" i="7"/>
  <c r="X87" i="7"/>
  <c r="AK65" i="7"/>
  <c r="AD86" i="7"/>
  <c r="Q40" i="7"/>
  <c r="T73" i="7"/>
  <c r="M40" i="7"/>
  <c r="AB78" i="7"/>
  <c r="N39" i="7"/>
  <c r="V93" i="7"/>
  <c r="P40" i="7"/>
  <c r="X80" i="7"/>
  <c r="AD88" i="7"/>
  <c r="AF88" i="7"/>
  <c r="P83" i="7"/>
  <c r="AF85" i="7"/>
  <c r="N83" i="7"/>
  <c r="X78" i="7"/>
  <c r="AG88" i="7"/>
  <c r="R84" i="7"/>
  <c r="Z44" i="7"/>
  <c r="W40" i="7"/>
  <c r="AB40" i="7"/>
  <c r="Y87" i="7"/>
  <c r="AI44" i="7"/>
  <c r="Y53" i="7"/>
  <c r="AG44" i="7"/>
  <c r="O68" i="7"/>
  <c r="P36" i="7"/>
  <c r="AH44" i="7"/>
  <c r="U40" i="7"/>
  <c r="AC85" i="7"/>
  <c r="AA61" i="7"/>
  <c r="AG38" i="7"/>
  <c r="S68" i="7"/>
  <c r="AM85" i="7"/>
  <c r="AE61" i="7"/>
  <c r="AJ40" i="7"/>
  <c r="AB62" i="7"/>
  <c r="Y94" i="7"/>
  <c r="AL70" i="7"/>
  <c r="AJ38" i="7"/>
  <c r="AH68" i="7"/>
  <c r="AA46" i="7"/>
  <c r="AM53" i="7"/>
  <c r="AJ41" i="7"/>
  <c r="AC40" i="7"/>
  <c r="AE41" i="7"/>
  <c r="W80" i="7"/>
  <c r="AG51" i="7"/>
  <c r="AA41" i="7"/>
  <c r="N41" i="7"/>
  <c r="K85" i="7"/>
  <c r="X38" i="7"/>
  <c r="AD91" i="7"/>
  <c r="P78" i="7"/>
  <c r="Z39" i="7"/>
  <c r="AI48" i="7"/>
  <c r="L80" i="7"/>
  <c r="R88" i="7"/>
  <c r="Z90" i="7"/>
  <c r="Y90" i="7"/>
  <c r="AB83" i="7"/>
  <c r="T85" i="7"/>
  <c r="AA84" i="7"/>
  <c r="J91" i="7"/>
  <c r="K91" i="7"/>
  <c r="L78" i="7"/>
  <c r="AM66" i="7"/>
  <c r="N74" i="7"/>
  <c r="AD84" i="7"/>
  <c r="U63" i="7"/>
  <c r="AG55" i="7"/>
  <c r="AI63" i="7"/>
  <c r="AL62" i="7"/>
  <c r="N54" i="7"/>
  <c r="M54" i="7"/>
  <c r="AB93" i="7"/>
  <c r="Q88" i="7"/>
  <c r="K53" i="7"/>
  <c r="AJ53" i="7"/>
  <c r="W53" i="7"/>
  <c r="AK80" i="7"/>
  <c r="AJ62" i="7"/>
  <c r="S73" i="7"/>
  <c r="AC84" i="7"/>
  <c r="AC83" i="7"/>
  <c r="AA65" i="7"/>
  <c r="AC61" i="7"/>
  <c r="L38" i="7"/>
  <c r="AL44" i="7"/>
  <c r="AJ36" i="7"/>
  <c r="Z54" i="7"/>
  <c r="K35" i="7"/>
  <c r="U44" i="7"/>
  <c r="M35" i="7"/>
  <c r="AC37" i="7"/>
  <c r="AK44" i="7"/>
  <c r="Z88" i="7"/>
  <c r="AG83" i="7"/>
  <c r="Z62" i="7"/>
  <c r="V65" i="7"/>
  <c r="U38" i="7"/>
  <c r="T69" i="7"/>
  <c r="V87" i="7"/>
  <c r="M88" i="7"/>
  <c r="AD62" i="7"/>
  <c r="P62" i="7"/>
  <c r="AK37" i="7"/>
  <c r="AL80" i="7"/>
  <c r="AD53" i="7"/>
  <c r="AK68" i="7"/>
  <c r="AA47" i="7"/>
  <c r="M74" i="7"/>
  <c r="J55" i="7"/>
  <c r="R41" i="7"/>
  <c r="R73" i="7"/>
  <c r="AJ51" i="7"/>
  <c r="R48" i="7"/>
  <c r="M67" i="7"/>
  <c r="U51" i="7"/>
  <c r="AH79" i="7"/>
  <c r="O41" i="7"/>
  <c r="Z41" i="7"/>
  <c r="M39" i="7"/>
  <c r="AG93" i="7"/>
  <c r="L73" i="7"/>
  <c r="AE84" i="7"/>
  <c r="O40" i="7"/>
  <c r="N63" i="7"/>
  <c r="AH64" i="7"/>
  <c r="M55" i="7"/>
  <c r="S86" i="7"/>
  <c r="AA96" i="7"/>
  <c r="O84" i="7"/>
  <c r="AK91" i="7"/>
  <c r="S87" i="7"/>
  <c r="AE85" i="7"/>
  <c r="AI62" i="7"/>
  <c r="AB47" i="7"/>
  <c r="AI55" i="7"/>
  <c r="AC88" i="7"/>
  <c r="AK46" i="7"/>
  <c r="AM88" i="7"/>
  <c r="AF78" i="7"/>
  <c r="R62" i="7"/>
  <c r="R53" i="7"/>
  <c r="AH73" i="7"/>
  <c r="Y84" i="7"/>
  <c r="J62" i="7"/>
  <c r="W61" i="7"/>
  <c r="V83" i="7"/>
  <c r="S84" i="7"/>
  <c r="AA40" i="7"/>
  <c r="Q67" i="7"/>
  <c r="M64" i="7"/>
  <c r="P64" i="7"/>
  <c r="R64" i="7"/>
  <c r="N64" i="7"/>
  <c r="O64" i="7"/>
  <c r="AE86" i="7"/>
  <c r="AM41" i="7"/>
  <c r="S85" i="7"/>
  <c r="AJ64" i="7"/>
  <c r="P73" i="7"/>
  <c r="AC96" i="7"/>
  <c r="AD96" i="7"/>
  <c r="O78" i="7"/>
  <c r="S53" i="7"/>
  <c r="AB68" i="7"/>
  <c r="J78" i="7"/>
  <c r="X96" i="7"/>
  <c r="N62" i="7"/>
  <c r="L36" i="7"/>
  <c r="Y78" i="7"/>
  <c r="V61" i="7"/>
  <c r="J85" i="7"/>
  <c r="V49" i="7"/>
  <c r="AL47" i="7"/>
  <c r="AE44" i="7"/>
  <c r="O36" i="7"/>
  <c r="S39" i="7"/>
  <c r="AJ88" i="7"/>
  <c r="K40" i="7"/>
  <c r="Q68" i="7"/>
  <c r="AD78" i="7"/>
  <c r="AH84" i="7"/>
  <c r="J48" i="7"/>
  <c r="AA70" i="7"/>
  <c r="AH39" i="7"/>
  <c r="U70" i="7"/>
  <c r="T78" i="7"/>
  <c r="V44" i="7"/>
  <c r="AB53" i="7"/>
  <c r="P63" i="7"/>
  <c r="AC49" i="7"/>
  <c r="S56" i="7"/>
  <c r="T56" i="7"/>
  <c r="AL67" i="7"/>
  <c r="K56" i="7"/>
  <c r="AL51" i="7"/>
  <c r="J61" i="7"/>
  <c r="V53" i="7"/>
  <c r="AE49" i="7"/>
  <c r="AB44" i="7"/>
  <c r="V62" i="7"/>
  <c r="K61" i="7"/>
  <c r="N40" i="7"/>
  <c r="AF70" i="7"/>
  <c r="T90" i="7"/>
  <c r="AL90" i="7"/>
  <c r="P85" i="7"/>
  <c r="AM93" i="7"/>
  <c r="AK66" i="7"/>
  <c r="AA56" i="7"/>
  <c r="V56" i="7"/>
  <c r="W56" i="7"/>
  <c r="AM56" i="7"/>
  <c r="C107" i="7"/>
  <c r="A107" i="7"/>
  <c r="F107" i="7"/>
  <c r="G107" i="7" s="1"/>
  <c r="H108" i="7"/>
  <c r="A46" i="7"/>
  <c r="H47" i="7"/>
  <c r="F46" i="7"/>
  <c r="G46" i="7" s="1"/>
  <c r="C46" i="7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F105" i="6" l="1"/>
  <c r="G105" i="6" s="1"/>
  <c r="C105" i="6"/>
  <c r="H106" i="6"/>
  <c r="F108" i="7"/>
  <c r="G108" i="7" s="1"/>
  <c r="H109" i="7"/>
  <c r="C108" i="7"/>
  <c r="A108" i="7"/>
  <c r="A47" i="7"/>
  <c r="C47" i="7"/>
  <c r="H48" i="7"/>
  <c r="F47" i="7"/>
  <c r="G47" i="7" s="1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F106" i="6" l="1"/>
  <c r="G106" i="6" s="1"/>
  <c r="C106" i="6"/>
  <c r="H107" i="6"/>
  <c r="H110" i="7"/>
  <c r="A109" i="7"/>
  <c r="F109" i="7"/>
  <c r="G109" i="7" s="1"/>
  <c r="C109" i="7"/>
  <c r="C48" i="7"/>
  <c r="A48" i="7"/>
  <c r="H49" i="7"/>
  <c r="F48" i="7"/>
  <c r="G48" i="7" s="1"/>
  <c r="AB56" i="11"/>
  <c r="AL100" i="1"/>
  <c r="AI100" i="1"/>
  <c r="AL98" i="1"/>
  <c r="AI99" i="1"/>
  <c r="AL97" i="1"/>
  <c r="AI98" i="1"/>
  <c r="AI97" i="1"/>
  <c r="AL96" i="1"/>
  <c r="AI96" i="1"/>
  <c r="H108" i="6" l="1"/>
  <c r="F107" i="6"/>
  <c r="G107" i="6" s="1"/>
  <c r="C107" i="6"/>
  <c r="C110" i="7"/>
  <c r="H111" i="7"/>
  <c r="F110" i="7"/>
  <c r="G110" i="7" s="1"/>
  <c r="A110" i="7"/>
  <c r="C49" i="7"/>
  <c r="A49" i="7"/>
  <c r="H50" i="7"/>
  <c r="F49" i="7"/>
  <c r="G49" i="7" s="1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H109" i="6" l="1"/>
  <c r="F108" i="6"/>
  <c r="G108" i="6" s="1"/>
  <c r="C108" i="6"/>
  <c r="F111" i="7"/>
  <c r="G111" i="7" s="1"/>
  <c r="H112" i="7"/>
  <c r="C111" i="7"/>
  <c r="A111" i="7"/>
  <c r="C50" i="7"/>
  <c r="F50" i="7"/>
  <c r="G50" i="7" s="1"/>
  <c r="A50" i="7"/>
  <c r="H51" i="7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H110" i="6" l="1"/>
  <c r="F109" i="6"/>
  <c r="G109" i="6" s="1"/>
  <c r="C109" i="6"/>
  <c r="H113" i="7"/>
  <c r="F112" i="7"/>
  <c r="G112" i="7" s="1"/>
  <c r="C112" i="7"/>
  <c r="A112" i="7"/>
  <c r="F51" i="7"/>
  <c r="G51" i="7" s="1"/>
  <c r="C51" i="7"/>
  <c r="A51" i="7"/>
  <c r="H52" i="7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H111" i="6" l="1"/>
  <c r="C110" i="6"/>
  <c r="F110" i="6"/>
  <c r="G110" i="6" s="1"/>
  <c r="H114" i="7"/>
  <c r="F113" i="7"/>
  <c r="G113" i="7" s="1"/>
  <c r="C113" i="7"/>
  <c r="A113" i="7"/>
  <c r="F52" i="7"/>
  <c r="G52" i="7" s="1"/>
  <c r="C52" i="7"/>
  <c r="A52" i="7"/>
  <c r="H53" i="7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H112" i="6" l="1"/>
  <c r="C111" i="6"/>
  <c r="F111" i="6"/>
  <c r="G111" i="6" s="1"/>
  <c r="C114" i="7"/>
  <c r="A114" i="7"/>
  <c r="H115" i="7"/>
  <c r="F114" i="7"/>
  <c r="G114" i="7" s="1"/>
  <c r="F53" i="7"/>
  <c r="G53" i="7" s="1"/>
  <c r="A53" i="7"/>
  <c r="C53" i="7"/>
  <c r="H54" i="7"/>
  <c r="AL68" i="1"/>
  <c r="AB39" i="11"/>
  <c r="AL67" i="1"/>
  <c r="AI68" i="1"/>
  <c r="AL66" i="1"/>
  <c r="AI67" i="1"/>
  <c r="AI66" i="1"/>
  <c r="AI65" i="1"/>
  <c r="AL65" i="1"/>
  <c r="AB38" i="11"/>
  <c r="H113" i="6" l="1"/>
  <c r="C112" i="6"/>
  <c r="F112" i="6"/>
  <c r="G112" i="6" s="1"/>
  <c r="A115" i="7"/>
  <c r="C115" i="7"/>
  <c r="H116" i="7"/>
  <c r="F115" i="7"/>
  <c r="G115" i="7" s="1"/>
  <c r="F54" i="7"/>
  <c r="G54" i="7" s="1"/>
  <c r="H55" i="7"/>
  <c r="A54" i="7"/>
  <c r="C54" i="7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H114" i="6" l="1"/>
  <c r="C113" i="6"/>
  <c r="F113" i="6"/>
  <c r="G113" i="6" s="1"/>
  <c r="F116" i="7"/>
  <c r="G116" i="7" s="1"/>
  <c r="C116" i="7"/>
  <c r="H117" i="7"/>
  <c r="A116" i="7"/>
  <c r="H56" i="7"/>
  <c r="F55" i="7"/>
  <c r="G55" i="7" s="1"/>
  <c r="C55" i="7"/>
  <c r="A55" i="7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H115" i="6" l="1"/>
  <c r="C114" i="6"/>
  <c r="F114" i="6"/>
  <c r="G114" i="6" s="1"/>
  <c r="H118" i="7"/>
  <c r="F117" i="7"/>
  <c r="G117" i="7" s="1"/>
  <c r="C117" i="7"/>
  <c r="A117" i="7"/>
  <c r="H57" i="7"/>
  <c r="C56" i="7"/>
  <c r="F56" i="7"/>
  <c r="G56" i="7" s="1"/>
  <c r="A56" i="7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C115" i="6" l="1"/>
  <c r="F115" i="6"/>
  <c r="G115" i="6" s="1"/>
  <c r="H116" i="6"/>
  <c r="H119" i="7"/>
  <c r="F118" i="7"/>
  <c r="G118" i="7" s="1"/>
  <c r="C118" i="7"/>
  <c r="A118" i="7"/>
  <c r="H58" i="7"/>
  <c r="C57" i="7"/>
  <c r="F57" i="7"/>
  <c r="G57" i="7" s="1"/>
  <c r="A57" i="7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C116" i="6" l="1"/>
  <c r="F116" i="6"/>
  <c r="G116" i="6" s="1"/>
  <c r="H117" i="6"/>
  <c r="H120" i="7"/>
  <c r="F119" i="7"/>
  <c r="G119" i="7" s="1"/>
  <c r="C119" i="7"/>
  <c r="A119" i="7"/>
  <c r="H59" i="7"/>
  <c r="F58" i="7"/>
  <c r="G58" i="7" s="1"/>
  <c r="C58" i="7"/>
  <c r="A58" i="7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C117" i="6" l="1"/>
  <c r="F117" i="6"/>
  <c r="G117" i="6" s="1"/>
  <c r="H118" i="6"/>
  <c r="H121" i="7"/>
  <c r="F120" i="7"/>
  <c r="G120" i="7" s="1"/>
  <c r="C120" i="7"/>
  <c r="A120" i="7"/>
  <c r="H60" i="7"/>
  <c r="F59" i="7"/>
  <c r="G59" i="7" s="1"/>
  <c r="A59" i="7"/>
  <c r="C59" i="7"/>
  <c r="AB24" i="1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F118" i="6" l="1"/>
  <c r="G118" i="6" s="1"/>
  <c r="C118" i="6"/>
  <c r="H119" i="6"/>
  <c r="H122" i="7"/>
  <c r="F121" i="7"/>
  <c r="G121" i="7" s="1"/>
  <c r="C121" i="7"/>
  <c r="A121" i="7"/>
  <c r="H61" i="7"/>
  <c r="F60" i="7"/>
  <c r="G60" i="7" s="1"/>
  <c r="C60" i="7"/>
  <c r="A60" i="7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F119" i="6" l="1"/>
  <c r="G119" i="6" s="1"/>
  <c r="C119" i="6"/>
  <c r="H120" i="6"/>
  <c r="A122" i="7"/>
  <c r="C122" i="7"/>
  <c r="H123" i="7"/>
  <c r="F122" i="7"/>
  <c r="G122" i="7" s="1"/>
  <c r="A61" i="7"/>
  <c r="H62" i="7"/>
  <c r="F61" i="7"/>
  <c r="G61" i="7" s="1"/>
  <c r="C61" i="7"/>
  <c r="A5" i="1"/>
  <c r="G6" i="1"/>
  <c r="AB19" i="11"/>
  <c r="H16" i="15"/>
  <c r="H8" i="19"/>
  <c r="B7" i="19"/>
  <c r="C7" i="19"/>
  <c r="C6" i="19"/>
  <c r="AB18" i="11"/>
  <c r="F120" i="6" l="1"/>
  <c r="G120" i="6" s="1"/>
  <c r="C120" i="6"/>
  <c r="H121" i="6"/>
  <c r="C123" i="7"/>
  <c r="F123" i="7"/>
  <c r="G123" i="7" s="1"/>
  <c r="A123" i="7"/>
  <c r="H124" i="7"/>
  <c r="A62" i="7"/>
  <c r="H63" i="7"/>
  <c r="C62" i="7"/>
  <c r="F62" i="7"/>
  <c r="G62" i="7" s="1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F121" i="6" l="1"/>
  <c r="G121" i="6" s="1"/>
  <c r="C121" i="6"/>
  <c r="H122" i="6"/>
  <c r="F124" i="7"/>
  <c r="G124" i="7" s="1"/>
  <c r="A124" i="7"/>
  <c r="C124" i="7"/>
  <c r="H125" i="7"/>
  <c r="A63" i="7"/>
  <c r="C63" i="7"/>
  <c r="H64" i="7"/>
  <c r="F63" i="7"/>
  <c r="G63" i="7" s="1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F122" i="6" l="1"/>
  <c r="G122" i="6" s="1"/>
  <c r="C122" i="6"/>
  <c r="H123" i="6"/>
  <c r="H126" i="7"/>
  <c r="F125" i="7"/>
  <c r="G125" i="7" s="1"/>
  <c r="C125" i="7"/>
  <c r="A125" i="7"/>
  <c r="C64" i="7"/>
  <c r="A64" i="7"/>
  <c r="H65" i="7"/>
  <c r="F64" i="7"/>
  <c r="G64" i="7" s="1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H124" i="6" l="1"/>
  <c r="F123" i="6"/>
  <c r="G123" i="6" s="1"/>
  <c r="C123" i="6"/>
  <c r="H127" i="7"/>
  <c r="F126" i="7"/>
  <c r="G126" i="7" s="1"/>
  <c r="C126" i="7"/>
  <c r="A126" i="7"/>
  <c r="C65" i="7"/>
  <c r="F65" i="7"/>
  <c r="G65" i="7" s="1"/>
  <c r="A65" i="7"/>
  <c r="H66" i="7"/>
  <c r="A9" i="1"/>
  <c r="G10" i="1"/>
  <c r="H20" i="15"/>
  <c r="F19" i="15"/>
  <c r="C19" i="15"/>
  <c r="B19" i="15"/>
  <c r="H12" i="19"/>
  <c r="C11" i="19"/>
  <c r="B11" i="19"/>
  <c r="AB9" i="11"/>
  <c r="AB8" i="11"/>
  <c r="H125" i="6" l="1"/>
  <c r="F124" i="6"/>
  <c r="G124" i="6" s="1"/>
  <c r="C124" i="6"/>
  <c r="H128" i="7"/>
  <c r="F127" i="7"/>
  <c r="G127" i="7" s="1"/>
  <c r="C127" i="7"/>
  <c r="A127" i="7"/>
  <c r="C66" i="7"/>
  <c r="F66" i="7"/>
  <c r="G66" i="7" s="1"/>
  <c r="A66" i="7"/>
  <c r="H67" i="7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H126" i="6" l="1"/>
  <c r="F125" i="6"/>
  <c r="G125" i="6" s="1"/>
  <c r="C125" i="6"/>
  <c r="H129" i="7"/>
  <c r="F128" i="7"/>
  <c r="G128" i="7" s="1"/>
  <c r="C128" i="7"/>
  <c r="A128" i="7"/>
  <c r="F67" i="7"/>
  <c r="G67" i="7" s="1"/>
  <c r="C67" i="7"/>
  <c r="A67" i="7"/>
  <c r="H68" i="7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H127" i="6" l="1"/>
  <c r="F126" i="6"/>
  <c r="G126" i="6" s="1"/>
  <c r="C126" i="6"/>
  <c r="H130" i="7"/>
  <c r="A129" i="7"/>
  <c r="F129" i="7"/>
  <c r="G129" i="7" s="1"/>
  <c r="C129" i="7"/>
  <c r="F68" i="7"/>
  <c r="G68" i="7" s="1"/>
  <c r="C68" i="7"/>
  <c r="A68" i="7"/>
  <c r="H69" i="7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H128" i="6" l="1"/>
  <c r="C127" i="6"/>
  <c r="F127" i="6"/>
  <c r="G127" i="6" s="1"/>
  <c r="A130" i="7"/>
  <c r="H131" i="7"/>
  <c r="F130" i="7"/>
  <c r="G130" i="7" s="1"/>
  <c r="C130" i="7"/>
  <c r="F69" i="7"/>
  <c r="G69" i="7" s="1"/>
  <c r="C69" i="7"/>
  <c r="A69" i="7"/>
  <c r="H70" i="7"/>
  <c r="AC186" i="3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H129" i="6" l="1"/>
  <c r="C128" i="6"/>
  <c r="F128" i="6"/>
  <c r="G128" i="6" s="1"/>
  <c r="C131" i="7"/>
  <c r="A131" i="7"/>
  <c r="F131" i="7"/>
  <c r="G131" i="7" s="1"/>
  <c r="H132" i="7"/>
  <c r="F70" i="7"/>
  <c r="G70" i="7" s="1"/>
  <c r="C70" i="7"/>
  <c r="A70" i="7"/>
  <c r="H71" i="7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H130" i="6" l="1"/>
  <c r="C129" i="6"/>
  <c r="F129" i="6"/>
  <c r="G129" i="6" s="1"/>
  <c r="C132" i="7"/>
  <c r="F132" i="7"/>
  <c r="G132" i="7" s="1"/>
  <c r="H133" i="7"/>
  <c r="A132" i="7"/>
  <c r="H72" i="7"/>
  <c r="F71" i="7"/>
  <c r="G71" i="7" s="1"/>
  <c r="C71" i="7"/>
  <c r="A71" i="7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H131" i="6" l="1"/>
  <c r="C130" i="6"/>
  <c r="F130" i="6"/>
  <c r="G130" i="6" s="1"/>
  <c r="H134" i="7"/>
  <c r="F133" i="7"/>
  <c r="G133" i="7" s="1"/>
  <c r="C133" i="7"/>
  <c r="A133" i="7"/>
  <c r="H73" i="7"/>
  <c r="C72" i="7"/>
  <c r="F72" i="7"/>
  <c r="G72" i="7" s="1"/>
  <c r="A72" i="7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C131" i="6" l="1"/>
  <c r="F131" i="6"/>
  <c r="G131" i="6" s="1"/>
  <c r="H132" i="6"/>
  <c r="H135" i="7"/>
  <c r="F134" i="7"/>
  <c r="G134" i="7" s="1"/>
  <c r="C134" i="7"/>
  <c r="A134" i="7"/>
  <c r="H74" i="7"/>
  <c r="C73" i="7"/>
  <c r="F73" i="7"/>
  <c r="G73" i="7" s="1"/>
  <c r="A73" i="7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C132" i="6" l="1"/>
  <c r="F132" i="6"/>
  <c r="G132" i="6" s="1"/>
  <c r="H133" i="6"/>
  <c r="H136" i="7"/>
  <c r="F135" i="7"/>
  <c r="G135" i="7" s="1"/>
  <c r="C135" i="7"/>
  <c r="A135" i="7"/>
  <c r="H75" i="7"/>
  <c r="F74" i="7"/>
  <c r="G74" i="7" s="1"/>
  <c r="C74" i="7"/>
  <c r="A74" i="7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C133" i="6" l="1"/>
  <c r="F133" i="6"/>
  <c r="G133" i="6" s="1"/>
  <c r="H134" i="6"/>
  <c r="H137" i="7"/>
  <c r="F136" i="7"/>
  <c r="G136" i="7" s="1"/>
  <c r="C136" i="7"/>
  <c r="A136" i="7"/>
  <c r="H76" i="7"/>
  <c r="F75" i="7"/>
  <c r="G75" i="7" s="1"/>
  <c r="A75" i="7"/>
  <c r="C75" i="7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F134" i="6" l="1"/>
  <c r="G134" i="6" s="1"/>
  <c r="C134" i="6"/>
  <c r="H135" i="6"/>
  <c r="A137" i="7"/>
  <c r="H138" i="7"/>
  <c r="F137" i="7"/>
  <c r="G137" i="7" s="1"/>
  <c r="C137" i="7"/>
  <c r="A76" i="7"/>
  <c r="H77" i="7"/>
  <c r="F76" i="7"/>
  <c r="G76" i="7" s="1"/>
  <c r="C76" i="7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F135" i="6" l="1"/>
  <c r="G135" i="6" s="1"/>
  <c r="C135" i="6"/>
  <c r="H136" i="6"/>
  <c r="A138" i="7"/>
  <c r="C138" i="7"/>
  <c r="H139" i="7"/>
  <c r="F138" i="7"/>
  <c r="G138" i="7" s="1"/>
  <c r="A77" i="7"/>
  <c r="H78" i="7"/>
  <c r="F77" i="7"/>
  <c r="G77" i="7" s="1"/>
  <c r="C77" i="7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F136" i="6" l="1"/>
  <c r="G136" i="6" s="1"/>
  <c r="C136" i="6"/>
  <c r="H137" i="6"/>
  <c r="C139" i="7"/>
  <c r="A139" i="7"/>
  <c r="F139" i="7"/>
  <c r="G139" i="7" s="1"/>
  <c r="H140" i="7"/>
  <c r="A78" i="7"/>
  <c r="C78" i="7"/>
  <c r="H79" i="7"/>
  <c r="F78" i="7"/>
  <c r="G78" i="7" s="1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F137" i="6" l="1"/>
  <c r="G137" i="6" s="1"/>
  <c r="C137" i="6"/>
  <c r="H138" i="6"/>
  <c r="F140" i="7"/>
  <c r="G140" i="7" s="1"/>
  <c r="H141" i="7"/>
  <c r="C140" i="7"/>
  <c r="A140" i="7"/>
  <c r="A79" i="7"/>
  <c r="C79" i="7"/>
  <c r="H80" i="7"/>
  <c r="F79" i="7"/>
  <c r="G79" i="7" s="1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F138" i="6" l="1"/>
  <c r="G138" i="6" s="1"/>
  <c r="C138" i="6"/>
  <c r="H139" i="6"/>
  <c r="H142" i="7"/>
  <c r="A141" i="7"/>
  <c r="F141" i="7"/>
  <c r="G141" i="7" s="1"/>
  <c r="C141" i="7"/>
  <c r="C80" i="7"/>
  <c r="A80" i="7"/>
  <c r="H81" i="7"/>
  <c r="F80" i="7"/>
  <c r="G80" i="7" s="1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H140" i="6" l="1"/>
  <c r="F139" i="6"/>
  <c r="G139" i="6" s="1"/>
  <c r="C139" i="6"/>
  <c r="C142" i="7"/>
  <c r="H143" i="7"/>
  <c r="F142" i="7"/>
  <c r="G142" i="7" s="1"/>
  <c r="A142" i="7"/>
  <c r="C81" i="7"/>
  <c r="A81" i="7"/>
  <c r="H82" i="7"/>
  <c r="F81" i="7"/>
  <c r="G81" i="7" s="1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H141" i="6" l="1"/>
  <c r="F140" i="6"/>
  <c r="G140" i="6" s="1"/>
  <c r="C140" i="6"/>
  <c r="F143" i="7"/>
  <c r="G143" i="7" s="1"/>
  <c r="H144" i="7"/>
  <c r="C143" i="7"/>
  <c r="A143" i="7"/>
  <c r="C82" i="7"/>
  <c r="F82" i="7"/>
  <c r="G82" i="7" s="1"/>
  <c r="A82" i="7"/>
  <c r="H83" i="7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H142" i="6" l="1"/>
  <c r="F141" i="6"/>
  <c r="G141" i="6" s="1"/>
  <c r="C141" i="6"/>
  <c r="H145" i="7"/>
  <c r="F144" i="7"/>
  <c r="G144" i="7" s="1"/>
  <c r="C144" i="7"/>
  <c r="A144" i="7"/>
  <c r="F83" i="7"/>
  <c r="G83" i="7" s="1"/>
  <c r="C83" i="7"/>
  <c r="A83" i="7"/>
  <c r="H84" i="7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H143" i="6" l="1"/>
  <c r="F142" i="6"/>
  <c r="G142" i="6" s="1"/>
  <c r="C142" i="6"/>
  <c r="H146" i="7"/>
  <c r="F145" i="7"/>
  <c r="G145" i="7" s="1"/>
  <c r="A145" i="7"/>
  <c r="C145" i="7"/>
  <c r="F84" i="7"/>
  <c r="G84" i="7" s="1"/>
  <c r="C84" i="7"/>
  <c r="A84" i="7"/>
  <c r="H85" i="7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H144" i="6" l="1"/>
  <c r="F143" i="6"/>
  <c r="G143" i="6" s="1"/>
  <c r="C143" i="6"/>
  <c r="H147" i="7"/>
  <c r="F146" i="7"/>
  <c r="G146" i="7" s="1"/>
  <c r="C146" i="7"/>
  <c r="A146" i="7"/>
  <c r="F85" i="7"/>
  <c r="G85" i="7" s="1"/>
  <c r="A85" i="7"/>
  <c r="C85" i="7"/>
  <c r="H86" i="7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H145" i="6" l="1"/>
  <c r="C144" i="6"/>
  <c r="F144" i="6"/>
  <c r="G144" i="6" s="1"/>
  <c r="C147" i="7"/>
  <c r="A147" i="7"/>
  <c r="H148" i="7"/>
  <c r="F147" i="7"/>
  <c r="G147" i="7" s="1"/>
  <c r="F86" i="7"/>
  <c r="G86" i="7" s="1"/>
  <c r="H87" i="7"/>
  <c r="A86" i="7"/>
  <c r="C86" i="7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H146" i="6" l="1"/>
  <c r="C145" i="6"/>
  <c r="F145" i="6"/>
  <c r="G145" i="6" s="1"/>
  <c r="F148" i="7"/>
  <c r="G148" i="7" s="1"/>
  <c r="C148" i="7"/>
  <c r="H149" i="7"/>
  <c r="A148" i="7"/>
  <c r="F87" i="7"/>
  <c r="G87" i="7" s="1"/>
  <c r="H88" i="7"/>
  <c r="C87" i="7"/>
  <c r="A87" i="7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H147" i="6" l="1"/>
  <c r="C146" i="6"/>
  <c r="F146" i="6"/>
  <c r="G146" i="6" s="1"/>
  <c r="H150" i="7"/>
  <c r="F149" i="7"/>
  <c r="G149" i="7" s="1"/>
  <c r="C149" i="7"/>
  <c r="A149" i="7"/>
  <c r="H89" i="7"/>
  <c r="C88" i="7"/>
  <c r="F88" i="7"/>
  <c r="G88" i="7" s="1"/>
  <c r="A88" i="7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C147" i="6" l="1"/>
  <c r="F147" i="6"/>
  <c r="G147" i="6" s="1"/>
  <c r="H148" i="6"/>
  <c r="H151" i="7"/>
  <c r="F150" i="7"/>
  <c r="G150" i="7" s="1"/>
  <c r="C150" i="7"/>
  <c r="A150" i="7"/>
  <c r="H90" i="7"/>
  <c r="C89" i="7"/>
  <c r="F89" i="7"/>
  <c r="G89" i="7" s="1"/>
  <c r="A89" i="7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C148" i="6" l="1"/>
  <c r="F148" i="6"/>
  <c r="G148" i="6" s="1"/>
  <c r="H149" i="6"/>
  <c r="H152" i="7"/>
  <c r="F151" i="7"/>
  <c r="G151" i="7" s="1"/>
  <c r="C151" i="7"/>
  <c r="A151" i="7"/>
  <c r="H91" i="7"/>
  <c r="F90" i="7"/>
  <c r="G90" i="7" s="1"/>
  <c r="C90" i="7"/>
  <c r="A90" i="7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C149" i="6" l="1"/>
  <c r="F149" i="6"/>
  <c r="G149" i="6" s="1"/>
  <c r="H150" i="6"/>
  <c r="H153" i="7"/>
  <c r="F152" i="7"/>
  <c r="G152" i="7" s="1"/>
  <c r="C152" i="7"/>
  <c r="A152" i="7"/>
  <c r="H92" i="7"/>
  <c r="A91" i="7"/>
  <c r="F91" i="7"/>
  <c r="G91" i="7" s="1"/>
  <c r="C91" i="7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F150" i="6" l="1"/>
  <c r="G150" i="6" s="1"/>
  <c r="C150" i="6"/>
  <c r="H151" i="6"/>
  <c r="A153" i="7"/>
  <c r="H154" i="7"/>
  <c r="F153" i="7"/>
  <c r="G153" i="7" s="1"/>
  <c r="C153" i="7"/>
  <c r="H93" i="7"/>
  <c r="F92" i="7"/>
  <c r="G92" i="7" s="1"/>
  <c r="A92" i="7"/>
  <c r="C92" i="7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C151" i="6" l="1"/>
  <c r="F151" i="6"/>
  <c r="G151" i="6" s="1"/>
  <c r="H152" i="6"/>
  <c r="A154" i="7"/>
  <c r="C154" i="7"/>
  <c r="H155" i="7"/>
  <c r="F154" i="7"/>
  <c r="G154" i="7" s="1"/>
  <c r="A93" i="7"/>
  <c r="H94" i="7"/>
  <c r="F93" i="7"/>
  <c r="G93" i="7" s="1"/>
  <c r="C93" i="7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C152" i="6" l="1"/>
  <c r="F152" i="6"/>
  <c r="G152" i="6" s="1"/>
  <c r="H153" i="6"/>
  <c r="C155" i="7"/>
  <c r="F155" i="7"/>
  <c r="G155" i="7" s="1"/>
  <c r="A155" i="7"/>
  <c r="H156" i="7"/>
  <c r="A94" i="7"/>
  <c r="H95" i="7"/>
  <c r="C94" i="7"/>
  <c r="F94" i="7"/>
  <c r="G94" i="7" s="1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F153" i="6" l="1"/>
  <c r="G153" i="6" s="1"/>
  <c r="C153" i="6"/>
  <c r="H154" i="6"/>
  <c r="F156" i="7"/>
  <c r="G156" i="7" s="1"/>
  <c r="C156" i="7"/>
  <c r="A156" i="7"/>
  <c r="H157" i="7"/>
  <c r="A95" i="7"/>
  <c r="C95" i="7"/>
  <c r="H96" i="7"/>
  <c r="F95" i="7"/>
  <c r="G95" i="7" s="1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F154" i="6" l="1"/>
  <c r="G154" i="6" s="1"/>
  <c r="C154" i="6"/>
  <c r="H155" i="6"/>
  <c r="H158" i="7"/>
  <c r="F157" i="7"/>
  <c r="G157" i="7" s="1"/>
  <c r="C157" i="7"/>
  <c r="A157" i="7"/>
  <c r="C96" i="7"/>
  <c r="A96" i="7"/>
  <c r="H97" i="7"/>
  <c r="F96" i="7"/>
  <c r="G96" i="7" s="1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H156" i="6" l="1"/>
  <c r="F155" i="6"/>
  <c r="G155" i="6" s="1"/>
  <c r="C155" i="6"/>
  <c r="H159" i="7"/>
  <c r="F158" i="7"/>
  <c r="G158" i="7" s="1"/>
  <c r="C158" i="7"/>
  <c r="A158" i="7"/>
  <c r="C97" i="7"/>
  <c r="A97" i="7"/>
  <c r="H98" i="7"/>
  <c r="F97" i="7"/>
  <c r="G97" i="7" s="1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H157" i="6" l="1"/>
  <c r="F156" i="6"/>
  <c r="G156" i="6" s="1"/>
  <c r="C156" i="6"/>
  <c r="H160" i="7"/>
  <c r="F159" i="7"/>
  <c r="G159" i="7" s="1"/>
  <c r="C159" i="7"/>
  <c r="A159" i="7"/>
  <c r="C98" i="7"/>
  <c r="F98" i="7"/>
  <c r="G98" i="7" s="1"/>
  <c r="A98" i="7"/>
  <c r="H99" i="7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H158" i="6" l="1"/>
  <c r="F157" i="6"/>
  <c r="G157" i="6" s="1"/>
  <c r="C157" i="6"/>
  <c r="H161" i="7"/>
  <c r="F160" i="7"/>
  <c r="G160" i="7" s="1"/>
  <c r="C160" i="7"/>
  <c r="A160" i="7"/>
  <c r="F99" i="7"/>
  <c r="G99" i="7" s="1"/>
  <c r="C99" i="7"/>
  <c r="A99" i="7"/>
  <c r="H100" i="7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H159" i="6" l="1"/>
  <c r="C158" i="6"/>
  <c r="F158" i="6"/>
  <c r="G158" i="6" s="1"/>
  <c r="A161" i="7"/>
  <c r="H162" i="7"/>
  <c r="F161" i="7"/>
  <c r="G161" i="7" s="1"/>
  <c r="C161" i="7"/>
  <c r="F100" i="7"/>
  <c r="G100" i="7" s="1"/>
  <c r="C100" i="7"/>
  <c r="A100" i="7"/>
  <c r="H101" i="7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H160" i="6" l="1"/>
  <c r="C159" i="6"/>
  <c r="F159" i="6"/>
  <c r="G159" i="6" s="1"/>
  <c r="A162" i="7"/>
  <c r="H163" i="7"/>
  <c r="F162" i="7"/>
  <c r="G162" i="7" s="1"/>
  <c r="C162" i="7"/>
  <c r="F101" i="7"/>
  <c r="G101" i="7" s="1"/>
  <c r="A101" i="7"/>
  <c r="C101" i="7"/>
  <c r="H102" i="7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H161" i="6" l="1"/>
  <c r="C160" i="6"/>
  <c r="F160" i="6"/>
  <c r="G160" i="6" s="1"/>
  <c r="C163" i="7"/>
  <c r="A163" i="7"/>
  <c r="H164" i="7"/>
  <c r="F163" i="7"/>
  <c r="G163" i="7" s="1"/>
  <c r="F102" i="7"/>
  <c r="G102" i="7" s="1"/>
  <c r="A102" i="7"/>
  <c r="C102" i="7"/>
  <c r="H103" i="7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H162" i="6" l="1"/>
  <c r="C161" i="6"/>
  <c r="F161" i="6"/>
  <c r="G161" i="6" s="1"/>
  <c r="C164" i="7"/>
  <c r="F164" i="7"/>
  <c r="G164" i="7" s="1"/>
  <c r="H165" i="7"/>
  <c r="A164" i="7"/>
  <c r="H104" i="7"/>
  <c r="F103" i="7"/>
  <c r="G103" i="7" s="1"/>
  <c r="C103" i="7"/>
  <c r="A103" i="7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H163" i="6" l="1"/>
  <c r="C162" i="6"/>
  <c r="F162" i="6"/>
  <c r="G162" i="6" s="1"/>
  <c r="H166" i="7"/>
  <c r="F165" i="7"/>
  <c r="G165" i="7" s="1"/>
  <c r="C165" i="7"/>
  <c r="A165" i="7"/>
  <c r="H105" i="7"/>
  <c r="C104" i="7"/>
  <c r="F104" i="7"/>
  <c r="G104" i="7" s="1"/>
  <c r="A104" i="7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C163" i="6" l="1"/>
  <c r="F163" i="6"/>
  <c r="G163" i="6" s="1"/>
  <c r="H164" i="6"/>
  <c r="H167" i="7"/>
  <c r="F166" i="7"/>
  <c r="G166" i="7" s="1"/>
  <c r="C166" i="7"/>
  <c r="A166" i="7"/>
  <c r="C105" i="7"/>
  <c r="F105" i="7"/>
  <c r="G105" i="7" s="1"/>
  <c r="A105" i="7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C164" i="6" l="1"/>
  <c r="F164" i="6"/>
  <c r="G164" i="6" s="1"/>
  <c r="H165" i="6"/>
  <c r="H168" i="7"/>
  <c r="F167" i="7"/>
  <c r="G167" i="7" s="1"/>
  <c r="C167" i="7"/>
  <c r="A167" i="7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C165" i="6" l="1"/>
  <c r="F165" i="6"/>
  <c r="G165" i="6" s="1"/>
  <c r="H166" i="6"/>
  <c r="F168" i="7"/>
  <c r="G168" i="7" s="1"/>
  <c r="C168" i="7"/>
  <c r="A168" i="7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F166" i="6" l="1"/>
  <c r="G166" i="6" s="1"/>
  <c r="C166" i="6"/>
  <c r="H167" i="6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F167" i="6" l="1"/>
  <c r="G167" i="6" s="1"/>
  <c r="C167" i="6"/>
  <c r="H168" i="6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F168" i="6" l="1"/>
  <c r="G168" i="6" s="1"/>
  <c r="C168" i="6"/>
  <c r="H169" i="6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F169" i="6" l="1"/>
  <c r="G169" i="6" s="1"/>
  <c r="C169" i="6"/>
  <c r="H170" i="6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F170" i="6" l="1"/>
  <c r="G170" i="6" s="1"/>
  <c r="C170" i="6"/>
  <c r="H171" i="6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H172" i="6" l="1"/>
  <c r="F171" i="6"/>
  <c r="G171" i="6" s="1"/>
  <c r="C171" i="6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H173" i="6" l="1"/>
  <c r="F172" i="6"/>
  <c r="G172" i="6" s="1"/>
  <c r="C172" i="6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H174" i="6" l="1"/>
  <c r="F173" i="6"/>
  <c r="G173" i="6" s="1"/>
  <c r="C173" i="6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H175" i="6" l="1"/>
  <c r="F174" i="6"/>
  <c r="G174" i="6" s="1"/>
  <c r="C174" i="6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H176" i="6" l="1"/>
  <c r="F175" i="6"/>
  <c r="G175" i="6" s="1"/>
  <c r="C175" i="6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H177" i="6" l="1"/>
  <c r="C176" i="6"/>
  <c r="F176" i="6"/>
  <c r="G176" i="6" s="1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H178" i="6" l="1"/>
  <c r="C177" i="6"/>
  <c r="F177" i="6"/>
  <c r="G177" i="6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H179" i="6" l="1"/>
  <c r="C178" i="6"/>
  <c r="F178" i="6"/>
  <c r="G178" i="6" s="1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C179" i="6" l="1"/>
  <c r="F179" i="6"/>
  <c r="G179" i="6" s="1"/>
  <c r="H180" i="6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C180" i="6" l="1"/>
  <c r="F180" i="6"/>
  <c r="G180" i="6" s="1"/>
  <c r="H181" i="6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C181" i="6" l="1"/>
  <c r="F181" i="6"/>
  <c r="G181" i="6" s="1"/>
  <c r="H182" i="6"/>
  <c r="G68" i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F182" i="6" l="1"/>
  <c r="G182" i="6" s="1"/>
  <c r="C182" i="6"/>
  <c r="H183" i="6"/>
  <c r="G69" i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F183" i="6" l="1"/>
  <c r="G183" i="6" s="1"/>
  <c r="C183" i="6"/>
  <c r="H184" i="6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F184" i="6" l="1"/>
  <c r="G184" i="6" s="1"/>
  <c r="C184" i="6"/>
  <c r="H185" i="6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F185" i="6" l="1"/>
  <c r="G185" i="6" s="1"/>
  <c r="C185" i="6"/>
  <c r="H186" i="6"/>
  <c r="G73" i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F186" i="6" l="1"/>
  <c r="G186" i="6" s="1"/>
  <c r="C186" i="6"/>
  <c r="H187" i="6"/>
  <c r="G74" i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H188" i="6" l="1"/>
  <c r="F187" i="6"/>
  <c r="G187" i="6" s="1"/>
  <c r="C187" i="6"/>
  <c r="G75" i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H189" i="6" l="1"/>
  <c r="F188" i="6"/>
  <c r="G188" i="6" s="1"/>
  <c r="C188" i="6"/>
  <c r="G76" i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H190" i="6" l="1"/>
  <c r="F189" i="6"/>
  <c r="G189" i="6" s="1"/>
  <c r="C189" i="6"/>
  <c r="G77" i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H191" i="6" l="1"/>
  <c r="C190" i="6"/>
  <c r="F190" i="6"/>
  <c r="G190" i="6" s="1"/>
  <c r="G78" i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H192" i="6" l="1"/>
  <c r="F191" i="6"/>
  <c r="G191" i="6" s="1"/>
  <c r="C191" i="6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H193" i="6" l="1"/>
  <c r="C192" i="6"/>
  <c r="F192" i="6"/>
  <c r="G192" i="6" s="1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H194" i="6" l="1"/>
  <c r="C193" i="6"/>
  <c r="F193" i="6"/>
  <c r="G193" i="6" s="1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H195" i="6" l="1"/>
  <c r="C194" i="6"/>
  <c r="F194" i="6"/>
  <c r="G194" i="6" s="1"/>
  <c r="G83" i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C195" i="6" l="1"/>
  <c r="F195" i="6"/>
  <c r="G195" i="6" s="1"/>
  <c r="H196" i="6"/>
  <c r="G84" i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C196" i="6" l="1"/>
  <c r="F196" i="6"/>
  <c r="G196" i="6" s="1"/>
  <c r="H197" i="6"/>
  <c r="G85" i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C197" i="6" l="1"/>
  <c r="F197" i="6"/>
  <c r="G197" i="6" s="1"/>
  <c r="H198" i="6"/>
  <c r="G86" i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F198" i="6" l="1"/>
  <c r="G198" i="6" s="1"/>
  <c r="C198" i="6"/>
  <c r="H199" i="6"/>
  <c r="G87" i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F199" i="6" l="1"/>
  <c r="G199" i="6" s="1"/>
  <c r="C199" i="6"/>
  <c r="H200" i="6"/>
  <c r="G88" i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C200" i="6" l="1"/>
  <c r="F200" i="6"/>
  <c r="G200" i="6" s="1"/>
  <c r="H201" i="6"/>
  <c r="G89" i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F201" i="6" l="1"/>
  <c r="G201" i="6" s="1"/>
  <c r="C201" i="6"/>
  <c r="H202" i="6"/>
  <c r="G90" i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F202" i="6" l="1"/>
  <c r="G202" i="6" s="1"/>
  <c r="C202" i="6"/>
  <c r="H203" i="6"/>
  <c r="G91" i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H204" i="6" l="1"/>
  <c r="F203" i="6"/>
  <c r="G203" i="6" s="1"/>
  <c r="C203" i="6"/>
  <c r="G92" i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H205" i="6" l="1"/>
  <c r="F204" i="6"/>
  <c r="G204" i="6" s="1"/>
  <c r="C204" i="6"/>
  <c r="G93" i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H206" i="6" l="1"/>
  <c r="F205" i="6"/>
  <c r="G205" i="6" s="1"/>
  <c r="C205" i="6"/>
  <c r="G94" i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H207" i="6" l="1"/>
  <c r="C206" i="6"/>
  <c r="F206" i="6"/>
  <c r="G206" i="6" s="1"/>
  <c r="G95" i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H208" i="6" l="1"/>
  <c r="C207" i="6"/>
  <c r="F207" i="6"/>
  <c r="G207" i="6" s="1"/>
  <c r="G96" i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H209" i="6" l="1"/>
  <c r="C208" i="6"/>
  <c r="F208" i="6"/>
  <c r="G208" i="6" s="1"/>
  <c r="G97" i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H210" i="6" l="1"/>
  <c r="C209" i="6"/>
  <c r="F209" i="6"/>
  <c r="G209" i="6" s="1"/>
  <c r="G98" i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H211" i="6" l="1"/>
  <c r="C210" i="6"/>
  <c r="F210" i="6"/>
  <c r="G210" i="6" s="1"/>
  <c r="G99" i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C211" i="6" l="1"/>
  <c r="F211" i="6"/>
  <c r="G211" i="6" s="1"/>
  <c r="H212" i="6"/>
  <c r="G100" i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C212" i="6" l="1"/>
  <c r="F212" i="6"/>
  <c r="G212" i="6" s="1"/>
  <c r="H213" i="6"/>
  <c r="G101" i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C213" i="6" l="1"/>
  <c r="F213" i="6"/>
  <c r="G213" i="6" s="1"/>
  <c r="H214" i="6"/>
  <c r="G102" i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F214" i="6" l="1"/>
  <c r="G214" i="6" s="1"/>
  <c r="C214" i="6"/>
  <c r="H215" i="6"/>
  <c r="G104" i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F215" i="6" l="1"/>
  <c r="G215" i="6" s="1"/>
  <c r="C215" i="6"/>
  <c r="H216" i="6"/>
  <c r="G105" i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F216" i="6" l="1"/>
  <c r="G216" i="6" s="1"/>
  <c r="C216" i="6"/>
  <c r="H217" i="6"/>
  <c r="G106" i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F217" i="6" l="1"/>
  <c r="G217" i="6" s="1"/>
  <c r="C217" i="6"/>
  <c r="H218" i="6"/>
  <c r="G107" i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F218" i="6" l="1"/>
  <c r="G218" i="6" s="1"/>
  <c r="C218" i="6"/>
  <c r="H219" i="6"/>
  <c r="G108" i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H220" i="6" l="1"/>
  <c r="F219" i="6"/>
  <c r="G219" i="6" s="1"/>
  <c r="C219" i="6"/>
  <c r="G109" i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H221" i="6" l="1"/>
  <c r="F220" i="6"/>
  <c r="G220" i="6" s="1"/>
  <c r="C220" i="6"/>
  <c r="G111" i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H222" i="6" l="1"/>
  <c r="F221" i="6"/>
  <c r="G221" i="6" s="1"/>
  <c r="C221" i="6"/>
  <c r="G112" i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H223" i="6" l="1"/>
  <c r="F222" i="6"/>
  <c r="G222" i="6" s="1"/>
  <c r="C222" i="6"/>
  <c r="G113" i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H224" i="6" l="1"/>
  <c r="F223" i="6"/>
  <c r="G223" i="6" s="1"/>
  <c r="C223" i="6"/>
  <c r="G115" i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H225" i="6" l="1"/>
  <c r="C224" i="6"/>
  <c r="F224" i="6"/>
  <c r="G224" i="6" s="1"/>
  <c r="G116" i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H226" i="6" l="1"/>
  <c r="C225" i="6"/>
  <c r="F225" i="6"/>
  <c r="G225" i="6" s="1"/>
  <c r="G117" i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H227" i="6" l="1"/>
  <c r="C226" i="6"/>
  <c r="F226" i="6"/>
  <c r="G226" i="6" s="1"/>
  <c r="G118" i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C227" i="6" l="1"/>
  <c r="F227" i="6"/>
  <c r="G227" i="6" s="1"/>
  <c r="H228" i="6"/>
  <c r="G119" i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C228" i="6" l="1"/>
  <c r="F228" i="6"/>
  <c r="G228" i="6" s="1"/>
  <c r="H229" i="6"/>
  <c r="G120" i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C229" i="6" l="1"/>
  <c r="F229" i="6"/>
  <c r="G229" i="6" s="1"/>
  <c r="H230" i="6"/>
  <c r="G121" i="1"/>
  <c r="A120" i="1"/>
  <c r="B120" i="1"/>
  <c r="E120" i="1"/>
  <c r="F120" i="1" s="1"/>
  <c r="K65" i="1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F230" i="6" l="1"/>
  <c r="G230" i="6" s="1"/>
  <c r="C230" i="6"/>
  <c r="H231" i="6"/>
  <c r="G122" i="1"/>
  <c r="B121" i="1"/>
  <c r="A121" i="1"/>
  <c r="E121" i="1"/>
  <c r="F121" i="1" s="1"/>
  <c r="J68" i="11"/>
  <c r="I67" i="11"/>
  <c r="I66" i="11"/>
  <c r="I68" i="11"/>
  <c r="J67" i="11"/>
  <c r="J66" i="11"/>
  <c r="O90" i="2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F231" i="6" l="1"/>
  <c r="G231" i="6" s="1"/>
  <c r="C231" i="6"/>
  <c r="H232" i="6"/>
  <c r="G123" i="1"/>
  <c r="B122" i="1"/>
  <c r="A122" i="1"/>
  <c r="E122" i="1"/>
  <c r="F122" i="1" s="1"/>
  <c r="K67" i="11"/>
  <c r="K66" i="11"/>
  <c r="K68" i="11"/>
  <c r="O91" i="2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F232" i="6" l="1"/>
  <c r="G232" i="6" s="1"/>
  <c r="C232" i="6"/>
  <c r="H233" i="6"/>
  <c r="O92" i="2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F233" i="6" l="1"/>
  <c r="G233" i="6" s="1"/>
  <c r="C233" i="6"/>
  <c r="H234" i="6"/>
  <c r="O93" i="2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F234" i="6" l="1"/>
  <c r="G234" i="6" s="1"/>
  <c r="C234" i="6"/>
  <c r="H235" i="6"/>
  <c r="R94" i="2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H236" i="6" l="1"/>
  <c r="F235" i="6"/>
  <c r="G235" i="6" s="1"/>
  <c r="C235" i="6"/>
  <c r="O95" i="2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H237" i="6" l="1"/>
  <c r="F236" i="6"/>
  <c r="G236" i="6" s="1"/>
  <c r="C236" i="6"/>
  <c r="O96" i="2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H238" i="6" l="1"/>
  <c r="F237" i="6"/>
  <c r="G237" i="6" s="1"/>
  <c r="C237" i="6"/>
  <c r="O97" i="2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H239" i="6" l="1"/>
  <c r="C238" i="6"/>
  <c r="F238" i="6"/>
  <c r="G238" i="6" s="1"/>
  <c r="O98" i="2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C239" i="6" l="1"/>
  <c r="F239" i="6"/>
  <c r="G239" i="6" s="1"/>
  <c r="O99" i="2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O100" i="21" l="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O101" i="21" l="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O102" i="21" l="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O103" i="21" l="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O104" i="21" l="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O105" i="21" l="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O106" i="21" l="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O107" i="21" l="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O108" i="21" l="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O109" i="21" l="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O110" i="21" l="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O111" i="21" l="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O112" i="21" l="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O113" i="21" l="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O114" i="21" l="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O115" i="21" l="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O116" i="21" l="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O117" i="21" l="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O118" i="21" l="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O119" i="21" l="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O120" i="21" l="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O121" i="21" l="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O122" i="21" l="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O123" i="21" l="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O124" i="21" l="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O125" i="21" l="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O126" i="21" l="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O127" i="21" l="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O128" i="21" l="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O129" i="21" l="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O130" i="21" l="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O131" i="21" l="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O132" i="21" l="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O133" i="21" l="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O134" i="21" l="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O135" i="21" l="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O136" i="21" l="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O137" i="21" l="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O138" i="21" l="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O139" i="21" l="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O140" i="21" l="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O141" i="21" l="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R142" i="21" l="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O143" i="21" l="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K28" i="7" l="1"/>
  <c r="AJ19" i="7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C34" i="6"/>
  <c r="F34" i="6"/>
  <c r="G34" i="6" s="1"/>
  <c r="C36" i="6" l="1"/>
  <c r="H37" i="6"/>
  <c r="F36" i="6"/>
  <c r="G36" i="6" s="1"/>
  <c r="H21" i="7"/>
  <c r="C20" i="7"/>
  <c r="F20" i="7"/>
  <c r="G20" i="7" s="1"/>
  <c r="C35" i="6"/>
  <c r="F35" i="6"/>
  <c r="G35" i="6" s="1"/>
  <c r="F37" i="6" l="1"/>
  <c r="G37" i="6" s="1"/>
  <c r="C37" i="6"/>
  <c r="H38" i="6"/>
  <c r="H22" i="7"/>
  <c r="C21" i="7"/>
  <c r="F21" i="7"/>
  <c r="G21" i="7" s="1"/>
  <c r="H39" i="6" l="1"/>
  <c r="F38" i="6"/>
  <c r="G38" i="6" s="1"/>
  <c r="C38" i="6"/>
  <c r="H23" i="7"/>
  <c r="C22" i="7"/>
  <c r="F22" i="7"/>
  <c r="G22" i="7" s="1"/>
  <c r="H40" i="6" l="1"/>
  <c r="F39" i="6"/>
  <c r="G39" i="6" s="1"/>
  <c r="C39" i="6"/>
  <c r="H24" i="7"/>
  <c r="C23" i="7"/>
  <c r="F23" i="7"/>
  <c r="G23" i="7" s="1"/>
  <c r="H41" i="6" l="1"/>
  <c r="F40" i="6"/>
  <c r="G40" i="6" s="1"/>
  <c r="C40" i="6"/>
  <c r="H25" i="7"/>
  <c r="C24" i="7"/>
  <c r="F24" i="7"/>
  <c r="G24" i="7" s="1"/>
  <c r="H42" i="6" l="1"/>
  <c r="F41" i="6"/>
  <c r="G41" i="6" s="1"/>
  <c r="C41" i="6"/>
  <c r="H26" i="7"/>
  <c r="C25" i="7"/>
  <c r="F25" i="7"/>
  <c r="G25" i="7" s="1"/>
  <c r="H43" i="6" l="1"/>
  <c r="F42" i="6"/>
  <c r="G42" i="6" s="1"/>
  <c r="C42" i="6"/>
  <c r="H27" i="7"/>
  <c r="C26" i="7"/>
  <c r="F26" i="7"/>
  <c r="G26" i="7" s="1"/>
  <c r="H44" i="6" l="1"/>
  <c r="F43" i="6"/>
  <c r="G43" i="6" s="1"/>
  <c r="C43" i="6"/>
  <c r="H28" i="7"/>
  <c r="C27" i="7"/>
  <c r="F27" i="7"/>
  <c r="G27" i="7" s="1"/>
  <c r="H45" i="6" l="1"/>
  <c r="F44" i="6"/>
  <c r="G44" i="6" s="1"/>
  <c r="C44" i="6"/>
  <c r="H29" i="7"/>
  <c r="C28" i="7"/>
  <c r="F28" i="7"/>
  <c r="G28" i="7" s="1"/>
  <c r="H46" i="6" l="1"/>
  <c r="F45" i="6"/>
  <c r="G45" i="6" s="1"/>
  <c r="C45" i="6"/>
  <c r="H30" i="7"/>
  <c r="F29" i="7"/>
  <c r="G29" i="7" s="1"/>
  <c r="C29" i="7"/>
  <c r="H47" i="6" l="1"/>
  <c r="F46" i="6"/>
  <c r="G46" i="6" s="1"/>
  <c r="C46" i="6"/>
  <c r="H31" i="7"/>
  <c r="F30" i="7"/>
  <c r="G30" i="7" s="1"/>
  <c r="C30" i="7"/>
  <c r="H48" i="6" l="1"/>
  <c r="F47" i="6"/>
  <c r="G47" i="6" s="1"/>
  <c r="C47" i="6"/>
  <c r="H32" i="7"/>
  <c r="F31" i="7"/>
  <c r="G31" i="7" s="1"/>
  <c r="C31" i="7"/>
  <c r="H49" i="6" l="1"/>
  <c r="F48" i="6"/>
  <c r="G48" i="6" s="1"/>
  <c r="C48" i="6"/>
  <c r="H33" i="7"/>
  <c r="C32" i="7"/>
  <c r="F32" i="7"/>
  <c r="G32" i="7" s="1"/>
  <c r="H50" i="6" l="1"/>
  <c r="F49" i="6"/>
  <c r="G49" i="6" s="1"/>
  <c r="C49" i="6"/>
  <c r="H34" i="7"/>
  <c r="C33" i="7"/>
  <c r="F33" i="7"/>
  <c r="G33" i="7" s="1"/>
  <c r="H51" i="6" l="1"/>
  <c r="F50" i="6"/>
  <c r="G50" i="6" s="1"/>
  <c r="C50" i="6"/>
  <c r="H35" i="7"/>
  <c r="C34" i="7"/>
  <c r="F34" i="7"/>
  <c r="G34" i="7" s="1"/>
  <c r="H52" i="6" l="1"/>
  <c r="F51" i="6"/>
  <c r="G51" i="6" s="1"/>
  <c r="C51" i="6"/>
  <c r="H36" i="7"/>
  <c r="C35" i="7"/>
  <c r="F35" i="7"/>
  <c r="G35" i="7" s="1"/>
  <c r="C52" i="6" l="1"/>
  <c r="H53" i="6"/>
  <c r="F52" i="6"/>
  <c r="G52" i="6" s="1"/>
  <c r="H37" i="7"/>
  <c r="C36" i="7"/>
  <c r="F36" i="7"/>
  <c r="G36" i="7" s="1"/>
  <c r="F53" i="6" l="1"/>
  <c r="G53" i="6" s="1"/>
  <c r="C53" i="6"/>
  <c r="H54" i="6"/>
  <c r="H38" i="7"/>
  <c r="C37" i="7"/>
  <c r="F37" i="7"/>
  <c r="G37" i="7" s="1"/>
  <c r="H55" i="6" l="1"/>
  <c r="F54" i="6"/>
  <c r="G54" i="6" s="1"/>
  <c r="C54" i="6"/>
  <c r="H39" i="7"/>
  <c r="F38" i="7"/>
  <c r="G38" i="7" s="1"/>
  <c r="C38" i="7"/>
  <c r="H56" i="6" l="1"/>
  <c r="F55" i="6"/>
  <c r="G55" i="6" s="1"/>
  <c r="C55" i="6"/>
  <c r="H40" i="7"/>
  <c r="C39" i="7"/>
  <c r="F39" i="7"/>
  <c r="G39" i="7" s="1"/>
  <c r="H57" i="6" l="1"/>
  <c r="F56" i="6"/>
  <c r="G56" i="6" s="1"/>
  <c r="C56" i="6"/>
  <c r="H41" i="7"/>
  <c r="C40" i="7"/>
  <c r="F40" i="7"/>
  <c r="G40" i="7" s="1"/>
  <c r="H58" i="6" l="1"/>
  <c r="F57" i="6"/>
  <c r="G57" i="6" s="1"/>
  <c r="C57" i="6"/>
  <c r="H42" i="7"/>
  <c r="F41" i="7"/>
  <c r="G41" i="7" s="1"/>
  <c r="C41" i="7"/>
  <c r="H59" i="6" l="1"/>
  <c r="F58" i="6"/>
  <c r="G58" i="6" s="1"/>
  <c r="C58" i="6"/>
  <c r="H43" i="7"/>
  <c r="F42" i="7"/>
  <c r="G42" i="7" s="1"/>
  <c r="C42" i="7"/>
  <c r="H60" i="6" l="1"/>
  <c r="F59" i="6"/>
  <c r="G59" i="6" s="1"/>
  <c r="C59" i="6"/>
  <c r="H44" i="7"/>
  <c r="F43" i="7"/>
  <c r="G43" i="7" s="1"/>
  <c r="C43" i="7"/>
  <c r="H61" i="6" l="1"/>
  <c r="F60" i="6"/>
  <c r="G60" i="6" s="1"/>
  <c r="C60" i="6"/>
  <c r="C44" i="7"/>
  <c r="F44" i="7"/>
  <c r="G44" i="7" s="1"/>
  <c r="H62" i="6" l="1"/>
  <c r="F61" i="6"/>
  <c r="G61" i="6" s="1"/>
  <c r="C61" i="6"/>
  <c r="H63" i="6" l="1"/>
  <c r="F62" i="6"/>
  <c r="G62" i="6" s="1"/>
  <c r="C62" i="6"/>
  <c r="H64" i="6" l="1"/>
  <c r="F63" i="6"/>
  <c r="G63" i="6" s="1"/>
  <c r="C63" i="6"/>
  <c r="H65" i="6" l="1"/>
  <c r="F64" i="6"/>
  <c r="G64" i="6" s="1"/>
  <c r="C64" i="6"/>
  <c r="H66" i="6" l="1"/>
  <c r="F65" i="6"/>
  <c r="G65" i="6" s="1"/>
  <c r="C65" i="6"/>
  <c r="H67" i="6" l="1"/>
  <c r="F66" i="6"/>
  <c r="G66" i="6" s="1"/>
  <c r="C66" i="6"/>
  <c r="H68" i="6" l="1"/>
  <c r="F67" i="6"/>
  <c r="G67" i="6" s="1"/>
  <c r="C67" i="6"/>
  <c r="C68" i="6" l="1"/>
  <c r="H69" i="6"/>
  <c r="F68" i="6"/>
  <c r="G68" i="6" s="1"/>
  <c r="F69" i="6" l="1"/>
  <c r="G69" i="6" s="1"/>
  <c r="C69" i="6"/>
  <c r="H70" i="6"/>
  <c r="H71" i="6" l="1"/>
  <c r="F70" i="6"/>
  <c r="G70" i="6" s="1"/>
  <c r="C70" i="6"/>
  <c r="H72" i="6" l="1"/>
  <c r="F71" i="6"/>
  <c r="G71" i="6" s="1"/>
  <c r="C71" i="6"/>
  <c r="H73" i="6" l="1"/>
  <c r="F72" i="6"/>
  <c r="G72" i="6" s="1"/>
  <c r="C72" i="6"/>
  <c r="H74" i="6" l="1"/>
  <c r="F73" i="6"/>
  <c r="G73" i="6" s="1"/>
  <c r="C73" i="6"/>
  <c r="H75" i="6" l="1"/>
  <c r="F74" i="6"/>
  <c r="G74" i="6" s="1"/>
  <c r="C74" i="6"/>
  <c r="H76" i="6" l="1"/>
  <c r="F75" i="6"/>
  <c r="G75" i="6" s="1"/>
  <c r="C75" i="6"/>
  <c r="H77" i="6" l="1"/>
  <c r="F76" i="6"/>
  <c r="G76" i="6" s="1"/>
  <c r="C76" i="6"/>
  <c r="H78" i="6" l="1"/>
  <c r="F77" i="6"/>
  <c r="G77" i="6" s="1"/>
  <c r="C77" i="6"/>
  <c r="H79" i="6" l="1"/>
  <c r="F78" i="6"/>
  <c r="G78" i="6" s="1"/>
  <c r="C78" i="6"/>
  <c r="H80" i="6" l="1"/>
  <c r="F79" i="6"/>
  <c r="G79" i="6" s="1"/>
  <c r="C79" i="6"/>
  <c r="H81" i="6" l="1"/>
  <c r="F80" i="6"/>
  <c r="G80" i="6" s="1"/>
  <c r="C80" i="6"/>
  <c r="H82" i="6" l="1"/>
  <c r="F81" i="6"/>
  <c r="G81" i="6" s="1"/>
  <c r="C81" i="6"/>
  <c r="H83" i="6" l="1"/>
  <c r="F82" i="6"/>
  <c r="G82" i="6" s="1"/>
  <c r="C82" i="6"/>
  <c r="H84" i="6" l="1"/>
  <c r="F83" i="6"/>
  <c r="G83" i="6" s="1"/>
  <c r="C83" i="6"/>
  <c r="C84" i="6" l="1"/>
  <c r="H85" i="6"/>
  <c r="F84" i="6"/>
  <c r="G84" i="6" s="1"/>
  <c r="F85" i="6" l="1"/>
  <c r="G85" i="6" s="1"/>
  <c r="C85" i="6"/>
  <c r="H86" i="6"/>
  <c r="H87" i="6" l="1"/>
  <c r="F86" i="6"/>
  <c r="G86" i="6" s="1"/>
  <c r="C86" i="6"/>
  <c r="H88" i="6" l="1"/>
  <c r="F87" i="6"/>
  <c r="G87" i="6" s="1"/>
  <c r="C87" i="6"/>
  <c r="H89" i="6" l="1"/>
  <c r="F88" i="6"/>
  <c r="G88" i="6" s="1"/>
  <c r="C88" i="6"/>
  <c r="H90" i="6" l="1"/>
  <c r="F89" i="6"/>
  <c r="G89" i="6" s="1"/>
  <c r="C89" i="6"/>
  <c r="H91" i="6" l="1"/>
  <c r="F90" i="6"/>
  <c r="G90" i="6" s="1"/>
  <c r="C90" i="6"/>
  <c r="H92" i="6" l="1"/>
  <c r="F91" i="6"/>
  <c r="G91" i="6" s="1"/>
  <c r="C91" i="6"/>
  <c r="H93" i="6" l="1"/>
  <c r="F92" i="6"/>
  <c r="G92" i="6" s="1"/>
  <c r="C92" i="6"/>
  <c r="H94" i="6" l="1"/>
  <c r="F93" i="6"/>
  <c r="G93" i="6" s="1"/>
  <c r="C93" i="6"/>
  <c r="H95" i="6" l="1"/>
  <c r="F94" i="6"/>
  <c r="G94" i="6" s="1"/>
  <c r="C94" i="6"/>
  <c r="H96" i="6" l="1"/>
  <c r="F95" i="6"/>
  <c r="G95" i="6" s="1"/>
  <c r="C95" i="6"/>
  <c r="H97" i="6" l="1"/>
  <c r="F96" i="6"/>
  <c r="G96" i="6" s="1"/>
  <c r="C96" i="6"/>
  <c r="H98" i="6" l="1"/>
  <c r="F97" i="6"/>
  <c r="G97" i="6" s="1"/>
  <c r="C97" i="6"/>
  <c r="F98" i="6" l="1"/>
  <c r="G98" i="6" s="1"/>
  <c r="C98" i="6"/>
</calcChain>
</file>

<file path=xl/sharedStrings.xml><?xml version="1.0" encoding="utf-8"?>
<sst xmlns="http://schemas.openxmlformats.org/spreadsheetml/2006/main" count="4410" uniqueCount="1209">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</sst>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0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3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239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168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4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8" totalsRowShown="0" headerRowDxfId="80" headerRowBorderDxfId="79" tableBorderDxfId="78">
  <autoFilter ref="A2:AD68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B4" sqref="B4:F4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30" t="s">
        <v>330</v>
      </c>
      <c r="B1" s="231"/>
      <c r="C1" s="231"/>
      <c r="D1" s="231"/>
      <c r="E1" s="231"/>
      <c r="F1" s="232"/>
    </row>
    <row r="2" spans="1:6" x14ac:dyDescent="0.3">
      <c r="A2" s="191" t="s">
        <v>114</v>
      </c>
      <c r="B2" s="233">
        <v>45839</v>
      </c>
      <c r="C2" s="234"/>
      <c r="D2" s="234"/>
      <c r="E2" s="234"/>
      <c r="F2" s="235"/>
    </row>
    <row r="3" spans="1:6" x14ac:dyDescent="0.3">
      <c r="A3" s="191" t="s">
        <v>115</v>
      </c>
      <c r="B3" s="236">
        <v>45864</v>
      </c>
      <c r="C3" s="236"/>
      <c r="D3" s="236"/>
      <c r="E3" s="236"/>
      <c r="F3" s="237"/>
    </row>
    <row r="4" spans="1:6" x14ac:dyDescent="0.3">
      <c r="A4" s="191" t="s">
        <v>116</v>
      </c>
      <c r="B4" s="238">
        <f>YEAR(B3)+IF(MONTH(B3)&gt;=4,1,0)</f>
        <v>2026</v>
      </c>
      <c r="C4" s="238"/>
      <c r="D4" s="238"/>
      <c r="E4" s="238"/>
      <c r="F4" s="239"/>
    </row>
    <row r="5" spans="1:6" x14ac:dyDescent="0.3">
      <c r="A5" s="191" t="s">
        <v>117</v>
      </c>
      <c r="B5" s="240">
        <v>45748</v>
      </c>
      <c r="C5" s="241"/>
      <c r="D5" s="241"/>
      <c r="E5" s="241"/>
      <c r="F5" s="242"/>
    </row>
    <row r="6" spans="1:6" ht="15" thickBot="1" x14ac:dyDescent="0.35">
      <c r="A6" s="192" t="s">
        <v>118</v>
      </c>
      <c r="B6" s="228">
        <v>46112</v>
      </c>
      <c r="C6" s="228"/>
      <c r="D6" s="228"/>
      <c r="E6" s="228"/>
      <c r="F6" s="229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25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8.1499999999999773</v>
      </c>
      <c r="E9" s="196">
        <f>-(C9-D9)/C9</f>
        <v>-0.64456964336182476</v>
      </c>
      <c r="F9" s="197"/>
    </row>
    <row r="10" spans="1:6" x14ac:dyDescent="0.3">
      <c r="A10" s="226"/>
      <c r="B10" s="198" t="s">
        <v>124</v>
      </c>
      <c r="C10" s="81">
        <f>'Monthly KPI'!$E$4</f>
        <v>596.17867760156355</v>
      </c>
      <c r="D10" s="199">
        <f>'Monthly KPI'!$F$4</f>
        <v>622.25000000000591</v>
      </c>
      <c r="E10" s="200">
        <f t="shared" ref="E10:E26" si="0">-(C10-D10)/C10</f>
        <v>4.3730719292625009E-2</v>
      </c>
      <c r="F10" s="201"/>
    </row>
    <row r="11" spans="1:6" ht="15" thickBot="1" x14ac:dyDescent="0.35">
      <c r="A11" s="227"/>
      <c r="B11" s="202" t="s">
        <v>125</v>
      </c>
      <c r="C11" s="84">
        <f>'Annual KPI'!$E$4</f>
        <v>3452.9880600065962</v>
      </c>
      <c r="D11" s="203">
        <f>'Annual KPI'!$F$4</f>
        <v>3395.6999999999962</v>
      </c>
      <c r="E11" s="204">
        <f t="shared" si="0"/>
        <v>-1.6590865363864195E-2</v>
      </c>
      <c r="F11" s="205"/>
    </row>
    <row r="12" spans="1:6" x14ac:dyDescent="0.3">
      <c r="A12" s="225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4.2337310443133859E-2</v>
      </c>
      <c r="E12" s="196">
        <f t="shared" si="0"/>
        <v>-0.64456964336182487</v>
      </c>
      <c r="F12" s="207"/>
    </row>
    <row r="13" spans="1:6" x14ac:dyDescent="0.3">
      <c r="A13" s="226"/>
      <c r="B13" s="198" t="s">
        <v>127</v>
      </c>
      <c r="C13" s="82">
        <f>'Monthly KPI'!$I$4</f>
        <v>0.11911562884943126</v>
      </c>
      <c r="D13" s="208">
        <f>'Monthly KPI'!$J$4</f>
        <v>0.12432464097801024</v>
      </c>
      <c r="E13" s="200">
        <f t="shared" si="0"/>
        <v>4.3730719292624974E-2</v>
      </c>
      <c r="F13" s="201"/>
    </row>
    <row r="14" spans="1:6" ht="15" thickBot="1" x14ac:dyDescent="0.35">
      <c r="A14" s="227"/>
      <c r="B14" s="202" t="s">
        <v>128</v>
      </c>
      <c r="C14" s="86">
        <f>'Annual KPI'!$I$4</f>
        <v>0.15331154889930704</v>
      </c>
      <c r="D14" s="209">
        <f>'Annual KPI'!$J$4</f>
        <v>0.15076797763279315</v>
      </c>
      <c r="E14" s="204">
        <f t="shared" si="0"/>
        <v>-1.659086536386422E-2</v>
      </c>
      <c r="F14" s="205"/>
    </row>
    <row r="15" spans="1:6" x14ac:dyDescent="0.3">
      <c r="A15" s="225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0.76398154183098699</v>
      </c>
      <c r="E15" s="196">
        <f t="shared" si="0"/>
        <v>8.1032421111500608E-2</v>
      </c>
      <c r="F15" s="197"/>
    </row>
    <row r="16" spans="1:6" x14ac:dyDescent="0.3">
      <c r="A16" s="226"/>
      <c r="B16" s="198" t="s">
        <v>130</v>
      </c>
      <c r="C16" s="82">
        <f>'Monthly KPI'!$G$4</f>
        <v>0.70671473575739119</v>
      </c>
      <c r="D16" s="208">
        <f>'Monthly KPI'!$H$4</f>
        <v>0.78520825880848577</v>
      </c>
      <c r="E16" s="200">
        <f t="shared" si="0"/>
        <v>0.11106818505343959</v>
      </c>
      <c r="F16" s="201"/>
    </row>
    <row r="17" spans="1:6" ht="15" thickBot="1" x14ac:dyDescent="0.35">
      <c r="A17" s="227"/>
      <c r="B17" s="202" t="s">
        <v>131</v>
      </c>
      <c r="C17" s="86">
        <f>'Annual KPI'!$G$4</f>
        <v>0.6876163140814433</v>
      </c>
      <c r="D17" s="209">
        <f>'Annual KPI'!$H$4</f>
        <v>0.75369226325485239</v>
      </c>
      <c r="E17" s="204">
        <f t="shared" si="0"/>
        <v>9.6094213910088905E-2</v>
      </c>
      <c r="F17" s="205"/>
    </row>
    <row r="18" spans="1:6" ht="27.9" customHeight="1" x14ac:dyDescent="0.3">
      <c r="A18" s="225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1.33</v>
      </c>
      <c r="E18" s="196">
        <f t="shared" si="0"/>
        <v>-0.67121212121212115</v>
      </c>
      <c r="F18" s="211"/>
    </row>
    <row r="19" spans="1:6" x14ac:dyDescent="0.3">
      <c r="A19" s="226"/>
      <c r="B19" s="198" t="s">
        <v>133</v>
      </c>
      <c r="C19" s="170">
        <f>'Monthly KPI'!$C$4</f>
        <v>105.17419354838709</v>
      </c>
      <c r="D19" s="212">
        <f>'Monthly KPI'!$D$4</f>
        <v>98.8</v>
      </c>
      <c r="E19" s="200">
        <f t="shared" si="0"/>
        <v>-6.0606060606060615E-2</v>
      </c>
      <c r="F19" s="213"/>
    </row>
    <row r="20" spans="1:6" ht="15" thickBot="1" x14ac:dyDescent="0.35">
      <c r="A20" s="227"/>
      <c r="B20" s="202" t="s">
        <v>134</v>
      </c>
      <c r="C20" s="171">
        <f>'Annual KPI'!$C$4</f>
        <v>626.07419354838714</v>
      </c>
      <c r="D20" s="214">
        <f>'Annual KPI'!$D$4</f>
        <v>561.71</v>
      </c>
      <c r="E20" s="204">
        <f t="shared" si="0"/>
        <v>-0.1028060159828527</v>
      </c>
      <c r="F20" s="215"/>
    </row>
    <row r="21" spans="1:6" x14ac:dyDescent="0.3">
      <c r="A21" s="225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0.93229382054676524</v>
      </c>
      <c r="E21" s="196">
        <f t="shared" si="0"/>
        <v>-4.9067910499015509E-2</v>
      </c>
      <c r="F21" s="211"/>
    </row>
    <row r="22" spans="1:6" x14ac:dyDescent="0.3">
      <c r="A22" s="226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0.99630633541164948</v>
      </c>
      <c r="E22" s="200">
        <f t="shared" si="0"/>
        <v>1.6224332325223818E-2</v>
      </c>
      <c r="F22" s="213"/>
    </row>
    <row r="23" spans="1:6" ht="15" thickBot="1" x14ac:dyDescent="0.35">
      <c r="A23" s="227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0.97996958917706667</v>
      </c>
      <c r="E23" s="204">
        <f t="shared" si="0"/>
        <v>-4.3901552726782972E-4</v>
      </c>
      <c r="F23" s="205"/>
    </row>
    <row r="24" spans="1:6" x14ac:dyDescent="0.3">
      <c r="A24" s="225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26"/>
      <c r="B25" s="198" t="s">
        <v>139</v>
      </c>
      <c r="C25" s="208">
        <f>_xlfn.XLOOKUP($B$2,'Modelling New'!$D:$D,'Modelling New'!AF:AF)</f>
        <v>0.98</v>
      </c>
      <c r="D25" s="208">
        <f>'Monthly KPI'!$L$4</f>
        <v>0.97351821269660677</v>
      </c>
      <c r="E25" s="200">
        <f t="shared" si="0"/>
        <v>-6.6140686769318533E-3</v>
      </c>
      <c r="F25" s="201"/>
    </row>
    <row r="26" spans="1:6" ht="15" thickBot="1" x14ac:dyDescent="0.35">
      <c r="A26" s="227"/>
      <c r="B26" s="202" t="s">
        <v>140</v>
      </c>
      <c r="C26" s="209">
        <f>_xlfn.XLOOKUP($B$2,'Modelling New'!$D:$D,'Modelling New'!AF:AF)</f>
        <v>0.98</v>
      </c>
      <c r="D26" s="209">
        <f>'Annual KPI'!$L$4</f>
        <v>0.96022516594398311</v>
      </c>
      <c r="E26" s="204">
        <f t="shared" si="0"/>
        <v>-2.0178402097976406E-2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45864</v>
      </c>
      <c r="D7" s="112">
        <f>'Daily Dashboard'!C9</f>
        <v>22.929949138521675</v>
      </c>
      <c r="E7" s="112">
        <f>'Daily Dashboard'!D9</f>
        <v>8.1499999999999773</v>
      </c>
      <c r="F7" s="112">
        <f>D7-E7</f>
        <v>14.779949138521697</v>
      </c>
    </row>
    <row r="8" spans="2:6" x14ac:dyDescent="0.3">
      <c r="B8" s="110" t="s">
        <v>1058</v>
      </c>
      <c r="C8" s="111">
        <f t="shared" ref="C8:C30" si="0">$C$7</f>
        <v>45864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45864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45864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45864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45864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45864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45864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45864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45864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45864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45864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45864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45864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45864</v>
      </c>
      <c r="D21" s="110">
        <f>'Daily Dashboard'!C21*100</f>
        <v>98.04</v>
      </c>
      <c r="E21" s="110">
        <f>'Daily Dashboard'!D21*100</f>
        <v>93.22938205467652</v>
      </c>
      <c r="F21" s="110">
        <f>E21-D21</f>
        <v>-4.8106179453234859</v>
      </c>
      <c r="G21" s="113">
        <f>(F21/100)*$D$7</f>
        <v>-1.1030722481112718</v>
      </c>
    </row>
    <row r="22" spans="2:7" x14ac:dyDescent="0.3">
      <c r="B22" s="110" t="s">
        <v>1072</v>
      </c>
      <c r="C22" s="111">
        <f t="shared" si="0"/>
        <v>45864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45864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45864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45864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45864</v>
      </c>
      <c r="D26" s="114">
        <f>'Daily Dashboard'!$D$9</f>
        <v>8.1499999999999773</v>
      </c>
      <c r="E26" s="114">
        <f>'Daily Dashboard'!$D$9</f>
        <v>8.1499999999999773</v>
      </c>
      <c r="F26" s="114">
        <f>'Daily Dashboard'!$D$9</f>
        <v>8.1499999999999773</v>
      </c>
    </row>
    <row r="27" spans="2:7" x14ac:dyDescent="0.3">
      <c r="B27" s="110" t="s">
        <v>1076</v>
      </c>
      <c r="C27" s="111">
        <f t="shared" si="0"/>
        <v>45864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45864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45864</v>
      </c>
      <c r="D29" s="110">
        <v>0</v>
      </c>
      <c r="E29" s="112">
        <f>-(F7+G30)+(SUM(G21:G23))</f>
        <v>-3.3562603309352124E-2</v>
      </c>
      <c r="F29" s="112">
        <f>E29</f>
        <v>-3.3562603309352124E-2</v>
      </c>
    </row>
    <row r="30" spans="2:7" x14ac:dyDescent="0.3">
      <c r="B30" s="110" t="s">
        <v>1079</v>
      </c>
      <c r="C30" s="111">
        <f t="shared" si="0"/>
        <v>45864</v>
      </c>
      <c r="D30" s="110">
        <f>'Daily Dashboard'!C18</f>
        <v>4.0451612903225804</v>
      </c>
      <c r="E30" s="115">
        <f>'Daily Dashboard'!D18</f>
        <v>1.33</v>
      </c>
      <c r="F30" s="110">
        <f>E30-D30</f>
        <v>-2.7151612903225804</v>
      </c>
      <c r="G30" s="109">
        <f>(F30/D30)*D7</f>
        <v>-15.390859800553184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45864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117</v>
      </c>
      <c r="C4" s="41">
        <f>_xlfn.XLOOKUP($C$1,'Modelling New'!$D:$D,'Modelling New'!S:S)</f>
        <v>626.07419354838714</v>
      </c>
      <c r="D4" s="42">
        <f>SUMIFS('Daily KPI'!$I:$I,'Daily KPI'!$B:$B,'Annual KPI'!$A$4,'Daily KPI'!$A:$A,"&lt;="&amp;'Annual KPI'!$B$1)</f>
        <v>561.71</v>
      </c>
      <c r="E4" s="41">
        <f>_xlfn.XLOOKUP($C$1,'Modelling New'!$D:$D,'Modelling New'!V:V)</f>
        <v>3452.9880600065962</v>
      </c>
      <c r="F4" s="42">
        <f>SUMIFS('Daily KPI'!$AA:$AA,'Daily KPI'!$B:$B,'Annual KPI'!$A$4,'Daily KPI'!$A:$A,"&lt;="&amp;'Annual KPI'!$B$1)/1000</f>
        <v>3395.6999999999962</v>
      </c>
      <c r="G4" s="43">
        <f>IFERROR(E4/C4/'Modelling New'!$AR$1,"")</f>
        <v>0.6876163140814433</v>
      </c>
      <c r="H4" s="44">
        <f>IFERROR(F4/D4/'Modelling New'!$AR$1,"")</f>
        <v>0.75369226325485239</v>
      </c>
      <c r="I4" s="43">
        <f>IFERROR(E4/(B4*24*'Modelling New'!$AR$1),"")</f>
        <v>0.15331154889930704</v>
      </c>
      <c r="J4" s="44">
        <f>IFERROR(F4/(B4*24*'Modelling New'!$AR$1),"")</f>
        <v>0.15076797763279315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0.96022516594398311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0.97996958917706667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26</v>
      </c>
      <c r="C13" s="34">
        <f>_xlfn.XLOOKUP($A13,'Modelling New'!$D:$D,'Modelling New'!$R:$R)</f>
        <v>105.17419354838709</v>
      </c>
      <c r="D13" s="35">
        <f>SUMIF('Daily KPI'!$D:$D,A13,'Daily KPI'!I:I)</f>
        <v>98.8</v>
      </c>
      <c r="E13" s="34">
        <f>_xlfn.XLOOKUP($A13,'Modelling New'!$D:$D,'Modelling New'!$U:$U)</f>
        <v>596.17867760156355</v>
      </c>
      <c r="F13" s="35">
        <f>SUMIF('Daily KPI'!$D:$D,A13,'Daily KPI'!$AA:$AA)/1000</f>
        <v>622.25000000000591</v>
      </c>
      <c r="G13" s="36">
        <f>IFERROR(E13/C13/'Modelling New'!$AR$1,"")</f>
        <v>0.70671473575739119</v>
      </c>
      <c r="H13" s="37">
        <f>IFERROR(F13/D13/'Modelling New'!$AR$1,"")</f>
        <v>0.78520825880848577</v>
      </c>
      <c r="I13" s="36">
        <f>IFERROR(E13/(B13*24*'Modelling New'!$AR$1),"")</f>
        <v>0.11911562884943126</v>
      </c>
      <c r="J13" s="37">
        <f>IFERROR(F13/(B13*24*'Modelling New'!$AR$1),"")</f>
        <v>0.12432464097801024</v>
      </c>
      <c r="K13" s="36">
        <f>_xlfn.XLOOKUP($A13,'Modelling New'!$D:$D,'Modelling New'!AF:AF)</f>
        <v>0.98</v>
      </c>
      <c r="L13" s="37">
        <f>IFERROR(AVERAGEIF('Daily KPI'!$D:$D,$A13,'Daily KPI'!$R:$R),"")</f>
        <v>0.97351821269660677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0.99630633541164948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45864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26</v>
      </c>
      <c r="C4" s="168">
        <f>_xlfn.XLOOKUP($A$4,'Modelling New'!$D:$D,'Modelling New'!$R:$R)</f>
        <v>105.17419354838709</v>
      </c>
      <c r="D4" s="65">
        <f>SUMIF('Daily KPI'!$D:$D,'Monthly KPI'!A4,'Daily KPI'!$I:$I)</f>
        <v>98.8</v>
      </c>
      <c r="E4" s="34">
        <f>_xlfn.XLOOKUP($A$4,'Modelling New'!$D:$D,'Modelling New'!U:U)</f>
        <v>596.17867760156355</v>
      </c>
      <c r="F4" s="65">
        <f>SUMIF('Daily KPI'!$D:$D,'Monthly KPI'!A4,'Daily KPI'!AA:AA)/1000</f>
        <v>622.25000000000591</v>
      </c>
      <c r="G4" s="36">
        <f>IFERROR(E4/C4/'Modelling New'!$AR$1,"")</f>
        <v>0.70671473575739119</v>
      </c>
      <c r="H4" s="37">
        <f>IFERROR(F4/D4/'Modelling New'!$AR$1,"")</f>
        <v>0.78520825880848577</v>
      </c>
      <c r="I4" s="36">
        <f>IFERROR(E4/(B4*24*'Modelling New'!$AR$1),"")</f>
        <v>0.11911562884943126</v>
      </c>
      <c r="J4" s="37">
        <f>IFERROR(F4/(B4*24*'Modelling New'!$AR$1),"")</f>
        <v>0.12432464097801024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0.97351821269660677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0.99630633541164948</v>
      </c>
    </row>
    <row r="7" spans="1:14" x14ac:dyDescent="0.3">
      <c r="A7" s="47" t="s">
        <v>326</v>
      </c>
      <c r="B7" s="48">
        <f>B8-6</f>
        <v>45858</v>
      </c>
    </row>
    <row r="8" spans="1:14" x14ac:dyDescent="0.3">
      <c r="A8" s="47" t="s">
        <v>327</v>
      </c>
      <c r="B8" s="48">
        <f>B1</f>
        <v>45864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20.46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128.4999999999971</v>
      </c>
      <c r="G12" s="36">
        <f>IFERROR(E12/C12/'Modelling New'!$AR$1,"")</f>
        <v>0.7067147357573913</v>
      </c>
      <c r="H12" s="37">
        <f>IFERROR(F12/D12/'Modelling New'!$AR$1,"")</f>
        <v>0.78302277918681518</v>
      </c>
      <c r="I12" s="36">
        <f>IFERROR(E12/(B12*24*'Modelling New'!$AR$1),"")</f>
        <v>0.11911562884943129</v>
      </c>
      <c r="J12" s="37">
        <f>IFERROR(F12/(B12*24*'Modelling New'!$AR$1),"")</f>
        <v>9.5360988465251428E-2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0.96797902169877426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0.98869120741495919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26</v>
      </c>
      <c r="R89" s="155">
        <f t="shared" si="37"/>
        <v>105.17419354838709</v>
      </c>
      <c r="S89" s="163">
        <f>SUMIF($F$2:F89,F89,$R$2:R89)</f>
        <v>626.07419354838714</v>
      </c>
      <c r="T89" s="154">
        <f t="shared" si="38"/>
        <v>22.929949138521675</v>
      </c>
      <c r="U89" s="155">
        <f t="shared" si="39"/>
        <v>596.17867760156355</v>
      </c>
      <c r="V89" s="163">
        <f>SUMIF($F$2:F89,F89,$U$2:U89)</f>
        <v>3452.9880600065962</v>
      </c>
      <c r="W89" s="156">
        <f t="shared" si="40"/>
        <v>0.11911562884943125</v>
      </c>
      <c r="X89" s="156">
        <f t="shared" si="32"/>
        <v>0.11911562884943126</v>
      </c>
      <c r="Y89" s="156">
        <f t="shared" si="33"/>
        <v>0.15331154889930701</v>
      </c>
      <c r="Z89" s="154">
        <f>IFERROR(AVERAGEIF('Daily KPI'!$D:$D,Table14[[#This Row],[Month]],'Daily KPI'!$AB:$AB),"")</f>
        <v>8.0209000000000046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626.07419354838714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3452.9880600065962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0.15331154889930701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626.07419354838714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3452.9880600065962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0.15331154889930701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626.07419354838714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3452.9880600065962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0.15331154889930701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626.07419354838714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3452.9880600065962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0.15331154889930701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626.07419354838714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3452.9880600065962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0.15331154889930701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626.07419354838714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3452.9880600065962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0.15331154889930701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626.07419354838714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3452.9880600065962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0.15331154889930701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626.07419354838714</v>
      </c>
      <c r="T97" s="154">
        <f>M97/G97</f>
        <v>38.219028541703686</v>
      </c>
      <c r="U97" s="155">
        <f>M97/G97*Q97</f>
        <v>0</v>
      </c>
      <c r="V97" s="163">
        <f>SUMIF($F$2:F97,F97,$U$2:U97)</f>
        <v>3452.9880600065962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0.15331154889930701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>
        <f>IFERROR(_xlfn.XLOOKUP($A119,'Raw Data'!$G:$G,'Raw Data'!$AM:$AM),"")</f>
        <v>11.95</v>
      </c>
      <c r="G119" s="137">
        <f>IFERROR(_xlfn.XLOOKUP($A119,'Raw Data'!$G:$G,'Raw Data'!$AB:$AB),"")</f>
        <v>0</v>
      </c>
      <c r="H119" s="137"/>
      <c r="I119" s="137">
        <f>IFERROR(_xlfn.XLOOKUP($A119,'Raw Data'!$G:$G,'Raw Data'!$AC:$AC),"")</f>
        <v>2.06</v>
      </c>
      <c r="J119" s="137"/>
      <c r="K119" s="137">
        <f>IFERROR(_xlfn.XLOOKUP($A119,'Raw Data'!$G:$G,'Raw Data'!AD:AD),"")</f>
        <v>0</v>
      </c>
      <c r="L119" s="137">
        <f>IFERROR(_xlfn.XLOOKUP($A119,'Raw Data'!$G:$G,'Raw Data'!AE:AE),"")</f>
        <v>28.75</v>
      </c>
      <c r="M119" s="137">
        <f>IFERROR(_xlfn.XLOOKUP($A119,'Raw Data'!$G:$G,'Raw Data'!AF:AF),"")</f>
        <v>0</v>
      </c>
      <c r="N119" s="137">
        <f>IFERROR(_xlfn.XLOOKUP($A119,'Raw Data'!$G:$G,'Raw Data'!AG:AG),"")</f>
        <v>0</v>
      </c>
      <c r="O119" s="138">
        <f>IFERROR(1-SUMIF('Plant BD'!$H:$H,$A119,'Plant BD'!$AE:$AE)/($AA119+SUMIF('Plant BD'!$H:$H,$A119,'Plant BD'!$AE:$AE)),"")</f>
        <v>1</v>
      </c>
      <c r="P119" s="138"/>
      <c r="Q119" s="139"/>
      <c r="R119" s="138">
        <f>IFERROR(1-SUMIF('Grid BD'!$H:$H,$A119,'Grid BD'!$AD:$AD)/($AA119+SUMIF('Grid BD'!$H:$H,$A119,'Grid BD'!$AD:$AD)),"")</f>
        <v>0.94846503020142114</v>
      </c>
      <c r="T119" s="139"/>
      <c r="U119" s="140">
        <f t="shared" si="9"/>
        <v>0.7504665904983413</v>
      </c>
      <c r="V119" s="140"/>
      <c r="W119" s="141">
        <f t="shared" si="10"/>
        <v>6.4415049017774284E-2</v>
      </c>
      <c r="X119" s="133">
        <f>IFERROR(_xlfn.XLOOKUP($A119,'Raw Data'!$G:$G,'Raw Data'!AI:AI),"")</f>
        <v>12613.4</v>
      </c>
      <c r="Y119" s="133">
        <f>IFERROR(_xlfn.XLOOKUP($A119,'Raw Data'!$G:$G,'Raw Data'!AJ:AJ),"")</f>
        <v>12500</v>
      </c>
      <c r="Z119" s="133">
        <f>IFERROR(_xlfn.XLOOKUP($A119,'Raw Data'!$G:$G,'Raw Data'!AK:AK),"")</f>
        <v>100.00000000002274</v>
      </c>
      <c r="AA119" s="133">
        <f>IFERROR(_xlfn.XLOOKUP($A119,'Raw Data'!$G:$G,'Raw Data'!AL:AL),"")</f>
        <v>12399.999999999978</v>
      </c>
      <c r="AB119" s="133">
        <f>IFERROR(_xlfn.XLOOKUP($A119,'Raw Data'!$G:$G,'Raw Data'!H:H),"")</f>
        <v>8.0208999999999993</v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>
        <f>IFERROR(_xlfn.XLOOKUP($A120,'Raw Data'!$G:$G,'Raw Data'!$AM:$AM),"")</f>
        <v>11.933333333333332</v>
      </c>
      <c r="G120" s="137">
        <f>IFERROR(_xlfn.XLOOKUP($A120,'Raw Data'!$G:$G,'Raw Data'!$AB:$AB),"")</f>
        <v>0</v>
      </c>
      <c r="H120" s="137"/>
      <c r="I120" s="137">
        <f>IFERROR(_xlfn.XLOOKUP($A120,'Raw Data'!$G:$G,'Raw Data'!$AC:$AC),"")</f>
        <v>1.83</v>
      </c>
      <c r="J120" s="137"/>
      <c r="K120" s="137">
        <f>IFERROR(_xlfn.XLOOKUP($A120,'Raw Data'!$G:$G,'Raw Data'!AD:AD),"")</f>
        <v>0</v>
      </c>
      <c r="L120" s="137">
        <f>IFERROR(_xlfn.XLOOKUP($A120,'Raw Data'!$G:$G,'Raw Data'!AE:AE),"")</f>
        <v>27.27</v>
      </c>
      <c r="M120" s="137">
        <f>IFERROR(_xlfn.XLOOKUP($A120,'Raw Data'!$G:$G,'Raw Data'!AF:AF),"")</f>
        <v>0</v>
      </c>
      <c r="N120" s="137">
        <f>IFERROR(_xlfn.XLOOKUP($A120,'Raw Data'!$G:$G,'Raw Data'!AG:AG),"")</f>
        <v>0</v>
      </c>
      <c r="O120" s="138">
        <f>IFERROR(1-SUMIF('Plant BD'!$H:$H,$A120,'Plant BD'!$AE:$AE)/($AA120+SUMIF('Plant BD'!$H:$H,$A120,'Plant BD'!$AE:$AE)),"")</f>
        <v>1</v>
      </c>
      <c r="P120" s="138"/>
      <c r="Q120" s="139"/>
      <c r="R120" s="138">
        <f>IFERROR(1-SUMIF('Grid BD'!$H:$H,$A120,'Grid BD'!$AD:$AD)/($AA120+SUMIF('Grid BD'!$H:$H,$A120,'Grid BD'!$AD:$AD)),"")</f>
        <v>1</v>
      </c>
      <c r="T120" s="139"/>
      <c r="U120" s="140">
        <f t="shared" si="9"/>
        <v>0.86522593604011067</v>
      </c>
      <c r="V120" s="140"/>
      <c r="W120" s="141">
        <f t="shared" si="10"/>
        <v>6.5973477623058427E-2</v>
      </c>
      <c r="X120" s="133">
        <f>IFERROR(_xlfn.XLOOKUP($A120,'Raw Data'!$G:$G,'Raw Data'!AI:AI),"")</f>
        <v>12884.9</v>
      </c>
      <c r="Y120" s="133">
        <f>IFERROR(_xlfn.XLOOKUP($A120,'Raw Data'!$G:$G,'Raw Data'!AJ:AJ),"")</f>
        <v>12800.00000000291</v>
      </c>
      <c r="Z120" s="133">
        <f>IFERROR(_xlfn.XLOOKUP($A120,'Raw Data'!$G:$G,'Raw Data'!AK:AK),"")</f>
        <v>99.999999999965894</v>
      </c>
      <c r="AA120" s="133">
        <f>IFERROR(_xlfn.XLOOKUP($A120,'Raw Data'!$G:$G,'Raw Data'!AL:AL),"")</f>
        <v>12700.000000002945</v>
      </c>
      <c r="AB120" s="133">
        <f>IFERROR(_xlfn.XLOOKUP($A120,'Raw Data'!$G:$G,'Raw Data'!H:H),"")</f>
        <v>8.0208999999999993</v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>
        <f>IFERROR(_xlfn.XLOOKUP($A121,'Raw Data'!$G:$G,'Raw Data'!$AM:$AM),"")</f>
        <v>11.916666666666666</v>
      </c>
      <c r="G121" s="137">
        <f>IFERROR(_xlfn.XLOOKUP($A121,'Raw Data'!$G:$G,'Raw Data'!$AB:$AB),"")</f>
        <v>0</v>
      </c>
      <c r="H121" s="137"/>
      <c r="I121" s="137">
        <f>IFERROR(_xlfn.XLOOKUP($A121,'Raw Data'!$G:$G,'Raw Data'!$AC:$AC),"")</f>
        <v>1.33</v>
      </c>
      <c r="J121" s="137"/>
      <c r="K121" s="137">
        <f>IFERROR(_xlfn.XLOOKUP($A121,'Raw Data'!$G:$G,'Raw Data'!AD:AD),"")</f>
        <v>0</v>
      </c>
      <c r="L121" s="137">
        <f>IFERROR(_xlfn.XLOOKUP($A121,'Raw Data'!$G:$G,'Raw Data'!AE:AE),"")</f>
        <v>25.51</v>
      </c>
      <c r="M121" s="137">
        <f>IFERROR(_xlfn.XLOOKUP($A121,'Raw Data'!$G:$G,'Raw Data'!AF:AF),"")</f>
        <v>0</v>
      </c>
      <c r="N121" s="137">
        <f>IFERROR(_xlfn.XLOOKUP($A121,'Raw Data'!$G:$G,'Raw Data'!AG:AG),"")</f>
        <v>0</v>
      </c>
      <c r="O121" s="138">
        <f>IFERROR(1-SUMIF('Plant BD'!$H:$H,$A121,'Plant BD'!$AE:$AE)/($AA121+SUMIF('Plant BD'!$H:$H,$A121,'Plant BD'!$AE:$AE)),"")</f>
        <v>0.93229382054676524</v>
      </c>
      <c r="P121" s="138"/>
      <c r="Q121" s="139"/>
      <c r="R121" s="138">
        <f>IFERROR(1-SUMIF('Grid BD'!$H:$H,$A121,'Grid BD'!$AD:$AD)/($AA121+SUMIF('Grid BD'!$H:$H,$A121,'Grid BD'!$AD:$AD)),"")</f>
        <v>1</v>
      </c>
      <c r="T121" s="139"/>
      <c r="U121" s="140">
        <f t="shared" si="9"/>
        <v>0.76398154183098699</v>
      </c>
      <c r="V121" s="140"/>
      <c r="W121" s="141">
        <f t="shared" si="10"/>
        <v>4.2337310443133859E-2</v>
      </c>
      <c r="X121" s="133">
        <f>IFERROR(_xlfn.XLOOKUP($A121,'Raw Data'!$G:$G,'Raw Data'!AI:AI),"")</f>
        <v>8306.6</v>
      </c>
      <c r="Y121" s="133">
        <f>IFERROR(_xlfn.XLOOKUP($A121,'Raw Data'!$G:$G,'Raw Data'!AJ:AJ),"")</f>
        <v>8250</v>
      </c>
      <c r="Z121" s="133">
        <f>IFERROR(_xlfn.XLOOKUP($A121,'Raw Data'!$G:$G,'Raw Data'!AK:AK),"")</f>
        <v>100.00000000002274</v>
      </c>
      <c r="AA121" s="133">
        <f>IFERROR(_xlfn.XLOOKUP($A121,'Raw Data'!$G:$G,'Raw Data'!AL:AL),"")</f>
        <v>8149.9999999999773</v>
      </c>
      <c r="AB121" s="133">
        <f>IFERROR(_xlfn.XLOOKUP($A121,'Raw Data'!$G:$G,'Raw Data'!H:H),"")</f>
        <v>8.0208999999999993</v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 t="str">
        <f>IFERROR(_xlfn.XLOOKUP($A122,'Raw Data'!$G:$G,'Raw Data'!$AM:$AM),"")</f>
        <v/>
      </c>
      <c r="G122" s="137" t="str">
        <f>IFERROR(_xlfn.XLOOKUP($A122,'Raw Data'!$G:$G,'Raw Data'!$AB:$AB),"")</f>
        <v/>
      </c>
      <c r="H122" s="137"/>
      <c r="I122" s="137" t="str">
        <f>IFERROR(_xlfn.XLOOKUP($A122,'Raw Data'!$G:$G,'Raw Data'!$AC:$AC),"")</f>
        <v/>
      </c>
      <c r="J122" s="137"/>
      <c r="K122" s="137" t="str">
        <f>IFERROR(_xlfn.XLOOKUP($A122,'Raw Data'!$G:$G,'Raw Data'!AD:AD),"")</f>
        <v/>
      </c>
      <c r="L122" s="137" t="str">
        <f>IFERROR(_xlfn.XLOOKUP($A122,'Raw Data'!$G:$G,'Raw Data'!AE:AE),"")</f>
        <v/>
      </c>
      <c r="M122" s="137" t="str">
        <f>IFERROR(_xlfn.XLOOKUP($A122,'Raw Data'!$G:$G,'Raw Data'!AF:AF),"")</f>
        <v/>
      </c>
      <c r="N122" s="137" t="str">
        <f>IFERROR(_xlfn.XLOOKUP($A122,'Raw Data'!$G:$G,'Raw Data'!AG:AG),"")</f>
        <v/>
      </c>
      <c r="O122" s="138" t="str">
        <f>IFERROR(1-SUMIF('Plant BD'!$H:$H,$A122,'Plant BD'!$AE:$AE)/($AA122+SUMIF('Plant BD'!$H:$H,$A122,'Plant BD'!$AE:$AE)),"")</f>
        <v/>
      </c>
      <c r="P122" s="138"/>
      <c r="Q122" s="139"/>
      <c r="R122" s="138" t="str">
        <f>IFERROR(1-SUMIF('Grid BD'!$H:$H,$A122,'Grid BD'!$AD:$AD)/($AA122+SUMIF('Grid BD'!$H:$H,$A122,'Grid BD'!$AD:$AD)),"")</f>
        <v/>
      </c>
      <c r="T122" s="139"/>
      <c r="U122" s="140" t="str">
        <f t="shared" si="9"/>
        <v/>
      </c>
      <c r="V122" s="140"/>
      <c r="W122" s="141" t="str">
        <f t="shared" si="10"/>
        <v/>
      </c>
      <c r="X122" s="133" t="str">
        <f>IFERROR(_xlfn.XLOOKUP($A122,'Raw Data'!$G:$G,'Raw Data'!AI:AI),"")</f>
        <v/>
      </c>
      <c r="Y122" s="133" t="str">
        <f>IFERROR(_xlfn.XLOOKUP($A122,'Raw Data'!$G:$G,'Raw Data'!AJ:AJ),"")</f>
        <v/>
      </c>
      <c r="Z122" s="133" t="str">
        <f>IFERROR(_xlfn.XLOOKUP($A122,'Raw Data'!$G:$G,'Raw Data'!AK:AK),"")</f>
        <v/>
      </c>
      <c r="AA122" s="133" t="str">
        <f>IFERROR(_xlfn.XLOOKUP($A122,'Raw Data'!$G:$G,'Raw Data'!AL:AL),"")</f>
        <v/>
      </c>
      <c r="AB122" s="133" t="str">
        <f>IFERROR(_xlfn.XLOOKUP($A122,'Raw Data'!$G:$G,'Raw Data'!H:H),"")</f>
        <v/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4"/>
  <sheetViews>
    <sheetView topLeftCell="A3" zoomScaleNormal="100" workbookViewId="0">
      <pane xSplit="7" ySplit="1" topLeftCell="S110" activePane="bottomRight" state="frozen"/>
      <selection activeCell="A3" sqref="A3"/>
      <selection pane="topRight" activeCell="H3" sqref="H3"/>
      <selection pane="bottomLeft" activeCell="A4" sqref="A4"/>
      <selection pane="bottomRight" activeCell="W123" sqref="W123:AA123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3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A121" s="222">
        <f>YEAR(Table3[[#This Row],[Date]])+IF(MONTH(Table3[[#This Row],[Date]])&gt;=4,1,0)</f>
        <v>2026</v>
      </c>
      <c r="B121" s="60">
        <f>YEAR(Table3[[#This Row],[Date]])</f>
        <v>2025</v>
      </c>
      <c r="C121" s="60" t="s">
        <v>1082</v>
      </c>
      <c r="D121" s="60" t="s">
        <v>1082</v>
      </c>
      <c r="E121" s="6" t="str">
        <f>TEXT(Table3[[#This Row],[Date]],"mmm-yy")</f>
        <v>Jul-25</v>
      </c>
      <c r="F121" s="60">
        <f>DAY(EOMONTH(Table3[[#This Row],[Month Year]],0))</f>
        <v>31</v>
      </c>
      <c r="G121" s="63">
        <f t="shared" si="7"/>
        <v>45862</v>
      </c>
      <c r="H121" s="18">
        <f>'Modelling New'!$AR$1</f>
        <v>8.0208999999999993</v>
      </c>
      <c r="I121" s="120">
        <v>0.27916666666666667</v>
      </c>
      <c r="J121" s="120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96">
        <f>SUM(Table3[[#This Row],[Inv1_U1]:[Inv1_U4]])</f>
        <v>4251.8</v>
      </c>
      <c r="X121" s="97">
        <f>SUM(Table3[[#This Row],[Inv2_U1]:[Inv2_U4]])</f>
        <v>4050.5</v>
      </c>
      <c r="Y121" s="98">
        <f>SUM(Table3[[#This Row],[Inv3_U1]:[Inv3_U4]])</f>
        <v>4311.1000000000004</v>
      </c>
      <c r="Z121" s="64">
        <v>90948.7</v>
      </c>
      <c r="AA121" s="64">
        <v>407.8</v>
      </c>
      <c r="AB121" s="60"/>
      <c r="AC121" s="88">
        <v>2.06</v>
      </c>
      <c r="AD121" s="95">
        <v>0</v>
      </c>
      <c r="AE121" s="88">
        <v>28.75</v>
      </c>
      <c r="AF121" s="88">
        <v>0</v>
      </c>
      <c r="AG121" s="88">
        <v>0</v>
      </c>
      <c r="AH121" s="60"/>
      <c r="AI121" s="17">
        <f>SUM(Table3[[#This Row],[Inv1]:[Inv3]])</f>
        <v>12613.4</v>
      </c>
      <c r="AJ121" s="17">
        <f>IF((Table3[[#This Row],[33 kV Outgoinng Export Reading]]-Z120)*1000&gt;0,(Table3[[#This Row],[33 kV Outgoinng Export Reading]]-Z120)*1000,0)</f>
        <v>12500</v>
      </c>
      <c r="AK121" s="17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77">
        <f>IFERROR((J121-I121)*24,"")</f>
        <v>11.95</v>
      </c>
    </row>
    <row r="122" spans="1:39" x14ac:dyDescent="0.3">
      <c r="A122" s="222">
        <f>YEAR(Table3[[#This Row],[Date]])+IF(MONTH(Table3[[#This Row],[Date]])&gt;=4,1,0)</f>
        <v>2026</v>
      </c>
      <c r="B122" s="60">
        <f>YEAR(Table3[[#This Row],[Date]])</f>
        <v>2025</v>
      </c>
      <c r="C122" s="60" t="s">
        <v>1082</v>
      </c>
      <c r="D122" s="60" t="s">
        <v>1082</v>
      </c>
      <c r="E122" s="6" t="str">
        <f>TEXT(Table3[[#This Row],[Date]],"mmm-yy")</f>
        <v>Jul-25</v>
      </c>
      <c r="F122" s="60">
        <f>DAY(EOMONTH(Table3[[#This Row],[Month Year]],0))</f>
        <v>31</v>
      </c>
      <c r="G122" s="63">
        <f t="shared" si="7"/>
        <v>45863</v>
      </c>
      <c r="H122" s="18">
        <f>'Modelling New'!$AR$1</f>
        <v>8.0208999999999993</v>
      </c>
      <c r="I122" s="120">
        <v>0.26527777777777778</v>
      </c>
      <c r="J122" s="120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96">
        <f>SUM(Table3[[#This Row],[Inv1_U1]:[Inv1_U4]])</f>
        <v>4352.5</v>
      </c>
      <c r="X122" s="97">
        <f>SUM(Table3[[#This Row],[Inv2_U1]:[Inv2_U4]])</f>
        <v>4158.8999999999996</v>
      </c>
      <c r="Y122" s="98">
        <f>SUM(Table3[[#This Row],[Inv3_U1]:[Inv3_U4]])</f>
        <v>4373.5</v>
      </c>
      <c r="Z122" s="64">
        <v>90961.5</v>
      </c>
      <c r="AA122" s="64">
        <v>407.9</v>
      </c>
      <c r="AB122" s="60"/>
      <c r="AC122" s="88">
        <v>1.83</v>
      </c>
      <c r="AD122" s="95">
        <v>0</v>
      </c>
      <c r="AE122" s="88">
        <v>27.27</v>
      </c>
      <c r="AF122" s="88">
        <v>0</v>
      </c>
      <c r="AG122" s="88">
        <v>0</v>
      </c>
      <c r="AH122" s="60"/>
      <c r="AI122" s="17">
        <f>SUM(Table3[[#This Row],[Inv1]:[Inv3]])</f>
        <v>12884.9</v>
      </c>
      <c r="AJ122" s="17">
        <f>IF((Table3[[#This Row],[33 kV Outgoinng Export Reading]]-Z121)*1000&gt;0,(Table3[[#This Row],[33 kV Outgoinng Export Reading]]-Z121)*1000,0)</f>
        <v>12800.00000000291</v>
      </c>
      <c r="AK122" s="17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77">
        <f>IFERROR((J122-I122)*24,"")</f>
        <v>11.933333333333332</v>
      </c>
    </row>
    <row r="123" spans="1:39" x14ac:dyDescent="0.3">
      <c r="A123" s="222">
        <f>YEAR(Table3[[#This Row],[Date]])+IF(MONTH(Table3[[#This Row],[Date]])&gt;=4,1,0)</f>
        <v>2026</v>
      </c>
      <c r="B123" s="60">
        <f>YEAR(Table3[[#This Row],[Date]])</f>
        <v>2025</v>
      </c>
      <c r="C123" s="60" t="s">
        <v>1082</v>
      </c>
      <c r="D123" s="60" t="s">
        <v>1082</v>
      </c>
      <c r="E123" s="6" t="str">
        <f>TEXT(Table3[[#This Row],[Date]],"mmm-yy")</f>
        <v>Jul-25</v>
      </c>
      <c r="F123" s="60">
        <f>DAY(EOMONTH(Table3[[#This Row],[Month Year]],0))</f>
        <v>31</v>
      </c>
      <c r="G123" s="63">
        <f t="shared" si="7"/>
        <v>45864</v>
      </c>
      <c r="H123" s="18">
        <f>'Modelling New'!$AR$1</f>
        <v>8.0208999999999993</v>
      </c>
      <c r="I123" s="120">
        <v>0.26527777777777778</v>
      </c>
      <c r="J123" s="120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96">
        <f>SUM(Table3[[#This Row],[Inv1_U1]:[Inv1_U4]])</f>
        <v>3145.6</v>
      </c>
      <c r="X123" s="97">
        <f>SUM(Table3[[#This Row],[Inv2_U1]:[Inv2_U4]])</f>
        <v>1976.8999999999999</v>
      </c>
      <c r="Y123" s="98">
        <f>SUM(Table3[[#This Row],[Inv3_U1]:[Inv3_U4]])</f>
        <v>3184.1</v>
      </c>
      <c r="Z123" s="64">
        <v>90969.75</v>
      </c>
      <c r="AA123" s="64">
        <v>408</v>
      </c>
      <c r="AB123" s="60"/>
      <c r="AC123" s="88">
        <v>1.33</v>
      </c>
      <c r="AD123" s="95">
        <v>0</v>
      </c>
      <c r="AE123" s="88">
        <v>25.51</v>
      </c>
      <c r="AF123" s="88">
        <v>0</v>
      </c>
      <c r="AG123" s="88">
        <v>0</v>
      </c>
      <c r="AH123" s="60"/>
      <c r="AI123" s="17">
        <f>SUM(Table3[[#This Row],[Inv1]:[Inv3]])</f>
        <v>8306.6</v>
      </c>
      <c r="AJ123" s="17">
        <f>IF((Table3[[#This Row],[33 kV Outgoinng Export Reading]]-Z122)*1000&gt;0,(Table3[[#This Row],[33 kV Outgoinng Export Reading]]-Z122)*1000,0)</f>
        <v>8250</v>
      </c>
      <c r="AK123" s="17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77">
        <f>IFERROR((J123-I123)*24,"")</f>
        <v>11.916666666666666</v>
      </c>
    </row>
    <row r="124" spans="1:39" x14ac:dyDescent="0.3"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96"/>
      <c r="X124" s="97"/>
      <c r="Y124" s="98"/>
      <c r="Z124" s="64"/>
      <c r="AA124" s="64"/>
      <c r="AB124" s="60"/>
      <c r="AC124" s="88"/>
      <c r="AD124" s="95"/>
      <c r="AE124" s="88"/>
      <c r="AF124" s="88"/>
      <c r="AG124" s="88"/>
      <c r="AH124" s="60"/>
      <c r="AI124" s="17"/>
      <c r="AJ124" s="17"/>
      <c r="AK124" s="17"/>
      <c r="AL124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39"/>
  <sheetViews>
    <sheetView topLeftCell="E2" zoomScaleNormal="100" workbookViewId="0">
      <pane xSplit="4" ySplit="2" topLeftCell="I113" activePane="bottomRight" state="frozen"/>
      <selection activeCell="E2" sqref="E2"/>
      <selection pane="topRight" activeCell="I2" sqref="I2"/>
      <selection pane="bottomLeft" activeCell="E4" sqref="E4"/>
      <selection pane="bottomRight" activeCell="J98" sqref="J98:Z239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67" si="5">DAY(EOMONTH(F36,0))</f>
        <v>30</v>
      </c>
      <c r="H36" s="246">
        <f t="shared" ref="H36:H67" si="6">H35+1</f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8" si="7">IFERROR(AVERAGEIF(V36:X36,"&gt;"&amp;0,V36:X36),"")</f>
        <v>4.9981371636650422</v>
      </c>
      <c r="Z36" s="1">
        <f t="shared" ref="Z36:Z98" si="8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246">
        <f t="shared" si="6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246">
        <f t="shared" si="6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246">
        <f t="shared" si="6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246">
        <f t="shared" si="6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246">
        <f t="shared" si="6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246">
        <f t="shared" si="6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246">
        <f t="shared" si="6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246">
        <f t="shared" si="6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246">
        <f t="shared" si="6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246">
        <f t="shared" si="6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246">
        <f t="shared" si="6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246">
        <f t="shared" si="6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246">
        <f t="shared" si="6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246">
        <f t="shared" si="6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246">
        <f t="shared" si="6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246">
        <f t="shared" si="6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246">
        <f t="shared" si="6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246">
        <f t="shared" si="6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246">
        <f t="shared" si="6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246">
        <f t="shared" si="6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246">
        <f t="shared" si="6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246">
        <f t="shared" si="6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246">
        <f t="shared" si="6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246">
        <f t="shared" si="6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246">
        <f t="shared" si="6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246">
        <f t="shared" si="6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246">
        <f t="shared" si="6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246">
        <f t="shared" si="6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246">
        <f t="shared" si="6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246">
        <f t="shared" si="6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246">
        <f t="shared" si="6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ref="G68:G98" si="9">DAY(EOMONTH(F68,0))</f>
        <v>30</v>
      </c>
      <c r="H68" s="246">
        <f t="shared" ref="H68:H98" si="10">H67+1</f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9"/>
        <v>30</v>
      </c>
      <c r="H69" s="246">
        <f t="shared" si="10"/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9"/>
        <v>30</v>
      </c>
      <c r="H70" s="246">
        <f t="shared" si="10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9"/>
        <v>30</v>
      </c>
      <c r="H71" s="246">
        <f t="shared" si="10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9"/>
        <v>30</v>
      </c>
      <c r="H72" s="246">
        <f t="shared" si="10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9"/>
        <v>30</v>
      </c>
      <c r="H73" s="246">
        <f t="shared" si="10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9"/>
        <v>30</v>
      </c>
      <c r="H74" s="246">
        <f t="shared" si="10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9"/>
        <v>30</v>
      </c>
      <c r="H75" s="246">
        <f t="shared" si="10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9"/>
        <v>30</v>
      </c>
      <c r="H76" s="246">
        <f t="shared" si="10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9"/>
        <v>30</v>
      </c>
      <c r="H77" s="246">
        <f t="shared" si="10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9"/>
        <v>30</v>
      </c>
      <c r="H78" s="246">
        <f t="shared" si="10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9"/>
        <v>30</v>
      </c>
      <c r="H79" s="246">
        <f t="shared" si="10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9"/>
        <v>30</v>
      </c>
      <c r="H80" s="246">
        <f t="shared" si="10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9"/>
        <v>30</v>
      </c>
      <c r="H81" s="246">
        <f t="shared" si="10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9"/>
        <v>30</v>
      </c>
      <c r="H82" s="246">
        <f t="shared" si="10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9"/>
        <v>30</v>
      </c>
      <c r="H83" s="246">
        <f t="shared" si="10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9"/>
        <v>30</v>
      </c>
      <c r="H84" s="246">
        <f t="shared" si="10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9"/>
        <v>30</v>
      </c>
      <c r="H85" s="246">
        <f t="shared" si="10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9"/>
        <v>30</v>
      </c>
      <c r="H86" s="246">
        <f t="shared" si="10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9"/>
        <v>30</v>
      </c>
      <c r="H87" s="246">
        <f t="shared" si="10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9"/>
        <v>30</v>
      </c>
      <c r="H88" s="246">
        <f t="shared" si="10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9"/>
        <v>30</v>
      </c>
      <c r="H89" s="246">
        <f t="shared" si="10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9"/>
        <v>30</v>
      </c>
      <c r="H90" s="246">
        <f t="shared" si="10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9"/>
        <v>30</v>
      </c>
      <c r="H91" s="246">
        <f t="shared" si="10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9"/>
        <v>30</v>
      </c>
      <c r="H92" s="246">
        <f t="shared" si="10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9"/>
        <v>30</v>
      </c>
      <c r="H93" s="246">
        <f t="shared" si="10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9"/>
        <v>30</v>
      </c>
      <c r="H94" s="246">
        <f t="shared" si="10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9"/>
        <v>30</v>
      </c>
      <c r="H95" s="246">
        <f t="shared" si="10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9"/>
        <v>30</v>
      </c>
      <c r="H96" s="246">
        <f t="shared" si="10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9"/>
        <v>30</v>
      </c>
      <c r="H97" s="246">
        <f t="shared" si="10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9"/>
        <v>31</v>
      </c>
      <c r="H98" s="246">
        <f t="shared" si="10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ref="G99:G130" si="11">DAY(EOMONTH(F99,0))</f>
        <v>31</v>
      </c>
      <c r="H99" s="246">
        <f t="shared" ref="H99:H130" si="12">H98+1</f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ref="Y99:Y162" si="13">IFERROR(AVERAGEIF(V99:X99,"&gt;"&amp;0,V99:X99),"")</f>
        <v>1.3563258826731994</v>
      </c>
      <c r="Z99" s="1">
        <f t="shared" ref="Z99:Z162" si="14">MAXA(V99:X99)</f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si="11"/>
        <v>31</v>
      </c>
      <c r="H100" s="246">
        <f t="shared" si="12"/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si="13"/>
        <v>2.2528473437544942</v>
      </c>
      <c r="Z100" s="1">
        <f t="shared" si="14"/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11"/>
        <v>31</v>
      </c>
      <c r="H101" s="246">
        <f t="shared" si="12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3"/>
        <v>3.9063816820708865</v>
      </c>
      <c r="Z101" s="1">
        <f t="shared" si="14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11"/>
        <v>31</v>
      </c>
      <c r="H102" s="246">
        <f t="shared" si="12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3"/>
        <v>3.7040188830926368</v>
      </c>
      <c r="Z102" s="1">
        <f t="shared" si="14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11"/>
        <v>31</v>
      </c>
      <c r="H103" s="246">
        <f t="shared" si="12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3"/>
        <v>4.0439946601936985</v>
      </c>
      <c r="Z103" s="1">
        <f t="shared" si="14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11"/>
        <v>31</v>
      </c>
      <c r="H104" s="246">
        <f t="shared" si="12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3"/>
        <v>1.9367177730940848</v>
      </c>
      <c r="Z104" s="1">
        <f t="shared" si="14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11"/>
        <v>31</v>
      </c>
      <c r="H105" s="246">
        <f t="shared" si="12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3"/>
        <v>2.8633544984988091</v>
      </c>
      <c r="Z105" s="1">
        <f t="shared" si="14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11"/>
        <v>31</v>
      </c>
      <c r="H106" s="246">
        <f t="shared" si="12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3"/>
        <v>3.0962771681985064</v>
      </c>
      <c r="Z106" s="1">
        <f t="shared" si="14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11"/>
        <v>31</v>
      </c>
      <c r="H107" s="246">
        <f t="shared" si="12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3"/>
        <v>4.1264506860341292</v>
      </c>
      <c r="Z107" s="1">
        <f t="shared" si="14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11"/>
        <v>31</v>
      </c>
      <c r="H108" s="246">
        <f t="shared" si="12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3"/>
        <v>4.1872700999470522</v>
      </c>
      <c r="Z108" s="1">
        <f t="shared" si="14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11"/>
        <v>31</v>
      </c>
      <c r="H109" s="246">
        <f t="shared" si="12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3"/>
        <v>3.9150470260469938</v>
      </c>
      <c r="Z109" s="1">
        <f t="shared" si="14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11"/>
        <v>31</v>
      </c>
      <c r="H110" s="246">
        <f t="shared" si="12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3"/>
        <v>4.1154139830614014</v>
      </c>
      <c r="Z110" s="1">
        <f t="shared" si="14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11"/>
        <v>31</v>
      </c>
      <c r="H111" s="246">
        <f t="shared" si="12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3"/>
        <v>4.5676965909012823</v>
      </c>
      <c r="Z111" s="1">
        <f t="shared" si="14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11"/>
        <v>31</v>
      </c>
      <c r="H112" s="246">
        <f t="shared" si="12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3"/>
        <v>3.5542403632265969</v>
      </c>
      <c r="Z112" s="1">
        <f t="shared" si="14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11"/>
        <v>31</v>
      </c>
      <c r="H113" s="246">
        <f t="shared" si="12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3"/>
        <v>3.8506145778058207</v>
      </c>
      <c r="Z113" s="1">
        <f t="shared" si="14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11"/>
        <v>31</v>
      </c>
      <c r="H114" s="246">
        <f t="shared" si="12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3"/>
        <v>2.5892708500328339</v>
      </c>
      <c r="Z114" s="1">
        <f t="shared" si="14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11"/>
        <v>31</v>
      </c>
      <c r="H115" s="246">
        <f t="shared" si="12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3"/>
        <v>3.1335851576207445</v>
      </c>
      <c r="Z115" s="1">
        <f t="shared" si="14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11"/>
        <v>31</v>
      </c>
      <c r="H116" s="246">
        <f t="shared" si="12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3"/>
        <v>2.9422627587939232</v>
      </c>
      <c r="Z116" s="1">
        <f t="shared" si="14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11"/>
        <v>31</v>
      </c>
      <c r="H117" s="246">
        <f t="shared" si="12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3"/>
        <v>3.8222326958843253</v>
      </c>
      <c r="Z117" s="1">
        <f t="shared" si="14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11"/>
        <v>31</v>
      </c>
      <c r="H118" s="246">
        <f t="shared" si="12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3"/>
        <v>3.1123246797697939</v>
      </c>
      <c r="Z118" s="1">
        <f t="shared" si="14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11"/>
        <v>31</v>
      </c>
      <c r="H119" s="246">
        <f t="shared" si="12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3"/>
        <v>3.2635710826139639</v>
      </c>
      <c r="Z119" s="1">
        <f t="shared" si="14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11"/>
        <v>31</v>
      </c>
      <c r="H120" s="246">
        <f t="shared" si="12"/>
        <v>45861</v>
      </c>
      <c r="I120" s="1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3"/>
        <v>1.8309940766353978</v>
      </c>
      <c r="Z120" s="1">
        <f t="shared" si="14"/>
        <v>1.853904655907995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11"/>
        <v>31</v>
      </c>
      <c r="H121" s="246">
        <f t="shared" si="12"/>
        <v>45862</v>
      </c>
      <c r="I121" s="1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3"/>
        <v>1.5723038627272405</v>
      </c>
      <c r="Z121" s="1">
        <f t="shared" si="14"/>
        <v>1.5993693192357634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11"/>
        <v>31</v>
      </c>
      <c r="H122" s="246">
        <f t="shared" si="12"/>
        <v>45863</v>
      </c>
      <c r="I122" s="1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3"/>
        <v>1.6062121723104152</v>
      </c>
      <c r="Z122" s="1">
        <f t="shared" si="14"/>
        <v>1.6225190131700984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11"/>
        <v>31</v>
      </c>
      <c r="H123" s="246">
        <f t="shared" si="12"/>
        <v>45864</v>
      </c>
      <c r="I123" s="1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3"/>
        <v>1.0333604265213701</v>
      </c>
      <c r="Z123" s="1">
        <f t="shared" si="14"/>
        <v>1.1812650714153219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11"/>
        <v>31</v>
      </c>
      <c r="H124" s="246">
        <f t="shared" si="12"/>
        <v>45865</v>
      </c>
      <c r="I124" s="1">
        <v>8.0208999999999993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3"/>
        <v/>
      </c>
      <c r="Z124" s="1">
        <f t="shared" si="14"/>
        <v>0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11"/>
        <v>31</v>
      </c>
      <c r="H125" s="246">
        <f t="shared" si="12"/>
        <v>45866</v>
      </c>
      <c r="I125" s="1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3"/>
        <v/>
      </c>
      <c r="Z125" s="1">
        <f t="shared" si="14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11"/>
        <v>31</v>
      </c>
      <c r="H126" s="246">
        <f t="shared" si="12"/>
        <v>45867</v>
      </c>
      <c r="I126" s="1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3"/>
        <v/>
      </c>
      <c r="Z126" s="1">
        <f t="shared" si="14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11"/>
        <v>31</v>
      </c>
      <c r="H127" s="246">
        <f t="shared" si="12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3"/>
        <v/>
      </c>
      <c r="Z127" s="1">
        <f t="shared" si="14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11"/>
        <v>31</v>
      </c>
      <c r="H128" s="246">
        <f t="shared" si="12"/>
        <v>45869</v>
      </c>
      <c r="I128" s="1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3"/>
        <v/>
      </c>
      <c r="Z128" s="1">
        <f t="shared" si="14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11"/>
        <v>31</v>
      </c>
      <c r="H129" s="246">
        <f t="shared" si="12"/>
        <v>45870</v>
      </c>
      <c r="I129" s="1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3"/>
        <v/>
      </c>
      <c r="Z129" s="1">
        <f t="shared" si="14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11"/>
        <v>31</v>
      </c>
      <c r="H130" s="246">
        <f t="shared" si="12"/>
        <v>45871</v>
      </c>
      <c r="I130" s="1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3"/>
        <v/>
      </c>
      <c r="Z130" s="1">
        <f t="shared" si="14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ref="G131:G162" si="15">DAY(EOMONTH(F131,0))</f>
        <v>31</v>
      </c>
      <c r="H131" s="246">
        <f t="shared" ref="H131:H162" si="16">H130+1</f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3"/>
        <v/>
      </c>
      <c r="Z131" s="1">
        <f t="shared" si="14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si="15"/>
        <v>31</v>
      </c>
      <c r="H132" s="246">
        <f t="shared" si="16"/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3"/>
        <v/>
      </c>
      <c r="Z132" s="1">
        <f t="shared" si="14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15"/>
        <v>31</v>
      </c>
      <c r="H133" s="246">
        <f t="shared" si="16"/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3"/>
        <v/>
      </c>
      <c r="Z133" s="1">
        <f t="shared" si="14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15"/>
        <v>31</v>
      </c>
      <c r="H134" s="246">
        <f t="shared" si="16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3"/>
        <v/>
      </c>
      <c r="Z134" s="1">
        <f t="shared" si="14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15"/>
        <v>31</v>
      </c>
      <c r="H135" s="246">
        <f t="shared" si="16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3"/>
        <v/>
      </c>
      <c r="Z135" s="1">
        <f t="shared" si="14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15"/>
        <v>31</v>
      </c>
      <c r="H136" s="246">
        <f t="shared" si="16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3"/>
        <v/>
      </c>
      <c r="Z136" s="1">
        <f t="shared" si="14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15"/>
        <v>31</v>
      </c>
      <c r="H137" s="246">
        <f t="shared" si="16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3"/>
        <v/>
      </c>
      <c r="Z137" s="1">
        <f t="shared" si="14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15"/>
        <v>31</v>
      </c>
      <c r="H138" s="246">
        <f t="shared" si="16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3"/>
        <v/>
      </c>
      <c r="Z138" s="1">
        <f t="shared" si="14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15"/>
        <v>31</v>
      </c>
      <c r="H139" s="246">
        <f t="shared" si="16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3"/>
        <v/>
      </c>
      <c r="Z139" s="1">
        <f t="shared" si="14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15"/>
        <v>31</v>
      </c>
      <c r="H140" s="246">
        <f t="shared" si="16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3"/>
        <v/>
      </c>
      <c r="Z140" s="1">
        <f t="shared" si="14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15"/>
        <v>31</v>
      </c>
      <c r="H141" s="246">
        <f t="shared" si="16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3"/>
        <v/>
      </c>
      <c r="Z141" s="1">
        <f t="shared" si="14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15"/>
        <v>31</v>
      </c>
      <c r="H142" s="246">
        <f t="shared" si="16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3"/>
        <v/>
      </c>
      <c r="Z142" s="1">
        <f t="shared" si="14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15"/>
        <v>31</v>
      </c>
      <c r="H143" s="246">
        <f t="shared" si="16"/>
        <v>45884</v>
      </c>
      <c r="I143" s="1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3"/>
        <v/>
      </c>
      <c r="Z143" s="1">
        <f t="shared" si="14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15"/>
        <v>31</v>
      </c>
      <c r="H144" s="246">
        <f t="shared" si="16"/>
        <v>45885</v>
      </c>
      <c r="I144" s="1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3"/>
        <v/>
      </c>
      <c r="Z144" s="1">
        <f t="shared" si="14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15"/>
        <v>31</v>
      </c>
      <c r="H145" s="246">
        <f t="shared" si="16"/>
        <v>45886</v>
      </c>
      <c r="I145" s="1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3"/>
        <v/>
      </c>
      <c r="Z145" s="1">
        <f t="shared" si="14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15"/>
        <v>31</v>
      </c>
      <c r="H146" s="246">
        <f t="shared" si="16"/>
        <v>45887</v>
      </c>
      <c r="I146" s="1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3"/>
        <v/>
      </c>
      <c r="Z146" s="1">
        <f t="shared" si="14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15"/>
        <v>31</v>
      </c>
      <c r="H147" s="246">
        <f t="shared" si="16"/>
        <v>45888</v>
      </c>
      <c r="I147" s="1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3"/>
        <v/>
      </c>
      <c r="Z147" s="1">
        <f t="shared" si="14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15"/>
        <v>31</v>
      </c>
      <c r="H148" s="246">
        <f t="shared" si="16"/>
        <v>45889</v>
      </c>
      <c r="I148" s="1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3"/>
        <v/>
      </c>
      <c r="Z148" s="1">
        <f t="shared" si="14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15"/>
        <v>31</v>
      </c>
      <c r="H149" s="246">
        <f t="shared" si="16"/>
        <v>45890</v>
      </c>
      <c r="I149" s="1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3"/>
        <v/>
      </c>
      <c r="Z149" s="1">
        <f t="shared" si="14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15"/>
        <v>31</v>
      </c>
      <c r="H150" s="246">
        <f t="shared" si="16"/>
        <v>45891</v>
      </c>
      <c r="I150" s="1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3"/>
        <v/>
      </c>
      <c r="Z150" s="1">
        <f t="shared" si="14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15"/>
        <v>31</v>
      </c>
      <c r="H151" s="246">
        <f t="shared" si="16"/>
        <v>45892</v>
      </c>
      <c r="I151" s="1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3"/>
        <v/>
      </c>
      <c r="Z151" s="1">
        <f t="shared" si="14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15"/>
        <v>31</v>
      </c>
      <c r="H152" s="246">
        <f t="shared" si="16"/>
        <v>45893</v>
      </c>
      <c r="I152" s="1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3"/>
        <v/>
      </c>
      <c r="Z152" s="1">
        <f t="shared" si="14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15"/>
        <v>31</v>
      </c>
      <c r="H153" s="246">
        <f t="shared" si="16"/>
        <v>45894</v>
      </c>
      <c r="I153" s="1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3"/>
        <v/>
      </c>
      <c r="Z153" s="1">
        <f t="shared" si="14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15"/>
        <v>31</v>
      </c>
      <c r="H154" s="246">
        <f t="shared" si="16"/>
        <v>45895</v>
      </c>
      <c r="I154" s="1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3"/>
        <v/>
      </c>
      <c r="Z154" s="1">
        <f t="shared" si="14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15"/>
        <v>31</v>
      </c>
      <c r="H155" s="246">
        <f t="shared" si="16"/>
        <v>45896</v>
      </c>
      <c r="I155" s="1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3"/>
        <v/>
      </c>
      <c r="Z155" s="1">
        <f t="shared" si="14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15"/>
        <v>31</v>
      </c>
      <c r="H156" s="246">
        <f t="shared" si="16"/>
        <v>45897</v>
      </c>
      <c r="I156" s="1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3"/>
        <v/>
      </c>
      <c r="Z156" s="1">
        <f t="shared" si="14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15"/>
        <v>31</v>
      </c>
      <c r="H157" s="246">
        <f t="shared" si="16"/>
        <v>45898</v>
      </c>
      <c r="I157" s="1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3"/>
        <v/>
      </c>
      <c r="Z157" s="1">
        <f t="shared" si="14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15"/>
        <v>31</v>
      </c>
      <c r="H158" s="246">
        <f t="shared" si="16"/>
        <v>45899</v>
      </c>
      <c r="I158" s="1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3"/>
        <v/>
      </c>
      <c r="Z158" s="1">
        <f t="shared" si="14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15"/>
        <v>31</v>
      </c>
      <c r="H159" s="246">
        <f t="shared" si="16"/>
        <v>45900</v>
      </c>
      <c r="I159" s="1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3"/>
        <v/>
      </c>
      <c r="Z159" s="1">
        <f t="shared" si="14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15"/>
        <v>30</v>
      </c>
      <c r="H160" s="246">
        <f t="shared" si="16"/>
        <v>45901</v>
      </c>
      <c r="I160" s="1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3"/>
        <v/>
      </c>
      <c r="Z160" s="1">
        <f t="shared" si="14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15"/>
        <v>30</v>
      </c>
      <c r="H161" s="246">
        <f t="shared" si="16"/>
        <v>45902</v>
      </c>
      <c r="I161" s="1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3"/>
        <v/>
      </c>
      <c r="Z161" s="1">
        <f t="shared" si="14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15"/>
        <v>30</v>
      </c>
      <c r="H162" s="246">
        <f t="shared" si="16"/>
        <v>45903</v>
      </c>
      <c r="I162" s="1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3"/>
        <v/>
      </c>
      <c r="Z162" s="1">
        <f t="shared" si="14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ref="G163:G194" si="17">DAY(EOMONTH(F163,0))</f>
        <v>30</v>
      </c>
      <c r="H163" s="246">
        <f t="shared" ref="H163:H194" si="18">H162+1</f>
        <v>45904</v>
      </c>
      <c r="I163" s="1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ref="Y163:Y226" si="19">IFERROR(AVERAGEIF(V163:X163,"&gt;"&amp;0,V163:X163),"")</f>
        <v/>
      </c>
      <c r="Z163" s="1">
        <f t="shared" ref="Z163:Z226" si="20">MAXA(V163:X163)</f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si="17"/>
        <v>30</v>
      </c>
      <c r="H164" s="246">
        <f t="shared" si="18"/>
        <v>45905</v>
      </c>
      <c r="I164" s="1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si="19"/>
        <v/>
      </c>
      <c r="Z164" s="1">
        <f t="shared" si="20"/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7"/>
        <v>30</v>
      </c>
      <c r="H165" s="246">
        <f t="shared" si="18"/>
        <v>45906</v>
      </c>
      <c r="I165" s="1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9"/>
        <v/>
      </c>
      <c r="Z165" s="1">
        <f t="shared" si="20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7"/>
        <v>30</v>
      </c>
      <c r="H166" s="246">
        <f t="shared" si="18"/>
        <v>45907</v>
      </c>
      <c r="I166" s="1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9"/>
        <v/>
      </c>
      <c r="Z166" s="1">
        <f t="shared" si="20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7"/>
        <v>30</v>
      </c>
      <c r="H167" s="246">
        <f t="shared" si="18"/>
        <v>45908</v>
      </c>
      <c r="I167" s="1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9"/>
        <v/>
      </c>
      <c r="Z167" s="1">
        <f t="shared" si="20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7"/>
        <v>30</v>
      </c>
      <c r="H168" s="246">
        <f t="shared" si="18"/>
        <v>45909</v>
      </c>
      <c r="I168" s="1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9"/>
        <v/>
      </c>
      <c r="Z168" s="1">
        <f t="shared" si="20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7"/>
        <v>30</v>
      </c>
      <c r="H169" s="246">
        <f t="shared" si="18"/>
        <v>45910</v>
      </c>
      <c r="I169" s="1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9"/>
        <v/>
      </c>
      <c r="Z169" s="1">
        <f t="shared" si="20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7"/>
        <v>30</v>
      </c>
      <c r="H170" s="246">
        <f t="shared" si="18"/>
        <v>45911</v>
      </c>
      <c r="I170" s="1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9"/>
        <v/>
      </c>
      <c r="Z170" s="1">
        <f t="shared" si="20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7"/>
        <v>30</v>
      </c>
      <c r="H171" s="246">
        <f t="shared" si="18"/>
        <v>45912</v>
      </c>
      <c r="I171" s="1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9"/>
        <v/>
      </c>
      <c r="Z171" s="1">
        <f t="shared" si="20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7"/>
        <v>30</v>
      </c>
      <c r="H172" s="246">
        <f t="shared" si="18"/>
        <v>45913</v>
      </c>
      <c r="I172" s="1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9"/>
        <v/>
      </c>
      <c r="Z172" s="1">
        <f t="shared" si="20"/>
        <v>0</v>
      </c>
    </row>
    <row r="173" spans="1:26" x14ac:dyDescent="0.3">
      <c r="A173" s="244"/>
      <c r="B173" s="244"/>
      <c r="C173" s="244">
        <f>YEAR(Table12[[#This Row],[Date]])</f>
        <v>2025</v>
      </c>
      <c r="D173" s="244"/>
      <c r="E173" s="244"/>
      <c r="F173" s="245" t="str">
        <f>TEXT(Table12[[#This Row],[Date]],"mmm-yy")</f>
        <v>Sep-25</v>
      </c>
      <c r="G173" s="244">
        <f t="shared" si="17"/>
        <v>30</v>
      </c>
      <c r="H173" s="246">
        <f t="shared" si="18"/>
        <v>45914</v>
      </c>
      <c r="I173" s="1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9"/>
        <v/>
      </c>
      <c r="Z173" s="1">
        <f t="shared" si="20"/>
        <v>0</v>
      </c>
    </row>
    <row r="174" spans="1:26" x14ac:dyDescent="0.3">
      <c r="A174" s="244"/>
      <c r="B174" s="244"/>
      <c r="C174" s="244">
        <f>YEAR(Table12[[#This Row],[Date]])</f>
        <v>2025</v>
      </c>
      <c r="D174" s="244"/>
      <c r="E174" s="244"/>
      <c r="F174" s="245" t="str">
        <f>TEXT(Table12[[#This Row],[Date]],"mmm-yy")</f>
        <v>Sep-25</v>
      </c>
      <c r="G174" s="244">
        <f t="shared" si="17"/>
        <v>30</v>
      </c>
      <c r="H174" s="246">
        <f t="shared" si="18"/>
        <v>45915</v>
      </c>
      <c r="I174" s="1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9"/>
        <v/>
      </c>
      <c r="Z174" s="1">
        <f t="shared" si="20"/>
        <v>0</v>
      </c>
    </row>
    <row r="175" spans="1:26" x14ac:dyDescent="0.3">
      <c r="A175" s="244"/>
      <c r="B175" s="244"/>
      <c r="C175" s="244">
        <f>YEAR(Table12[[#This Row],[Date]])</f>
        <v>2025</v>
      </c>
      <c r="D175" s="244"/>
      <c r="E175" s="244"/>
      <c r="F175" s="245" t="str">
        <f>TEXT(Table12[[#This Row],[Date]],"mmm-yy")</f>
        <v>Sep-25</v>
      </c>
      <c r="G175" s="244">
        <f t="shared" si="17"/>
        <v>30</v>
      </c>
      <c r="H175" s="246">
        <f t="shared" si="18"/>
        <v>45916</v>
      </c>
      <c r="I175" s="1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9"/>
        <v/>
      </c>
      <c r="Z175" s="1">
        <f t="shared" si="20"/>
        <v>0</v>
      </c>
    </row>
    <row r="176" spans="1:26" x14ac:dyDescent="0.3">
      <c r="A176" s="244"/>
      <c r="B176" s="244"/>
      <c r="C176" s="244">
        <f>YEAR(Table12[[#This Row],[Date]])</f>
        <v>2025</v>
      </c>
      <c r="D176" s="244"/>
      <c r="E176" s="244"/>
      <c r="F176" s="245" t="str">
        <f>TEXT(Table12[[#This Row],[Date]],"mmm-yy")</f>
        <v>Sep-25</v>
      </c>
      <c r="G176" s="244">
        <f t="shared" si="17"/>
        <v>30</v>
      </c>
      <c r="H176" s="246">
        <f t="shared" si="18"/>
        <v>45917</v>
      </c>
      <c r="I176" s="1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9"/>
        <v/>
      </c>
      <c r="Z176" s="1">
        <f t="shared" si="20"/>
        <v>0</v>
      </c>
    </row>
    <row r="177" spans="1:26" x14ac:dyDescent="0.3">
      <c r="A177" s="244"/>
      <c r="B177" s="244"/>
      <c r="C177" s="244">
        <f>YEAR(Table12[[#This Row],[Date]])</f>
        <v>2025</v>
      </c>
      <c r="D177" s="244"/>
      <c r="E177" s="244"/>
      <c r="F177" s="245" t="str">
        <f>TEXT(Table12[[#This Row],[Date]],"mmm-yy")</f>
        <v>Sep-25</v>
      </c>
      <c r="G177" s="244">
        <f t="shared" si="17"/>
        <v>30</v>
      </c>
      <c r="H177" s="246">
        <f t="shared" si="18"/>
        <v>45918</v>
      </c>
      <c r="I177" s="1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9"/>
        <v/>
      </c>
      <c r="Z177" s="1">
        <f t="shared" si="20"/>
        <v>0</v>
      </c>
    </row>
    <row r="178" spans="1:26" x14ac:dyDescent="0.3">
      <c r="A178" s="244"/>
      <c r="B178" s="244"/>
      <c r="C178" s="244">
        <f>YEAR(Table12[[#This Row],[Date]])</f>
        <v>2025</v>
      </c>
      <c r="D178" s="244"/>
      <c r="E178" s="244"/>
      <c r="F178" s="245" t="str">
        <f>TEXT(Table12[[#This Row],[Date]],"mmm-yy")</f>
        <v>Sep-25</v>
      </c>
      <c r="G178" s="244">
        <f t="shared" si="17"/>
        <v>30</v>
      </c>
      <c r="H178" s="246">
        <f t="shared" si="18"/>
        <v>45919</v>
      </c>
      <c r="I178" s="1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9"/>
        <v/>
      </c>
      <c r="Z178" s="1">
        <f t="shared" si="20"/>
        <v>0</v>
      </c>
    </row>
    <row r="179" spans="1:26" x14ac:dyDescent="0.3">
      <c r="A179" s="244"/>
      <c r="B179" s="244"/>
      <c r="C179" s="244">
        <f>YEAR(Table12[[#This Row],[Date]])</f>
        <v>2025</v>
      </c>
      <c r="D179" s="244"/>
      <c r="E179" s="244"/>
      <c r="F179" s="245" t="str">
        <f>TEXT(Table12[[#This Row],[Date]],"mmm-yy")</f>
        <v>Sep-25</v>
      </c>
      <c r="G179" s="244">
        <f t="shared" si="17"/>
        <v>30</v>
      </c>
      <c r="H179" s="246">
        <f t="shared" si="18"/>
        <v>45920</v>
      </c>
      <c r="I179" s="1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9"/>
        <v/>
      </c>
      <c r="Z179" s="1">
        <f t="shared" si="20"/>
        <v>0</v>
      </c>
    </row>
    <row r="180" spans="1:26" x14ac:dyDescent="0.3">
      <c r="A180" s="244"/>
      <c r="B180" s="244"/>
      <c r="C180" s="244">
        <f>YEAR(Table12[[#This Row],[Date]])</f>
        <v>2025</v>
      </c>
      <c r="D180" s="244"/>
      <c r="E180" s="244"/>
      <c r="F180" s="245" t="str">
        <f>TEXT(Table12[[#This Row],[Date]],"mmm-yy")</f>
        <v>Sep-25</v>
      </c>
      <c r="G180" s="244">
        <f t="shared" si="17"/>
        <v>30</v>
      </c>
      <c r="H180" s="246">
        <f t="shared" si="18"/>
        <v>45921</v>
      </c>
      <c r="I180" s="1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9"/>
        <v/>
      </c>
      <c r="Z180" s="1">
        <f t="shared" si="20"/>
        <v>0</v>
      </c>
    </row>
    <row r="181" spans="1:26" x14ac:dyDescent="0.3">
      <c r="A181" s="244"/>
      <c r="B181" s="244"/>
      <c r="C181" s="244">
        <f>YEAR(Table12[[#This Row],[Date]])</f>
        <v>2025</v>
      </c>
      <c r="D181" s="244"/>
      <c r="E181" s="244"/>
      <c r="F181" s="245" t="str">
        <f>TEXT(Table12[[#This Row],[Date]],"mmm-yy")</f>
        <v>Sep-25</v>
      </c>
      <c r="G181" s="244">
        <f t="shared" si="17"/>
        <v>30</v>
      </c>
      <c r="H181" s="246">
        <f t="shared" si="18"/>
        <v>45922</v>
      </c>
      <c r="I181" s="1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9"/>
        <v/>
      </c>
      <c r="Z181" s="1">
        <f t="shared" si="20"/>
        <v>0</v>
      </c>
    </row>
    <row r="182" spans="1:26" x14ac:dyDescent="0.3">
      <c r="A182" s="244"/>
      <c r="B182" s="244"/>
      <c r="C182" s="244">
        <f>YEAR(Table12[[#This Row],[Date]])</f>
        <v>2025</v>
      </c>
      <c r="D182" s="244"/>
      <c r="E182" s="244"/>
      <c r="F182" s="245" t="str">
        <f>TEXT(Table12[[#This Row],[Date]],"mmm-yy")</f>
        <v>Sep-25</v>
      </c>
      <c r="G182" s="244">
        <f t="shared" si="17"/>
        <v>30</v>
      </c>
      <c r="H182" s="246">
        <f t="shared" si="18"/>
        <v>45923</v>
      </c>
      <c r="I182" s="1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9"/>
        <v/>
      </c>
      <c r="Z182" s="1">
        <f t="shared" si="20"/>
        <v>0</v>
      </c>
    </row>
    <row r="183" spans="1:26" x14ac:dyDescent="0.3">
      <c r="A183" s="244"/>
      <c r="B183" s="244"/>
      <c r="C183" s="244">
        <f>YEAR(Table12[[#This Row],[Date]])</f>
        <v>2025</v>
      </c>
      <c r="D183" s="244"/>
      <c r="E183" s="244"/>
      <c r="F183" s="245" t="str">
        <f>TEXT(Table12[[#This Row],[Date]],"mmm-yy")</f>
        <v>Sep-25</v>
      </c>
      <c r="G183" s="244">
        <f t="shared" si="17"/>
        <v>30</v>
      </c>
      <c r="H183" s="246">
        <f t="shared" si="18"/>
        <v>45924</v>
      </c>
      <c r="I183" s="1">
        <v>8.0208999999999993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9"/>
        <v/>
      </c>
      <c r="Z183" s="1">
        <f t="shared" si="20"/>
        <v>0</v>
      </c>
    </row>
    <row r="184" spans="1:26" x14ac:dyDescent="0.3">
      <c r="A184" s="244"/>
      <c r="B184" s="244"/>
      <c r="C184" s="244">
        <f>YEAR(Table12[[#This Row],[Date]])</f>
        <v>2025</v>
      </c>
      <c r="D184" s="244"/>
      <c r="E184" s="244"/>
      <c r="F184" s="245" t="str">
        <f>TEXT(Table12[[#This Row],[Date]],"mmm-yy")</f>
        <v>Sep-25</v>
      </c>
      <c r="G184" s="244">
        <f t="shared" si="17"/>
        <v>30</v>
      </c>
      <c r="H184" s="246">
        <f t="shared" si="18"/>
        <v>45925</v>
      </c>
      <c r="I184" s="1">
        <v>8.0208999999999993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9"/>
        <v/>
      </c>
      <c r="Z184" s="1">
        <f t="shared" si="20"/>
        <v>0</v>
      </c>
    </row>
    <row r="185" spans="1:26" x14ac:dyDescent="0.3">
      <c r="A185" s="244"/>
      <c r="B185" s="244"/>
      <c r="C185" s="244">
        <f>YEAR(Table12[[#This Row],[Date]])</f>
        <v>2025</v>
      </c>
      <c r="D185" s="244"/>
      <c r="E185" s="244"/>
      <c r="F185" s="245" t="str">
        <f>TEXT(Table12[[#This Row],[Date]],"mmm-yy")</f>
        <v>Sep-25</v>
      </c>
      <c r="G185" s="244">
        <f t="shared" si="17"/>
        <v>30</v>
      </c>
      <c r="H185" s="246">
        <f t="shared" si="18"/>
        <v>45926</v>
      </c>
      <c r="I185" s="1">
        <v>8.0208999999999993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9"/>
        <v/>
      </c>
      <c r="Z185" s="1">
        <f t="shared" si="20"/>
        <v>0</v>
      </c>
    </row>
    <row r="186" spans="1:26" x14ac:dyDescent="0.3">
      <c r="A186" s="244"/>
      <c r="B186" s="244"/>
      <c r="C186" s="244">
        <f>YEAR(Table12[[#This Row],[Date]])</f>
        <v>2025</v>
      </c>
      <c r="D186" s="244"/>
      <c r="E186" s="244"/>
      <c r="F186" s="245" t="str">
        <f>TEXT(Table12[[#This Row],[Date]],"mmm-yy")</f>
        <v>Sep-25</v>
      </c>
      <c r="G186" s="244">
        <f t="shared" si="17"/>
        <v>30</v>
      </c>
      <c r="H186" s="246">
        <f t="shared" si="18"/>
        <v>45927</v>
      </c>
      <c r="I186" s="1">
        <v>8.0208999999999993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9"/>
        <v/>
      </c>
      <c r="Z186" s="1">
        <f t="shared" si="20"/>
        <v>0</v>
      </c>
    </row>
    <row r="187" spans="1:26" x14ac:dyDescent="0.3">
      <c r="A187" s="244"/>
      <c r="B187" s="244"/>
      <c r="C187" s="244">
        <f>YEAR(Table12[[#This Row],[Date]])</f>
        <v>2025</v>
      </c>
      <c r="D187" s="244"/>
      <c r="E187" s="244"/>
      <c r="F187" s="245" t="str">
        <f>TEXT(Table12[[#This Row],[Date]],"mmm-yy")</f>
        <v>Sep-25</v>
      </c>
      <c r="G187" s="244">
        <f t="shared" si="17"/>
        <v>30</v>
      </c>
      <c r="H187" s="246">
        <f t="shared" si="18"/>
        <v>45928</v>
      </c>
      <c r="I187" s="1">
        <v>8.0208999999999993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9"/>
        <v/>
      </c>
      <c r="Z187" s="1">
        <f t="shared" si="20"/>
        <v>0</v>
      </c>
    </row>
    <row r="188" spans="1:26" x14ac:dyDescent="0.3">
      <c r="A188" s="244"/>
      <c r="B188" s="244"/>
      <c r="C188" s="244">
        <f>YEAR(Table12[[#This Row],[Date]])</f>
        <v>2025</v>
      </c>
      <c r="D188" s="244"/>
      <c r="E188" s="244"/>
      <c r="F188" s="245" t="str">
        <f>TEXT(Table12[[#This Row],[Date]],"mmm-yy")</f>
        <v>Sep-25</v>
      </c>
      <c r="G188" s="244">
        <f t="shared" si="17"/>
        <v>30</v>
      </c>
      <c r="H188" s="246">
        <f t="shared" si="18"/>
        <v>45929</v>
      </c>
      <c r="I188" s="1">
        <v>8.0208999999999993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9"/>
        <v/>
      </c>
      <c r="Z188" s="1">
        <f t="shared" si="20"/>
        <v>0</v>
      </c>
    </row>
    <row r="189" spans="1:26" x14ac:dyDescent="0.3">
      <c r="A189" s="244"/>
      <c r="B189" s="244"/>
      <c r="C189" s="244">
        <f>YEAR(Table12[[#This Row],[Date]])</f>
        <v>2025</v>
      </c>
      <c r="D189" s="244"/>
      <c r="E189" s="244"/>
      <c r="F189" s="245" t="str">
        <f>TEXT(Table12[[#This Row],[Date]],"mmm-yy")</f>
        <v>Sep-25</v>
      </c>
      <c r="G189" s="244">
        <f t="shared" si="17"/>
        <v>30</v>
      </c>
      <c r="H189" s="246">
        <f t="shared" si="18"/>
        <v>45930</v>
      </c>
      <c r="I189" s="1">
        <v>8.0208999999999993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9"/>
        <v/>
      </c>
      <c r="Z189" s="1">
        <f t="shared" si="20"/>
        <v>0</v>
      </c>
    </row>
    <row r="190" spans="1:26" x14ac:dyDescent="0.3">
      <c r="A190" s="244"/>
      <c r="B190" s="244"/>
      <c r="C190" s="244">
        <f>YEAR(Table12[[#This Row],[Date]])</f>
        <v>2025</v>
      </c>
      <c r="D190" s="244"/>
      <c r="E190" s="244"/>
      <c r="F190" s="245" t="str">
        <f>TEXT(Table12[[#This Row],[Date]],"mmm-yy")</f>
        <v>Oct-25</v>
      </c>
      <c r="G190" s="244">
        <f t="shared" si="17"/>
        <v>31</v>
      </c>
      <c r="H190" s="246">
        <f t="shared" si="18"/>
        <v>45931</v>
      </c>
      <c r="I190" s="1">
        <v>8.0208999999999993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9"/>
        <v/>
      </c>
      <c r="Z190" s="1">
        <f t="shared" si="20"/>
        <v>0</v>
      </c>
    </row>
    <row r="191" spans="1:26" x14ac:dyDescent="0.3">
      <c r="A191" s="244"/>
      <c r="B191" s="244"/>
      <c r="C191" s="244">
        <f>YEAR(Table12[[#This Row],[Date]])</f>
        <v>2025</v>
      </c>
      <c r="D191" s="244"/>
      <c r="E191" s="244"/>
      <c r="F191" s="245" t="str">
        <f>TEXT(Table12[[#This Row],[Date]],"mmm-yy")</f>
        <v>Oct-25</v>
      </c>
      <c r="G191" s="244">
        <f t="shared" si="17"/>
        <v>31</v>
      </c>
      <c r="H191" s="246">
        <f t="shared" si="18"/>
        <v>45932</v>
      </c>
      <c r="I191" s="1">
        <v>8.0208999999999993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9"/>
        <v/>
      </c>
      <c r="Z191" s="1">
        <f t="shared" si="20"/>
        <v>0</v>
      </c>
    </row>
    <row r="192" spans="1:26" x14ac:dyDescent="0.3">
      <c r="A192" s="244"/>
      <c r="B192" s="244"/>
      <c r="C192" s="244">
        <f>YEAR(Table12[[#This Row],[Date]])</f>
        <v>2025</v>
      </c>
      <c r="D192" s="244"/>
      <c r="E192" s="244"/>
      <c r="F192" s="245" t="str">
        <f>TEXT(Table12[[#This Row],[Date]],"mmm-yy")</f>
        <v>Oct-25</v>
      </c>
      <c r="G192" s="244">
        <f t="shared" si="17"/>
        <v>31</v>
      </c>
      <c r="H192" s="246">
        <f t="shared" si="18"/>
        <v>45933</v>
      </c>
      <c r="I192" s="1">
        <v>8.0208999999999993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9"/>
        <v/>
      </c>
      <c r="Z192" s="1">
        <f t="shared" si="20"/>
        <v>0</v>
      </c>
    </row>
    <row r="193" spans="1:26" x14ac:dyDescent="0.3">
      <c r="A193" s="244"/>
      <c r="B193" s="244"/>
      <c r="C193" s="244">
        <f>YEAR(Table12[[#This Row],[Date]])</f>
        <v>2025</v>
      </c>
      <c r="D193" s="244"/>
      <c r="E193" s="244"/>
      <c r="F193" s="245" t="str">
        <f>TEXT(Table12[[#This Row],[Date]],"mmm-yy")</f>
        <v>Oct-25</v>
      </c>
      <c r="G193" s="244">
        <f t="shared" si="17"/>
        <v>31</v>
      </c>
      <c r="H193" s="246">
        <f t="shared" si="18"/>
        <v>45934</v>
      </c>
      <c r="I193" s="1">
        <v>8.0208999999999993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9"/>
        <v/>
      </c>
      <c r="Z193" s="1">
        <f t="shared" si="20"/>
        <v>0</v>
      </c>
    </row>
    <row r="194" spans="1:26" x14ac:dyDescent="0.3">
      <c r="A194" s="244"/>
      <c r="B194" s="244"/>
      <c r="C194" s="244">
        <f>YEAR(Table12[[#This Row],[Date]])</f>
        <v>2025</v>
      </c>
      <c r="D194" s="244"/>
      <c r="E194" s="244"/>
      <c r="F194" s="245" t="str">
        <f>TEXT(Table12[[#This Row],[Date]],"mmm-yy")</f>
        <v>Oct-25</v>
      </c>
      <c r="G194" s="244">
        <f t="shared" si="17"/>
        <v>31</v>
      </c>
      <c r="H194" s="246">
        <f t="shared" si="18"/>
        <v>45935</v>
      </c>
      <c r="I194" s="1">
        <v>8.0208999999999993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9"/>
        <v/>
      </c>
      <c r="Z194" s="1">
        <f t="shared" si="20"/>
        <v>0</v>
      </c>
    </row>
    <row r="195" spans="1:26" x14ac:dyDescent="0.3">
      <c r="A195" s="244"/>
      <c r="B195" s="244"/>
      <c r="C195" s="244">
        <f>YEAR(Table12[[#This Row],[Date]])</f>
        <v>2025</v>
      </c>
      <c r="D195" s="244"/>
      <c r="E195" s="244"/>
      <c r="F195" s="245" t="str">
        <f>TEXT(Table12[[#This Row],[Date]],"mmm-yy")</f>
        <v>Oct-25</v>
      </c>
      <c r="G195" s="244">
        <f t="shared" ref="G195:G226" si="21">DAY(EOMONTH(F195,0))</f>
        <v>31</v>
      </c>
      <c r="H195" s="246">
        <f t="shared" ref="H195:H226" si="22">H194+1</f>
        <v>45936</v>
      </c>
      <c r="I195" s="1">
        <v>8.0208999999999993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9"/>
        <v/>
      </c>
      <c r="Z195" s="1">
        <f t="shared" si="20"/>
        <v>0</v>
      </c>
    </row>
    <row r="196" spans="1:26" x14ac:dyDescent="0.3">
      <c r="A196" s="244"/>
      <c r="B196" s="244"/>
      <c r="C196" s="244">
        <f>YEAR(Table12[[#This Row],[Date]])</f>
        <v>2025</v>
      </c>
      <c r="D196" s="244"/>
      <c r="E196" s="244"/>
      <c r="F196" s="245" t="str">
        <f>TEXT(Table12[[#This Row],[Date]],"mmm-yy")</f>
        <v>Oct-25</v>
      </c>
      <c r="G196" s="244">
        <f t="shared" si="21"/>
        <v>31</v>
      </c>
      <c r="H196" s="246">
        <f t="shared" si="22"/>
        <v>45937</v>
      </c>
      <c r="I196" s="1">
        <v>8.0208999999999993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9"/>
        <v/>
      </c>
      <c r="Z196" s="1">
        <f t="shared" si="20"/>
        <v>0</v>
      </c>
    </row>
    <row r="197" spans="1:26" x14ac:dyDescent="0.3">
      <c r="A197" s="244"/>
      <c r="B197" s="244"/>
      <c r="C197" s="244">
        <f>YEAR(Table12[[#This Row],[Date]])</f>
        <v>2025</v>
      </c>
      <c r="D197" s="244"/>
      <c r="E197" s="244"/>
      <c r="F197" s="245" t="str">
        <f>TEXT(Table12[[#This Row],[Date]],"mmm-yy")</f>
        <v>Oct-25</v>
      </c>
      <c r="G197" s="244">
        <f t="shared" si="21"/>
        <v>31</v>
      </c>
      <c r="H197" s="246">
        <f t="shared" si="22"/>
        <v>45938</v>
      </c>
      <c r="I197" s="1">
        <v>8.0208999999999993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9"/>
        <v/>
      </c>
      <c r="Z197" s="1">
        <f t="shared" si="20"/>
        <v>0</v>
      </c>
    </row>
    <row r="198" spans="1:26" x14ac:dyDescent="0.3">
      <c r="A198" s="244"/>
      <c r="B198" s="244"/>
      <c r="C198" s="244">
        <f>YEAR(Table12[[#This Row],[Date]])</f>
        <v>2025</v>
      </c>
      <c r="D198" s="244"/>
      <c r="E198" s="244"/>
      <c r="F198" s="245" t="str">
        <f>TEXT(Table12[[#This Row],[Date]],"mmm-yy")</f>
        <v>Oct-25</v>
      </c>
      <c r="G198" s="244">
        <f t="shared" si="21"/>
        <v>31</v>
      </c>
      <c r="H198" s="246">
        <f t="shared" si="22"/>
        <v>45939</v>
      </c>
      <c r="I198" s="1">
        <v>8.0208999999999993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9"/>
        <v/>
      </c>
      <c r="Z198" s="1">
        <f t="shared" si="20"/>
        <v>0</v>
      </c>
    </row>
    <row r="199" spans="1:26" x14ac:dyDescent="0.3">
      <c r="A199" s="244"/>
      <c r="B199" s="244"/>
      <c r="C199" s="244">
        <f>YEAR(Table12[[#This Row],[Date]])</f>
        <v>2025</v>
      </c>
      <c r="D199" s="244"/>
      <c r="E199" s="244"/>
      <c r="F199" s="245" t="str">
        <f>TEXT(Table12[[#This Row],[Date]],"mmm-yy")</f>
        <v>Oct-25</v>
      </c>
      <c r="G199" s="244">
        <f t="shared" si="21"/>
        <v>31</v>
      </c>
      <c r="H199" s="246">
        <f t="shared" si="22"/>
        <v>45940</v>
      </c>
      <c r="I199" s="1">
        <v>8.0208999999999993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9"/>
        <v/>
      </c>
      <c r="Z199" s="1">
        <f t="shared" si="20"/>
        <v>0</v>
      </c>
    </row>
    <row r="200" spans="1:26" x14ac:dyDescent="0.3">
      <c r="A200" s="244"/>
      <c r="B200" s="244"/>
      <c r="C200" s="244">
        <f>YEAR(Table12[[#This Row],[Date]])</f>
        <v>2025</v>
      </c>
      <c r="D200" s="244"/>
      <c r="E200" s="244"/>
      <c r="F200" s="245" t="str">
        <f>TEXT(Table12[[#This Row],[Date]],"mmm-yy")</f>
        <v>Oct-25</v>
      </c>
      <c r="G200" s="244">
        <f t="shared" si="21"/>
        <v>31</v>
      </c>
      <c r="H200" s="246">
        <f t="shared" si="22"/>
        <v>45941</v>
      </c>
      <c r="I200" s="1">
        <v>8.0208999999999993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9"/>
        <v/>
      </c>
      <c r="Z200" s="1">
        <f t="shared" si="20"/>
        <v>0</v>
      </c>
    </row>
    <row r="201" spans="1:26" x14ac:dyDescent="0.3">
      <c r="A201" s="244"/>
      <c r="B201" s="244"/>
      <c r="C201" s="244">
        <f>YEAR(Table12[[#This Row],[Date]])</f>
        <v>2025</v>
      </c>
      <c r="D201" s="244"/>
      <c r="E201" s="244"/>
      <c r="F201" s="245" t="str">
        <f>TEXT(Table12[[#This Row],[Date]],"mmm-yy")</f>
        <v>Oct-25</v>
      </c>
      <c r="G201" s="244">
        <f t="shared" si="21"/>
        <v>31</v>
      </c>
      <c r="H201" s="246">
        <f t="shared" si="22"/>
        <v>45942</v>
      </c>
      <c r="I201" s="1">
        <v>8.0208999999999993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9"/>
        <v/>
      </c>
      <c r="Z201" s="1">
        <f t="shared" si="20"/>
        <v>0</v>
      </c>
    </row>
    <row r="202" spans="1:26" x14ac:dyDescent="0.3">
      <c r="A202" s="244"/>
      <c r="B202" s="244"/>
      <c r="C202" s="244">
        <f>YEAR(Table12[[#This Row],[Date]])</f>
        <v>2025</v>
      </c>
      <c r="D202" s="244"/>
      <c r="E202" s="244"/>
      <c r="F202" s="245" t="str">
        <f>TEXT(Table12[[#This Row],[Date]],"mmm-yy")</f>
        <v>Oct-25</v>
      </c>
      <c r="G202" s="244">
        <f t="shared" si="21"/>
        <v>31</v>
      </c>
      <c r="H202" s="246">
        <f t="shared" si="22"/>
        <v>45943</v>
      </c>
      <c r="I202" s="1">
        <v>8.0208999999999993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9"/>
        <v/>
      </c>
      <c r="Z202" s="1">
        <f t="shared" si="20"/>
        <v>0</v>
      </c>
    </row>
    <row r="203" spans="1:26" x14ac:dyDescent="0.3">
      <c r="A203" s="244"/>
      <c r="B203" s="244"/>
      <c r="C203" s="244">
        <f>YEAR(Table12[[#This Row],[Date]])</f>
        <v>2025</v>
      </c>
      <c r="D203" s="244"/>
      <c r="E203" s="244"/>
      <c r="F203" s="245" t="str">
        <f>TEXT(Table12[[#This Row],[Date]],"mmm-yy")</f>
        <v>Oct-25</v>
      </c>
      <c r="G203" s="244">
        <f t="shared" si="21"/>
        <v>31</v>
      </c>
      <c r="H203" s="246">
        <f t="shared" si="22"/>
        <v>45944</v>
      </c>
      <c r="I203" s="1">
        <v>8.0208999999999993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9"/>
        <v/>
      </c>
      <c r="Z203" s="1">
        <f t="shared" si="20"/>
        <v>0</v>
      </c>
    </row>
    <row r="204" spans="1:26" x14ac:dyDescent="0.3">
      <c r="A204" s="244"/>
      <c r="B204" s="244"/>
      <c r="C204" s="244">
        <f>YEAR(Table12[[#This Row],[Date]])</f>
        <v>2025</v>
      </c>
      <c r="D204" s="244"/>
      <c r="E204" s="244"/>
      <c r="F204" s="245" t="str">
        <f>TEXT(Table12[[#This Row],[Date]],"mmm-yy")</f>
        <v>Oct-25</v>
      </c>
      <c r="G204" s="244">
        <f t="shared" si="21"/>
        <v>31</v>
      </c>
      <c r="H204" s="246">
        <f t="shared" si="22"/>
        <v>45945</v>
      </c>
      <c r="I204" s="1">
        <v>8.0208999999999993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9"/>
        <v/>
      </c>
      <c r="Z204" s="1">
        <f t="shared" si="20"/>
        <v>0</v>
      </c>
    </row>
    <row r="205" spans="1:26" x14ac:dyDescent="0.3">
      <c r="A205" s="244"/>
      <c r="B205" s="244"/>
      <c r="C205" s="244">
        <f>YEAR(Table12[[#This Row],[Date]])</f>
        <v>2025</v>
      </c>
      <c r="D205" s="244"/>
      <c r="E205" s="244"/>
      <c r="F205" s="245" t="str">
        <f>TEXT(Table12[[#This Row],[Date]],"mmm-yy")</f>
        <v>Oct-25</v>
      </c>
      <c r="G205" s="244">
        <f t="shared" si="21"/>
        <v>31</v>
      </c>
      <c r="H205" s="246">
        <f t="shared" si="22"/>
        <v>45946</v>
      </c>
      <c r="I205" s="1">
        <v>8.0208999999999993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9"/>
        <v/>
      </c>
      <c r="Z205" s="1">
        <f t="shared" si="20"/>
        <v>0</v>
      </c>
    </row>
    <row r="206" spans="1:26" x14ac:dyDescent="0.3">
      <c r="A206" s="244"/>
      <c r="B206" s="244"/>
      <c r="C206" s="244">
        <f>YEAR(Table12[[#This Row],[Date]])</f>
        <v>2025</v>
      </c>
      <c r="D206" s="244"/>
      <c r="E206" s="244"/>
      <c r="F206" s="245" t="str">
        <f>TEXT(Table12[[#This Row],[Date]],"mmm-yy")</f>
        <v>Oct-25</v>
      </c>
      <c r="G206" s="244">
        <f t="shared" si="21"/>
        <v>31</v>
      </c>
      <c r="H206" s="246">
        <f t="shared" si="22"/>
        <v>45947</v>
      </c>
      <c r="I206" s="1">
        <v>8.0208999999999993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9"/>
        <v/>
      </c>
      <c r="Z206" s="1">
        <f t="shared" si="20"/>
        <v>0</v>
      </c>
    </row>
    <row r="207" spans="1:26" x14ac:dyDescent="0.3">
      <c r="A207" s="244"/>
      <c r="B207" s="244"/>
      <c r="C207" s="244">
        <f>YEAR(Table12[[#This Row],[Date]])</f>
        <v>2025</v>
      </c>
      <c r="D207" s="244"/>
      <c r="E207" s="244"/>
      <c r="F207" s="245" t="str">
        <f>TEXT(Table12[[#This Row],[Date]],"mmm-yy")</f>
        <v>Oct-25</v>
      </c>
      <c r="G207" s="244">
        <f t="shared" si="21"/>
        <v>31</v>
      </c>
      <c r="H207" s="246">
        <f t="shared" si="22"/>
        <v>45948</v>
      </c>
      <c r="I207" s="1">
        <v>8.0208999999999993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9"/>
        <v/>
      </c>
      <c r="Z207" s="1">
        <f t="shared" si="20"/>
        <v>0</v>
      </c>
    </row>
    <row r="208" spans="1:26" x14ac:dyDescent="0.3">
      <c r="A208" s="244"/>
      <c r="B208" s="244"/>
      <c r="C208" s="244">
        <f>YEAR(Table12[[#This Row],[Date]])</f>
        <v>2025</v>
      </c>
      <c r="D208" s="244"/>
      <c r="E208" s="244"/>
      <c r="F208" s="245" t="str">
        <f>TEXT(Table12[[#This Row],[Date]],"mmm-yy")</f>
        <v>Oct-25</v>
      </c>
      <c r="G208" s="244">
        <f t="shared" si="21"/>
        <v>31</v>
      </c>
      <c r="H208" s="246">
        <f t="shared" si="22"/>
        <v>45949</v>
      </c>
      <c r="I208" s="1">
        <v>8.0208999999999993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9"/>
        <v/>
      </c>
      <c r="Z208" s="1">
        <f t="shared" si="20"/>
        <v>0</v>
      </c>
    </row>
    <row r="209" spans="1:26" x14ac:dyDescent="0.3">
      <c r="A209" s="244"/>
      <c r="B209" s="244"/>
      <c r="C209" s="244">
        <f>YEAR(Table12[[#This Row],[Date]])</f>
        <v>2025</v>
      </c>
      <c r="D209" s="244"/>
      <c r="E209" s="244"/>
      <c r="F209" s="245" t="str">
        <f>TEXT(Table12[[#This Row],[Date]],"mmm-yy")</f>
        <v>Oct-25</v>
      </c>
      <c r="G209" s="244">
        <f t="shared" si="21"/>
        <v>31</v>
      </c>
      <c r="H209" s="246">
        <f t="shared" si="22"/>
        <v>45950</v>
      </c>
      <c r="I209" s="1">
        <v>8.0208999999999993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9"/>
        <v/>
      </c>
      <c r="Z209" s="1">
        <f t="shared" si="20"/>
        <v>0</v>
      </c>
    </row>
    <row r="210" spans="1:26" x14ac:dyDescent="0.3">
      <c r="A210" s="244"/>
      <c r="B210" s="244"/>
      <c r="C210" s="244">
        <f>YEAR(Table12[[#This Row],[Date]])</f>
        <v>2025</v>
      </c>
      <c r="D210" s="244"/>
      <c r="E210" s="244"/>
      <c r="F210" s="245" t="str">
        <f>TEXT(Table12[[#This Row],[Date]],"mmm-yy")</f>
        <v>Oct-25</v>
      </c>
      <c r="G210" s="244">
        <f t="shared" si="21"/>
        <v>31</v>
      </c>
      <c r="H210" s="246">
        <f t="shared" si="22"/>
        <v>45951</v>
      </c>
      <c r="I210" s="1">
        <v>8.0208999999999993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9"/>
        <v/>
      </c>
      <c r="Z210" s="1">
        <f t="shared" si="20"/>
        <v>0</v>
      </c>
    </row>
    <row r="211" spans="1:26" x14ac:dyDescent="0.3">
      <c r="A211" s="244"/>
      <c r="B211" s="244"/>
      <c r="C211" s="244">
        <f>YEAR(Table12[[#This Row],[Date]])</f>
        <v>2025</v>
      </c>
      <c r="D211" s="244"/>
      <c r="E211" s="244"/>
      <c r="F211" s="245" t="str">
        <f>TEXT(Table12[[#This Row],[Date]],"mmm-yy")</f>
        <v>Oct-25</v>
      </c>
      <c r="G211" s="244">
        <f t="shared" si="21"/>
        <v>31</v>
      </c>
      <c r="H211" s="246">
        <f t="shared" si="22"/>
        <v>45952</v>
      </c>
      <c r="I211" s="1">
        <v>8.0208999999999993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9"/>
        <v/>
      </c>
      <c r="Z211" s="1">
        <f t="shared" si="20"/>
        <v>0</v>
      </c>
    </row>
    <row r="212" spans="1:26" x14ac:dyDescent="0.3">
      <c r="A212" s="244"/>
      <c r="B212" s="244"/>
      <c r="C212" s="244">
        <f>YEAR(Table12[[#This Row],[Date]])</f>
        <v>2025</v>
      </c>
      <c r="D212" s="244"/>
      <c r="E212" s="244"/>
      <c r="F212" s="245" t="str">
        <f>TEXT(Table12[[#This Row],[Date]],"mmm-yy")</f>
        <v>Oct-25</v>
      </c>
      <c r="G212" s="244">
        <f t="shared" si="21"/>
        <v>31</v>
      </c>
      <c r="H212" s="246">
        <f t="shared" si="22"/>
        <v>45953</v>
      </c>
      <c r="I212" s="1">
        <v>8.0208999999999993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9"/>
        <v/>
      </c>
      <c r="Z212" s="1">
        <f t="shared" si="20"/>
        <v>0</v>
      </c>
    </row>
    <row r="213" spans="1:26" x14ac:dyDescent="0.3">
      <c r="A213" s="244"/>
      <c r="B213" s="244"/>
      <c r="C213" s="244">
        <f>YEAR(Table12[[#This Row],[Date]])</f>
        <v>2025</v>
      </c>
      <c r="D213" s="244"/>
      <c r="E213" s="244"/>
      <c r="F213" s="245" t="str">
        <f>TEXT(Table12[[#This Row],[Date]],"mmm-yy")</f>
        <v>Oct-25</v>
      </c>
      <c r="G213" s="244">
        <f t="shared" si="21"/>
        <v>31</v>
      </c>
      <c r="H213" s="246">
        <f t="shared" si="22"/>
        <v>45954</v>
      </c>
      <c r="I213" s="1">
        <v>8.0208999999999993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9"/>
        <v/>
      </c>
      <c r="Z213" s="1">
        <f t="shared" si="20"/>
        <v>0</v>
      </c>
    </row>
    <row r="214" spans="1:26" x14ac:dyDescent="0.3">
      <c r="A214" s="244"/>
      <c r="B214" s="244"/>
      <c r="C214" s="244">
        <f>YEAR(Table12[[#This Row],[Date]])</f>
        <v>2025</v>
      </c>
      <c r="D214" s="244"/>
      <c r="E214" s="244"/>
      <c r="F214" s="245" t="str">
        <f>TEXT(Table12[[#This Row],[Date]],"mmm-yy")</f>
        <v>Oct-25</v>
      </c>
      <c r="G214" s="244">
        <f t="shared" si="21"/>
        <v>31</v>
      </c>
      <c r="H214" s="246">
        <f t="shared" si="22"/>
        <v>45955</v>
      </c>
      <c r="I214" s="1">
        <v>8.0208999999999993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9"/>
        <v/>
      </c>
      <c r="Z214" s="1">
        <f t="shared" si="20"/>
        <v>0</v>
      </c>
    </row>
    <row r="215" spans="1:26" x14ac:dyDescent="0.3">
      <c r="A215" s="244"/>
      <c r="B215" s="244"/>
      <c r="C215" s="244">
        <f>YEAR(Table12[[#This Row],[Date]])</f>
        <v>2025</v>
      </c>
      <c r="D215" s="244"/>
      <c r="E215" s="244"/>
      <c r="F215" s="245" t="str">
        <f>TEXT(Table12[[#This Row],[Date]],"mmm-yy")</f>
        <v>Oct-25</v>
      </c>
      <c r="G215" s="244">
        <f t="shared" si="21"/>
        <v>31</v>
      </c>
      <c r="H215" s="246">
        <f t="shared" si="22"/>
        <v>45956</v>
      </c>
      <c r="I215" s="1">
        <v>8.0208999999999993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9"/>
        <v/>
      </c>
      <c r="Z215" s="1">
        <f t="shared" si="20"/>
        <v>0</v>
      </c>
    </row>
    <row r="216" spans="1:26" x14ac:dyDescent="0.3">
      <c r="A216" s="244"/>
      <c r="B216" s="244"/>
      <c r="C216" s="244">
        <f>YEAR(Table12[[#This Row],[Date]])</f>
        <v>2025</v>
      </c>
      <c r="D216" s="244"/>
      <c r="E216" s="244"/>
      <c r="F216" s="245" t="str">
        <f>TEXT(Table12[[#This Row],[Date]],"mmm-yy")</f>
        <v>Oct-25</v>
      </c>
      <c r="G216" s="244">
        <f t="shared" si="21"/>
        <v>31</v>
      </c>
      <c r="H216" s="246">
        <f t="shared" si="22"/>
        <v>45957</v>
      </c>
      <c r="I216" s="1">
        <v>8.0208999999999993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9"/>
        <v/>
      </c>
      <c r="Z216" s="1">
        <f t="shared" si="20"/>
        <v>0</v>
      </c>
    </row>
    <row r="217" spans="1:26" x14ac:dyDescent="0.3">
      <c r="A217" s="244"/>
      <c r="B217" s="244"/>
      <c r="C217" s="244">
        <f>YEAR(Table12[[#This Row],[Date]])</f>
        <v>2025</v>
      </c>
      <c r="D217" s="244"/>
      <c r="E217" s="244"/>
      <c r="F217" s="245" t="str">
        <f>TEXT(Table12[[#This Row],[Date]],"mmm-yy")</f>
        <v>Oct-25</v>
      </c>
      <c r="G217" s="244">
        <f t="shared" si="21"/>
        <v>31</v>
      </c>
      <c r="H217" s="246">
        <f t="shared" si="22"/>
        <v>45958</v>
      </c>
      <c r="I217" s="1">
        <v>8.0208999999999993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9"/>
        <v/>
      </c>
      <c r="Z217" s="1">
        <f t="shared" si="20"/>
        <v>0</v>
      </c>
    </row>
    <row r="218" spans="1:26" x14ac:dyDescent="0.3">
      <c r="A218" s="244"/>
      <c r="B218" s="244"/>
      <c r="C218" s="244">
        <f>YEAR(Table12[[#This Row],[Date]])</f>
        <v>2025</v>
      </c>
      <c r="D218" s="244"/>
      <c r="E218" s="244"/>
      <c r="F218" s="245" t="str">
        <f>TEXT(Table12[[#This Row],[Date]],"mmm-yy")</f>
        <v>Oct-25</v>
      </c>
      <c r="G218" s="244">
        <f t="shared" si="21"/>
        <v>31</v>
      </c>
      <c r="H218" s="246">
        <f t="shared" si="22"/>
        <v>45959</v>
      </c>
      <c r="I218" s="1">
        <v>8.0208999999999993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9"/>
        <v/>
      </c>
      <c r="Z218" s="1">
        <f t="shared" si="20"/>
        <v>0</v>
      </c>
    </row>
    <row r="219" spans="1:26" x14ac:dyDescent="0.3">
      <c r="A219" s="244"/>
      <c r="B219" s="244"/>
      <c r="C219" s="244">
        <f>YEAR(Table12[[#This Row],[Date]])</f>
        <v>2025</v>
      </c>
      <c r="D219" s="244"/>
      <c r="E219" s="244"/>
      <c r="F219" s="245" t="str">
        <f>TEXT(Table12[[#This Row],[Date]],"mmm-yy")</f>
        <v>Oct-25</v>
      </c>
      <c r="G219" s="244">
        <f t="shared" si="21"/>
        <v>31</v>
      </c>
      <c r="H219" s="246">
        <f t="shared" si="22"/>
        <v>45960</v>
      </c>
      <c r="I219" s="1">
        <v>8.0208999999999993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9"/>
        <v/>
      </c>
      <c r="Z219" s="1">
        <f t="shared" si="20"/>
        <v>0</v>
      </c>
    </row>
    <row r="220" spans="1:26" x14ac:dyDescent="0.3">
      <c r="A220" s="244"/>
      <c r="B220" s="244"/>
      <c r="C220" s="244">
        <f>YEAR(Table12[[#This Row],[Date]])</f>
        <v>2025</v>
      </c>
      <c r="D220" s="244"/>
      <c r="E220" s="244"/>
      <c r="F220" s="245" t="str">
        <f>TEXT(Table12[[#This Row],[Date]],"mmm-yy")</f>
        <v>Oct-25</v>
      </c>
      <c r="G220" s="244">
        <f t="shared" si="21"/>
        <v>31</v>
      </c>
      <c r="H220" s="246">
        <f t="shared" si="22"/>
        <v>45961</v>
      </c>
      <c r="I220" s="1">
        <v>8.0208999999999993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9"/>
        <v/>
      </c>
      <c r="Z220" s="1">
        <f t="shared" si="20"/>
        <v>0</v>
      </c>
    </row>
    <row r="221" spans="1:26" x14ac:dyDescent="0.3">
      <c r="A221" s="244"/>
      <c r="B221" s="244"/>
      <c r="C221" s="244">
        <f>YEAR(Table12[[#This Row],[Date]])</f>
        <v>2025</v>
      </c>
      <c r="D221" s="244"/>
      <c r="E221" s="244"/>
      <c r="F221" s="245" t="str">
        <f>TEXT(Table12[[#This Row],[Date]],"mmm-yy")</f>
        <v>Nov-25</v>
      </c>
      <c r="G221" s="244">
        <f t="shared" si="21"/>
        <v>30</v>
      </c>
      <c r="H221" s="246">
        <f t="shared" si="22"/>
        <v>45962</v>
      </c>
      <c r="I221" s="1">
        <v>8.0208999999999993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9"/>
        <v/>
      </c>
      <c r="Z221" s="1">
        <f t="shared" si="20"/>
        <v>0</v>
      </c>
    </row>
    <row r="222" spans="1:26" x14ac:dyDescent="0.3">
      <c r="A222" s="244"/>
      <c r="B222" s="244"/>
      <c r="C222" s="244">
        <f>YEAR(Table12[[#This Row],[Date]])</f>
        <v>2025</v>
      </c>
      <c r="D222" s="244"/>
      <c r="E222" s="244"/>
      <c r="F222" s="245" t="str">
        <f>TEXT(Table12[[#This Row],[Date]],"mmm-yy")</f>
        <v>Nov-25</v>
      </c>
      <c r="G222" s="244">
        <f t="shared" si="21"/>
        <v>30</v>
      </c>
      <c r="H222" s="246">
        <f t="shared" si="22"/>
        <v>45963</v>
      </c>
      <c r="I222" s="1">
        <v>8.0208999999999993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9"/>
        <v/>
      </c>
      <c r="Z222" s="1">
        <f t="shared" si="20"/>
        <v>0</v>
      </c>
    </row>
    <row r="223" spans="1:26" x14ac:dyDescent="0.3">
      <c r="A223" s="244"/>
      <c r="B223" s="244"/>
      <c r="C223" s="244">
        <f>YEAR(Table12[[#This Row],[Date]])</f>
        <v>2025</v>
      </c>
      <c r="D223" s="244"/>
      <c r="E223" s="244"/>
      <c r="F223" s="245" t="str">
        <f>TEXT(Table12[[#This Row],[Date]],"mmm-yy")</f>
        <v>Nov-25</v>
      </c>
      <c r="G223" s="244">
        <f t="shared" si="21"/>
        <v>30</v>
      </c>
      <c r="H223" s="246">
        <f t="shared" si="22"/>
        <v>45964</v>
      </c>
      <c r="I223" s="1">
        <v>8.0208999999999993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9"/>
        <v/>
      </c>
      <c r="Z223" s="1">
        <f t="shared" si="20"/>
        <v>0</v>
      </c>
    </row>
    <row r="224" spans="1:26" x14ac:dyDescent="0.3">
      <c r="A224" s="244"/>
      <c r="B224" s="244"/>
      <c r="C224" s="244">
        <f>YEAR(Table12[[#This Row],[Date]])</f>
        <v>2025</v>
      </c>
      <c r="D224" s="244"/>
      <c r="E224" s="244"/>
      <c r="F224" s="245" t="str">
        <f>TEXT(Table12[[#This Row],[Date]],"mmm-yy")</f>
        <v>Nov-25</v>
      </c>
      <c r="G224" s="244">
        <f t="shared" si="21"/>
        <v>30</v>
      </c>
      <c r="H224" s="246">
        <f t="shared" si="22"/>
        <v>45965</v>
      </c>
      <c r="I224" s="1">
        <v>8.0208999999999993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9"/>
        <v/>
      </c>
      <c r="Z224" s="1">
        <f t="shared" si="20"/>
        <v>0</v>
      </c>
    </row>
    <row r="225" spans="1:26" x14ac:dyDescent="0.3">
      <c r="A225" s="244"/>
      <c r="B225" s="244"/>
      <c r="C225" s="244">
        <f>YEAR(Table12[[#This Row],[Date]])</f>
        <v>2025</v>
      </c>
      <c r="D225" s="244"/>
      <c r="E225" s="244"/>
      <c r="F225" s="245" t="str">
        <f>TEXT(Table12[[#This Row],[Date]],"mmm-yy")</f>
        <v>Nov-25</v>
      </c>
      <c r="G225" s="244">
        <f t="shared" si="21"/>
        <v>30</v>
      </c>
      <c r="H225" s="246">
        <f t="shared" si="22"/>
        <v>45966</v>
      </c>
      <c r="I225" s="1">
        <v>8.0208999999999993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9"/>
        <v/>
      </c>
      <c r="Z225" s="1">
        <f t="shared" si="20"/>
        <v>0</v>
      </c>
    </row>
    <row r="226" spans="1:26" x14ac:dyDescent="0.3">
      <c r="A226" s="244"/>
      <c r="B226" s="244"/>
      <c r="C226" s="244">
        <f>YEAR(Table12[[#This Row],[Date]])</f>
        <v>2025</v>
      </c>
      <c r="D226" s="244"/>
      <c r="E226" s="244"/>
      <c r="F226" s="245" t="str">
        <f>TEXT(Table12[[#This Row],[Date]],"mmm-yy")</f>
        <v>Nov-25</v>
      </c>
      <c r="G226" s="244">
        <f t="shared" si="21"/>
        <v>30</v>
      </c>
      <c r="H226" s="246">
        <f t="shared" si="22"/>
        <v>45967</v>
      </c>
      <c r="I226" s="1">
        <v>8.0208999999999993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9"/>
        <v/>
      </c>
      <c r="Z226" s="1">
        <f t="shared" si="20"/>
        <v>0</v>
      </c>
    </row>
    <row r="227" spans="1:26" x14ac:dyDescent="0.3">
      <c r="A227" s="244"/>
      <c r="B227" s="244"/>
      <c r="C227" s="244">
        <f>YEAR(Table12[[#This Row],[Date]])</f>
        <v>2025</v>
      </c>
      <c r="D227" s="244"/>
      <c r="E227" s="244"/>
      <c r="F227" s="245" t="str">
        <f>TEXT(Table12[[#This Row],[Date]],"mmm-yy")</f>
        <v>Nov-25</v>
      </c>
      <c r="G227" s="244">
        <f t="shared" ref="G227:G258" si="23">DAY(EOMONTH(F227,0))</f>
        <v>30</v>
      </c>
      <c r="H227" s="246">
        <f t="shared" ref="H227:H239" si="24">H226+1</f>
        <v>45968</v>
      </c>
      <c r="I227" s="1">
        <v>8.0208999999999993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ref="Y227:Y239" si="25">IFERROR(AVERAGEIF(V227:X227,"&gt;"&amp;0,V227:X227),"")</f>
        <v/>
      </c>
      <c r="Z227" s="1">
        <f t="shared" ref="Z227:Z239" si="26">MAXA(V227:X227)</f>
        <v>0</v>
      </c>
    </row>
    <row r="228" spans="1:26" x14ac:dyDescent="0.3">
      <c r="A228" s="244"/>
      <c r="B228" s="244"/>
      <c r="C228" s="244">
        <f>YEAR(Table12[[#This Row],[Date]])</f>
        <v>2025</v>
      </c>
      <c r="D228" s="244"/>
      <c r="E228" s="244"/>
      <c r="F228" s="245" t="str">
        <f>TEXT(Table12[[#This Row],[Date]],"mmm-yy")</f>
        <v>Nov-25</v>
      </c>
      <c r="G228" s="244">
        <f t="shared" si="23"/>
        <v>30</v>
      </c>
      <c r="H228" s="246">
        <f t="shared" si="24"/>
        <v>45969</v>
      </c>
      <c r="I228" s="1">
        <v>8.0208999999999993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si="25"/>
        <v/>
      </c>
      <c r="Z228" s="1">
        <f t="shared" si="26"/>
        <v>0</v>
      </c>
    </row>
    <row r="229" spans="1:26" x14ac:dyDescent="0.3">
      <c r="A229" s="244"/>
      <c r="B229" s="244"/>
      <c r="C229" s="244">
        <f>YEAR(Table12[[#This Row],[Date]])</f>
        <v>2025</v>
      </c>
      <c r="D229" s="244"/>
      <c r="E229" s="244"/>
      <c r="F229" s="245" t="str">
        <f>TEXT(Table12[[#This Row],[Date]],"mmm-yy")</f>
        <v>Nov-25</v>
      </c>
      <c r="G229" s="244">
        <f t="shared" si="23"/>
        <v>30</v>
      </c>
      <c r="H229" s="246">
        <f t="shared" si="24"/>
        <v>45970</v>
      </c>
      <c r="I229" s="1">
        <v>8.0208999999999993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25"/>
        <v/>
      </c>
      <c r="Z229" s="1">
        <f t="shared" si="26"/>
        <v>0</v>
      </c>
    </row>
    <row r="230" spans="1:26" x14ac:dyDescent="0.3">
      <c r="A230" s="244"/>
      <c r="B230" s="244"/>
      <c r="C230" s="244">
        <f>YEAR(Table12[[#This Row],[Date]])</f>
        <v>2025</v>
      </c>
      <c r="D230" s="244"/>
      <c r="E230" s="244"/>
      <c r="F230" s="245" t="str">
        <f>TEXT(Table12[[#This Row],[Date]],"mmm-yy")</f>
        <v>Nov-25</v>
      </c>
      <c r="G230" s="244">
        <f t="shared" si="23"/>
        <v>30</v>
      </c>
      <c r="H230" s="246">
        <f t="shared" si="24"/>
        <v>45971</v>
      </c>
      <c r="I230" s="1">
        <v>8.0208999999999993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25"/>
        <v/>
      </c>
      <c r="Z230" s="1">
        <f t="shared" si="26"/>
        <v>0</v>
      </c>
    </row>
    <row r="231" spans="1:26" x14ac:dyDescent="0.3">
      <c r="A231" s="244"/>
      <c r="B231" s="244"/>
      <c r="C231" s="244">
        <f>YEAR(Table12[[#This Row],[Date]])</f>
        <v>2025</v>
      </c>
      <c r="D231" s="244"/>
      <c r="E231" s="244"/>
      <c r="F231" s="245" t="str">
        <f>TEXT(Table12[[#This Row],[Date]],"mmm-yy")</f>
        <v>Nov-25</v>
      </c>
      <c r="G231" s="244">
        <f t="shared" si="23"/>
        <v>30</v>
      </c>
      <c r="H231" s="246">
        <f t="shared" si="24"/>
        <v>45972</v>
      </c>
      <c r="I231" s="1">
        <v>8.0208999999999993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25"/>
        <v/>
      </c>
      <c r="Z231" s="1">
        <f t="shared" si="26"/>
        <v>0</v>
      </c>
    </row>
    <row r="232" spans="1:26" x14ac:dyDescent="0.3">
      <c r="A232" s="244"/>
      <c r="B232" s="244"/>
      <c r="C232" s="244">
        <f>YEAR(Table12[[#This Row],[Date]])</f>
        <v>2025</v>
      </c>
      <c r="D232" s="244"/>
      <c r="E232" s="244"/>
      <c r="F232" s="245" t="str">
        <f>TEXT(Table12[[#This Row],[Date]],"mmm-yy")</f>
        <v>Nov-25</v>
      </c>
      <c r="G232" s="244">
        <f t="shared" si="23"/>
        <v>30</v>
      </c>
      <c r="H232" s="246">
        <f t="shared" si="24"/>
        <v>45973</v>
      </c>
      <c r="I232" s="1">
        <v>8.0208999999999993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25"/>
        <v/>
      </c>
      <c r="Z232" s="1">
        <f t="shared" si="26"/>
        <v>0</v>
      </c>
    </row>
    <row r="233" spans="1:26" x14ac:dyDescent="0.3">
      <c r="A233" s="244"/>
      <c r="B233" s="244"/>
      <c r="C233" s="244">
        <f>YEAR(Table12[[#This Row],[Date]])</f>
        <v>2025</v>
      </c>
      <c r="D233" s="244"/>
      <c r="E233" s="244"/>
      <c r="F233" s="245" t="str">
        <f>TEXT(Table12[[#This Row],[Date]],"mmm-yy")</f>
        <v>Nov-25</v>
      </c>
      <c r="G233" s="244">
        <f t="shared" si="23"/>
        <v>30</v>
      </c>
      <c r="H233" s="246">
        <f t="shared" si="24"/>
        <v>45974</v>
      </c>
      <c r="I233" s="1">
        <v>8.0208999999999993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25"/>
        <v/>
      </c>
      <c r="Z233" s="1">
        <f t="shared" si="26"/>
        <v>0</v>
      </c>
    </row>
    <row r="234" spans="1:26" x14ac:dyDescent="0.3">
      <c r="A234" s="244"/>
      <c r="B234" s="244"/>
      <c r="C234" s="244">
        <f>YEAR(Table12[[#This Row],[Date]])</f>
        <v>2025</v>
      </c>
      <c r="D234" s="244"/>
      <c r="E234" s="244"/>
      <c r="F234" s="245" t="str">
        <f>TEXT(Table12[[#This Row],[Date]],"mmm-yy")</f>
        <v>Nov-25</v>
      </c>
      <c r="G234" s="244">
        <f t="shared" si="23"/>
        <v>30</v>
      </c>
      <c r="H234" s="246">
        <f t="shared" si="24"/>
        <v>45975</v>
      </c>
      <c r="I234" s="1">
        <v>8.0208999999999993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25"/>
        <v/>
      </c>
      <c r="Z234" s="1">
        <f t="shared" si="26"/>
        <v>0</v>
      </c>
    </row>
    <row r="235" spans="1:26" x14ac:dyDescent="0.3">
      <c r="A235" s="244"/>
      <c r="B235" s="244"/>
      <c r="C235" s="244">
        <f>YEAR(Table12[[#This Row],[Date]])</f>
        <v>2025</v>
      </c>
      <c r="D235" s="244"/>
      <c r="E235" s="244"/>
      <c r="F235" s="245" t="str">
        <f>TEXT(Table12[[#This Row],[Date]],"mmm-yy")</f>
        <v>Nov-25</v>
      </c>
      <c r="G235" s="244">
        <f t="shared" si="23"/>
        <v>30</v>
      </c>
      <c r="H235" s="246">
        <f t="shared" si="24"/>
        <v>45976</v>
      </c>
      <c r="I235" s="1">
        <v>8.0208999999999993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25"/>
        <v/>
      </c>
      <c r="Z235" s="1">
        <f t="shared" si="26"/>
        <v>0</v>
      </c>
    </row>
    <row r="236" spans="1:26" x14ac:dyDescent="0.3">
      <c r="A236" s="244"/>
      <c r="B236" s="244"/>
      <c r="C236" s="244">
        <f>YEAR(Table12[[#This Row],[Date]])</f>
        <v>2025</v>
      </c>
      <c r="D236" s="244"/>
      <c r="E236" s="244"/>
      <c r="F236" s="245" t="str">
        <f>TEXT(Table12[[#This Row],[Date]],"mmm-yy")</f>
        <v>Nov-25</v>
      </c>
      <c r="G236" s="244">
        <f t="shared" si="23"/>
        <v>30</v>
      </c>
      <c r="H236" s="246">
        <f t="shared" si="24"/>
        <v>45977</v>
      </c>
      <c r="I236" s="1">
        <v>8.0208999999999993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25"/>
        <v/>
      </c>
      <c r="Z236" s="1">
        <f t="shared" si="26"/>
        <v>0</v>
      </c>
    </row>
    <row r="237" spans="1:26" x14ac:dyDescent="0.3">
      <c r="A237" s="244"/>
      <c r="B237" s="244"/>
      <c r="C237" s="244">
        <f>YEAR(Table12[[#This Row],[Date]])</f>
        <v>2025</v>
      </c>
      <c r="D237" s="244"/>
      <c r="E237" s="244"/>
      <c r="F237" s="245" t="str">
        <f>TEXT(Table12[[#This Row],[Date]],"mmm-yy")</f>
        <v>Nov-25</v>
      </c>
      <c r="G237" s="244">
        <f t="shared" si="23"/>
        <v>30</v>
      </c>
      <c r="H237" s="246">
        <f t="shared" si="24"/>
        <v>45978</v>
      </c>
      <c r="I237" s="1">
        <v>8.0208999999999993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25"/>
        <v/>
      </c>
      <c r="Z237" s="1">
        <f t="shared" si="26"/>
        <v>0</v>
      </c>
    </row>
    <row r="238" spans="1:26" x14ac:dyDescent="0.3">
      <c r="A238" s="244"/>
      <c r="B238" s="244"/>
      <c r="C238" s="244">
        <f>YEAR(Table12[[#This Row],[Date]])</f>
        <v>2025</v>
      </c>
      <c r="D238" s="244"/>
      <c r="E238" s="244"/>
      <c r="F238" s="245" t="str">
        <f>TEXT(Table12[[#This Row],[Date]],"mmm-yy")</f>
        <v>Nov-25</v>
      </c>
      <c r="G238" s="244">
        <f t="shared" si="23"/>
        <v>30</v>
      </c>
      <c r="H238" s="246">
        <f t="shared" si="24"/>
        <v>45979</v>
      </c>
      <c r="I238" s="1">
        <v>8.0208999999999993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25"/>
        <v/>
      </c>
      <c r="Z238" s="1">
        <f t="shared" si="26"/>
        <v>0</v>
      </c>
    </row>
    <row r="239" spans="1:26" x14ac:dyDescent="0.3">
      <c r="A239" s="244"/>
      <c r="B239" s="244"/>
      <c r="C239" s="244">
        <f>YEAR(Table12[[#This Row],[Date]])</f>
        <v>2025</v>
      </c>
      <c r="D239" s="244"/>
      <c r="E239" s="244"/>
      <c r="F239" s="245" t="str">
        <f>TEXT(Table12[[#This Row],[Date]],"mmm-yy")</f>
        <v>Nov-25</v>
      </c>
      <c r="G239" s="244">
        <f t="shared" si="23"/>
        <v>30</v>
      </c>
      <c r="H239" s="246">
        <f t="shared" si="24"/>
        <v>45980</v>
      </c>
      <c r="I239" s="1">
        <v>8.0208999999999993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25"/>
        <v/>
      </c>
      <c r="Z239" s="1">
        <f t="shared" si="26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68"/>
  <sheetViews>
    <sheetView tabSelected="1" zoomScaleNormal="100" workbookViewId="0">
      <pane xSplit="8" ySplit="1" topLeftCell="AB117" activePane="bottomRight" state="frozen"/>
      <selection pane="topRight" activeCell="I1" sqref="I1"/>
      <selection pane="bottomLeft" activeCell="A2" sqref="A2"/>
      <selection pane="bottomRight" activeCell="AG132" sqref="AG132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7">
        <f>YEAR(Table5[[#This Row],[Date]])+IF(MONTH(Table5[[#This Row],[Date]])&gt;=4,1,0)</f>
        <v>2026</v>
      </c>
      <c r="B45" s="247"/>
      <c r="C45" s="247">
        <f>YEAR(Table5[[#This Row],[Date]])</f>
        <v>2025</v>
      </c>
      <c r="D45" s="247"/>
      <c r="E45" s="247"/>
      <c r="F45" s="248" t="str">
        <f>TEXT(Table5[[#This Row],[Date]],"mmm-yy")</f>
        <v>May-25</v>
      </c>
      <c r="G45" s="247">
        <f t="shared" ref="G45:G76" si="5">DAY(EOMONTH(F45,0))</f>
        <v>31</v>
      </c>
      <c r="H45" s="249">
        <f t="shared" ref="H45:H76" si="6">H44+1</f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7">
        <f>YEAR(Table5[[#This Row],[Date]])+IF(MONTH(Table5[[#This Row],[Date]])&gt;=4,1,0)</f>
        <v>2026</v>
      </c>
      <c r="B46" s="247"/>
      <c r="C46" s="247">
        <f>YEAR(Table5[[#This Row],[Date]])</f>
        <v>2025</v>
      </c>
      <c r="D46" s="247"/>
      <c r="E46" s="247"/>
      <c r="F46" s="248" t="str">
        <f>TEXT(Table5[[#This Row],[Date]],"mmm-yy")</f>
        <v>May-25</v>
      </c>
      <c r="G46" s="247">
        <f t="shared" si="5"/>
        <v>31</v>
      </c>
      <c r="H46" s="249">
        <f t="shared" si="6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7">
        <f>YEAR(Table5[[#This Row],[Date]])+IF(MONTH(Table5[[#This Row],[Date]])&gt;=4,1,0)</f>
        <v>2026</v>
      </c>
      <c r="B47" s="247"/>
      <c r="C47" s="247">
        <f>YEAR(Table5[[#This Row],[Date]])</f>
        <v>2025</v>
      </c>
      <c r="D47" s="247"/>
      <c r="E47" s="247"/>
      <c r="F47" s="248" t="str">
        <f>TEXT(Table5[[#This Row],[Date]],"mmm-yy")</f>
        <v>May-25</v>
      </c>
      <c r="G47" s="247">
        <f t="shared" si="5"/>
        <v>31</v>
      </c>
      <c r="H47" s="249">
        <f t="shared" si="6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7">
        <f>YEAR(Table5[[#This Row],[Date]])+IF(MONTH(Table5[[#This Row],[Date]])&gt;=4,1,0)</f>
        <v>2026</v>
      </c>
      <c r="B48" s="247"/>
      <c r="C48" s="247">
        <f>YEAR(Table5[[#This Row],[Date]])</f>
        <v>2025</v>
      </c>
      <c r="D48" s="247"/>
      <c r="E48" s="247"/>
      <c r="F48" s="248" t="str">
        <f>TEXT(Table5[[#This Row],[Date]],"mmm-yy")</f>
        <v>May-25</v>
      </c>
      <c r="G48" s="247">
        <f t="shared" si="5"/>
        <v>31</v>
      </c>
      <c r="H48" s="249">
        <f t="shared" si="6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7">
        <f>YEAR(Table5[[#This Row],[Date]])+IF(MONTH(Table5[[#This Row],[Date]])&gt;=4,1,0)</f>
        <v>2026</v>
      </c>
      <c r="B49" s="247"/>
      <c r="C49" s="247">
        <f>YEAR(Table5[[#This Row],[Date]])</f>
        <v>2025</v>
      </c>
      <c r="D49" s="247"/>
      <c r="E49" s="247"/>
      <c r="F49" s="248" t="str">
        <f>TEXT(Table5[[#This Row],[Date]],"mmm-yy")</f>
        <v>May-25</v>
      </c>
      <c r="G49" s="247">
        <f t="shared" si="5"/>
        <v>31</v>
      </c>
      <c r="H49" s="249">
        <f t="shared" si="6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7">
        <f>YEAR(Table5[[#This Row],[Date]])+IF(MONTH(Table5[[#This Row],[Date]])&gt;=4,1,0)</f>
        <v>2026</v>
      </c>
      <c r="B50" s="247"/>
      <c r="C50" s="247">
        <f>YEAR(Table5[[#This Row],[Date]])</f>
        <v>2025</v>
      </c>
      <c r="D50" s="247"/>
      <c r="E50" s="247"/>
      <c r="F50" s="248" t="str">
        <f>TEXT(Table5[[#This Row],[Date]],"mmm-yy")</f>
        <v>May-25</v>
      </c>
      <c r="G50" s="247">
        <f t="shared" si="5"/>
        <v>31</v>
      </c>
      <c r="H50" s="249">
        <f t="shared" si="6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7">
        <f>YEAR(Table5[[#This Row],[Date]])+IF(MONTH(Table5[[#This Row],[Date]])&gt;=4,1,0)</f>
        <v>2026</v>
      </c>
      <c r="B51" s="247"/>
      <c r="C51" s="247">
        <f>YEAR(Table5[[#This Row],[Date]])</f>
        <v>2025</v>
      </c>
      <c r="D51" s="247"/>
      <c r="E51" s="247"/>
      <c r="F51" s="248" t="str">
        <f>TEXT(Table5[[#This Row],[Date]],"mmm-yy")</f>
        <v>May-25</v>
      </c>
      <c r="G51" s="247">
        <f t="shared" si="5"/>
        <v>31</v>
      </c>
      <c r="H51" s="249">
        <f t="shared" si="6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7">
        <f>YEAR(Table5[[#This Row],[Date]])+IF(MONTH(Table5[[#This Row],[Date]])&gt;=4,1,0)</f>
        <v>2026</v>
      </c>
      <c r="B52" s="247"/>
      <c r="C52" s="247">
        <f>YEAR(Table5[[#This Row],[Date]])</f>
        <v>2025</v>
      </c>
      <c r="D52" s="247"/>
      <c r="E52" s="247"/>
      <c r="F52" s="248" t="str">
        <f>TEXT(Table5[[#This Row],[Date]],"mmm-yy")</f>
        <v>May-25</v>
      </c>
      <c r="G52" s="247">
        <f t="shared" si="5"/>
        <v>31</v>
      </c>
      <c r="H52" s="249">
        <f t="shared" si="6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7">
        <f>YEAR(Table5[[#This Row],[Date]])+IF(MONTH(Table5[[#This Row],[Date]])&gt;=4,1,0)</f>
        <v>2026</v>
      </c>
      <c r="B53" s="247"/>
      <c r="C53" s="247">
        <f>YEAR(Table5[[#This Row],[Date]])</f>
        <v>2025</v>
      </c>
      <c r="D53" s="247"/>
      <c r="E53" s="247"/>
      <c r="F53" s="248" t="str">
        <f>TEXT(Table5[[#This Row],[Date]],"mmm-yy")</f>
        <v>May-25</v>
      </c>
      <c r="G53" s="247">
        <f t="shared" si="5"/>
        <v>31</v>
      </c>
      <c r="H53" s="249">
        <f t="shared" si="6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7">
        <f>YEAR(Table5[[#This Row],[Date]])+IF(MONTH(Table5[[#This Row],[Date]])&gt;=4,1,0)</f>
        <v>2026</v>
      </c>
      <c r="B54" s="247"/>
      <c r="C54" s="247">
        <f>YEAR(Table5[[#This Row],[Date]])</f>
        <v>2025</v>
      </c>
      <c r="D54" s="247"/>
      <c r="E54" s="247"/>
      <c r="F54" s="248" t="str">
        <f>TEXT(Table5[[#This Row],[Date]],"mmm-yy")</f>
        <v>May-25</v>
      </c>
      <c r="G54" s="247">
        <f t="shared" si="5"/>
        <v>31</v>
      </c>
      <c r="H54" s="249">
        <f t="shared" si="6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7">
        <f>YEAR(Table5[[#This Row],[Date]])+IF(MONTH(Table5[[#This Row],[Date]])&gt;=4,1,0)</f>
        <v>2026</v>
      </c>
      <c r="B55" s="247"/>
      <c r="C55" s="247">
        <f>YEAR(Table5[[#This Row],[Date]])</f>
        <v>2025</v>
      </c>
      <c r="D55" s="247"/>
      <c r="E55" s="247"/>
      <c r="F55" s="248" t="str">
        <f>TEXT(Table5[[#This Row],[Date]],"mmm-yy")</f>
        <v>May-25</v>
      </c>
      <c r="G55" s="247">
        <f t="shared" si="5"/>
        <v>31</v>
      </c>
      <c r="H55" s="249">
        <f t="shared" si="6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7">
        <f>YEAR(Table5[[#This Row],[Date]])+IF(MONTH(Table5[[#This Row],[Date]])&gt;=4,1,0)</f>
        <v>2026</v>
      </c>
      <c r="B56" s="247"/>
      <c r="C56" s="247">
        <f>YEAR(Table5[[#This Row],[Date]])</f>
        <v>2025</v>
      </c>
      <c r="D56" s="247"/>
      <c r="E56" s="247"/>
      <c r="F56" s="248" t="str">
        <f>TEXT(Table5[[#This Row],[Date]],"mmm-yy")</f>
        <v>May-25</v>
      </c>
      <c r="G56" s="247">
        <f t="shared" si="5"/>
        <v>31</v>
      </c>
      <c r="H56" s="249">
        <f t="shared" si="6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7">
        <f>YEAR(Table5[[#This Row],[Date]])+IF(MONTH(Table5[[#This Row],[Date]])&gt;=4,1,0)</f>
        <v>2026</v>
      </c>
      <c r="B57" s="247"/>
      <c r="C57" s="247">
        <f>YEAR(Table5[[#This Row],[Date]])</f>
        <v>2025</v>
      </c>
      <c r="D57" s="247"/>
      <c r="E57" s="247"/>
      <c r="F57" s="248" t="str">
        <f>TEXT(Table5[[#This Row],[Date]],"mmm-yy")</f>
        <v>May-25</v>
      </c>
      <c r="G57" s="247">
        <f t="shared" si="5"/>
        <v>31</v>
      </c>
      <c r="H57" s="249">
        <f t="shared" si="6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7">
        <f>YEAR(Table5[[#This Row],[Date]])+IF(MONTH(Table5[[#This Row],[Date]])&gt;=4,1,0)</f>
        <v>2026</v>
      </c>
      <c r="B58" s="247"/>
      <c r="C58" s="247">
        <f>YEAR(Table5[[#This Row],[Date]])</f>
        <v>2025</v>
      </c>
      <c r="D58" s="247"/>
      <c r="E58" s="247"/>
      <c r="F58" s="248" t="str">
        <f>TEXT(Table5[[#This Row],[Date]],"mmm-yy")</f>
        <v>May-25</v>
      </c>
      <c r="G58" s="247">
        <f t="shared" si="5"/>
        <v>31</v>
      </c>
      <c r="H58" s="249">
        <f t="shared" si="6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7">
        <f>YEAR(Table5[[#This Row],[Date]])+IF(MONTH(Table5[[#This Row],[Date]])&gt;=4,1,0)</f>
        <v>2026</v>
      </c>
      <c r="B59" s="247"/>
      <c r="C59" s="247">
        <f>YEAR(Table5[[#This Row],[Date]])</f>
        <v>2025</v>
      </c>
      <c r="D59" s="247"/>
      <c r="E59" s="247"/>
      <c r="F59" s="248" t="str">
        <f>TEXT(Table5[[#This Row],[Date]],"mmm-yy")</f>
        <v>May-25</v>
      </c>
      <c r="G59" s="247">
        <f t="shared" si="5"/>
        <v>31</v>
      </c>
      <c r="H59" s="249">
        <f t="shared" si="6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7">
        <f>YEAR(Table5[[#This Row],[Date]])+IF(MONTH(Table5[[#This Row],[Date]])&gt;=4,1,0)</f>
        <v>2026</v>
      </c>
      <c r="B60" s="247"/>
      <c r="C60" s="247">
        <f>YEAR(Table5[[#This Row],[Date]])</f>
        <v>2025</v>
      </c>
      <c r="D60" s="247"/>
      <c r="E60" s="247"/>
      <c r="F60" s="248" t="str">
        <f>TEXT(Table5[[#This Row],[Date]],"mmm-yy")</f>
        <v>May-25</v>
      </c>
      <c r="G60" s="247">
        <f t="shared" si="5"/>
        <v>31</v>
      </c>
      <c r="H60" s="249">
        <f t="shared" si="6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7">
        <f>YEAR(Table5[[#This Row],[Date]])+IF(MONTH(Table5[[#This Row],[Date]])&gt;=4,1,0)</f>
        <v>2026</v>
      </c>
      <c r="B61" s="247"/>
      <c r="C61" s="247">
        <f>YEAR(Table5[[#This Row],[Date]])</f>
        <v>2025</v>
      </c>
      <c r="D61" s="247"/>
      <c r="E61" s="247"/>
      <c r="F61" s="248" t="str">
        <f>TEXT(Table5[[#This Row],[Date]],"mmm-yy")</f>
        <v>May-25</v>
      </c>
      <c r="G61" s="247">
        <f t="shared" si="5"/>
        <v>31</v>
      </c>
      <c r="H61" s="249">
        <f t="shared" si="6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7">
        <f>YEAR(Table5[[#This Row],[Date]])+IF(MONTH(Table5[[#This Row],[Date]])&gt;=4,1,0)</f>
        <v>2026</v>
      </c>
      <c r="B62" s="247"/>
      <c r="C62" s="247">
        <f>YEAR(Table5[[#This Row],[Date]])</f>
        <v>2025</v>
      </c>
      <c r="D62" s="247"/>
      <c r="E62" s="247"/>
      <c r="F62" s="248" t="str">
        <f>TEXT(Table5[[#This Row],[Date]],"mmm-yy")</f>
        <v>May-25</v>
      </c>
      <c r="G62" s="247">
        <f t="shared" si="5"/>
        <v>31</v>
      </c>
      <c r="H62" s="249">
        <f t="shared" si="6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7">
        <f>YEAR(Table5[[#This Row],[Date]])+IF(MONTH(Table5[[#This Row],[Date]])&gt;=4,1,0)</f>
        <v>2026</v>
      </c>
      <c r="B63" s="247"/>
      <c r="C63" s="247">
        <f>YEAR(Table5[[#This Row],[Date]])</f>
        <v>2025</v>
      </c>
      <c r="D63" s="247"/>
      <c r="E63" s="247"/>
      <c r="F63" s="248" t="str">
        <f>TEXT(Table5[[#This Row],[Date]],"mmm-yy")</f>
        <v>May-25</v>
      </c>
      <c r="G63" s="247">
        <f t="shared" si="5"/>
        <v>31</v>
      </c>
      <c r="H63" s="249">
        <f t="shared" si="6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7">
        <f>YEAR(Table5[[#This Row],[Date]])+IF(MONTH(Table5[[#This Row],[Date]])&gt;=4,1,0)</f>
        <v>2026</v>
      </c>
      <c r="B64" s="247"/>
      <c r="C64" s="247">
        <f>YEAR(Table5[[#This Row],[Date]])</f>
        <v>2025</v>
      </c>
      <c r="D64" s="247"/>
      <c r="E64" s="247"/>
      <c r="F64" s="248" t="str">
        <f>TEXT(Table5[[#This Row],[Date]],"mmm-yy")</f>
        <v>May-25</v>
      </c>
      <c r="G64" s="247">
        <f t="shared" si="5"/>
        <v>31</v>
      </c>
      <c r="H64" s="249">
        <f t="shared" si="6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7">
        <f>YEAR(Table5[[#This Row],[Date]])+IF(MONTH(Table5[[#This Row],[Date]])&gt;=4,1,0)</f>
        <v>2026</v>
      </c>
      <c r="B65" s="247"/>
      <c r="C65" s="247">
        <f>YEAR(Table5[[#This Row],[Date]])</f>
        <v>2025</v>
      </c>
      <c r="D65" s="247"/>
      <c r="E65" s="247"/>
      <c r="F65" s="248" t="str">
        <f>TEXT(Table5[[#This Row],[Date]],"mmm-yy")</f>
        <v>May-25</v>
      </c>
      <c r="G65" s="247">
        <f t="shared" si="5"/>
        <v>31</v>
      </c>
      <c r="H65" s="249">
        <f t="shared" si="6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7">
        <f>YEAR(Table5[[#This Row],[Date]])+IF(MONTH(Table5[[#This Row],[Date]])&gt;=4,1,0)</f>
        <v>2026</v>
      </c>
      <c r="B66" s="247"/>
      <c r="C66" s="247">
        <f>YEAR(Table5[[#This Row],[Date]])</f>
        <v>2025</v>
      </c>
      <c r="D66" s="247"/>
      <c r="E66" s="247"/>
      <c r="F66" s="248" t="str">
        <f>TEXT(Table5[[#This Row],[Date]],"mmm-yy")</f>
        <v>Jun-25</v>
      </c>
      <c r="G66" s="247">
        <f t="shared" si="5"/>
        <v>30</v>
      </c>
      <c r="H66" s="249">
        <f t="shared" si="6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7">
        <f>YEAR(Table5[[#This Row],[Date]])+IF(MONTH(Table5[[#This Row],[Date]])&gt;=4,1,0)</f>
        <v>2026</v>
      </c>
      <c r="B67" s="247"/>
      <c r="C67" s="247">
        <f>YEAR(Table5[[#This Row],[Date]])</f>
        <v>2025</v>
      </c>
      <c r="D67" s="247"/>
      <c r="E67" s="247"/>
      <c r="F67" s="248" t="str">
        <f>TEXT(Table5[[#This Row],[Date]],"mmm-yy")</f>
        <v>Jun-25</v>
      </c>
      <c r="G67" s="247">
        <f t="shared" si="5"/>
        <v>30</v>
      </c>
      <c r="H67" s="249">
        <f t="shared" si="6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7">
        <f>YEAR(Table5[[#This Row],[Date]])+IF(MONTH(Table5[[#This Row],[Date]])&gt;=4,1,0)</f>
        <v>2026</v>
      </c>
      <c r="B68" s="247"/>
      <c r="C68" s="247">
        <f>YEAR(Table5[[#This Row],[Date]])</f>
        <v>2025</v>
      </c>
      <c r="D68" s="247"/>
      <c r="E68" s="247"/>
      <c r="F68" s="248" t="str">
        <f>TEXT(Table5[[#This Row],[Date]],"mmm-yy")</f>
        <v>Jun-25</v>
      </c>
      <c r="G68" s="247">
        <f t="shared" si="5"/>
        <v>30</v>
      </c>
      <c r="H68" s="249">
        <f t="shared" si="6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7">
        <f>YEAR(Table5[[#This Row],[Date]])+IF(MONTH(Table5[[#This Row],[Date]])&gt;=4,1,0)</f>
        <v>2026</v>
      </c>
      <c r="B69" s="247"/>
      <c r="C69" s="247">
        <f>YEAR(Table5[[#This Row],[Date]])</f>
        <v>2025</v>
      </c>
      <c r="D69" s="247"/>
      <c r="E69" s="247"/>
      <c r="F69" s="248" t="str">
        <f>TEXT(Table5[[#This Row],[Date]],"mmm-yy")</f>
        <v>Jun-25</v>
      </c>
      <c r="G69" s="247">
        <f t="shared" si="5"/>
        <v>30</v>
      </c>
      <c r="H69" s="249">
        <f t="shared" si="6"/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7">
        <f>YEAR(Table5[[#This Row],[Date]])+IF(MONTH(Table5[[#This Row],[Date]])&gt;=4,1,0)</f>
        <v>2026</v>
      </c>
      <c r="B70" s="247"/>
      <c r="C70" s="247">
        <f>YEAR(Table5[[#This Row],[Date]])</f>
        <v>2025</v>
      </c>
      <c r="D70" s="247"/>
      <c r="E70" s="247"/>
      <c r="F70" s="248" t="str">
        <f>TEXT(Table5[[#This Row],[Date]],"mmm-yy")</f>
        <v>Jun-25</v>
      </c>
      <c r="G70" s="247">
        <f t="shared" si="5"/>
        <v>30</v>
      </c>
      <c r="H70" s="249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7">
        <f>YEAR(Table5[[#This Row],[Date]])+IF(MONTH(Table5[[#This Row],[Date]])&gt;=4,1,0)</f>
        <v>2026</v>
      </c>
      <c r="B71" s="247"/>
      <c r="C71" s="247">
        <f>YEAR(Table5[[#This Row],[Date]])</f>
        <v>2025</v>
      </c>
      <c r="D71" s="247"/>
      <c r="E71" s="247"/>
      <c r="F71" s="248" t="str">
        <f>TEXT(Table5[[#This Row],[Date]],"mmm-yy")</f>
        <v>Jun-25</v>
      </c>
      <c r="G71" s="247">
        <f t="shared" si="5"/>
        <v>30</v>
      </c>
      <c r="H71" s="249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7">
        <f>YEAR(Table5[[#This Row],[Date]])+IF(MONTH(Table5[[#This Row],[Date]])&gt;=4,1,0)</f>
        <v>2026</v>
      </c>
      <c r="B72" s="247"/>
      <c r="C72" s="247">
        <f>YEAR(Table5[[#This Row],[Date]])</f>
        <v>2025</v>
      </c>
      <c r="D72" s="247"/>
      <c r="E72" s="247"/>
      <c r="F72" s="248" t="str">
        <f>TEXT(Table5[[#This Row],[Date]],"mmm-yy")</f>
        <v>Jun-25</v>
      </c>
      <c r="G72" s="247">
        <f t="shared" si="5"/>
        <v>30</v>
      </c>
      <c r="H72" s="249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7">
        <f>YEAR(Table5[[#This Row],[Date]])+IF(MONTH(Table5[[#This Row],[Date]])&gt;=4,1,0)</f>
        <v>2026</v>
      </c>
      <c r="B73" s="247"/>
      <c r="C73" s="247">
        <f>YEAR(Table5[[#This Row],[Date]])</f>
        <v>2025</v>
      </c>
      <c r="D73" s="247"/>
      <c r="E73" s="247"/>
      <c r="F73" s="248" t="str">
        <f>TEXT(Table5[[#This Row],[Date]],"mmm-yy")</f>
        <v>Jun-25</v>
      </c>
      <c r="G73" s="247">
        <f t="shared" si="5"/>
        <v>30</v>
      </c>
      <c r="H73" s="249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7">
        <f>YEAR(Table5[[#This Row],[Date]])+IF(MONTH(Table5[[#This Row],[Date]])&gt;=4,1,0)</f>
        <v>2026</v>
      </c>
      <c r="B74" s="247"/>
      <c r="C74" s="247">
        <f>YEAR(Table5[[#This Row],[Date]])</f>
        <v>2025</v>
      </c>
      <c r="D74" s="247"/>
      <c r="E74" s="247"/>
      <c r="F74" s="248" t="str">
        <f>TEXT(Table5[[#This Row],[Date]],"mmm-yy")</f>
        <v>Jun-25</v>
      </c>
      <c r="G74" s="247">
        <f t="shared" si="5"/>
        <v>30</v>
      </c>
      <c r="H74" s="249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7">
        <f>YEAR(Table5[[#This Row],[Date]])+IF(MONTH(Table5[[#This Row],[Date]])&gt;=4,1,0)</f>
        <v>2026</v>
      </c>
      <c r="B75" s="247"/>
      <c r="C75" s="247">
        <f>YEAR(Table5[[#This Row],[Date]])</f>
        <v>2025</v>
      </c>
      <c r="D75" s="247"/>
      <c r="E75" s="247"/>
      <c r="F75" s="248" t="str">
        <f>TEXT(Table5[[#This Row],[Date]],"mmm-yy")</f>
        <v>Jun-25</v>
      </c>
      <c r="G75" s="247">
        <f t="shared" si="5"/>
        <v>30</v>
      </c>
      <c r="H75" s="249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7">
        <f>YEAR(Table5[[#This Row],[Date]])+IF(MONTH(Table5[[#This Row],[Date]])&gt;=4,1,0)</f>
        <v>2026</v>
      </c>
      <c r="B76" s="247"/>
      <c r="C76" s="247">
        <f>YEAR(Table5[[#This Row],[Date]])</f>
        <v>2025</v>
      </c>
      <c r="D76" s="247"/>
      <c r="E76" s="247"/>
      <c r="F76" s="248" t="str">
        <f>TEXT(Table5[[#This Row],[Date]],"mmm-yy")</f>
        <v>Jun-25</v>
      </c>
      <c r="G76" s="247">
        <f t="shared" si="5"/>
        <v>30</v>
      </c>
      <c r="H76" s="249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7">
        <f>YEAR(Table5[[#This Row],[Date]])+IF(MONTH(Table5[[#This Row],[Date]])&gt;=4,1,0)</f>
        <v>2026</v>
      </c>
      <c r="B77" s="247"/>
      <c r="C77" s="247">
        <f>YEAR(Table5[[#This Row],[Date]])</f>
        <v>2025</v>
      </c>
      <c r="D77" s="247"/>
      <c r="E77" s="247"/>
      <c r="F77" s="248" t="str">
        <f>TEXT(Table5[[#This Row],[Date]],"mmm-yy")</f>
        <v>Jun-25</v>
      </c>
      <c r="G77" s="247">
        <f t="shared" ref="G77:G108" si="7">DAY(EOMONTH(F77,0))</f>
        <v>30</v>
      </c>
      <c r="H77" s="249">
        <f t="shared" ref="H77:H105" si="8">H76+1</f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7">
        <f>YEAR(Table5[[#This Row],[Date]])+IF(MONTH(Table5[[#This Row],[Date]])&gt;=4,1,0)</f>
        <v>2026</v>
      </c>
      <c r="B78" s="247"/>
      <c r="C78" s="247">
        <f>YEAR(Table5[[#This Row],[Date]])</f>
        <v>2025</v>
      </c>
      <c r="D78" s="247"/>
      <c r="E78" s="247"/>
      <c r="F78" s="248" t="str">
        <f>TEXT(Table5[[#This Row],[Date]],"mmm-yy")</f>
        <v>Jun-25</v>
      </c>
      <c r="G78" s="247">
        <f t="shared" si="7"/>
        <v>30</v>
      </c>
      <c r="H78" s="249">
        <f t="shared" si="8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7">
        <f>YEAR(Table5[[#This Row],[Date]])+IF(MONTH(Table5[[#This Row],[Date]])&gt;=4,1,0)</f>
        <v>2026</v>
      </c>
      <c r="B79" s="247"/>
      <c r="C79" s="247">
        <f>YEAR(Table5[[#This Row],[Date]])</f>
        <v>2025</v>
      </c>
      <c r="D79" s="247"/>
      <c r="E79" s="247"/>
      <c r="F79" s="248" t="str">
        <f>TEXT(Table5[[#This Row],[Date]],"mmm-yy")</f>
        <v>Jun-25</v>
      </c>
      <c r="G79" s="247">
        <f t="shared" si="7"/>
        <v>30</v>
      </c>
      <c r="H79" s="249">
        <f t="shared" si="8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7">
        <f>YEAR(Table5[[#This Row],[Date]])+IF(MONTH(Table5[[#This Row],[Date]])&gt;=4,1,0)</f>
        <v>2026</v>
      </c>
      <c r="B80" s="247"/>
      <c r="C80" s="247">
        <f>YEAR(Table5[[#This Row],[Date]])</f>
        <v>2025</v>
      </c>
      <c r="D80" s="247"/>
      <c r="E80" s="247"/>
      <c r="F80" s="248" t="str">
        <f>TEXT(Table5[[#This Row],[Date]],"mmm-yy")</f>
        <v>Jun-25</v>
      </c>
      <c r="G80" s="247">
        <f t="shared" si="7"/>
        <v>30</v>
      </c>
      <c r="H80" s="249">
        <f t="shared" si="8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7">
        <f>YEAR(Table5[[#This Row],[Date]])+IF(MONTH(Table5[[#This Row],[Date]])&gt;=4,1,0)</f>
        <v>2026</v>
      </c>
      <c r="B81" s="247"/>
      <c r="C81" s="247">
        <f>YEAR(Table5[[#This Row],[Date]])</f>
        <v>2025</v>
      </c>
      <c r="D81" s="247"/>
      <c r="E81" s="247"/>
      <c r="F81" s="248" t="str">
        <f>TEXT(Table5[[#This Row],[Date]],"mmm-yy")</f>
        <v>Jun-25</v>
      </c>
      <c r="G81" s="247">
        <f t="shared" si="7"/>
        <v>30</v>
      </c>
      <c r="H81" s="249">
        <f t="shared" si="8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7">
        <f>YEAR(Table5[[#This Row],[Date]])+IF(MONTH(Table5[[#This Row],[Date]])&gt;=4,1,0)</f>
        <v>2026</v>
      </c>
      <c r="B82" s="247"/>
      <c r="C82" s="247">
        <f>YEAR(Table5[[#This Row],[Date]])</f>
        <v>2025</v>
      </c>
      <c r="D82" s="247"/>
      <c r="E82" s="247"/>
      <c r="F82" s="248" t="str">
        <f>TEXT(Table5[[#This Row],[Date]],"mmm-yy")</f>
        <v>Jun-25</v>
      </c>
      <c r="G82" s="247">
        <f t="shared" si="7"/>
        <v>30</v>
      </c>
      <c r="H82" s="249">
        <f t="shared" si="8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7">
        <f>YEAR(Table5[[#This Row],[Date]])+IF(MONTH(Table5[[#This Row],[Date]])&gt;=4,1,0)</f>
        <v>2026</v>
      </c>
      <c r="B83" s="247"/>
      <c r="C83" s="247">
        <f>YEAR(Table5[[#This Row],[Date]])</f>
        <v>2025</v>
      </c>
      <c r="D83" s="247"/>
      <c r="E83" s="247"/>
      <c r="F83" s="248" t="str">
        <f>TEXT(Table5[[#This Row],[Date]],"mmm-yy")</f>
        <v>Jun-25</v>
      </c>
      <c r="G83" s="247">
        <f t="shared" si="7"/>
        <v>30</v>
      </c>
      <c r="H83" s="249">
        <f t="shared" si="8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7">
        <f>YEAR(Table5[[#This Row],[Date]])+IF(MONTH(Table5[[#This Row],[Date]])&gt;=4,1,0)</f>
        <v>2026</v>
      </c>
      <c r="B84" s="247"/>
      <c r="C84" s="247">
        <f>YEAR(Table5[[#This Row],[Date]])</f>
        <v>2025</v>
      </c>
      <c r="D84" s="247"/>
      <c r="E84" s="247"/>
      <c r="F84" s="248" t="str">
        <f>TEXT(Table5[[#This Row],[Date]],"mmm-yy")</f>
        <v>Jun-25</v>
      </c>
      <c r="G84" s="247">
        <f t="shared" si="7"/>
        <v>30</v>
      </c>
      <c r="H84" s="249">
        <f t="shared" si="8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7">
        <f>YEAR(Table5[[#This Row],[Date]])+IF(MONTH(Table5[[#This Row],[Date]])&gt;=4,1,0)</f>
        <v>2026</v>
      </c>
      <c r="B85" s="247"/>
      <c r="C85" s="247">
        <f>YEAR(Table5[[#This Row],[Date]])</f>
        <v>2025</v>
      </c>
      <c r="D85" s="247"/>
      <c r="E85" s="247"/>
      <c r="F85" s="248" t="str">
        <f>TEXT(Table5[[#This Row],[Date]],"mmm-yy")</f>
        <v>Jun-25</v>
      </c>
      <c r="G85" s="247">
        <f t="shared" si="7"/>
        <v>30</v>
      </c>
      <c r="H85" s="249">
        <f t="shared" si="8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7">
        <f>YEAR(Table5[[#This Row],[Date]])+IF(MONTH(Table5[[#This Row],[Date]])&gt;=4,1,0)</f>
        <v>2026</v>
      </c>
      <c r="B86" s="247"/>
      <c r="C86" s="247">
        <f>YEAR(Table5[[#This Row],[Date]])</f>
        <v>2025</v>
      </c>
      <c r="D86" s="247"/>
      <c r="E86" s="247"/>
      <c r="F86" s="248" t="str">
        <f>TEXT(Table5[[#This Row],[Date]],"mmm-yy")</f>
        <v>Jun-25</v>
      </c>
      <c r="G86" s="247">
        <f t="shared" si="7"/>
        <v>30</v>
      </c>
      <c r="H86" s="249">
        <f t="shared" si="8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7">
        <f>YEAR(Table5[[#This Row],[Date]])+IF(MONTH(Table5[[#This Row],[Date]])&gt;=4,1,0)</f>
        <v>2026</v>
      </c>
      <c r="B87" s="247"/>
      <c r="C87" s="247">
        <f>YEAR(Table5[[#This Row],[Date]])</f>
        <v>2025</v>
      </c>
      <c r="D87" s="247"/>
      <c r="E87" s="247"/>
      <c r="F87" s="248" t="str">
        <f>TEXT(Table5[[#This Row],[Date]],"mmm-yy")</f>
        <v>Jun-25</v>
      </c>
      <c r="G87" s="247">
        <f t="shared" si="7"/>
        <v>30</v>
      </c>
      <c r="H87" s="249">
        <f t="shared" si="8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7">
        <f>YEAR(Table5[[#This Row],[Date]])+IF(MONTH(Table5[[#This Row],[Date]])&gt;=4,1,0)</f>
        <v>2026</v>
      </c>
      <c r="B88" s="247"/>
      <c r="C88" s="247">
        <f>YEAR(Table5[[#This Row],[Date]])</f>
        <v>2025</v>
      </c>
      <c r="D88" s="247"/>
      <c r="E88" s="247"/>
      <c r="F88" s="248" t="str">
        <f>TEXT(Table5[[#This Row],[Date]],"mmm-yy")</f>
        <v>Jun-25</v>
      </c>
      <c r="G88" s="247">
        <f t="shared" si="7"/>
        <v>30</v>
      </c>
      <c r="H88" s="249">
        <f t="shared" si="8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7">
        <f>YEAR(Table5[[#This Row],[Date]])+IF(MONTH(Table5[[#This Row],[Date]])&gt;=4,1,0)</f>
        <v>2026</v>
      </c>
      <c r="B89" s="247"/>
      <c r="C89" s="247">
        <f>YEAR(Table5[[#This Row],[Date]])</f>
        <v>2025</v>
      </c>
      <c r="D89" s="247"/>
      <c r="E89" s="247"/>
      <c r="F89" s="248" t="str">
        <f>TEXT(Table5[[#This Row],[Date]],"mmm-yy")</f>
        <v>Jun-25</v>
      </c>
      <c r="G89" s="247">
        <f t="shared" si="7"/>
        <v>30</v>
      </c>
      <c r="H89" s="249">
        <f t="shared" si="8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7">
        <f>YEAR(Table5[[#This Row],[Date]])+IF(MONTH(Table5[[#This Row],[Date]])&gt;=4,1,0)</f>
        <v>2026</v>
      </c>
      <c r="B90" s="247"/>
      <c r="C90" s="247">
        <f>YEAR(Table5[[#This Row],[Date]])</f>
        <v>2025</v>
      </c>
      <c r="D90" s="247"/>
      <c r="E90" s="247"/>
      <c r="F90" s="248" t="str">
        <f>TEXT(Table5[[#This Row],[Date]],"mmm-yy")</f>
        <v>Jun-25</v>
      </c>
      <c r="G90" s="247">
        <f t="shared" si="7"/>
        <v>30</v>
      </c>
      <c r="H90" s="249">
        <f t="shared" si="8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7">
        <f>YEAR(Table5[[#This Row],[Date]])+IF(MONTH(Table5[[#This Row],[Date]])&gt;=4,1,0)</f>
        <v>2026</v>
      </c>
      <c r="B91" s="247"/>
      <c r="C91" s="247">
        <f>YEAR(Table5[[#This Row],[Date]])</f>
        <v>2025</v>
      </c>
      <c r="D91" s="247"/>
      <c r="E91" s="247"/>
      <c r="F91" s="248" t="str">
        <f>TEXT(Table5[[#This Row],[Date]],"mmm-yy")</f>
        <v>Jun-25</v>
      </c>
      <c r="G91" s="247">
        <f t="shared" si="7"/>
        <v>30</v>
      </c>
      <c r="H91" s="249">
        <f t="shared" si="8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7">
        <f>YEAR(Table5[[#This Row],[Date]])+IF(MONTH(Table5[[#This Row],[Date]])&gt;=4,1,0)</f>
        <v>2026</v>
      </c>
      <c r="B92" s="247"/>
      <c r="C92" s="247">
        <f>YEAR(Table5[[#This Row],[Date]])</f>
        <v>2025</v>
      </c>
      <c r="D92" s="247"/>
      <c r="E92" s="247"/>
      <c r="F92" s="248" t="str">
        <f>TEXT(Table5[[#This Row],[Date]],"mmm-yy")</f>
        <v>Jun-25</v>
      </c>
      <c r="G92" s="247">
        <f t="shared" si="7"/>
        <v>30</v>
      </c>
      <c r="H92" s="249">
        <f t="shared" si="8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7">
        <f>YEAR(Table5[[#This Row],[Date]])+IF(MONTH(Table5[[#This Row],[Date]])&gt;=4,1,0)</f>
        <v>2026</v>
      </c>
      <c r="B93" s="247"/>
      <c r="C93" s="247">
        <f>YEAR(Table5[[#This Row],[Date]])</f>
        <v>2025</v>
      </c>
      <c r="D93" s="247"/>
      <c r="E93" s="247"/>
      <c r="F93" s="248" t="str">
        <f>TEXT(Table5[[#This Row],[Date]],"mmm-yy")</f>
        <v>Jun-25</v>
      </c>
      <c r="G93" s="247">
        <f t="shared" si="7"/>
        <v>30</v>
      </c>
      <c r="H93" s="249">
        <f t="shared" si="8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7">
        <f>YEAR(Table5[[#This Row],[Date]])+IF(MONTH(Table5[[#This Row],[Date]])&gt;=4,1,0)</f>
        <v>2026</v>
      </c>
      <c r="B94" s="247"/>
      <c r="C94" s="247">
        <f>YEAR(Table5[[#This Row],[Date]])</f>
        <v>2025</v>
      </c>
      <c r="D94" s="247"/>
      <c r="E94" s="247"/>
      <c r="F94" s="248" t="str">
        <f>TEXT(Table5[[#This Row],[Date]],"mmm-yy")</f>
        <v>Jun-25</v>
      </c>
      <c r="G94" s="247">
        <f t="shared" si="7"/>
        <v>30</v>
      </c>
      <c r="H94" s="249">
        <f t="shared" si="8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7">
        <f>YEAR(Table5[[#This Row],[Date]])+IF(MONTH(Table5[[#This Row],[Date]])&gt;=4,1,0)</f>
        <v>2026</v>
      </c>
      <c r="B95" s="247"/>
      <c r="C95" s="247">
        <f>YEAR(Table5[[#This Row],[Date]])</f>
        <v>2025</v>
      </c>
      <c r="D95" s="247"/>
      <c r="E95" s="247"/>
      <c r="F95" s="248" t="str">
        <f>TEXT(Table5[[#This Row],[Date]],"mmm-yy")</f>
        <v>Jun-25</v>
      </c>
      <c r="G95" s="247">
        <f t="shared" si="7"/>
        <v>30</v>
      </c>
      <c r="H95" s="249">
        <f t="shared" si="8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7">
        <f>YEAR(Table5[[#This Row],[Date]])+IF(MONTH(Table5[[#This Row],[Date]])&gt;=4,1,0)</f>
        <v>2026</v>
      </c>
      <c r="B96" s="247"/>
      <c r="C96" s="247">
        <f>YEAR(Table5[[#This Row],[Date]])</f>
        <v>2025</v>
      </c>
      <c r="D96" s="247"/>
      <c r="E96" s="247"/>
      <c r="F96" s="248" t="str">
        <f>TEXT(Table5[[#This Row],[Date]],"mmm-yy")</f>
        <v>Jul-25</v>
      </c>
      <c r="G96" s="247">
        <f t="shared" si="7"/>
        <v>31</v>
      </c>
      <c r="H96" s="249">
        <f t="shared" si="8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7">
        <f>YEAR(Table5[[#This Row],[Date]])+IF(MONTH(Table5[[#This Row],[Date]])&gt;=4,1,0)</f>
        <v>2026</v>
      </c>
      <c r="B97" s="247"/>
      <c r="C97" s="247">
        <f>YEAR(Table5[[#This Row],[Date]])</f>
        <v>2025</v>
      </c>
      <c r="D97" s="247"/>
      <c r="E97" s="247"/>
      <c r="F97" s="248" t="str">
        <f>TEXT(Table5[[#This Row],[Date]],"mmm-yy")</f>
        <v>Jul-25</v>
      </c>
      <c r="G97" s="247">
        <f t="shared" si="7"/>
        <v>31</v>
      </c>
      <c r="H97" s="249">
        <f t="shared" si="8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7">
        <f>YEAR(Table5[[#This Row],[Date]])+IF(MONTH(Table5[[#This Row],[Date]])&gt;=4,1,0)</f>
        <v>2026</v>
      </c>
      <c r="B98" s="247"/>
      <c r="C98" s="247">
        <f>YEAR(Table5[[#This Row],[Date]])</f>
        <v>2025</v>
      </c>
      <c r="D98" s="247"/>
      <c r="E98" s="247"/>
      <c r="F98" s="248" t="str">
        <f>TEXT(Table5[[#This Row],[Date]],"mmm-yy")</f>
        <v>Jul-25</v>
      </c>
      <c r="G98" s="247">
        <f t="shared" si="7"/>
        <v>31</v>
      </c>
      <c r="H98" s="249">
        <f t="shared" si="8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7">
        <f>YEAR(Table5[[#This Row],[Date]])+IF(MONTH(Table5[[#This Row],[Date]])&gt;=4,1,0)</f>
        <v>2026</v>
      </c>
      <c r="B99" s="247"/>
      <c r="C99" s="247">
        <f>YEAR(Table5[[#This Row],[Date]])</f>
        <v>2025</v>
      </c>
      <c r="D99" s="247"/>
      <c r="E99" s="247"/>
      <c r="F99" s="248" t="str">
        <f>TEXT(Table5[[#This Row],[Date]],"mmm-yy")</f>
        <v>Jul-25</v>
      </c>
      <c r="G99" s="247">
        <f t="shared" si="7"/>
        <v>31</v>
      </c>
      <c r="H99" s="249">
        <f t="shared" si="8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7">
        <f>YEAR(Table5[[#This Row],[Date]])+IF(MONTH(Table5[[#This Row],[Date]])&gt;=4,1,0)</f>
        <v>2026</v>
      </c>
      <c r="B100" s="247"/>
      <c r="C100" s="247">
        <f>YEAR(Table5[[#This Row],[Date]])</f>
        <v>2025</v>
      </c>
      <c r="D100" s="247"/>
      <c r="E100" s="247"/>
      <c r="F100" s="248" t="str">
        <f>TEXT(Table5[[#This Row],[Date]],"mmm-yy")</f>
        <v>Jul-25</v>
      </c>
      <c r="G100" s="247">
        <f t="shared" si="7"/>
        <v>31</v>
      </c>
      <c r="H100" s="249">
        <f t="shared" si="8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7">
        <f>YEAR(Table5[[#This Row],[Date]])+IF(MONTH(Table5[[#This Row],[Date]])&gt;=4,1,0)</f>
        <v>2026</v>
      </c>
      <c r="B101" s="247"/>
      <c r="C101" s="247">
        <f>YEAR(Table5[[#This Row],[Date]])</f>
        <v>2025</v>
      </c>
      <c r="D101" s="247"/>
      <c r="E101" s="247"/>
      <c r="F101" s="248" t="str">
        <f>TEXT(Table5[[#This Row],[Date]],"mmm-yy")</f>
        <v>Jul-25</v>
      </c>
      <c r="G101" s="247">
        <f t="shared" si="7"/>
        <v>31</v>
      </c>
      <c r="H101" s="249">
        <f t="shared" si="8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7">
        <f>YEAR(Table5[[#This Row],[Date]])+IF(MONTH(Table5[[#This Row],[Date]])&gt;=4,1,0)</f>
        <v>2026</v>
      </c>
      <c r="B102" s="247"/>
      <c r="C102" s="247">
        <f>YEAR(Table5[[#This Row],[Date]])</f>
        <v>2025</v>
      </c>
      <c r="D102" s="247"/>
      <c r="E102" s="247"/>
      <c r="F102" s="248" t="str">
        <f>TEXT(Table5[[#This Row],[Date]],"mmm-yy")</f>
        <v>Jul-25</v>
      </c>
      <c r="G102" s="247">
        <f t="shared" si="7"/>
        <v>31</v>
      </c>
      <c r="H102" s="249">
        <f t="shared" si="8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7">
        <f>YEAR(Table5[[#This Row],[Date]])+IF(MONTH(Table5[[#This Row],[Date]])&gt;=4,1,0)</f>
        <v>2026</v>
      </c>
      <c r="B103" s="247"/>
      <c r="C103" s="247">
        <f>YEAR(Table5[[#This Row],[Date]])</f>
        <v>2025</v>
      </c>
      <c r="D103" s="247"/>
      <c r="E103" s="247"/>
      <c r="F103" s="248" t="str">
        <f>TEXT(Table5[[#This Row],[Date]],"mmm-yy")</f>
        <v>Jul-25</v>
      </c>
      <c r="G103" s="247">
        <f t="shared" si="7"/>
        <v>31</v>
      </c>
      <c r="H103" s="249">
        <f t="shared" si="8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7">
        <f>YEAR(Table5[[#This Row],[Date]])+IF(MONTH(Table5[[#This Row],[Date]])&gt;=4,1,0)</f>
        <v>2026</v>
      </c>
      <c r="B104" s="247"/>
      <c r="C104" s="247">
        <f>YEAR(Table5[[#This Row],[Date]])</f>
        <v>2025</v>
      </c>
      <c r="D104" s="247"/>
      <c r="E104" s="247"/>
      <c r="F104" s="248" t="str">
        <f>TEXT(Table5[[#This Row],[Date]],"mmm-yy")</f>
        <v>Jul-25</v>
      </c>
      <c r="G104" s="247">
        <f t="shared" si="7"/>
        <v>31</v>
      </c>
      <c r="H104" s="249">
        <f t="shared" si="8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7">
        <f>YEAR(Table5[[#This Row],[Date]])+IF(MONTH(Table5[[#This Row],[Date]])&gt;=4,1,0)</f>
        <v>2026</v>
      </c>
      <c r="B105" s="247"/>
      <c r="C105" s="247">
        <f>YEAR(Table5[[#This Row],[Date]])</f>
        <v>2025</v>
      </c>
      <c r="D105" s="247"/>
      <c r="E105" s="247"/>
      <c r="F105" s="248" t="str">
        <f>TEXT(Table5[[#This Row],[Date]],"mmm-yy")</f>
        <v>Jul-25</v>
      </c>
      <c r="G105" s="247">
        <f t="shared" si="7"/>
        <v>31</v>
      </c>
      <c r="H105" s="249">
        <f t="shared" si="8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7">
        <f>YEAR(Table5[[#This Row],[Date]])+IF(MONTH(Table5[[#This Row],[Date]])&gt;=4,1,0)</f>
        <v>2026</v>
      </c>
      <c r="B106" s="247"/>
      <c r="C106" s="247">
        <f>YEAR(Table5[[#This Row],[Date]])</f>
        <v>2025</v>
      </c>
      <c r="D106" s="247"/>
      <c r="E106" s="247"/>
      <c r="F106" s="248" t="str">
        <f>TEXT(Table5[[#This Row],[Date]],"mmm-yy")</f>
        <v>Jul-25</v>
      </c>
      <c r="G106" s="247">
        <f t="shared" ref="G106:G137" si="9">DAY(EOMONTH(F106,0))</f>
        <v>31</v>
      </c>
      <c r="H106" s="249">
        <f t="shared" ref="H106:H137" si="10">H105+1</f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7">
        <f>YEAR(Table5[[#This Row],[Date]])+IF(MONTH(Table5[[#This Row],[Date]])&gt;=4,1,0)</f>
        <v>2026</v>
      </c>
      <c r="B107" s="247"/>
      <c r="C107" s="247">
        <f>YEAR(Table5[[#This Row],[Date]])</f>
        <v>2025</v>
      </c>
      <c r="D107" s="247"/>
      <c r="E107" s="247"/>
      <c r="F107" s="248" t="str">
        <f>TEXT(Table5[[#This Row],[Date]],"mmm-yy")</f>
        <v>Jul-25</v>
      </c>
      <c r="G107" s="247">
        <f t="shared" si="9"/>
        <v>31</v>
      </c>
      <c r="H107" s="249">
        <f t="shared" si="10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7">
        <f>YEAR(Table5[[#This Row],[Date]])+IF(MONTH(Table5[[#This Row],[Date]])&gt;=4,1,0)</f>
        <v>2026</v>
      </c>
      <c r="B108" s="247"/>
      <c r="C108" s="247">
        <f>YEAR(Table5[[#This Row],[Date]])</f>
        <v>2025</v>
      </c>
      <c r="D108" s="247"/>
      <c r="E108" s="247"/>
      <c r="F108" s="248" t="str">
        <f>TEXT(Table5[[#This Row],[Date]],"mmm-yy")</f>
        <v>Jul-25</v>
      </c>
      <c r="G108" s="247">
        <f t="shared" si="9"/>
        <v>31</v>
      </c>
      <c r="H108" s="249">
        <f t="shared" si="10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7">
        <f>YEAR(Table5[[#This Row],[Date]])+IF(MONTH(Table5[[#This Row],[Date]])&gt;=4,1,0)</f>
        <v>2026</v>
      </c>
      <c r="B109" s="247"/>
      <c r="C109" s="247">
        <f>YEAR(Table5[[#This Row],[Date]])</f>
        <v>2025</v>
      </c>
      <c r="D109" s="247"/>
      <c r="E109" s="247"/>
      <c r="F109" s="248" t="str">
        <f>TEXT(Table5[[#This Row],[Date]],"mmm-yy")</f>
        <v>Jul-25</v>
      </c>
      <c r="G109" s="247">
        <f t="shared" si="9"/>
        <v>31</v>
      </c>
      <c r="H109" s="249">
        <f t="shared" si="10"/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7">
        <f>YEAR(Table5[[#This Row],[Date]])+IF(MONTH(Table5[[#This Row],[Date]])&gt;=4,1,0)</f>
        <v>2026</v>
      </c>
      <c r="B110" s="247"/>
      <c r="C110" s="247">
        <f>YEAR(Table5[[#This Row],[Date]])</f>
        <v>2025</v>
      </c>
      <c r="D110" s="247"/>
      <c r="E110" s="247"/>
      <c r="F110" s="248" t="str">
        <f>TEXT(Table5[[#This Row],[Date]],"mmm-yy")</f>
        <v>Jul-25</v>
      </c>
      <c r="G110" s="247">
        <f t="shared" si="9"/>
        <v>31</v>
      </c>
      <c r="H110" s="249">
        <f t="shared" si="10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7">
        <f>YEAR(Table5[[#This Row],[Date]])+IF(MONTH(Table5[[#This Row],[Date]])&gt;=4,1,0)</f>
        <v>2026</v>
      </c>
      <c r="B111" s="247"/>
      <c r="C111" s="247">
        <f>YEAR(Table5[[#This Row],[Date]])</f>
        <v>2025</v>
      </c>
      <c r="D111" s="247"/>
      <c r="E111" s="247"/>
      <c r="F111" s="248" t="str">
        <f>TEXT(Table5[[#This Row],[Date]],"mmm-yy")</f>
        <v>Jul-25</v>
      </c>
      <c r="G111" s="247">
        <f t="shared" si="9"/>
        <v>31</v>
      </c>
      <c r="H111" s="249">
        <f t="shared" si="10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7">
        <f>YEAR(Table5[[#This Row],[Date]])+IF(MONTH(Table5[[#This Row],[Date]])&gt;=4,1,0)</f>
        <v>2026</v>
      </c>
      <c r="B112" s="247"/>
      <c r="C112" s="247">
        <f>YEAR(Table5[[#This Row],[Date]])</f>
        <v>2025</v>
      </c>
      <c r="D112" s="247"/>
      <c r="E112" s="247"/>
      <c r="F112" s="248" t="str">
        <f>TEXT(Table5[[#This Row],[Date]],"mmm-yy")</f>
        <v>Jul-25</v>
      </c>
      <c r="G112" s="247">
        <f t="shared" si="9"/>
        <v>31</v>
      </c>
      <c r="H112" s="249">
        <f t="shared" si="10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7">
        <f>YEAR(Table5[[#This Row],[Date]])+IF(MONTH(Table5[[#This Row],[Date]])&gt;=4,1,0)</f>
        <v>2026</v>
      </c>
      <c r="B113" s="247"/>
      <c r="C113" s="247">
        <f>YEAR(Table5[[#This Row],[Date]])</f>
        <v>2025</v>
      </c>
      <c r="D113" s="247"/>
      <c r="E113" s="247"/>
      <c r="F113" s="248" t="str">
        <f>TEXT(Table5[[#This Row],[Date]],"mmm-yy")</f>
        <v>Jul-25</v>
      </c>
      <c r="G113" s="247">
        <f t="shared" si="9"/>
        <v>31</v>
      </c>
      <c r="H113" s="249">
        <f t="shared" si="10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7">
        <f>YEAR(Table5[[#This Row],[Date]])+IF(MONTH(Table5[[#This Row],[Date]])&gt;=4,1,0)</f>
        <v>2026</v>
      </c>
      <c r="B114" s="247"/>
      <c r="C114" s="247">
        <f>YEAR(Table5[[#This Row],[Date]])</f>
        <v>2025</v>
      </c>
      <c r="D114" s="247"/>
      <c r="E114" s="247"/>
      <c r="F114" s="248" t="str">
        <f>TEXT(Table5[[#This Row],[Date]],"mmm-yy")</f>
        <v>Jul-25</v>
      </c>
      <c r="G114" s="247">
        <f t="shared" si="9"/>
        <v>31</v>
      </c>
      <c r="H114" s="249">
        <f t="shared" si="10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7">
        <f>YEAR(Table5[[#This Row],[Date]])+IF(MONTH(Table5[[#This Row],[Date]])&gt;=4,1,0)</f>
        <v>2026</v>
      </c>
      <c r="B115" s="247"/>
      <c r="C115" s="247">
        <f>YEAR(Table5[[#This Row],[Date]])</f>
        <v>2025</v>
      </c>
      <c r="D115" s="247"/>
      <c r="E115" s="247"/>
      <c r="F115" s="248" t="str">
        <f>TEXT(Table5[[#This Row],[Date]],"mmm-yy")</f>
        <v>Jul-25</v>
      </c>
      <c r="G115" s="247">
        <f t="shared" si="9"/>
        <v>31</v>
      </c>
      <c r="H115" s="249">
        <f t="shared" si="10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7">
        <f>YEAR(Table5[[#This Row],[Date]])+IF(MONTH(Table5[[#This Row],[Date]])&gt;=4,1,0)</f>
        <v>2026</v>
      </c>
      <c r="B116" s="247"/>
      <c r="C116" s="247">
        <f>YEAR(Table5[[#This Row],[Date]])</f>
        <v>2025</v>
      </c>
      <c r="D116" s="247"/>
      <c r="E116" s="247"/>
      <c r="F116" s="248" t="str">
        <f>TEXT(Table5[[#This Row],[Date]],"mmm-yy")</f>
        <v>Jul-25</v>
      </c>
      <c r="G116" s="247">
        <f t="shared" si="9"/>
        <v>31</v>
      </c>
      <c r="H116" s="249">
        <f t="shared" si="10"/>
        <v>45859</v>
      </c>
      <c r="I116" s="55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7">
        <f>YEAR(Table5[[#This Row],[Date]])+IF(MONTH(Table5[[#This Row],[Date]])&gt;=4,1,0)</f>
        <v>2026</v>
      </c>
      <c r="B117" s="247"/>
      <c r="C117" s="247">
        <f>YEAR(Table5[[#This Row],[Date]])</f>
        <v>2025</v>
      </c>
      <c r="D117" s="247"/>
      <c r="E117" s="247"/>
      <c r="F117" s="248" t="str">
        <f>TEXT(Table5[[#This Row],[Date]],"mmm-yy")</f>
        <v>Jul-25</v>
      </c>
      <c r="G117" s="247">
        <f t="shared" si="9"/>
        <v>31</v>
      </c>
      <c r="H117" s="249">
        <f t="shared" si="10"/>
        <v>45860</v>
      </c>
      <c r="I117" s="55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47">
        <f>YEAR(Table5[[#This Row],[Date]])+IF(MONTH(Table5[[#This Row],[Date]])&gt;=4,1,0)</f>
        <v>2026</v>
      </c>
      <c r="B118" s="247"/>
      <c r="C118" s="247">
        <f>YEAR(Table5[[#This Row],[Date]])</f>
        <v>2025</v>
      </c>
      <c r="D118" s="247"/>
      <c r="E118" s="247"/>
      <c r="F118" s="248" t="str">
        <f>TEXT(Table5[[#This Row],[Date]],"mmm-yy")</f>
        <v>Jul-25</v>
      </c>
      <c r="G118" s="247">
        <f t="shared" si="9"/>
        <v>31</v>
      </c>
      <c r="H118" s="249">
        <f t="shared" si="10"/>
        <v>45861</v>
      </c>
      <c r="I118" s="55">
        <v>8.02</v>
      </c>
      <c r="J118" s="59">
        <f>IFERROR(Inv_SY!J120/Inv_SY!$Y120-1,"")</f>
        <v>0.40224538114062236</v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>
        <f>IFERROR(Inv_SY!J120/Inv_SY!$Z120-1,"")</f>
        <v>0.38491641340656124</v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47">
        <f>YEAR(Table5[[#This Row],[Date]])+IF(MONTH(Table5[[#This Row],[Date]])&gt;=4,1,0)</f>
        <v>2026</v>
      </c>
      <c r="B119" s="247"/>
      <c r="C119" s="247">
        <f>YEAR(Table5[[#This Row],[Date]])</f>
        <v>2025</v>
      </c>
      <c r="D119" s="247"/>
      <c r="E119" s="247"/>
      <c r="F119" s="248" t="str">
        <f>TEXT(Table5[[#This Row],[Date]],"mmm-yy")</f>
        <v>Jul-25</v>
      </c>
      <c r="G119" s="247">
        <f t="shared" si="9"/>
        <v>31</v>
      </c>
      <c r="H119" s="249">
        <f t="shared" si="10"/>
        <v>45862</v>
      </c>
      <c r="I119" s="55">
        <v>8.02</v>
      </c>
      <c r="J119" s="59">
        <f>IFERROR(Inv_SY!J121/Inv_SY!$Y121-1,"")</f>
        <v>0.34211656142799662</v>
      </c>
      <c r="K119" s="59">
        <f>IFERROR(Inv_SY!K121/Inv_SY!$Y121-1,"")</f>
        <v>0.34819550409830047</v>
      </c>
      <c r="L119" s="59">
        <f>IFERROR(Inv_SY!L121/Inv_SY!$Y121-1,"")</f>
        <v>-1</v>
      </c>
      <c r="M119" s="59">
        <f>IFERROR(Inv_SY!M121/Inv_SY!$Y121-1,"")</f>
        <v>0.32679557546181948</v>
      </c>
      <c r="N119" s="59">
        <f>IFERROR(Inv_SY!N121/Inv_SY!$Y121-1,"")</f>
        <v>0.34587230162286664</v>
      </c>
      <c r="O119" s="59">
        <f>IFERROR(Inv_SY!O121/Inv_SY!$Y121-1,"")</f>
        <v>0.28505173279549378</v>
      </c>
      <c r="P119" s="59">
        <f>IFERROR(Inv_SY!P121/Inv_SY!$Y121-1,"")</f>
        <v>0.27945237883995788</v>
      </c>
      <c r="Q119" s="59">
        <f>IFERROR(Inv_SY!Q121/Inv_SY!$Y121-1,"")</f>
        <v>-1</v>
      </c>
      <c r="R119" s="59">
        <f>IFERROR(Inv_SY!R121/Inv_SY!$Y121-1,"")</f>
        <v>2.2049723625298112E-2</v>
      </c>
      <c r="S119" s="59">
        <f>IFERROR(Inv_SY!S121/Inv_SY!$Y121-1,"")</f>
        <v>3.7992077159550997E-2</v>
      </c>
      <c r="T119" s="59">
        <f>IFERROR(Inv_SY!T121/Inv_SY!$Y121-1,"")</f>
        <v>8.8572949253364897E-3</v>
      </c>
      <c r="U119" s="59">
        <f>IFERROR(Inv_SY!U121/Inv_SY!$Y121-1,"")</f>
        <v>4.0875051746001034E-3</v>
      </c>
      <c r="V119" s="59">
        <f>IFERROR(Inv_SY!J121/Inv_SY!$Z121-1,"")</f>
        <v>0.31940448549543143</v>
      </c>
      <c r="W119" s="59">
        <f>IFERROR(Inv_SY!K121/Inv_SY!$Z121-1,"")</f>
        <v>0.32538055676731448</v>
      </c>
      <c r="X119" s="59">
        <f>IFERROR(Inv_SY!L121/Inv_SY!$Z121-1,"")</f>
        <v>-1</v>
      </c>
      <c r="Y119" s="59">
        <f>IFERROR(Inv_SY!M121/Inv_SY!$Z121-1,"")</f>
        <v>0.30434277015196032</v>
      </c>
      <c r="Z119" s="59">
        <f>IFERROR(Inv_SY!N121/Inv_SY!$Z121-1,"")</f>
        <v>0.32309666887344957</v>
      </c>
      <c r="AA119" s="59">
        <f>IFERROR(Inv_SY!O121/Inv_SY!$Z121-1,"")</f>
        <v>0.26330534103539827</v>
      </c>
      <c r="AB119" s="59">
        <f>IFERROR(Inv_SY!P121/Inv_SY!$Z121-1,"")</f>
        <v>0.25780074259951391</v>
      </c>
      <c r="AC119" s="59">
        <f>IFERROR(Inv_SY!Q121/Inv_SY!$Z121-1,"")</f>
        <v>-1</v>
      </c>
      <c r="AD119" s="59">
        <f>IFERROR(Inv_SY!R121/Inv_SY!$Z121-1,"")</f>
        <v>4.7540046117895418E-3</v>
      </c>
      <c r="AE119" s="59">
        <f>IFERROR(Inv_SY!S121/Inv_SY!$Z121-1,"")</f>
        <v>2.0426572380468855E-2</v>
      </c>
      <c r="AF119" s="59">
        <f>IFERROR(Inv_SY!T121/Inv_SY!$Z121-1,"")</f>
        <v>-8.2151741477572982E-3</v>
      </c>
      <c r="AG119" s="59">
        <f>IFERROR(Inv_SY!U121/Inv_SY!$Z121-1,"")</f>
        <v>-1.2904246746113235E-2</v>
      </c>
      <c r="AH119" s="59">
        <f>IFERROR(Inv_SY!V121/Inv_SY!$Y121-1,"")</f>
        <v>3.5569912493988998E-3</v>
      </c>
      <c r="AI119" s="59">
        <f>IFERROR(Inv_SY!W121/Inv_SY!$Y121-1,"")</f>
        <v>-2.0770875378371634E-2</v>
      </c>
      <c r="AJ119" s="59">
        <f>IFERROR(Inv_SY!X121/Inv_SY!$Y121-1,"")</f>
        <v>1.7213884128972623E-2</v>
      </c>
      <c r="AK119" s="59">
        <f>IFERROR(Inv_SY!V121/Inv_SY!$Z121-1,"")</f>
        <v>-1.3425783006558167E-2</v>
      </c>
      <c r="AL119" s="59">
        <f>IFERROR(Inv_SY!W121/Inv_SY!$Z121-1,"")</f>
        <v>-3.7341959346013254E-2</v>
      </c>
      <c r="AM119" s="59">
        <f>IFERROR(Inv_SY!X121/Inv_SY!$Z121-1,"")</f>
        <v>0</v>
      </c>
    </row>
    <row r="120" spans="1:39" x14ac:dyDescent="0.3">
      <c r="A120" s="247">
        <f>YEAR(Table5[[#This Row],[Date]])+IF(MONTH(Table5[[#This Row],[Date]])&gt;=4,1,0)</f>
        <v>2026</v>
      </c>
      <c r="B120" s="247"/>
      <c r="C120" s="247">
        <f>YEAR(Table5[[#This Row],[Date]])</f>
        <v>2025</v>
      </c>
      <c r="D120" s="247"/>
      <c r="E120" s="247"/>
      <c r="F120" s="248" t="str">
        <f>TEXT(Table5[[#This Row],[Date]],"mmm-yy")</f>
        <v>Jul-25</v>
      </c>
      <c r="G120" s="247">
        <f t="shared" si="9"/>
        <v>31</v>
      </c>
      <c r="H120" s="249">
        <f t="shared" si="10"/>
        <v>45863</v>
      </c>
      <c r="I120" s="55">
        <v>8.02</v>
      </c>
      <c r="J120" s="59">
        <f>IFERROR(Inv_SY!J122/Inv_SY!$Y122-1,"")</f>
        <v>0.31610796038523614</v>
      </c>
      <c r="K120" s="59">
        <f>IFERROR(Inv_SY!K122/Inv_SY!$Y122-1,"")</f>
        <v>0.31638689531149233</v>
      </c>
      <c r="L120" s="59">
        <f>IFERROR(Inv_SY!L122/Inv_SY!$Y122-1,"")</f>
        <v>-1</v>
      </c>
      <c r="M120" s="59">
        <f>IFERROR(Inv_SY!M122/Inv_SY!$Y122-1,"")</f>
        <v>0.39193546078795793</v>
      </c>
      <c r="N120" s="59">
        <f>IFERROR(Inv_SY!N122/Inv_SY!$Y122-1,"")</f>
        <v>0.34713375505159583</v>
      </c>
      <c r="O120" s="59">
        <f>IFERROR(Inv_SY!O122/Inv_SY!$Y122-1,"")</f>
        <v>0.3345649167898026</v>
      </c>
      <c r="P120" s="59">
        <f>IFERROR(Inv_SY!P122/Inv_SY!$Y122-1,"")</f>
        <v>0.24856760236700715</v>
      </c>
      <c r="Q120" s="59">
        <f>IFERROR(Inv_SY!Q122/Inv_SY!$Y122-1,"")</f>
        <v>-1</v>
      </c>
      <c r="R120" s="59">
        <f>IFERROR(Inv_SY!R122/Inv_SY!$Y122-1,"")</f>
        <v>-9.5358599798336385E-3</v>
      </c>
      <c r="S120" s="59">
        <f>IFERROR(Inv_SY!S122/Inv_SY!$Y122-1,"")</f>
        <v>6.4767794745486107E-3</v>
      </c>
      <c r="T120" s="59">
        <f>IFERROR(Inv_SY!T122/Inv_SY!$Y122-1,"")</f>
        <v>7.22441667090572E-2</v>
      </c>
      <c r="U120" s="59">
        <f>IFERROR(Inv_SY!U122/Inv_SY!$Y122-1,"")</f>
        <v>-2.5440645951339325E-2</v>
      </c>
      <c r="V120" s="59">
        <f>IFERROR(Inv_SY!J122/Inv_SY!$Z122-1,"")</f>
        <v>0.30288064970970074</v>
      </c>
      <c r="W120" s="59">
        <f>IFERROR(Inv_SY!K122/Inv_SY!$Z122-1,"")</f>
        <v>0.30315678124973111</v>
      </c>
      <c r="X120" s="59">
        <f>IFERROR(Inv_SY!L122/Inv_SY!$Z122-1,"")</f>
        <v>-1</v>
      </c>
      <c r="Y120" s="59">
        <f>IFERROR(Inv_SY!M122/Inv_SY!$Z122-1,"")</f>
        <v>0.37794605920820623</v>
      </c>
      <c r="Z120" s="59">
        <f>IFERROR(Inv_SY!N122/Inv_SY!$Z122-1,"")</f>
        <v>0.33359462510487581</v>
      </c>
      <c r="AA120" s="59">
        <f>IFERROR(Inv_SY!O122/Inv_SY!$Z122-1,"")</f>
        <v>0.32115210773279967</v>
      </c>
      <c r="AB120" s="59">
        <f>IFERROR(Inv_SY!P122/Inv_SY!$Z122-1,"")</f>
        <v>0.23601909413438249</v>
      </c>
      <c r="AC120" s="59">
        <f>IFERROR(Inv_SY!Q122/Inv_SY!$Z122-1,"")</f>
        <v>-1</v>
      </c>
      <c r="AD120" s="59">
        <f>IFERROR(Inv_SY!R122/Inv_SY!$Z122-1,"")</f>
        <v>-1.9490344936515358E-2</v>
      </c>
      <c r="AE120" s="59">
        <f>IFERROR(Inv_SY!S122/Inv_SY!$Z122-1,"")</f>
        <v>-3.6386376876769155E-3</v>
      </c>
      <c r="AF120" s="59">
        <f>IFERROR(Inv_SY!T122/Inv_SY!$Z122-1,"")</f>
        <v>6.1467766033735716E-2</v>
      </c>
      <c r="AG120" s="59">
        <f>IFERROR(Inv_SY!U122/Inv_SY!$Z122-1,"")</f>
        <v>-3.5235282664863643E-2</v>
      </c>
      <c r="AH120" s="59">
        <f>IFERROR(Inv_SY!V122/Inv_SY!$Y122-1,"")</f>
        <v>5.6377358029600089E-3</v>
      </c>
      <c r="AI120" s="59">
        <f>IFERROR(Inv_SY!W122/Inv_SY!$Y122-1,"")</f>
        <v>-1.5790093717311549E-2</v>
      </c>
      <c r="AJ120" s="59">
        <f>IFERROR(Inv_SY!X122/Inv_SY!$Y122-1,"")</f>
        <v>1.0152357914351429E-2</v>
      </c>
      <c r="AK120" s="59">
        <f>IFERROR(Inv_SY!V122/Inv_SY!$Z122-1,"")</f>
        <v>-4.469248698991013E-3</v>
      </c>
      <c r="AL120" s="59">
        <f>IFERROR(Inv_SY!W122/Inv_SY!$Z122-1,"")</f>
        <v>-2.5681721602101582E-2</v>
      </c>
      <c r="AM120" s="59">
        <f>IFERROR(Inv_SY!X122/Inv_SY!$Z122-1,"")</f>
        <v>0</v>
      </c>
    </row>
    <row r="121" spans="1:39" x14ac:dyDescent="0.3">
      <c r="A121" s="247">
        <f>YEAR(Table5[[#This Row],[Date]])+IF(MONTH(Table5[[#This Row],[Date]])&gt;=4,1,0)</f>
        <v>2026</v>
      </c>
      <c r="B121" s="247"/>
      <c r="C121" s="247">
        <f>YEAR(Table5[[#This Row],[Date]])</f>
        <v>2025</v>
      </c>
      <c r="D121" s="247"/>
      <c r="E121" s="247"/>
      <c r="F121" s="248" t="str">
        <f>TEXT(Table5[[#This Row],[Date]],"mmm-yy")</f>
        <v>Jul-25</v>
      </c>
      <c r="G121" s="247">
        <f t="shared" si="9"/>
        <v>31</v>
      </c>
      <c r="H121" s="249">
        <f t="shared" si="10"/>
        <v>45864</v>
      </c>
      <c r="I121" s="55">
        <v>8.02</v>
      </c>
      <c r="J121" s="59">
        <f>IFERROR(Inv_SY!J123/Inv_SY!$Y123-1,"")</f>
        <v>0.61473971852238174</v>
      </c>
      <c r="K121" s="59">
        <f>IFERROR(Inv_SY!K123/Inv_SY!$Y123-1,"")</f>
        <v>0.46241396328004836</v>
      </c>
      <c r="L121" s="59">
        <f>IFERROR(Inv_SY!L123/Inv_SY!$Y123-1,"")</f>
        <v>-1</v>
      </c>
      <c r="M121" s="59">
        <f>IFERROR(Inv_SY!M123/Inv_SY!$Y123-1,"")</f>
        <v>0.44560128504488894</v>
      </c>
      <c r="N121" s="59">
        <f>IFERROR(Inv_SY!N123/Inv_SY!$Y123-1,"")</f>
        <v>-6.7831009867070913E-2</v>
      </c>
      <c r="O121" s="59">
        <f>IFERROR(Inv_SY!O123/Inv_SY!$Y123-1,"")</f>
        <v>6.2754907597186049E-2</v>
      </c>
      <c r="P121" s="59">
        <f>IFERROR(Inv_SY!P123/Inv_SY!$Y123-1,"")</f>
        <v>-9.1039755603125605E-2</v>
      </c>
      <c r="Q121" s="59">
        <f>IFERROR(Inv_SY!Q123/Inv_SY!$Y123-1,"")</f>
        <v>-1</v>
      </c>
      <c r="R121" s="59">
        <f>IFERROR(Inv_SY!R123/Inv_SY!$Y123-1,"")</f>
        <v>0.2653957197358201</v>
      </c>
      <c r="S121" s="59">
        <f>IFERROR(Inv_SY!S123/Inv_SY!$Y123-1,"")</f>
        <v>0.13055376573274935</v>
      </c>
      <c r="T121" s="59">
        <f>IFERROR(Inv_SY!T123/Inv_SY!$Y123-1,"")</f>
        <v>9.3882303628888275E-2</v>
      </c>
      <c r="U121" s="59">
        <f>IFERROR(Inv_SY!U123/Inv_SY!$Y123-1,"")</f>
        <v>8.7763279424901919E-2</v>
      </c>
      <c r="V121" s="59">
        <f>IFERROR(Inv_SY!J123/Inv_SY!$Z123-1,"")</f>
        <v>0.41256028357298158</v>
      </c>
      <c r="W121" s="59">
        <f>IFERROR(Inv_SY!K123/Inv_SY!$Z123-1,"")</f>
        <v>0.27930703566410098</v>
      </c>
      <c r="X121" s="59">
        <f>IFERROR(Inv_SY!L123/Inv_SY!$Z123-1,"")</f>
        <v>-1</v>
      </c>
      <c r="Y121" s="59">
        <f>IFERROR(Inv_SY!M123/Inv_SY!$Z123-1,"")</f>
        <v>0.26459945074310198</v>
      </c>
      <c r="Z121" s="59">
        <f>IFERROR(Inv_SY!N123/Inv_SY!$Z123-1,"")</f>
        <v>-0.1845466622663875</v>
      </c>
      <c r="AA121" s="59">
        <f>IFERROR(Inv_SY!O123/Inv_SY!$Z123-1,"")</f>
        <v>-7.0311235659834992E-2</v>
      </c>
      <c r="AB121" s="59">
        <f>IFERROR(Inv_SY!P123/Inv_SY!$Z123-1,"")</f>
        <v>-0.20484947149454868</v>
      </c>
      <c r="AC121" s="59">
        <f>IFERROR(Inv_SY!Q123/Inv_SY!$Z123-1,"")</f>
        <v>-1</v>
      </c>
      <c r="AD121" s="59">
        <f>IFERROR(Inv_SY!R123/Inv_SY!$Z123-1,"")</f>
        <v>0.10695718709249769</v>
      </c>
      <c r="AE121" s="59">
        <f>IFERROR(Inv_SY!S123/Inv_SY!$Z123-1,"")</f>
        <v>-1.1001383319339642E-2</v>
      </c>
      <c r="AF121" s="59">
        <f>IFERROR(Inv_SY!T123/Inv_SY!$Z123-1,"")</f>
        <v>-4.3081259917573944E-2</v>
      </c>
      <c r="AG121" s="59">
        <f>IFERROR(Inv_SY!U123/Inv_SY!$Z123-1,"")</f>
        <v>-4.8434129154408256E-2</v>
      </c>
      <c r="AH121" s="59">
        <f>IFERROR(Inv_SY!V123/Inv_SY!$Y123-1,"")</f>
        <v>0.1296850069321791</v>
      </c>
      <c r="AI121" s="59">
        <f>IFERROR(Inv_SY!W123/Inv_SY!$Y123-1,"")</f>
        <v>-0.27281478149868466</v>
      </c>
      <c r="AJ121" s="59">
        <f>IFERROR(Inv_SY!X123/Inv_SY!$Y123-1,"")</f>
        <v>0.14312977456650566</v>
      </c>
      <c r="AK121" s="59">
        <f>IFERROR(Inv_SY!V123/Inv_SY!$Z123-1,"")</f>
        <v>-1.1761365973889548E-2</v>
      </c>
      <c r="AL121" s="59">
        <f>IFERROR(Inv_SY!W123/Inv_SY!$Z123-1,"")</f>
        <v>-0.3638646856372223</v>
      </c>
      <c r="AM121" s="59">
        <f>IFERROR(Inv_SY!X123/Inv_SY!$Z123-1,"")</f>
        <v>0</v>
      </c>
    </row>
    <row r="122" spans="1:39" x14ac:dyDescent="0.3">
      <c r="A122" s="247">
        <f>YEAR(Table5[[#This Row],[Date]])+IF(MONTH(Table5[[#This Row],[Date]])&gt;=4,1,0)</f>
        <v>2026</v>
      </c>
      <c r="B122" s="247"/>
      <c r="C122" s="247">
        <f>YEAR(Table5[[#This Row],[Date]])</f>
        <v>2025</v>
      </c>
      <c r="D122" s="247"/>
      <c r="E122" s="247"/>
      <c r="F122" s="248" t="str">
        <f>TEXT(Table5[[#This Row],[Date]],"mmm-yy")</f>
        <v>Jul-25</v>
      </c>
      <c r="G122" s="247">
        <f t="shared" si="9"/>
        <v>31</v>
      </c>
      <c r="H122" s="249">
        <f t="shared" si="10"/>
        <v>45865</v>
      </c>
      <c r="I122" s="55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47">
        <f>YEAR(Table5[[#This Row],[Date]])+IF(MONTH(Table5[[#This Row],[Date]])&gt;=4,1,0)</f>
        <v>2026</v>
      </c>
      <c r="B123" s="247"/>
      <c r="C123" s="247">
        <f>YEAR(Table5[[#This Row],[Date]])</f>
        <v>2025</v>
      </c>
      <c r="D123" s="247"/>
      <c r="E123" s="247"/>
      <c r="F123" s="248" t="str">
        <f>TEXT(Table5[[#This Row],[Date]],"mmm-yy")</f>
        <v>Jul-25</v>
      </c>
      <c r="G123" s="247">
        <f t="shared" si="9"/>
        <v>31</v>
      </c>
      <c r="H123" s="249">
        <f t="shared" si="10"/>
        <v>45866</v>
      </c>
      <c r="I123" s="55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47">
        <f>YEAR(Table5[[#This Row],[Date]])+IF(MONTH(Table5[[#This Row],[Date]])&gt;=4,1,0)</f>
        <v>2026</v>
      </c>
      <c r="B124" s="247"/>
      <c r="C124" s="247">
        <f>YEAR(Table5[[#This Row],[Date]])</f>
        <v>2025</v>
      </c>
      <c r="D124" s="247"/>
      <c r="E124" s="247"/>
      <c r="F124" s="248" t="str">
        <f>TEXT(Table5[[#This Row],[Date]],"mmm-yy")</f>
        <v>Jul-25</v>
      </c>
      <c r="G124" s="247">
        <f t="shared" si="9"/>
        <v>31</v>
      </c>
      <c r="H124" s="249">
        <f t="shared" si="10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47">
        <f>YEAR(Table5[[#This Row],[Date]])+IF(MONTH(Table5[[#This Row],[Date]])&gt;=4,1,0)</f>
        <v>2026</v>
      </c>
      <c r="B125" s="247"/>
      <c r="C125" s="247">
        <f>YEAR(Table5[[#This Row],[Date]])</f>
        <v>2025</v>
      </c>
      <c r="D125" s="247"/>
      <c r="E125" s="247"/>
      <c r="F125" s="248" t="str">
        <f>TEXT(Table5[[#This Row],[Date]],"mmm-yy")</f>
        <v>Jul-25</v>
      </c>
      <c r="G125" s="247">
        <f t="shared" si="9"/>
        <v>31</v>
      </c>
      <c r="H125" s="249">
        <f t="shared" si="10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7">
        <f>YEAR(Table5[[#This Row],[Date]])+IF(MONTH(Table5[[#This Row],[Date]])&gt;=4,1,0)</f>
        <v>2026</v>
      </c>
      <c r="B126" s="247"/>
      <c r="C126" s="247">
        <f>YEAR(Table5[[#This Row],[Date]])</f>
        <v>2025</v>
      </c>
      <c r="D126" s="247"/>
      <c r="E126" s="247"/>
      <c r="F126" s="248" t="str">
        <f>TEXT(Table5[[#This Row],[Date]],"mmm-yy")</f>
        <v>Jul-25</v>
      </c>
      <c r="G126" s="247">
        <f t="shared" si="9"/>
        <v>31</v>
      </c>
      <c r="H126" s="249">
        <f t="shared" si="10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7">
        <f>YEAR(Table5[[#This Row],[Date]])+IF(MONTH(Table5[[#This Row],[Date]])&gt;=4,1,0)</f>
        <v>2026</v>
      </c>
      <c r="B127" s="247"/>
      <c r="C127" s="247">
        <f>YEAR(Table5[[#This Row],[Date]])</f>
        <v>2025</v>
      </c>
      <c r="D127" s="247"/>
      <c r="E127" s="247"/>
      <c r="F127" s="248" t="str">
        <f>TEXT(Table5[[#This Row],[Date]],"mmm-yy")</f>
        <v>Aug-25</v>
      </c>
      <c r="G127" s="247">
        <f t="shared" si="9"/>
        <v>31</v>
      </c>
      <c r="H127" s="249">
        <f t="shared" si="10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7">
        <f>YEAR(Table5[[#This Row],[Date]])+IF(MONTH(Table5[[#This Row],[Date]])&gt;=4,1,0)</f>
        <v>2026</v>
      </c>
      <c r="B128" s="247"/>
      <c r="C128" s="247">
        <f>YEAR(Table5[[#This Row],[Date]])</f>
        <v>2025</v>
      </c>
      <c r="D128" s="247"/>
      <c r="E128" s="247"/>
      <c r="F128" s="248" t="str">
        <f>TEXT(Table5[[#This Row],[Date]],"mmm-yy")</f>
        <v>Aug-25</v>
      </c>
      <c r="G128" s="247">
        <f t="shared" si="9"/>
        <v>31</v>
      </c>
      <c r="H128" s="249">
        <f t="shared" si="10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7">
        <f>YEAR(Table5[[#This Row],[Date]])+IF(MONTH(Table5[[#This Row],[Date]])&gt;=4,1,0)</f>
        <v>2026</v>
      </c>
      <c r="B129" s="247"/>
      <c r="C129" s="247">
        <f>YEAR(Table5[[#This Row],[Date]])</f>
        <v>2025</v>
      </c>
      <c r="D129" s="247"/>
      <c r="E129" s="247"/>
      <c r="F129" s="248" t="str">
        <f>TEXT(Table5[[#This Row],[Date]],"mmm-yy")</f>
        <v>Aug-25</v>
      </c>
      <c r="G129" s="247">
        <f t="shared" si="9"/>
        <v>31</v>
      </c>
      <c r="H129" s="249">
        <f t="shared" si="10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7">
        <f>YEAR(Table5[[#This Row],[Date]])+IF(MONTH(Table5[[#This Row],[Date]])&gt;=4,1,0)</f>
        <v>2026</v>
      </c>
      <c r="B130" s="247"/>
      <c r="C130" s="247">
        <f>YEAR(Table5[[#This Row],[Date]])</f>
        <v>2025</v>
      </c>
      <c r="D130" s="247"/>
      <c r="E130" s="247"/>
      <c r="F130" s="248" t="str">
        <f>TEXT(Table5[[#This Row],[Date]],"mmm-yy")</f>
        <v>Aug-25</v>
      </c>
      <c r="G130" s="247">
        <f t="shared" si="9"/>
        <v>31</v>
      </c>
      <c r="H130" s="249">
        <f t="shared" si="10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7">
        <f>YEAR(Table5[[#This Row],[Date]])+IF(MONTH(Table5[[#This Row],[Date]])&gt;=4,1,0)</f>
        <v>2026</v>
      </c>
      <c r="B131" s="247"/>
      <c r="C131" s="247">
        <f>YEAR(Table5[[#This Row],[Date]])</f>
        <v>2025</v>
      </c>
      <c r="D131" s="247"/>
      <c r="E131" s="247"/>
      <c r="F131" s="248" t="str">
        <f>TEXT(Table5[[#This Row],[Date]],"mmm-yy")</f>
        <v>Aug-25</v>
      </c>
      <c r="G131" s="247">
        <f t="shared" si="9"/>
        <v>31</v>
      </c>
      <c r="H131" s="249">
        <f t="shared" si="10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7">
        <f>YEAR(Table5[[#This Row],[Date]])+IF(MONTH(Table5[[#This Row],[Date]])&gt;=4,1,0)</f>
        <v>2026</v>
      </c>
      <c r="B132" s="247"/>
      <c r="C132" s="247">
        <f>YEAR(Table5[[#This Row],[Date]])</f>
        <v>2025</v>
      </c>
      <c r="D132" s="247"/>
      <c r="E132" s="247"/>
      <c r="F132" s="248" t="str">
        <f>TEXT(Table5[[#This Row],[Date]],"mmm-yy")</f>
        <v>Aug-25</v>
      </c>
      <c r="G132" s="247">
        <f t="shared" si="9"/>
        <v>31</v>
      </c>
      <c r="H132" s="249">
        <f t="shared" si="10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7">
        <f>YEAR(Table5[[#This Row],[Date]])+IF(MONTH(Table5[[#This Row],[Date]])&gt;=4,1,0)</f>
        <v>2026</v>
      </c>
      <c r="B133" s="247"/>
      <c r="C133" s="247">
        <f>YEAR(Table5[[#This Row],[Date]])</f>
        <v>2025</v>
      </c>
      <c r="D133" s="247"/>
      <c r="E133" s="247"/>
      <c r="F133" s="248" t="str">
        <f>TEXT(Table5[[#This Row],[Date]],"mmm-yy")</f>
        <v>Aug-25</v>
      </c>
      <c r="G133" s="247">
        <f t="shared" si="9"/>
        <v>31</v>
      </c>
      <c r="H133" s="249">
        <f t="shared" si="10"/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7">
        <f>YEAR(Table5[[#This Row],[Date]])+IF(MONTH(Table5[[#This Row],[Date]])&gt;=4,1,0)</f>
        <v>2026</v>
      </c>
      <c r="B134" s="247"/>
      <c r="C134" s="247">
        <f>YEAR(Table5[[#This Row],[Date]])</f>
        <v>2025</v>
      </c>
      <c r="D134" s="247"/>
      <c r="E134" s="247"/>
      <c r="F134" s="248" t="str">
        <f>TEXT(Table5[[#This Row],[Date]],"mmm-yy")</f>
        <v>Aug-25</v>
      </c>
      <c r="G134" s="247">
        <f t="shared" si="9"/>
        <v>31</v>
      </c>
      <c r="H134" s="249">
        <f t="shared" si="10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7">
        <f>YEAR(Table5[[#This Row],[Date]])+IF(MONTH(Table5[[#This Row],[Date]])&gt;=4,1,0)</f>
        <v>2026</v>
      </c>
      <c r="B135" s="247"/>
      <c r="C135" s="247">
        <f>YEAR(Table5[[#This Row],[Date]])</f>
        <v>2025</v>
      </c>
      <c r="D135" s="247"/>
      <c r="E135" s="247"/>
      <c r="F135" s="248" t="str">
        <f>TEXT(Table5[[#This Row],[Date]],"mmm-yy")</f>
        <v>Aug-25</v>
      </c>
      <c r="G135" s="247">
        <f t="shared" si="9"/>
        <v>31</v>
      </c>
      <c r="H135" s="249">
        <f t="shared" si="10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7">
        <f>YEAR(Table5[[#This Row],[Date]])+IF(MONTH(Table5[[#This Row],[Date]])&gt;=4,1,0)</f>
        <v>2026</v>
      </c>
      <c r="B136" s="247"/>
      <c r="C136" s="247">
        <f>YEAR(Table5[[#This Row],[Date]])</f>
        <v>2025</v>
      </c>
      <c r="D136" s="247"/>
      <c r="E136" s="247"/>
      <c r="F136" s="248" t="str">
        <f>TEXT(Table5[[#This Row],[Date]],"mmm-yy")</f>
        <v>Aug-25</v>
      </c>
      <c r="G136" s="247">
        <f t="shared" si="9"/>
        <v>31</v>
      </c>
      <c r="H136" s="249">
        <f t="shared" si="10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7">
        <f>YEAR(Table5[[#This Row],[Date]])+IF(MONTH(Table5[[#This Row],[Date]])&gt;=4,1,0)</f>
        <v>2026</v>
      </c>
      <c r="B137" s="247"/>
      <c r="C137" s="247">
        <f>YEAR(Table5[[#This Row],[Date]])</f>
        <v>2025</v>
      </c>
      <c r="D137" s="247"/>
      <c r="E137" s="247"/>
      <c r="F137" s="248" t="str">
        <f>TEXT(Table5[[#This Row],[Date]],"mmm-yy")</f>
        <v>Aug-25</v>
      </c>
      <c r="G137" s="247">
        <f t="shared" si="9"/>
        <v>31</v>
      </c>
      <c r="H137" s="249">
        <f t="shared" si="10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7">
        <f>YEAR(Table5[[#This Row],[Date]])+IF(MONTH(Table5[[#This Row],[Date]])&gt;=4,1,0)</f>
        <v>2026</v>
      </c>
      <c r="B138" s="247"/>
      <c r="C138" s="247">
        <f>YEAR(Table5[[#This Row],[Date]])</f>
        <v>2025</v>
      </c>
      <c r="D138" s="247"/>
      <c r="E138" s="247"/>
      <c r="F138" s="248" t="str">
        <f>TEXT(Table5[[#This Row],[Date]],"mmm-yy")</f>
        <v>Aug-25</v>
      </c>
      <c r="G138" s="247">
        <f t="shared" ref="G138:G169" si="11">DAY(EOMONTH(F138,0))</f>
        <v>31</v>
      </c>
      <c r="H138" s="249">
        <f t="shared" ref="H138:H168" si="12">H137+1</f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7">
        <f>YEAR(Table5[[#This Row],[Date]])+IF(MONTH(Table5[[#This Row],[Date]])&gt;=4,1,0)</f>
        <v>2026</v>
      </c>
      <c r="B139" s="247"/>
      <c r="C139" s="247">
        <f>YEAR(Table5[[#This Row],[Date]])</f>
        <v>2025</v>
      </c>
      <c r="D139" s="247"/>
      <c r="E139" s="247"/>
      <c r="F139" s="248" t="str">
        <f>TEXT(Table5[[#This Row],[Date]],"mmm-yy")</f>
        <v>Aug-25</v>
      </c>
      <c r="G139" s="247">
        <f t="shared" si="11"/>
        <v>31</v>
      </c>
      <c r="H139" s="249">
        <f t="shared" si="12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7">
        <f>YEAR(Table5[[#This Row],[Date]])+IF(MONTH(Table5[[#This Row],[Date]])&gt;=4,1,0)</f>
        <v>2026</v>
      </c>
      <c r="B140" s="247"/>
      <c r="C140" s="247">
        <f>YEAR(Table5[[#This Row],[Date]])</f>
        <v>2025</v>
      </c>
      <c r="D140" s="247"/>
      <c r="E140" s="247"/>
      <c r="F140" s="248" t="str">
        <f>TEXT(Table5[[#This Row],[Date]],"mmm-yy")</f>
        <v>Aug-25</v>
      </c>
      <c r="G140" s="247">
        <f t="shared" si="11"/>
        <v>31</v>
      </c>
      <c r="H140" s="249">
        <f t="shared" si="12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7">
        <f>YEAR(Table5[[#This Row],[Date]])+IF(MONTH(Table5[[#This Row],[Date]])&gt;=4,1,0)</f>
        <v>2026</v>
      </c>
      <c r="B141" s="247"/>
      <c r="C141" s="247">
        <f>YEAR(Table5[[#This Row],[Date]])</f>
        <v>2025</v>
      </c>
      <c r="D141" s="247"/>
      <c r="E141" s="247"/>
      <c r="F141" s="248" t="str">
        <f>TEXT(Table5[[#This Row],[Date]],"mmm-yy")</f>
        <v>Aug-25</v>
      </c>
      <c r="G141" s="247">
        <f t="shared" si="11"/>
        <v>31</v>
      </c>
      <c r="H141" s="249">
        <f t="shared" si="12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7">
        <f>YEAR(Table5[[#This Row],[Date]])+IF(MONTH(Table5[[#This Row],[Date]])&gt;=4,1,0)</f>
        <v>2026</v>
      </c>
      <c r="B142" s="247"/>
      <c r="C142" s="247">
        <f>YEAR(Table5[[#This Row],[Date]])</f>
        <v>2025</v>
      </c>
      <c r="D142" s="247"/>
      <c r="E142" s="247"/>
      <c r="F142" s="248" t="str">
        <f>TEXT(Table5[[#This Row],[Date]],"mmm-yy")</f>
        <v>Aug-25</v>
      </c>
      <c r="G142" s="247">
        <f t="shared" si="11"/>
        <v>31</v>
      </c>
      <c r="H142" s="249">
        <f t="shared" si="12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7">
        <f>YEAR(Table5[[#This Row],[Date]])+IF(MONTH(Table5[[#This Row],[Date]])&gt;=4,1,0)</f>
        <v>2026</v>
      </c>
      <c r="B143" s="247"/>
      <c r="C143" s="247">
        <f>YEAR(Table5[[#This Row],[Date]])</f>
        <v>2025</v>
      </c>
      <c r="D143" s="247"/>
      <c r="E143" s="247"/>
      <c r="F143" s="248" t="str">
        <f>TEXT(Table5[[#This Row],[Date]],"mmm-yy")</f>
        <v>Aug-25</v>
      </c>
      <c r="G143" s="247">
        <f t="shared" si="11"/>
        <v>31</v>
      </c>
      <c r="H143" s="249">
        <f t="shared" si="12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7">
        <f>YEAR(Table5[[#This Row],[Date]])+IF(MONTH(Table5[[#This Row],[Date]])&gt;=4,1,0)</f>
        <v>2026</v>
      </c>
      <c r="B144" s="247"/>
      <c r="C144" s="247">
        <f>YEAR(Table5[[#This Row],[Date]])</f>
        <v>2025</v>
      </c>
      <c r="D144" s="247"/>
      <c r="E144" s="247"/>
      <c r="F144" s="248" t="str">
        <f>TEXT(Table5[[#This Row],[Date]],"mmm-yy")</f>
        <v>Aug-25</v>
      </c>
      <c r="G144" s="247">
        <f t="shared" si="11"/>
        <v>31</v>
      </c>
      <c r="H144" s="249">
        <f t="shared" si="12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7">
        <f>YEAR(Table5[[#This Row],[Date]])+IF(MONTH(Table5[[#This Row],[Date]])&gt;=4,1,0)</f>
        <v>2026</v>
      </c>
      <c r="B145" s="247"/>
      <c r="C145" s="247">
        <f>YEAR(Table5[[#This Row],[Date]])</f>
        <v>2025</v>
      </c>
      <c r="D145" s="247"/>
      <c r="E145" s="247"/>
      <c r="F145" s="248" t="str">
        <f>TEXT(Table5[[#This Row],[Date]],"mmm-yy")</f>
        <v>Aug-25</v>
      </c>
      <c r="G145" s="247">
        <f t="shared" si="11"/>
        <v>31</v>
      </c>
      <c r="H145" s="249">
        <f t="shared" si="12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7">
        <f>YEAR(Table5[[#This Row],[Date]])+IF(MONTH(Table5[[#This Row],[Date]])&gt;=4,1,0)</f>
        <v>2026</v>
      </c>
      <c r="B146" s="247"/>
      <c r="C146" s="247">
        <f>YEAR(Table5[[#This Row],[Date]])</f>
        <v>2025</v>
      </c>
      <c r="D146" s="247"/>
      <c r="E146" s="247"/>
      <c r="F146" s="248" t="str">
        <f>TEXT(Table5[[#This Row],[Date]],"mmm-yy")</f>
        <v>Aug-25</v>
      </c>
      <c r="G146" s="247">
        <f t="shared" si="11"/>
        <v>31</v>
      </c>
      <c r="H146" s="249">
        <f t="shared" si="12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7">
        <f>YEAR(Table5[[#This Row],[Date]])+IF(MONTH(Table5[[#This Row],[Date]])&gt;=4,1,0)</f>
        <v>2026</v>
      </c>
      <c r="B147" s="247"/>
      <c r="C147" s="247">
        <f>YEAR(Table5[[#This Row],[Date]])</f>
        <v>2025</v>
      </c>
      <c r="D147" s="247"/>
      <c r="E147" s="247"/>
      <c r="F147" s="248" t="str">
        <f>TEXT(Table5[[#This Row],[Date]],"mmm-yy")</f>
        <v>Aug-25</v>
      </c>
      <c r="G147" s="247">
        <f t="shared" si="11"/>
        <v>31</v>
      </c>
      <c r="H147" s="249">
        <f t="shared" si="12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7">
        <f>YEAR(Table5[[#This Row],[Date]])+IF(MONTH(Table5[[#This Row],[Date]])&gt;=4,1,0)</f>
        <v>2026</v>
      </c>
      <c r="B148" s="247"/>
      <c r="C148" s="247">
        <f>YEAR(Table5[[#This Row],[Date]])</f>
        <v>2025</v>
      </c>
      <c r="D148" s="247"/>
      <c r="E148" s="247"/>
      <c r="F148" s="248" t="str">
        <f>TEXT(Table5[[#This Row],[Date]],"mmm-yy")</f>
        <v>Aug-25</v>
      </c>
      <c r="G148" s="247">
        <f t="shared" si="11"/>
        <v>31</v>
      </c>
      <c r="H148" s="249">
        <f t="shared" si="12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7">
        <f>YEAR(Table5[[#This Row],[Date]])+IF(MONTH(Table5[[#This Row],[Date]])&gt;=4,1,0)</f>
        <v>2026</v>
      </c>
      <c r="B149" s="247"/>
      <c r="C149" s="247">
        <f>YEAR(Table5[[#This Row],[Date]])</f>
        <v>2025</v>
      </c>
      <c r="D149" s="247"/>
      <c r="E149" s="247"/>
      <c r="F149" s="248" t="str">
        <f>TEXT(Table5[[#This Row],[Date]],"mmm-yy")</f>
        <v>Aug-25</v>
      </c>
      <c r="G149" s="247">
        <f t="shared" si="11"/>
        <v>31</v>
      </c>
      <c r="H149" s="249">
        <f t="shared" si="12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7">
        <f>YEAR(Table5[[#This Row],[Date]])+IF(MONTH(Table5[[#This Row],[Date]])&gt;=4,1,0)</f>
        <v>2026</v>
      </c>
      <c r="B150" s="247"/>
      <c r="C150" s="247">
        <f>YEAR(Table5[[#This Row],[Date]])</f>
        <v>2025</v>
      </c>
      <c r="D150" s="247"/>
      <c r="E150" s="247"/>
      <c r="F150" s="248" t="str">
        <f>TEXT(Table5[[#This Row],[Date]],"mmm-yy")</f>
        <v>Aug-25</v>
      </c>
      <c r="G150" s="247">
        <f t="shared" si="11"/>
        <v>31</v>
      </c>
      <c r="H150" s="249">
        <f t="shared" si="12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7">
        <f>YEAR(Table5[[#This Row],[Date]])+IF(MONTH(Table5[[#This Row],[Date]])&gt;=4,1,0)</f>
        <v>2026</v>
      </c>
      <c r="B151" s="247"/>
      <c r="C151" s="247">
        <f>YEAR(Table5[[#This Row],[Date]])</f>
        <v>2025</v>
      </c>
      <c r="D151" s="247"/>
      <c r="E151" s="247"/>
      <c r="F151" s="248" t="str">
        <f>TEXT(Table5[[#This Row],[Date]],"mmm-yy")</f>
        <v>Aug-25</v>
      </c>
      <c r="G151" s="247">
        <f t="shared" si="11"/>
        <v>31</v>
      </c>
      <c r="H151" s="249">
        <f t="shared" si="12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7">
        <f>YEAR(Table5[[#This Row],[Date]])+IF(MONTH(Table5[[#This Row],[Date]])&gt;=4,1,0)</f>
        <v>2026</v>
      </c>
      <c r="B152" s="247"/>
      <c r="C152" s="247">
        <f>YEAR(Table5[[#This Row],[Date]])</f>
        <v>2025</v>
      </c>
      <c r="D152" s="247"/>
      <c r="E152" s="247"/>
      <c r="F152" s="248" t="str">
        <f>TEXT(Table5[[#This Row],[Date]],"mmm-yy")</f>
        <v>Aug-25</v>
      </c>
      <c r="G152" s="247">
        <f t="shared" si="11"/>
        <v>31</v>
      </c>
      <c r="H152" s="249">
        <f t="shared" si="12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7">
        <f>YEAR(Table5[[#This Row],[Date]])+IF(MONTH(Table5[[#This Row],[Date]])&gt;=4,1,0)</f>
        <v>2026</v>
      </c>
      <c r="B153" s="247"/>
      <c r="C153" s="247">
        <f>YEAR(Table5[[#This Row],[Date]])</f>
        <v>2025</v>
      </c>
      <c r="D153" s="247"/>
      <c r="E153" s="247"/>
      <c r="F153" s="248" t="str">
        <f>TEXT(Table5[[#This Row],[Date]],"mmm-yy")</f>
        <v>Aug-25</v>
      </c>
      <c r="G153" s="247">
        <f t="shared" si="11"/>
        <v>31</v>
      </c>
      <c r="H153" s="249">
        <f t="shared" si="12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7">
        <f>YEAR(Table5[[#This Row],[Date]])+IF(MONTH(Table5[[#This Row],[Date]])&gt;=4,1,0)</f>
        <v>2026</v>
      </c>
      <c r="B154" s="247"/>
      <c r="C154" s="247">
        <f>YEAR(Table5[[#This Row],[Date]])</f>
        <v>2025</v>
      </c>
      <c r="D154" s="247"/>
      <c r="E154" s="247"/>
      <c r="F154" s="248" t="str">
        <f>TEXT(Table5[[#This Row],[Date]],"mmm-yy")</f>
        <v>Aug-25</v>
      </c>
      <c r="G154" s="247">
        <f t="shared" si="11"/>
        <v>31</v>
      </c>
      <c r="H154" s="249">
        <f t="shared" si="12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7">
        <f>YEAR(Table5[[#This Row],[Date]])+IF(MONTH(Table5[[#This Row],[Date]])&gt;=4,1,0)</f>
        <v>2026</v>
      </c>
      <c r="B155" s="247"/>
      <c r="C155" s="247">
        <f>YEAR(Table5[[#This Row],[Date]])</f>
        <v>2025</v>
      </c>
      <c r="D155" s="247"/>
      <c r="E155" s="247"/>
      <c r="F155" s="248" t="str">
        <f>TEXT(Table5[[#This Row],[Date]],"mmm-yy")</f>
        <v>Aug-25</v>
      </c>
      <c r="G155" s="247">
        <f t="shared" si="11"/>
        <v>31</v>
      </c>
      <c r="H155" s="249">
        <f t="shared" si="12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7">
        <f>YEAR(Table5[[#This Row],[Date]])+IF(MONTH(Table5[[#This Row],[Date]])&gt;=4,1,0)</f>
        <v>2026</v>
      </c>
      <c r="B156" s="247"/>
      <c r="C156" s="247">
        <f>YEAR(Table5[[#This Row],[Date]])</f>
        <v>2025</v>
      </c>
      <c r="D156" s="247"/>
      <c r="E156" s="247"/>
      <c r="F156" s="248" t="str">
        <f>TEXT(Table5[[#This Row],[Date]],"mmm-yy")</f>
        <v>Aug-25</v>
      </c>
      <c r="G156" s="247">
        <f t="shared" si="11"/>
        <v>31</v>
      </c>
      <c r="H156" s="249">
        <f t="shared" si="12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7">
        <f>YEAR(Table5[[#This Row],[Date]])+IF(MONTH(Table5[[#This Row],[Date]])&gt;=4,1,0)</f>
        <v>2026</v>
      </c>
      <c r="B157" s="247"/>
      <c r="C157" s="247">
        <f>YEAR(Table5[[#This Row],[Date]])</f>
        <v>2025</v>
      </c>
      <c r="D157" s="247"/>
      <c r="E157" s="247"/>
      <c r="F157" s="248" t="str">
        <f>TEXT(Table5[[#This Row],[Date]],"mmm-yy")</f>
        <v>Aug-25</v>
      </c>
      <c r="G157" s="247">
        <f t="shared" si="11"/>
        <v>31</v>
      </c>
      <c r="H157" s="249">
        <f t="shared" si="12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7">
        <f>YEAR(Table5[[#This Row],[Date]])+IF(MONTH(Table5[[#This Row],[Date]])&gt;=4,1,0)</f>
        <v>2026</v>
      </c>
      <c r="B158" s="247"/>
      <c r="C158" s="247">
        <f>YEAR(Table5[[#This Row],[Date]])</f>
        <v>2025</v>
      </c>
      <c r="D158" s="247"/>
      <c r="E158" s="247"/>
      <c r="F158" s="248" t="str">
        <f>TEXT(Table5[[#This Row],[Date]],"mmm-yy")</f>
        <v>Sep-25</v>
      </c>
      <c r="G158" s="247">
        <f t="shared" si="11"/>
        <v>30</v>
      </c>
      <c r="H158" s="249">
        <f t="shared" si="12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7">
        <f>YEAR(Table5[[#This Row],[Date]])+IF(MONTH(Table5[[#This Row],[Date]])&gt;=4,1,0)</f>
        <v>2026</v>
      </c>
      <c r="B159" s="247"/>
      <c r="C159" s="247">
        <f>YEAR(Table5[[#This Row],[Date]])</f>
        <v>2025</v>
      </c>
      <c r="D159" s="247"/>
      <c r="E159" s="247"/>
      <c r="F159" s="248" t="str">
        <f>TEXT(Table5[[#This Row],[Date]],"mmm-yy")</f>
        <v>Sep-25</v>
      </c>
      <c r="G159" s="247">
        <f t="shared" si="11"/>
        <v>30</v>
      </c>
      <c r="H159" s="249">
        <f t="shared" si="12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7">
        <f>YEAR(Table5[[#This Row],[Date]])+IF(MONTH(Table5[[#This Row],[Date]])&gt;=4,1,0)</f>
        <v>2026</v>
      </c>
      <c r="B160" s="247"/>
      <c r="C160" s="247">
        <f>YEAR(Table5[[#This Row],[Date]])</f>
        <v>2025</v>
      </c>
      <c r="D160" s="247"/>
      <c r="E160" s="247"/>
      <c r="F160" s="248" t="str">
        <f>TEXT(Table5[[#This Row],[Date]],"mmm-yy")</f>
        <v>Sep-25</v>
      </c>
      <c r="G160" s="247">
        <f t="shared" si="11"/>
        <v>30</v>
      </c>
      <c r="H160" s="249">
        <f t="shared" si="12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7">
        <f>YEAR(Table5[[#This Row],[Date]])+IF(MONTH(Table5[[#This Row],[Date]])&gt;=4,1,0)</f>
        <v>2026</v>
      </c>
      <c r="B161" s="247"/>
      <c r="C161" s="247">
        <f>YEAR(Table5[[#This Row],[Date]])</f>
        <v>2025</v>
      </c>
      <c r="D161" s="247"/>
      <c r="E161" s="247"/>
      <c r="F161" s="248" t="str">
        <f>TEXT(Table5[[#This Row],[Date]],"mmm-yy")</f>
        <v>Sep-25</v>
      </c>
      <c r="G161" s="247">
        <f t="shared" si="11"/>
        <v>30</v>
      </c>
      <c r="H161" s="249">
        <f t="shared" si="12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7">
        <f>YEAR(Table5[[#This Row],[Date]])+IF(MONTH(Table5[[#This Row],[Date]])&gt;=4,1,0)</f>
        <v>2026</v>
      </c>
      <c r="B162" s="247"/>
      <c r="C162" s="247">
        <f>YEAR(Table5[[#This Row],[Date]])</f>
        <v>2025</v>
      </c>
      <c r="D162" s="247"/>
      <c r="E162" s="247"/>
      <c r="F162" s="248" t="str">
        <f>TEXT(Table5[[#This Row],[Date]],"mmm-yy")</f>
        <v>Sep-25</v>
      </c>
      <c r="G162" s="247">
        <f t="shared" si="11"/>
        <v>30</v>
      </c>
      <c r="H162" s="249">
        <f t="shared" si="12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7">
        <f>YEAR(Table5[[#This Row],[Date]])+IF(MONTH(Table5[[#This Row],[Date]])&gt;=4,1,0)</f>
        <v>2026</v>
      </c>
      <c r="B163" s="247"/>
      <c r="C163" s="247">
        <f>YEAR(Table5[[#This Row],[Date]])</f>
        <v>2025</v>
      </c>
      <c r="D163" s="247"/>
      <c r="E163" s="247"/>
      <c r="F163" s="248" t="str">
        <f>TEXT(Table5[[#This Row],[Date]],"mmm-yy")</f>
        <v>Sep-25</v>
      </c>
      <c r="G163" s="247">
        <f t="shared" si="11"/>
        <v>30</v>
      </c>
      <c r="H163" s="249">
        <f t="shared" si="12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7">
        <f>YEAR(Table5[[#This Row],[Date]])+IF(MONTH(Table5[[#This Row],[Date]])&gt;=4,1,0)</f>
        <v>2026</v>
      </c>
      <c r="B164" s="247"/>
      <c r="C164" s="247">
        <f>YEAR(Table5[[#This Row],[Date]])</f>
        <v>2025</v>
      </c>
      <c r="D164" s="247"/>
      <c r="E164" s="247"/>
      <c r="F164" s="248" t="str">
        <f>TEXT(Table5[[#This Row],[Date]],"mmm-yy")</f>
        <v>Sep-25</v>
      </c>
      <c r="G164" s="247">
        <f t="shared" si="11"/>
        <v>30</v>
      </c>
      <c r="H164" s="249">
        <f t="shared" si="12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7">
        <f>YEAR(Table5[[#This Row],[Date]])+IF(MONTH(Table5[[#This Row],[Date]])&gt;=4,1,0)</f>
        <v>2026</v>
      </c>
      <c r="B165" s="247"/>
      <c r="C165" s="247">
        <f>YEAR(Table5[[#This Row],[Date]])</f>
        <v>2025</v>
      </c>
      <c r="D165" s="247"/>
      <c r="E165" s="247"/>
      <c r="F165" s="248" t="str">
        <f>TEXT(Table5[[#This Row],[Date]],"mmm-yy")</f>
        <v>Sep-25</v>
      </c>
      <c r="G165" s="247">
        <f t="shared" si="11"/>
        <v>30</v>
      </c>
      <c r="H165" s="249">
        <f t="shared" si="12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7">
        <f>YEAR(Table5[[#This Row],[Date]])+IF(MONTH(Table5[[#This Row],[Date]])&gt;=4,1,0)</f>
        <v>2026</v>
      </c>
      <c r="B166" s="247"/>
      <c r="C166" s="247">
        <f>YEAR(Table5[[#This Row],[Date]])</f>
        <v>2025</v>
      </c>
      <c r="D166" s="247"/>
      <c r="E166" s="247"/>
      <c r="F166" s="248" t="str">
        <f>TEXT(Table5[[#This Row],[Date]],"mmm-yy")</f>
        <v>Sep-25</v>
      </c>
      <c r="G166" s="247">
        <f t="shared" si="11"/>
        <v>30</v>
      </c>
      <c r="H166" s="249">
        <f t="shared" si="12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7">
        <f>YEAR(Table5[[#This Row],[Date]])+IF(MONTH(Table5[[#This Row],[Date]])&gt;=4,1,0)</f>
        <v>2026</v>
      </c>
      <c r="B167" s="247"/>
      <c r="C167" s="247">
        <f>YEAR(Table5[[#This Row],[Date]])</f>
        <v>2025</v>
      </c>
      <c r="D167" s="247"/>
      <c r="E167" s="247"/>
      <c r="F167" s="248" t="str">
        <f>TEXT(Table5[[#This Row],[Date]],"mmm-yy")</f>
        <v>Sep-25</v>
      </c>
      <c r="G167" s="247">
        <f t="shared" si="11"/>
        <v>30</v>
      </c>
      <c r="H167" s="249">
        <f t="shared" si="12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7">
        <f>YEAR(Table5[[#This Row],[Date]])+IF(MONTH(Table5[[#This Row],[Date]])&gt;=4,1,0)</f>
        <v>2026</v>
      </c>
      <c r="B168" s="247"/>
      <c r="C168" s="247">
        <f>YEAR(Table5[[#This Row],[Date]])</f>
        <v>2025</v>
      </c>
      <c r="D168" s="247"/>
      <c r="E168" s="247"/>
      <c r="F168" s="248" t="str">
        <f>TEXT(Table5[[#This Row],[Date]],"mmm-yy")</f>
        <v>Sep-25</v>
      </c>
      <c r="G168" s="247">
        <f t="shared" si="11"/>
        <v>30</v>
      </c>
      <c r="H168" s="249">
        <f t="shared" si="12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</sheetData>
  <phoneticPr fontId="16" type="noConversion"/>
  <conditionalFormatting sqref="J2:J16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6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16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6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68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68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68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6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6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6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68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68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68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4"/>
  <sheetViews>
    <sheetView zoomScale="85" zoomScaleNormal="85" workbookViewId="0">
      <pane xSplit="8" ySplit="3" topLeftCell="I208" activePane="bottomRight" state="frozen"/>
      <selection pane="topRight" activeCell="I1" sqref="I1"/>
      <selection pane="bottomLeft" activeCell="A4" sqref="A4"/>
      <selection pane="bottomRight" activeCell="A224" sqref="A224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  <row r="222" spans="1:33" x14ac:dyDescent="0.3">
      <c r="A222" s="67">
        <v>219</v>
      </c>
      <c r="B222" s="75">
        <f>YEAR(Table1[[#This Row],[Date]])+IF(MONTH(Table1[[#This Row],[Date]])&gt;=4,1,0)</f>
        <v>2026</v>
      </c>
      <c r="C222" s="74">
        <f>YEAR(Table1[[#This Row],[Date]])</f>
        <v>2025</v>
      </c>
      <c r="D222" s="74" t="s">
        <v>1082</v>
      </c>
      <c r="E222" s="74" t="s">
        <v>1082</v>
      </c>
      <c r="F222" s="181">
        <f>Table1[[#This Row],[Date]]-DAY(Table1[[#This Row],[Date]])+1</f>
        <v>45839</v>
      </c>
      <c r="G222">
        <f>DAY(EOMONTH(Table1[[#This Row],[Month Year]],0))</f>
        <v>31</v>
      </c>
      <c r="H222" s="104">
        <v>45864</v>
      </c>
      <c r="I222" s="76">
        <f>IFERROR(VLOOKUP(Table1[[#This Row],[Date]],Table3[[Date]:[Sunset Time (POA&lt;20 W/m2)]],3,0),"")</f>
        <v>0.26527777777777778</v>
      </c>
      <c r="J222" s="76">
        <f>IFERROR(VLOOKUP(Table1[[#This Row],[Date]],Table3[[Date]:[Sunset Time (POA&lt;20 W/m2)]],4,0),"")</f>
        <v>0.76180555555555551</v>
      </c>
      <c r="K222" s="77">
        <f>IFERROR((Table1[[#This Row],[Sunset Time (POA&lt;20 W/m2)]]-Table1[[#This Row],[Sunrise Time (POA&gt;20 W/m2)]])*24,"")</f>
        <v>11.916666666666666</v>
      </c>
      <c r="L222" s="108" t="s">
        <v>181</v>
      </c>
      <c r="M222" s="61">
        <f>VLOOKUP(Table1[[#This Row],[Affceted Equipment]],'Basic Data'!$A$2:$C$818,2,0)</f>
        <v>2630.8</v>
      </c>
      <c r="N222" s="93">
        <f>IFERROR(VLOOKUP(Table1[[#This Row],[Affceted Equipment]],'Basic Data'!$A$2:$C$818,3,0),"")</f>
        <v>0.32799311797927916</v>
      </c>
      <c r="O222" s="118" t="s">
        <v>303</v>
      </c>
      <c r="P222" s="94" t="s">
        <v>325</v>
      </c>
      <c r="Q222" s="94"/>
      <c r="R222" s="94" t="s">
        <v>325</v>
      </c>
      <c r="S222" s="92">
        <v>0.42986111111111114</v>
      </c>
      <c r="T222" s="119"/>
      <c r="U222" s="119"/>
      <c r="V222" s="92">
        <v>0.5131944444444444</v>
      </c>
      <c r="W222" s="89">
        <f>IF(Table1[[#This Row],[Acknowledgemnet Time ]]="NA","",(Table1[[#This Row],[Acknowledgemnet Time ]]-Table1[[#This Row],[Fault Time]])*24)</f>
        <v>-10.316666666666666</v>
      </c>
      <c r="X222" s="89">
        <f>IF(Table1[[#This Row],[Work Start time on Fault]]="NA","",(Table1[[#This Row],[Work Start time on Fault]]-Table1[[#This Row],[Fault Time]])*24)</f>
        <v>-10.316666666666666</v>
      </c>
      <c r="Y222" s="52">
        <f>(Table1[[#This Row],[Work Completiuon time on fualt]]-Table1[[#This Row],[Fault Time]])*24</f>
        <v>1.9999999999999982</v>
      </c>
      <c r="Z222" s="52">
        <f>IFERROR((Table1[[#This Row],[Work Completiuon time on fualt]]-Table1[[#This Row],[Fault Time]])*24,"")</f>
        <v>1.9999999999999982</v>
      </c>
      <c r="AA222" s="2" t="s">
        <v>1208</v>
      </c>
      <c r="AB222" s="2" t="s">
        <v>1081</v>
      </c>
      <c r="AC222" s="90">
        <f>IFERROR(Table1[[#This Row],[Breakdown Time]]*Table1[[#This Row],[Plant Equivalent Weightage]],"")</f>
        <v>0.65598623595855776</v>
      </c>
      <c r="AD222" s="2">
        <v>0.31</v>
      </c>
      <c r="AE222" s="89">
        <f>_xlfn.XLOOKUP($F222,'Modelling New'!$D:$D,'Modelling New'!$O:$O)*Table1[[#This Row],[Lost PoA(Wh/m2)]]*Table1[[#This Row],[DC Capacity Affceted (kW)]]</f>
        <v>576.35978931746888</v>
      </c>
      <c r="AF222" s="2"/>
      <c r="AG222" s="2"/>
    </row>
    <row r="223" spans="1:33" x14ac:dyDescent="0.3">
      <c r="A223" s="67">
        <v>220</v>
      </c>
      <c r="B223" s="75">
        <f>YEAR(Table1[[#This Row],[Date]])+IF(MONTH(Table1[[#This Row],[Date]])&gt;=4,1,0)</f>
        <v>2026</v>
      </c>
      <c r="C223" s="74">
        <f>YEAR(Table1[[#This Row],[Date]])</f>
        <v>2025</v>
      </c>
      <c r="D223" s="74" t="s">
        <v>1082</v>
      </c>
      <c r="E223" s="74" t="s">
        <v>1082</v>
      </c>
      <c r="F223" s="189">
        <f>Table1[[#This Row],[Date]]-DAY(Table1[[#This Row],[Date]])+1</f>
        <v>45839</v>
      </c>
      <c r="G223">
        <f>DAY(EOMONTH(Table1[[#This Row],[Month Year]],0))</f>
        <v>31</v>
      </c>
      <c r="H223" s="104">
        <v>45864</v>
      </c>
      <c r="I223" s="76">
        <f>IFERROR(VLOOKUP(Table1[[#This Row],[Date]],Table3[[Date]:[Sunset Time (POA&lt;20 W/m2)]],3,0),"")</f>
        <v>0.26527777777777778</v>
      </c>
      <c r="J223" s="76">
        <f>IFERROR(VLOOKUP(Table1[[#This Row],[Date]],Table3[[Date]:[Sunset Time (POA&lt;20 W/m2)]],4,0),"")</f>
        <v>0.76180555555555551</v>
      </c>
      <c r="K223" s="77">
        <f>IFERROR((Table1[[#This Row],[Sunset Time (POA&lt;20 W/m2)]]-Table1[[#This Row],[Sunrise Time (POA&gt;20 W/m2)]])*24,"")</f>
        <v>11.916666666666666</v>
      </c>
      <c r="L223" s="108" t="s">
        <v>219</v>
      </c>
      <c r="M223" s="91">
        <f>VLOOKUP(Table1[[#This Row],[Affceted Equipment]],'Basic Data'!$A$2:$C$818,2,0)</f>
        <v>109.8</v>
      </c>
      <c r="N223" s="93">
        <f>IFERROR(VLOOKUP(Table1[[#This Row],[Affceted Equipment]],'Basic Data'!$A$2:$C$818,3,0),"")</f>
        <v>1.3689236868680572E-2</v>
      </c>
      <c r="O223" s="118" t="s">
        <v>303</v>
      </c>
      <c r="P223" s="94" t="s">
        <v>325</v>
      </c>
      <c r="Q223" s="94"/>
      <c r="R223" s="94" t="s">
        <v>325</v>
      </c>
      <c r="S223" s="92">
        <v>0.51388888888888884</v>
      </c>
      <c r="T223" s="119"/>
      <c r="U223" s="119"/>
      <c r="V223" s="92">
        <v>0.54166666666666663</v>
      </c>
      <c r="W223" s="89">
        <f>IF(Table1[[#This Row],[Acknowledgemnet Time ]]="NA","",(Table1[[#This Row],[Acknowledgemnet Time ]]-Table1[[#This Row],[Fault Time]])*24)</f>
        <v>-12.333333333333332</v>
      </c>
      <c r="X223" s="89">
        <f>IF(Table1[[#This Row],[Work Start time on Fault]]="NA","",(Table1[[#This Row],[Work Start time on Fault]]-Table1[[#This Row],[Fault Time]])*24)</f>
        <v>-12.333333333333332</v>
      </c>
      <c r="Y223" s="52">
        <f>(Table1[[#This Row],[Work Completiuon time on fualt]]-Table1[[#This Row],[Fault Time]])*24</f>
        <v>0.66666666666666696</v>
      </c>
      <c r="Z223" s="52">
        <f>IFERROR((Table1[[#This Row],[Work Completiuon time on fualt]]-Table1[[#This Row],[Fault Time]])*24,"")</f>
        <v>0.66666666666666696</v>
      </c>
      <c r="AA223" s="2" t="s">
        <v>1200</v>
      </c>
      <c r="AB223" s="2" t="s">
        <v>1081</v>
      </c>
      <c r="AC223" s="90">
        <f>IFERROR(Table1[[#This Row],[Breakdown Time]]*Table1[[#This Row],[Plant Equivalent Weightage]],"")</f>
        <v>9.1261579124537195E-3</v>
      </c>
      <c r="AD223" s="2">
        <v>0.1</v>
      </c>
      <c r="AE223" s="89">
        <f>_xlfn.XLOOKUP($F223,'Modelling New'!$D:$D,'Modelling New'!$O:$O)*Table1[[#This Row],[Lost PoA(Wh/m2)]]*Table1[[#This Row],[DC Capacity Affceted (kW)]]</f>
        <v>7.7597277986161552</v>
      </c>
      <c r="AF223" s="2"/>
      <c r="AG223" s="2"/>
    </row>
    <row r="224" spans="1:33" x14ac:dyDescent="0.3">
      <c r="A224" s="67">
        <v>221</v>
      </c>
      <c r="B224" s="75">
        <f>YEAR(Table1[[#This Row],[Date]])+IF(MONTH(Table1[[#This Row],[Date]])&gt;=4,1,0)</f>
        <v>2026</v>
      </c>
      <c r="C224" s="74">
        <f>YEAR(Table1[[#This Row],[Date]])</f>
        <v>2025</v>
      </c>
      <c r="D224" s="74" t="s">
        <v>1082</v>
      </c>
      <c r="E224" s="74" t="s">
        <v>1082</v>
      </c>
      <c r="F224" s="189">
        <f>Table1[[#This Row],[Date]]-DAY(Table1[[#This Row],[Date]])+1</f>
        <v>45839</v>
      </c>
      <c r="G224">
        <f>DAY(EOMONTH(Table1[[#This Row],[Month Year]],0))</f>
        <v>31</v>
      </c>
      <c r="H224" s="104">
        <v>45864</v>
      </c>
      <c r="I224" s="76">
        <f>IFERROR(VLOOKUP(Table1[[#This Row],[Date]],Table3[[Date]:[Sunset Time (POA&lt;20 W/m2)]],3,0),"")</f>
        <v>0.26527777777777778</v>
      </c>
      <c r="J224" s="76">
        <f>IFERROR(VLOOKUP(Table1[[#This Row],[Date]],Table3[[Date]:[Sunset Time (POA&lt;20 W/m2)]],4,0),"")</f>
        <v>0.76180555555555551</v>
      </c>
      <c r="K224" s="77">
        <f>IFERROR((Table1[[#This Row],[Sunset Time (POA&lt;20 W/m2)]]-Table1[[#This Row],[Sunrise Time (POA&gt;20 W/m2)]])*24,"")</f>
        <v>11.916666666666666</v>
      </c>
      <c r="L224" s="108" t="s">
        <v>221</v>
      </c>
      <c r="M224" s="91">
        <f>VLOOKUP(Table1[[#This Row],[Affceted Equipment]],'Basic Data'!$A$2:$C$818,2,0)</f>
        <v>109.8</v>
      </c>
      <c r="N224" s="93">
        <f>IFERROR(VLOOKUP(Table1[[#This Row],[Affceted Equipment]],'Basic Data'!$A$2:$C$818,3,0),"")</f>
        <v>1.3689236868680572E-2</v>
      </c>
      <c r="O224" s="118" t="s">
        <v>303</v>
      </c>
      <c r="P224" s="94" t="s">
        <v>325</v>
      </c>
      <c r="Q224" s="94"/>
      <c r="R224" s="94" t="s">
        <v>325</v>
      </c>
      <c r="S224" s="92">
        <v>0.51388888888888884</v>
      </c>
      <c r="T224" s="119"/>
      <c r="U224" s="119"/>
      <c r="V224" s="92">
        <v>0.54166666666666663</v>
      </c>
      <c r="W224" s="89">
        <f>IF(Table1[[#This Row],[Acknowledgemnet Time ]]="NA","",(Table1[[#This Row],[Acknowledgemnet Time ]]-Table1[[#This Row],[Fault Time]])*24)</f>
        <v>-12.333333333333332</v>
      </c>
      <c r="X224" s="89">
        <f>IF(Table1[[#This Row],[Work Start time on Fault]]="NA","",(Table1[[#This Row],[Work Start time on Fault]]-Table1[[#This Row],[Fault Time]])*24)</f>
        <v>-12.333333333333332</v>
      </c>
      <c r="Y224" s="52">
        <f>(Table1[[#This Row],[Work Completiuon time on fualt]]-Table1[[#This Row],[Fault Time]])*24</f>
        <v>0.66666666666666696</v>
      </c>
      <c r="Z224" s="52">
        <f>IFERROR((Table1[[#This Row],[Work Completiuon time on fualt]]-Table1[[#This Row],[Fault Time]])*24,"")</f>
        <v>0.66666666666666696</v>
      </c>
      <c r="AA224" s="2" t="s">
        <v>1200</v>
      </c>
      <c r="AB224" s="2" t="s">
        <v>1081</v>
      </c>
      <c r="AC224" s="90">
        <f>IFERROR(Table1[[#This Row],[Breakdown Time]]*Table1[[#This Row],[Plant Equivalent Weightage]],"")</f>
        <v>9.1261579124537195E-3</v>
      </c>
      <c r="AD224" s="2">
        <v>0.1</v>
      </c>
      <c r="AE224" s="89">
        <f>_xlfn.XLOOKUP($F224,'Modelling New'!$D:$D,'Modelling New'!$O:$O)*Table1[[#This Row],[Lost PoA(Wh/m2)]]*Table1[[#This Row],[DC Capacity Affceted (kW)]]</f>
        <v>7.7597277986161552</v>
      </c>
      <c r="AF224" s="2"/>
      <c r="AG224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8"/>
  <sheetViews>
    <sheetView topLeftCell="A2" zoomScale="85" zoomScaleNormal="85" workbookViewId="0">
      <pane xSplit="8" ySplit="1" topLeftCell="I52" activePane="bottomRight" state="frozen"/>
      <selection activeCell="A2" sqref="A2"/>
      <selection pane="topRight" activeCell="I2" sqref="I2"/>
      <selection pane="bottomLeft" activeCell="A3" sqref="A3"/>
      <selection pane="bottomRight" activeCell="A68" sqref="A68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  <row r="66" spans="1:30" x14ac:dyDescent="0.3">
      <c r="A66" s="2">
        <v>64</v>
      </c>
      <c r="B66" s="101">
        <f>YEAR(Table19[[#This Row],[Date]])+IF(MONTH(Table19[[#This Row],[Date]])&gt;=4,1,0)</f>
        <v>2026</v>
      </c>
      <c r="C66" s="101">
        <f>YEAR(Table19[[#This Row],[Date]])</f>
        <v>2025</v>
      </c>
      <c r="D66" s="99" t="s">
        <v>1082</v>
      </c>
      <c r="E66" s="99" t="s">
        <v>1082</v>
      </c>
      <c r="F66" s="116" t="str">
        <f>TEXT(Table19[[#This Row],[Date]],"mmm-yy")</f>
        <v>Jul-25</v>
      </c>
      <c r="G66" s="2">
        <f>DAY(EOMONTH(Table19[[#This Row],[Month Year]],0))</f>
        <v>31</v>
      </c>
      <c r="H66" s="100">
        <v>45862</v>
      </c>
      <c r="I66" s="58">
        <f>IFERROR(VLOOKUP(Table19[[#This Row],[Date]],Table3[[#All],[Date]:[Sunset Time (POA&lt;20 W/m2)]],3,0),"")</f>
        <v>0.27916666666666667</v>
      </c>
      <c r="J66" s="107">
        <f>IFERROR(VLOOKUP(Table19[[#This Row],[Date]],Table3[[#All],[Date]:[Sunset Time (POA&lt;20 W/m2)]],4,0),"")</f>
        <v>0.77708333333333335</v>
      </c>
      <c r="K66" s="52">
        <f>IFERROR((Table19[[#This Row],[Sunset Time (POA&lt;20 W/m2)]]-Table19[[#This Row],[Sunrise Time (POA&gt;20 W/m2)]])*24,"")</f>
        <v>11.95</v>
      </c>
      <c r="L66" s="101" t="s">
        <v>304</v>
      </c>
      <c r="M66" s="7">
        <f>VLOOKUP(Table19[[#This Row],[Affceted Equipment]],'Basic Data'!$A$2:$B$108,2,0)</f>
        <v>8020.9</v>
      </c>
      <c r="N66" s="223" t="s">
        <v>305</v>
      </c>
      <c r="O66" s="223" t="s">
        <v>20</v>
      </c>
      <c r="P66" s="117">
        <f>IFERROR(VLOOKUP(Table19[[#This Row],[Affceted Equipment]],'Basic Data'!$A$2:$C$118,3,0),"")</f>
        <v>1</v>
      </c>
      <c r="Q66" s="101"/>
      <c r="R66" s="224" t="s">
        <v>306</v>
      </c>
      <c r="S66" s="102">
        <v>0.25694444444444442</v>
      </c>
      <c r="T66" s="102"/>
      <c r="U66" s="102"/>
      <c r="V66" s="102">
        <v>0.31388888888888888</v>
      </c>
      <c r="W66" s="73"/>
      <c r="X66" s="52"/>
      <c r="Y66" s="52">
        <f>(Table19[[#This Row],[Work Completiuon time on fualt]]-Table19[[#This Row],[Fault Time]])*24</f>
        <v>1.3666666666666671</v>
      </c>
      <c r="Z66" s="103" t="s">
        <v>4</v>
      </c>
      <c r="AA66" s="101" t="s">
        <v>81</v>
      </c>
      <c r="AB66" s="52">
        <f>IFERROR(Table19[[#This Row],[Plant Equivalent Weightage]]*Table19[[#This Row],[Resolution Time]],"")</f>
        <v>1.3666666666666671</v>
      </c>
      <c r="AC66" s="87">
        <v>0.02</v>
      </c>
      <c r="AD66" s="52">
        <f>Table19[[#This Row],[Lost POA (Wh/m2)]]*Table19[[#This Row],[DC Capacity Affceted (kW)]]</f>
        <v>160.41800000000001</v>
      </c>
    </row>
    <row r="67" spans="1:30" x14ac:dyDescent="0.3">
      <c r="A67" s="2">
        <v>65</v>
      </c>
      <c r="B67" s="101">
        <f>YEAR(Table19[[#This Row],[Date]])+IF(MONTH(Table19[[#This Row],[Date]])&gt;=4,1,0)</f>
        <v>2026</v>
      </c>
      <c r="C67" s="101">
        <f>YEAR(Table19[[#This Row],[Date]])</f>
        <v>2025</v>
      </c>
      <c r="D67" s="99" t="s">
        <v>1082</v>
      </c>
      <c r="E67" s="99" t="s">
        <v>1082</v>
      </c>
      <c r="F67" s="116" t="str">
        <f>TEXT(Table19[[#This Row],[Date]],"mmm-yy")</f>
        <v>Jul-25</v>
      </c>
      <c r="G67" s="2">
        <f>DAY(EOMONTH(Table19[[#This Row],[Month Year]],0))</f>
        <v>31</v>
      </c>
      <c r="H67" s="100">
        <v>45862</v>
      </c>
      <c r="I67" s="105">
        <f>IFERROR(VLOOKUP(Table19[[#This Row],[Date]],Table3[[#All],[Date]:[Sunset Time (POA&lt;20 W/m2)]],3,0),"")</f>
        <v>0.27916666666666667</v>
      </c>
      <c r="J67" s="107">
        <f>IFERROR(VLOOKUP(Table19[[#This Row],[Date]],Table3[[#All],[Date]:[Sunset Time (POA&lt;20 W/m2)]],4,0),"")</f>
        <v>0.77708333333333335</v>
      </c>
      <c r="K67" s="52">
        <f>IFERROR((Table19[[#This Row],[Sunset Time (POA&lt;20 W/m2)]]-Table19[[#This Row],[Sunrise Time (POA&gt;20 W/m2)]])*24,"")</f>
        <v>11.95</v>
      </c>
      <c r="L67" s="101" t="s">
        <v>304</v>
      </c>
      <c r="M67" s="7">
        <f>VLOOKUP(Table19[[#This Row],[Affceted Equipment]],'Basic Data'!$A$2:$B$108,2,0)</f>
        <v>8020.9</v>
      </c>
      <c r="N67" s="223" t="s">
        <v>305</v>
      </c>
      <c r="O67" s="223" t="s">
        <v>20</v>
      </c>
      <c r="P67" s="117">
        <f>IFERROR(VLOOKUP(Table19[[#This Row],[Affceted Equipment]],'Basic Data'!$A$2:$C$118,3,0),"")</f>
        <v>1</v>
      </c>
      <c r="Q67" s="101"/>
      <c r="R67" s="224" t="s">
        <v>306</v>
      </c>
      <c r="S67" s="102">
        <v>0.42708333333333331</v>
      </c>
      <c r="T67" s="102"/>
      <c r="U67" s="102"/>
      <c r="V67" s="102">
        <v>0.43263888888888891</v>
      </c>
      <c r="W67" s="73"/>
      <c r="X67" s="52"/>
      <c r="Y67" s="52">
        <f>(Table19[[#This Row],[Work Completiuon time on fualt]]-Table19[[#This Row],[Fault Time]])*24</f>
        <v>0.13333333333333419</v>
      </c>
      <c r="Z67" s="103" t="s">
        <v>4</v>
      </c>
      <c r="AA67" s="101" t="s">
        <v>81</v>
      </c>
      <c r="AB67" s="52">
        <f>IFERROR(Table19[[#This Row],[Plant Equivalent Weightage]]*Table19[[#This Row],[Resolution Time]],"")</f>
        <v>0.13333333333333419</v>
      </c>
      <c r="AC67" s="87">
        <v>4.0000000000000001E-3</v>
      </c>
      <c r="AD67" s="52">
        <f>Table19[[#This Row],[Lost POA (Wh/m2)]]*Table19[[#This Row],[DC Capacity Affceted (kW)]]</f>
        <v>32.083599999999997</v>
      </c>
    </row>
    <row r="68" spans="1:30" x14ac:dyDescent="0.3">
      <c r="A68" s="2">
        <v>66</v>
      </c>
      <c r="B68" s="101">
        <f>YEAR(Table19[[#This Row],[Date]])+IF(MONTH(Table19[[#This Row],[Date]])&gt;=4,1,0)</f>
        <v>2026</v>
      </c>
      <c r="C68" s="101">
        <f>YEAR(Table19[[#This Row],[Date]])</f>
        <v>2025</v>
      </c>
      <c r="D68" s="99" t="s">
        <v>1082</v>
      </c>
      <c r="E68" s="99" t="s">
        <v>1082</v>
      </c>
      <c r="F68" s="116" t="str">
        <f>TEXT(Table19[[#This Row],[Date]],"mmm-yy")</f>
        <v>Jul-25</v>
      </c>
      <c r="G68" s="2">
        <f>DAY(EOMONTH(Table19[[#This Row],[Month Year]],0))</f>
        <v>31</v>
      </c>
      <c r="H68" s="100">
        <v>45862</v>
      </c>
      <c r="I68" s="105">
        <f>IFERROR(VLOOKUP(Table19[[#This Row],[Date]],Table3[[#All],[Date]:[Sunset Time (POA&lt;20 W/m2)]],3,0),"")</f>
        <v>0.27916666666666667</v>
      </c>
      <c r="J68" s="107">
        <f>IFERROR(VLOOKUP(Table19[[#This Row],[Date]],Table3[[#All],[Date]:[Sunset Time (POA&lt;20 W/m2)]],4,0),"")</f>
        <v>0.77708333333333335</v>
      </c>
      <c r="K68" s="52">
        <f>IFERROR((Table19[[#This Row],[Sunset Time (POA&lt;20 W/m2)]]-Table19[[#This Row],[Sunrise Time (POA&gt;20 W/m2)]])*24,"")</f>
        <v>11.95</v>
      </c>
      <c r="L68" s="101" t="s">
        <v>304</v>
      </c>
      <c r="M68" s="7">
        <f>VLOOKUP(Table19[[#This Row],[Affceted Equipment]],'Basic Data'!$A$2:$B$108,2,0)</f>
        <v>8020.9</v>
      </c>
      <c r="N68" s="223" t="s">
        <v>305</v>
      </c>
      <c r="O68" s="223" t="s">
        <v>20</v>
      </c>
      <c r="P68" s="117">
        <f>IFERROR(VLOOKUP(Table19[[#This Row],[Affceted Equipment]],'Basic Data'!$A$2:$C$118,3,0),"")</f>
        <v>1</v>
      </c>
      <c r="Q68" s="101"/>
      <c r="R68" s="224" t="s">
        <v>306</v>
      </c>
      <c r="S68" s="102">
        <v>0.52916666666666667</v>
      </c>
      <c r="T68" s="102"/>
      <c r="U68" s="102"/>
      <c r="V68" s="102">
        <v>0.53611111111111109</v>
      </c>
      <c r="W68" s="73"/>
      <c r="X68" s="52"/>
      <c r="Y68" s="52">
        <f>(Table19[[#This Row],[Work Completiuon time on fualt]]-Table19[[#This Row],[Fault Time]])*24</f>
        <v>0.16666666666666607</v>
      </c>
      <c r="Z68" s="103" t="s">
        <v>4</v>
      </c>
      <c r="AA68" s="101" t="s">
        <v>81</v>
      </c>
      <c r="AB68" s="52">
        <f>IFERROR(Table19[[#This Row],[Plant Equivalent Weightage]]*Table19[[#This Row],[Resolution Time]],"")</f>
        <v>0.16666666666666607</v>
      </c>
      <c r="AC68" s="87">
        <v>0.06</v>
      </c>
      <c r="AD68" s="52">
        <f>Table19[[#This Row],[Lost POA (Wh/m2)]]*Table19[[#This Row],[DC Capacity Affceted (kW)]]</f>
        <v>481.25399999999996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2025-07-27T16:45:19Z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