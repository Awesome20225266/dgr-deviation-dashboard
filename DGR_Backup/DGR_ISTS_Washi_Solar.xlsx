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453" documentId="13_ncr:1_{E94C9CE5-05F1-44AF-82A9-396A56E5D78A}" xr6:coauthVersionLast="47" xr6:coauthVersionMax="47" xr10:uidLastSave="{D4A6ADEA-DE2D-4B4D-9D16-A79D4BCF2FDD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<sst xmlns="http://schemas.openxmlformats.org/spreadsheetml/2006/main" count="4966" uniqueCount="663">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</sst>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12" workbookViewId="0">
      <selection activeCell="B30" sqref="B30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45863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1049.0060106726103</v>
      </c>
      <c r="I11" s="226">
        <f>_xlfn.XLOOKUP($B$4,'Modelling New'!$D:$D,'Modelling New'!$AN:$AN)/1000</f>
        <v>1049.0060106726103</v>
      </c>
    </row>
    <row r="12" spans="1:9">
      <c r="A12" s="315"/>
      <c r="B12" s="106" t="s">
        <v>15</v>
      </c>
      <c r="C12" s="107">
        <f>MonthlyKPI!E4</f>
        <v>2190.7882043628656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2190.7882043628656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1.519059823333331</v>
      </c>
      <c r="E14" s="105">
        <f t="shared" ref="E14:E25" si="0">(D14-C14)/(C14)</f>
        <v>-0.59193366964182625</v>
      </c>
      <c r="F14" s="268"/>
    </row>
    <row r="15" spans="1:9">
      <c r="A15" s="315"/>
      <c r="B15" s="106" t="s">
        <v>18</v>
      </c>
      <c r="C15" s="220">
        <f>MonthlyKPI!C4</f>
        <v>40.948387096774198</v>
      </c>
      <c r="D15" s="221">
        <f>MonthlyKPI!D4</f>
        <v>38.857258486666673</v>
      </c>
      <c r="E15" s="109">
        <f t="shared" si="0"/>
        <v>-5.1067423123785462E-2</v>
      </c>
      <c r="F15" s="269"/>
    </row>
    <row r="16" spans="1:9" ht="15" thickBot="1">
      <c r="A16" s="316"/>
      <c r="B16" s="111" t="s">
        <v>19</v>
      </c>
      <c r="C16" s="222">
        <f>AnnualKPI!C4</f>
        <v>40.948387096774198</v>
      </c>
      <c r="D16" s="223">
        <f>AnnualKPI!D4</f>
        <v>38.857258486666673</v>
      </c>
      <c r="E16" s="114">
        <f t="shared" si="0"/>
        <v>-5.1067423123785462E-2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4.1586716104078693E-2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9.4515263872906138E-2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45863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1622888.8408088954</v>
      </c>
      <c r="D39" s="107">
        <f>SUMIFS(RD[O2RE9],RD[Month Year],$B$32)</f>
        <v>931954.71</v>
      </c>
      <c r="E39" s="109">
        <f>D39/C39-1</f>
        <v>-0.42574334941172776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567899.36355397</v>
      </c>
      <c r="D40" s="107">
        <f>SUMIFS(RD[O2RE19],RD[Month Year],$B$32)</f>
        <v>255726.09999999998</v>
      </c>
      <c r="E40" s="109">
        <f t="shared" ref="E40" si="2">D40/C40-1</f>
        <v>-0.54969820990881035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45863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116</v>
      </c>
      <c r="C4" s="81">
        <f>_xlfn.XLOOKUP($C$1,'Modelling New'!$D:$D,'Modelling New'!$S:$S,0)</f>
        <v>40.948387096774198</v>
      </c>
      <c r="D4" s="82">
        <f>SUMIFS('Daily KPI'!$I:$I,'Daily KPI'!$A:$A,"&gt;="&amp;O2Summary!$B$7,'Daily KPI'!$A:$A,"&lt;="&amp;AnnualKPI!$B$1)</f>
        <v>38.857258486666673</v>
      </c>
      <c r="E4" s="80">
        <f>_xlfn.XLOOKUP($C$1,'Modelling New'!$D:$D,'Modelling New'!$V:$V,0)</f>
        <v>2190.7882043628656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9.4515263872906138E-2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45863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25</v>
      </c>
      <c r="C4" s="81">
        <f>_xlfn.XLOOKUP($A$4,'Modelling New'!$D:$D,'Modelling New'!$R:$R,0)</f>
        <v>40.948387096774198</v>
      </c>
      <c r="D4" s="82">
        <f>SUMIF('Daily KPI'!$D:$D,$A$4,'Daily KPI'!I:I)</f>
        <v>38.857258486666673</v>
      </c>
      <c r="E4" s="80">
        <f>_xlfn.XLOOKUP($A$4,'Modelling New'!$D:$D,'Modelling New'!$U:$U,0)</f>
        <v>2190.7882043628656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4.1586716104078693E-2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45857</v>
      </c>
      <c r="D6" s="25"/>
      <c r="F6" s="25"/>
    </row>
    <row r="7" spans="1:15" ht="29.25" customHeight="1">
      <c r="A7" s="142" t="s">
        <v>58</v>
      </c>
      <c r="B7" s="75">
        <f>B1</f>
        <v>45863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25.386028408333335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 t="e">
        <f>AVERAGEIFS('Daily KPI'!$R:$R,'Daily KPI'!$A:$A,"&gt;="&amp;B6,'Daily KPI'!$A:$A,"&lt;="&amp;B7)</f>
        <v>#DIV/0!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f>IFERROR(_xlfn.XLOOKUP($A24,Input_Raw!$A:$A,Input_Raw!$AN:$AN),"")</f>
        <v>1.7860710483333346</v>
      </c>
      <c r="H24" s="237"/>
      <c r="I24" s="237">
        <f>IFERROR(_xlfn.XLOOKUP($A24,Input_Raw!$A:$A,Input_Raw!$AM:$AM),"")</f>
        <v>1.8685395516666676</v>
      </c>
      <c r="J24" s="237"/>
      <c r="K24" s="237">
        <f>IFERROR(_xlfn.XLOOKUP($A24,Input_Raw!$A:$A,Input_Raw!AO:AO),"")</f>
        <v>24.353908282208593</v>
      </c>
      <c r="L24" s="237">
        <f>IFERROR(_xlfn.XLOOKUP($A24,Input_Raw!$A:$A,Input_Raw!AP:AP),"")</f>
        <v>27.326814263803733</v>
      </c>
      <c r="M24" s="237">
        <f>IFERROR(_xlfn.XLOOKUP($A24,Input_Raw!$A:$A,Input_Raw!AS:AS),"")</f>
        <v>4.0177453987730072</v>
      </c>
      <c r="N24" s="237">
        <f>IFERROR(_xlfn.XLOOKUP($A24,Input_Raw!$A:$A,Input_Raw!AT:AT),"")</f>
        <v>8.6199999999999992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>
        <f t="shared" si="6"/>
        <v>0</v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59127.599999999991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69933.734044840705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f>IFERROR(_xlfn.XLOOKUP($A25,Input_Raw!$A:$A,Input_Raw!$AN:$AN),"")</f>
        <v>2.3845007633333335</v>
      </c>
      <c r="H25" s="237"/>
      <c r="I25" s="237">
        <f>IFERROR(_xlfn.XLOOKUP($A25,Input_Raw!$A:$A,Input_Raw!$AM:$AM),"")</f>
        <v>2.4726846733333305</v>
      </c>
      <c r="J25" s="237"/>
      <c r="K25" s="237">
        <f>IFERROR(_xlfn.XLOOKUP($A25,Input_Raw!$A:$A,Input_Raw!AO:AO),"")</f>
        <v>24.355084435261698</v>
      </c>
      <c r="L25" s="237">
        <f>IFERROR(_xlfn.XLOOKUP($A25,Input_Raw!$A:$A,Input_Raw!AP:AP),"")</f>
        <v>28.257341735537189</v>
      </c>
      <c r="M25" s="237">
        <f>IFERROR(_xlfn.XLOOKUP($A25,Input_Raw!$A:$A,Input_Raw!AS:AS),"")</f>
        <v>3.9473278236914617</v>
      </c>
      <c r="N25" s="237">
        <f>IFERROR(_xlfn.XLOOKUP($A25,Input_Raw!$A:$A,Input_Raw!AT:AT),"")</f>
        <v>8.2100000000000009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>
        <f t="shared" si="6"/>
        <v>0</v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72457.099999999991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69933.734044840705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f>IFERROR(_xlfn.XLOOKUP($A26,Input_Raw!$A:$A,Input_Raw!$AN:$AN),"")</f>
        <v>1.4314601416666688</v>
      </c>
      <c r="H26" s="237"/>
      <c r="I26" s="237">
        <f>IFERROR(_xlfn.XLOOKUP($A26,Input_Raw!$A:$A,Input_Raw!$AM:$AM),"")</f>
        <v>1.519059823333331</v>
      </c>
      <c r="J26" s="237"/>
      <c r="K26" s="237">
        <f>IFERROR(_xlfn.XLOOKUP($A26,Input_Raw!$A:$A,Input_Raw!AO:AO),"")</f>
        <v>24.014203571428567</v>
      </c>
      <c r="L26" s="237">
        <f>IFERROR(_xlfn.XLOOKUP($A26,Input_Raw!$A:$A,Input_Raw!AP:AP),"")</f>
        <v>25.285023857142832</v>
      </c>
      <c r="M26" s="237">
        <f>IFERROR(_xlfn.XLOOKUP($A26,Input_Raw!$A:$A,Input_Raw!AS:AS),"")</f>
        <v>4.1584285714285674</v>
      </c>
      <c r="N26" s="237">
        <f>IFERROR(_xlfn.XLOOKUP($A26,Input_Raw!$A:$A,Input_Raw!AT:AT),"")</f>
        <v>7.67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>
        <f t="shared" si="6"/>
        <v>0</v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44058.700000000012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69933.734044840705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0</v>
      </c>
      <c r="G27" s="237">
        <f>IFERROR(_xlfn.XLOOKUP($A27,Input_Raw!$A:$A,Input_Raw!$AN:$AN),"")</f>
        <v>0</v>
      </c>
      <c r="H27" s="237"/>
      <c r="I27" s="237">
        <f>IFERROR(_xlfn.XLOOKUP($A27,Input_Raw!$A:$A,Input_Raw!$AM:$AM),"")</f>
        <v>0</v>
      </c>
      <c r="J27" s="237"/>
      <c r="K27" s="237">
        <f>IFERROR(_xlfn.XLOOKUP($A27,Input_Raw!$A:$A,Input_Raw!AO:AO),"")</f>
        <v>0</v>
      </c>
      <c r="L27" s="237">
        <f>IFERROR(_xlfn.XLOOKUP($A27,Input_Raw!$A:$A,Input_Raw!AP:AP),"")</f>
        <v>0</v>
      </c>
      <c r="M27" s="237">
        <f>IFERROR(_xlfn.XLOOKUP($A27,Input_Raw!$A:$A,Input_Raw!AS:AS),"")</f>
        <v>0</v>
      </c>
      <c r="N27" s="237">
        <f>IFERROR(_xlfn.XLOOKUP($A27,Input_Raw!$A:$A,Input_Raw!AT:AT),"")</f>
        <v>0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 t="str">
        <f t="shared" si="6"/>
        <v/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0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0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0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0</v>
      </c>
      <c r="G28" s="237">
        <f>IFERROR(_xlfn.XLOOKUP($A28,Input_Raw!$A:$A,Input_Raw!$AN:$AN),"")</f>
        <v>0</v>
      </c>
      <c r="H28" s="237"/>
      <c r="I28" s="237">
        <f>IFERROR(_xlfn.XLOOKUP($A28,Input_Raw!$A:$A,Input_Raw!$AM:$AM),"")</f>
        <v>0</v>
      </c>
      <c r="J28" s="237"/>
      <c r="K28" s="237">
        <f>IFERROR(_xlfn.XLOOKUP($A28,Input_Raw!$A:$A,Input_Raw!AO:AO),"")</f>
        <v>0</v>
      </c>
      <c r="L28" s="237">
        <f>IFERROR(_xlfn.XLOOKUP($A28,Input_Raw!$A:$A,Input_Raw!AP:AP),"")</f>
        <v>0</v>
      </c>
      <c r="M28" s="237">
        <f>IFERROR(_xlfn.XLOOKUP($A28,Input_Raw!$A:$A,Input_Raw!AS:AS),"")</f>
        <v>0</v>
      </c>
      <c r="N28" s="237">
        <f>IFERROR(_xlfn.XLOOKUP($A28,Input_Raw!$A:$A,Input_Raw!AT:AT),"")</f>
        <v>0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 t="str">
        <f t="shared" si="6"/>
        <v/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0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0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0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BK17" activePane="bottomRight" state="frozen"/>
      <selection pane="topRight" activeCell="F1" sqref="F1"/>
      <selection pane="bottomLeft" activeCell="A5" sqref="A5"/>
      <selection pane="bottomRight" activeCell="BP29" sqref="BP29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/>
      <c r="G30" s="121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66"/>
      <c r="AF30" s="166"/>
      <c r="AG30" s="166"/>
      <c r="AH30" s="166"/>
      <c r="AI30" s="166"/>
      <c r="AJ30" s="166"/>
      <c r="AK30" s="166"/>
      <c r="AL30" s="166"/>
      <c r="AM30" s="58"/>
      <c r="AN30" s="58"/>
      <c r="AO30" s="58"/>
      <c r="AP30" s="58"/>
      <c r="AQ30" s="58"/>
      <c r="AR30" s="58"/>
      <c r="AS30" s="58"/>
      <c r="AT30" s="58"/>
      <c r="AU30" s="60">
        <f>SUM(RD[[#This Row],[IS2Inv1M1]:[IS4Inv1M3]])</f>
        <v>0</v>
      </c>
      <c r="AV30" s="60">
        <f>SUM(RD[[#This Row],[IS5Inv1M1]:[IS5Inv2M3]])</f>
        <v>0</v>
      </c>
      <c r="AW30" s="60">
        <f>SUM(RD[[#This Row],[O2RE9]:[O2RE19]])</f>
        <v>0</v>
      </c>
      <c r="AX30" s="152"/>
      <c r="AY30" s="152"/>
      <c r="AZ30" s="152"/>
      <c r="BA30" s="152"/>
      <c r="BB30" s="152"/>
      <c r="BC30" s="152"/>
      <c r="BD30" s="153" t="str">
        <f>IF((RD[[#This Row],[33 kV_F1_Ex (O2RE9)]]-AX29)*300&lt;=0,"",(RD[[#This Row],[33 kV_F1_Ex (O2RE9)]]-AX29)*300)</f>
        <v/>
      </c>
      <c r="BE30" s="153">
        <f>IF((RD[[#This Row],[33kV_OG1_Ex (O2RE9)]]-AY29)*1000&lt;=0,0,(RD[[#This Row],[33kV_OG1_Ex (O2RE9)]]-AY29)*1000)</f>
        <v>0</v>
      </c>
      <c r="BF30" s="153"/>
      <c r="BG30" s="153" t="str">
        <f>IF((RD[[#This Row],[33 kV_F2_Ex (O2RE19)]]-BA29)*90&lt;=0,"",(RD[[#This Row],[33 kV_F2_Ex (O2RE19)]]-BA29)*90)</f>
        <v/>
      </c>
      <c r="BH30" s="153">
        <f>IF((RD[[#This Row],[33kV_OG2_Ex (O2RE19)]]-BB29)*1000&lt;=0,0,(RD[[#This Row],[33kV_OG2_Ex (O2RE19)]]-BB29)*1000)</f>
        <v>0</v>
      </c>
      <c r="BI30" s="153" t="str">
        <f>IF((RD[[#This Row],[33kV_Aux2_Im (O2RE19)]]-BC29)*90&lt;0,"",(RD[[#This Row],[33kV_Aux2_Im (O2RE19)]]-BC29)*90)</f>
        <v/>
      </c>
      <c r="BJ30" s="153" t="str">
        <f>IF((RD[[#This Row],[33kV_Aux1_Im (O2RE9)]]-AZ29)*90&lt;0,"",(RD[[#This Row],[33kV_Aux1_Im (O2RE9)]]-AZ29)*90)</f>
        <v/>
      </c>
      <c r="BK30" s="153">
        <f>SUM(RD[[#This Row],[33kV_OG1_O2RE9_Energy (KWh)]],RD[[#This Row],[33kV_OG2_O2RE19_Energy (KWh)]])</f>
        <v>0</v>
      </c>
      <c r="BL30" s="62" t="str">
        <f>IFERROR(RD[[#This Row],[33 kV Total Export (KWH)]]/RD[[#This Row],[Inv Total Gneration (MWh)]]-1,"")</f>
        <v/>
      </c>
      <c r="BM30" s="63">
        <f>IFERROR((RD[[#This Row],[Sunset Time (POA&lt;20 W/m2)]]-RD[[#This Row],[Sunrise Time (POA&gt;20 W/m2)]])*24,0)</f>
        <v>0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/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/>
      <c r="G31" s="121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66"/>
      <c r="AF31" s="166"/>
      <c r="AG31" s="166"/>
      <c r="AH31" s="166"/>
      <c r="AI31" s="166"/>
      <c r="AJ31" s="166"/>
      <c r="AK31" s="166"/>
      <c r="AL31" s="166"/>
      <c r="AM31" s="58"/>
      <c r="AN31" s="58"/>
      <c r="AO31" s="58"/>
      <c r="AP31" s="58"/>
      <c r="AQ31" s="58"/>
      <c r="AR31" s="58"/>
      <c r="AS31" s="58"/>
      <c r="AT31" s="58"/>
      <c r="AU31" s="60">
        <f>SUM(RD[[#This Row],[IS2Inv1M1]:[IS4Inv1M3]])</f>
        <v>0</v>
      </c>
      <c r="AV31" s="60">
        <f>SUM(RD[[#This Row],[IS5Inv1M1]:[IS5Inv2M3]])</f>
        <v>0</v>
      </c>
      <c r="AW31" s="60">
        <f>SUM(RD[[#This Row],[O2RE9]:[O2RE19]])</f>
        <v>0</v>
      </c>
      <c r="AX31" s="152"/>
      <c r="AY31" s="152"/>
      <c r="AZ31" s="152"/>
      <c r="BA31" s="152"/>
      <c r="BB31" s="152"/>
      <c r="BC31" s="152"/>
      <c r="BD31" s="153" t="str">
        <f>IF((RD[[#This Row],[33 kV_F1_Ex (O2RE9)]]-AX30)*300&lt;=0,"",(RD[[#This Row],[33 kV_F1_Ex (O2RE9)]]-AX30)*300)</f>
        <v/>
      </c>
      <c r="BE31" s="153">
        <f>IF((RD[[#This Row],[33kV_OG1_Ex (O2RE9)]]-AY30)*1000&lt;=0,0,(RD[[#This Row],[33kV_OG1_Ex (O2RE9)]]-AY30)*1000)</f>
        <v>0</v>
      </c>
      <c r="BF31" s="153"/>
      <c r="BG31" s="153" t="str">
        <f>IF((RD[[#This Row],[33 kV_F2_Ex (O2RE19)]]-BA30)*90&lt;=0,"",(RD[[#This Row],[33 kV_F2_Ex (O2RE19)]]-BA30)*90)</f>
        <v/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0</v>
      </c>
      <c r="BJ31" s="153">
        <f>IF((RD[[#This Row],[33kV_Aux1_Im (O2RE9)]]-AZ30)*90&lt;0,"",(RD[[#This Row],[33kV_Aux1_Im (O2RE9)]]-AZ30)*90)</f>
        <v>0</v>
      </c>
      <c r="BK31" s="153">
        <f>SUM(RD[[#This Row],[33kV_OG1_O2RE9_Energy (KWh)]],RD[[#This Row],[33kV_OG2_O2RE19_Energy (KWh)]])</f>
        <v>0</v>
      </c>
      <c r="BL31" s="62" t="str">
        <f>IFERROR(RD[[#This Row],[33 kV Total Export (KWH)]]/RD[[#This Row],[Inv Total Gneration (MWh)]]-1,"")</f>
        <v/>
      </c>
      <c r="BM31" s="63">
        <f>IFERROR((RD[[#This Row],[Sunset Time (POA&lt;20 W/m2)]]-RD[[#This Row],[Sunrise Time (POA&gt;20 W/m2)]])*24,0)</f>
        <v>0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/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0</v>
      </c>
      <c r="BJ32" s="153">
        <f>IF((RD[[#This Row],[33kV_Aux1_Im (O2RE9)]]-AZ31)*90&lt;0,"",(RD[[#This Row],[33kV_Aux1_Im (O2RE9)]]-AZ31)*90)</f>
        <v>0</v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11</v>
      </c>
      <c r="R5" s="263">
        <f>I5/G5*Q5</f>
        <v>40.948387096774198</v>
      </c>
      <c r="S5" s="256">
        <f>SUMIF($F$2:F5,F5,$R$2:R5)</f>
        <v>40.948387096774198</v>
      </c>
      <c r="T5" s="262">
        <f>M5/G5</f>
        <v>199.16256403298777</v>
      </c>
      <c r="U5" s="263">
        <f>M5/G5*Q5</f>
        <v>2190.7882043628656</v>
      </c>
      <c r="V5" s="256">
        <f>SUMIF($F$2:F5,F5,$U$2:U5)</f>
        <v>2190.7882043628656</v>
      </c>
      <c r="W5" s="264">
        <f>IFERROR(T5/(24*N5),"")</f>
        <v>9.4515263872906125E-2</v>
      </c>
      <c r="X5" s="264">
        <f t="shared" si="8"/>
        <v>9.4515263872906138E-2</v>
      </c>
      <c r="Y5" s="264">
        <f t="shared" si="9"/>
        <v>9.4515263872906138E-2</v>
      </c>
      <c r="Z5" s="262">
        <f>IFERROR(AVERAGEIF('Daily KPI'!D:D,Mod[[#This Row],[Month]],'Daily KPI'!AB:AB),"")</f>
        <v>14.917741935483866</v>
      </c>
      <c r="AA5" s="258">
        <f>IFERROR(AVERAGEIF($F$2:F5,F5,$Z$2:Z5),"")</f>
        <v>14.917741935483866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1049006.0106726103</v>
      </c>
      <c r="AN5" s="259">
        <f>SUMIF($F$2:F5,F5,$AM$2:AM5)</f>
        <v>1049006.0106726103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40.948387096774198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2190.7882043628656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9.4515263872906138E-2</v>
      </c>
      <c r="Z6" s="255">
        <f>IFERROR(AVERAGEIF('Daily KPI'!D:D,Mod[[#This Row],[Month]],'Daily KPI'!AB:AB),"")</f>
        <v>0</v>
      </c>
      <c r="AA6" s="258">
        <f>IFERROR(AVERAGEIF($F$2:F6,F6,$Z$2:Z6),"")</f>
        <v>7.4588709677419329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1049006.0106726103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40.948387096774198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2190.7882043628656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9.4515263872906138E-2</v>
      </c>
      <c r="Z7" s="255">
        <f>IFERROR(AVERAGEIF('Daily KPI'!D:D,Mod[[#This Row],[Month]],'Daily KPI'!AB:AB),"")</f>
        <v>0</v>
      </c>
      <c r="AA7" s="258">
        <f>IFERROR(AVERAGEIF($F$2:F7,F7,$Z$2:Z7),"")</f>
        <v>4.9725806451612886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1049006.0106726103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40.948387096774198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2190.7882043628656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9.4515263872906138E-2</v>
      </c>
      <c r="Z8" s="262">
        <f>IFERROR(AVERAGEIF('Daily KPI'!D:D,Mod[[#This Row],[Month]],'Daily KPI'!AB:AB),"")</f>
        <v>0</v>
      </c>
      <c r="AA8" s="258">
        <f>IFERROR(AVERAGEIF($F$2:F8,F8,$Z$2:Z8),"")</f>
        <v>3.7294354838709665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1049006.0106726103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40.948387096774198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2190.7882043628656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9.4515263872906138E-2</v>
      </c>
      <c r="Z9" s="255">
        <f>IFERROR(AVERAGEIF('Daily KPI'!D:D,Mod[[#This Row],[Month]],'Daily KPI'!AB:AB),"")</f>
        <v>0</v>
      </c>
      <c r="AA9" s="258">
        <f>IFERROR(AVERAGEIF($F$2:F9,F9,$Z$2:Z9),"")</f>
        <v>2.9835483870967732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1049006.0106726103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40.948387096774198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2190.7882043628656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9.4515263872906138E-2</v>
      </c>
      <c r="Z10" s="262">
        <f>IFERROR(AVERAGEIF('Daily KPI'!D:D,Mod[[#This Row],[Month]],'Daily KPI'!AB:AB),"")</f>
        <v>0</v>
      </c>
      <c r="AA10" s="258">
        <f>IFERROR(AVERAGEIF($F$2:F10,F10,$Z$2:Z10),"")</f>
        <v>2.4862903225806443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1049006.0106726103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40.948387096774198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2190.7882043628656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9.4515263872906138E-2</v>
      </c>
      <c r="Z11" s="255">
        <f>IFERROR(AVERAGEIF('Daily KPI'!D:D,Mod[[#This Row],[Month]],'Daily KPI'!AB:AB),"")</f>
        <v>0</v>
      </c>
      <c r="AA11" s="258">
        <f>IFERROR(AVERAGEIF($F$2:F11,F11,$Z$2:Z11),"")</f>
        <v>2.1311059907834093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1049006.0106726103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40.948387096774198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2190.7882043628656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9.4515263872906138E-2</v>
      </c>
      <c r="Z12" s="262">
        <f>IFERROR(AVERAGEIF('Daily KPI'!D:D,Mod[[#This Row],[Month]],'Daily KPI'!AB:AB),"")</f>
        <v>0</v>
      </c>
      <c r="AA12" s="258">
        <f>IFERROR(AVERAGEIF($F$2:F12,F12,$Z$2:Z12),"")</f>
        <v>1.8647177419354832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1049006.0106726103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40.948387096774198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2190.7882043628656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9.4515263872906138E-2</v>
      </c>
      <c r="Z13" s="255">
        <f>IFERROR(AVERAGEIF('Daily KPI'!D:D,Mod[[#This Row],[Month]],'Daily KPI'!AB:AB),"")</f>
        <v>0</v>
      </c>
      <c r="AA13" s="258">
        <f>IFERROR(AVERAGEIF($F$2:F13,F13,$Z$2:Z13),"")</f>
        <v>1.6575268817204296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1049006.0106726103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Y2" activePane="bottomRight" state="frozen"/>
      <selection pane="topRight" activeCell="C1" sqref="C1"/>
      <selection pane="bottomLeft" activeCell="A4" sqref="A4"/>
      <selection pane="bottomRight" activeCell="AD6" sqref="AD6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/>
      <c r="C11" s="32">
        <f>YEAR(PA[[#This Row],[Date]])+IF(MONTH(PA[[#This Row],[Date]])&gt;=4,1,0)</f>
        <v>1900</v>
      </c>
      <c r="D11" s="32">
        <f>YEAR(PA[[#This Row],[Date]])</f>
        <v>1900</v>
      </c>
      <c r="E11" s="33" t="s">
        <v>155</v>
      </c>
      <c r="F11" s="33" t="s">
        <v>155</v>
      </c>
      <c r="G11" s="194">
        <f>PA[[#This Row],[Date]]-DAY(PA[[#This Row],[Date]])+1</f>
        <v>1</v>
      </c>
      <c r="H11" s="32">
        <f>DAY(EOMONTH(PA[[#This Row],[Month Year]],0))</f>
        <v>31</v>
      </c>
      <c r="I11" s="121"/>
      <c r="J11" s="121"/>
      <c r="K11" s="35">
        <f>IFERROR((PA[[#This Row],[Sunset Time (POA&lt;20 W/m2)]]-PA[[#This Row],[Sunrise Time (POA&gt;20 W/m2)]])*24,"")</f>
        <v>0</v>
      </c>
      <c r="L11" s="33"/>
      <c r="M11" s="33"/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/>
      <c r="X11" s="40"/>
      <c r="Y11" s="40"/>
      <c r="Z11" s="46"/>
      <c r="AA11" s="46"/>
      <c r="AB11" s="46"/>
      <c r="AC11" s="46"/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</v>
      </c>
      <c r="AG11" s="44">
        <f>IFERROR((PA[[#This Row],[Work Completion time on fault]]-PA[[#This Row],[Fault Time]])*24,"")</f>
        <v>0</v>
      </c>
      <c r="AH11" s="36"/>
      <c r="AI11" s="33"/>
      <c r="AJ11" s="35" t="str">
        <f>IFERROR(PA[[#This Row],[Breakdown Time]]*PA[[#This Row],[Plant Equivalent Weightage]],"")</f>
        <v/>
      </c>
      <c r="AK11" s="36"/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/>
      <c r="C12" s="32">
        <f>YEAR(PA[[#This Row],[Date]])+IF(MONTH(PA[[#This Row],[Date]])&gt;=4,1,0)</f>
        <v>1900</v>
      </c>
      <c r="D12" s="32">
        <f>YEAR(PA[[#This Row],[Date]])</f>
        <v>1900</v>
      </c>
      <c r="E12" s="33" t="s">
        <v>155</v>
      </c>
      <c r="F12" s="33" t="s">
        <v>155</v>
      </c>
      <c r="G12" s="194">
        <f>PA[[#This Row],[Date]]-DAY(PA[[#This Row],[Date]])+1</f>
        <v>1</v>
      </c>
      <c r="H12" s="32">
        <f>DAY(EOMONTH(PA[[#This Row],[Month Year]],0))</f>
        <v>31</v>
      </c>
      <c r="I12" s="121"/>
      <c r="J12" s="121"/>
      <c r="K12" s="35">
        <f>IFERROR((PA[[#This Row],[Sunset Time (POA&lt;20 W/m2)]]-PA[[#This Row],[Sunrise Time (POA&gt;20 W/m2)]])*24,"")</f>
        <v>0</v>
      </c>
      <c r="L12" s="33"/>
      <c r="M12" s="33"/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/>
      <c r="X12" s="40"/>
      <c r="Y12" s="40"/>
      <c r="Z12" s="46"/>
      <c r="AA12" s="46"/>
      <c r="AB12" s="46"/>
      <c r="AC12" s="46"/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</v>
      </c>
      <c r="AG12" s="44">
        <f>IFERROR((PA[[#This Row],[Work Completion time on fault]]-PA[[#This Row],[Fault Time]])*24,"")</f>
        <v>0</v>
      </c>
      <c r="AH12" s="36"/>
      <c r="AI12" s="33"/>
      <c r="AJ12" s="35" t="str">
        <f>IFERROR(PA[[#This Row],[Breakdown Time]]*PA[[#This Row],[Plant Equivalent Weightage]],"")</f>
        <v/>
      </c>
      <c r="AK12" s="36"/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/>
      <c r="C13" s="32">
        <f>YEAR(PA[[#This Row],[Date]])+IF(MONTH(PA[[#This Row],[Date]])&gt;=4,1,0)</f>
        <v>1900</v>
      </c>
      <c r="D13" s="32">
        <f>YEAR(PA[[#This Row],[Date]])</f>
        <v>1900</v>
      </c>
      <c r="E13" s="33" t="s">
        <v>155</v>
      </c>
      <c r="F13" s="33" t="s">
        <v>155</v>
      </c>
      <c r="G13" s="194">
        <f>PA[[#This Row],[Date]]-DAY(PA[[#This Row],[Date]])+1</f>
        <v>1</v>
      </c>
      <c r="H13" s="32">
        <f>DAY(EOMONTH(PA[[#This Row],[Month Year]],0))</f>
        <v>31</v>
      </c>
      <c r="I13" s="121"/>
      <c r="J13" s="121"/>
      <c r="K13" s="35">
        <f>IFERROR((PA[[#This Row],[Sunset Time (POA&lt;20 W/m2)]]-PA[[#This Row],[Sunrise Time (POA&gt;20 W/m2)]])*24,"")</f>
        <v>0</v>
      </c>
      <c r="L13" s="33"/>
      <c r="M13" s="33"/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/>
      <c r="X13" s="40"/>
      <c r="Y13" s="40"/>
      <c r="Z13" s="46"/>
      <c r="AA13" s="46"/>
      <c r="AB13" s="46"/>
      <c r="AC13" s="46"/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0</v>
      </c>
      <c r="AG13" s="44">
        <f>IFERROR((PA[[#This Row],[Work Completion time on fault]]-PA[[#This Row],[Fault Time]])*24,"")</f>
        <v>0</v>
      </c>
      <c r="AH13" s="36"/>
      <c r="AI13" s="33"/>
      <c r="AJ13" s="35" t="str">
        <f>IFERROR(PA[[#This Row],[Breakdown Time]]*PA[[#This Row],[Plant Equivalent Weightage]],"")</f>
        <v/>
      </c>
      <c r="AK13" s="36"/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/>
      <c r="C14" s="32">
        <f>YEAR(PA[[#This Row],[Date]])+IF(MONTH(PA[[#This Row],[Date]])&gt;=4,1,0)</f>
        <v>1900</v>
      </c>
      <c r="D14" s="32">
        <f>YEAR(PA[[#This Row],[Date]])</f>
        <v>1900</v>
      </c>
      <c r="E14" s="33" t="s">
        <v>155</v>
      </c>
      <c r="F14" s="33" t="s">
        <v>155</v>
      </c>
      <c r="G14" s="194">
        <f>PA[[#This Row],[Date]]-DAY(PA[[#This Row],[Date]])+1</f>
        <v>1</v>
      </c>
      <c r="H14" s="32">
        <f>DAY(EOMONTH(PA[[#This Row],[Month Year]],0))</f>
        <v>31</v>
      </c>
      <c r="I14" s="121"/>
      <c r="J14" s="121"/>
      <c r="K14" s="35">
        <f>IFERROR((PA[[#This Row],[Sunset Time (POA&lt;20 W/m2)]]-PA[[#This Row],[Sunrise Time (POA&gt;20 W/m2)]])*24,"")</f>
        <v>0</v>
      </c>
      <c r="L14" s="33"/>
      <c r="M14" s="33"/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/>
      <c r="X14" s="40"/>
      <c r="Y14" s="40"/>
      <c r="Z14" s="46"/>
      <c r="AA14" s="46"/>
      <c r="AB14" s="46"/>
      <c r="AC14" s="46"/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</v>
      </c>
      <c r="AG14" s="44">
        <f>IFERROR((PA[[#This Row],[Work Completion time on fault]]-PA[[#This Row],[Fault Time]])*24,"")</f>
        <v>0</v>
      </c>
      <c r="AH14" s="36"/>
      <c r="AI14" s="33"/>
      <c r="AJ14" s="35" t="str">
        <f>IFERROR(PA[[#This Row],[Breakdown Time]]*PA[[#This Row],[Plant Equivalent Weightage]],"")</f>
        <v/>
      </c>
      <c r="AK14" s="36"/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/>
      <c r="C15" s="32">
        <f>YEAR(PA[[#This Row],[Date]])+IF(MONTH(PA[[#This Row],[Date]])&gt;=4,1,0)</f>
        <v>1900</v>
      </c>
      <c r="D15" s="32">
        <f>YEAR(PA[[#This Row],[Date]])</f>
        <v>1900</v>
      </c>
      <c r="E15" s="33" t="s">
        <v>155</v>
      </c>
      <c r="F15" s="33" t="s">
        <v>155</v>
      </c>
      <c r="G15" s="194">
        <f>PA[[#This Row],[Date]]-DAY(PA[[#This Row],[Date]])+1</f>
        <v>1</v>
      </c>
      <c r="H15" s="32">
        <f>DAY(EOMONTH(PA[[#This Row],[Month Year]],0))</f>
        <v>31</v>
      </c>
      <c r="I15" s="121"/>
      <c r="J15" s="121"/>
      <c r="K15" s="35">
        <f>IFERROR((PA[[#This Row],[Sunset Time (POA&lt;20 W/m2)]]-PA[[#This Row],[Sunrise Time (POA&gt;20 W/m2)]])*24,"")</f>
        <v>0</v>
      </c>
      <c r="L15" s="33"/>
      <c r="M15" s="33"/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/>
      <c r="X15" s="40"/>
      <c r="Y15" s="40"/>
      <c r="Z15" s="46"/>
      <c r="AA15" s="46"/>
      <c r="AB15" s="46"/>
      <c r="AC15" s="46"/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</v>
      </c>
      <c r="AG15" s="44">
        <f>IFERROR((PA[[#This Row],[Work Completion time on fault]]-PA[[#This Row],[Fault Time]])*24,"")</f>
        <v>0</v>
      </c>
      <c r="AH15" s="36"/>
      <c r="AI15" s="33"/>
      <c r="AJ15" s="35" t="str">
        <f>IFERROR(PA[[#This Row],[Breakdown Time]]*PA[[#This Row],[Plant Equivalent Weightage]],"")</f>
        <v/>
      </c>
      <c r="AK15" s="36"/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/>
      <c r="C16" s="32">
        <f>YEAR(PA[[#This Row],[Date]])+IF(MONTH(PA[[#This Row],[Date]])&gt;=4,1,0)</f>
        <v>1900</v>
      </c>
      <c r="D16" s="32">
        <f>YEAR(PA[[#This Row],[Date]])</f>
        <v>1900</v>
      </c>
      <c r="E16" s="33" t="s">
        <v>155</v>
      </c>
      <c r="F16" s="33" t="s">
        <v>155</v>
      </c>
      <c r="G16" s="194">
        <f>PA[[#This Row],[Date]]-DAY(PA[[#This Row],[Date]])+1</f>
        <v>1</v>
      </c>
      <c r="H16" s="32">
        <f>DAY(EOMONTH(PA[[#This Row],[Month Year]],0))</f>
        <v>31</v>
      </c>
      <c r="I16" s="121"/>
      <c r="J16" s="121"/>
      <c r="K16" s="35">
        <f>IFERROR((PA[[#This Row],[Sunset Time (POA&lt;20 W/m2)]]-PA[[#This Row],[Sunrise Time (POA&gt;20 W/m2)]])*24,"")</f>
        <v>0</v>
      </c>
      <c r="L16" s="33"/>
      <c r="M16" s="33"/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/>
      <c r="X16" s="40"/>
      <c r="Y16" s="40"/>
      <c r="Z16" s="46"/>
      <c r="AA16" s="46"/>
      <c r="AB16" s="46"/>
      <c r="AC16" s="46"/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</v>
      </c>
      <c r="AG16" s="44">
        <f>IFERROR((PA[[#This Row],[Work Completion time on fault]]-PA[[#This Row],[Fault Time]])*24,"")</f>
        <v>0</v>
      </c>
      <c r="AH16" s="36"/>
      <c r="AI16" s="33"/>
      <c r="AJ16" s="35" t="str">
        <f>IFERROR(PA[[#This Row],[Breakdown Time]]*PA[[#This Row],[Plant Equivalent Weightage]],"")</f>
        <v/>
      </c>
      <c r="AK16" s="36"/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/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1</v>
      </c>
      <c r="C3" s="296"/>
      <c r="D3" s="1"/>
      <c r="E3" s="1"/>
      <c r="F3" s="1"/>
      <c r="G3" s="1"/>
      <c r="H3" s="297"/>
      <c r="I3" s="297"/>
      <c r="J3" s="297">
        <f>I3-H3</f>
        <v>0</v>
      </c>
      <c r="K3" s="297">
        <f>(J3/0.041677)</f>
        <v>0</v>
      </c>
      <c r="L3" s="1"/>
      <c r="M3" s="1"/>
      <c r="N3" s="298"/>
      <c r="O3" s="298">
        <f t="shared" si="0"/>
        <v>0</v>
      </c>
      <c r="P3" s="298"/>
      <c r="Q3" s="1" t="str">
        <f>IFERROR(_xlfn.XLOOKUP(Table7[[#This Row],[Month]],'Modelling New'!$D:$D,'Modelling New'!$O:$O),"")</f>
        <v/>
      </c>
      <c r="R3" s="299" t="str">
        <f>IFERROR(Table7[[#This Row],[Loss of Capacity in KWp]]*Table7[[#This Row],[Lost POA]]*Table7[[#This Row],[Estimated PR % (Pvsyst)]],"")</f>
        <v/>
      </c>
      <c r="S3" s="1"/>
      <c r="T3" s="1"/>
      <c r="U3" s="300"/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45804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45805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45806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45807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45808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45809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45810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45811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45812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45813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45814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45815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45816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45817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45818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45819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45820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45821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45822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45823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45824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45825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45826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45827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45828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45829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45830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45831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45832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45833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45834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45835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45836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45837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45838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45839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45840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45841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45842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45843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45844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45845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45846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45847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45848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45849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45850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45851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45852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45853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45854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45855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45856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45857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45858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45859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45860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45861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45862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45863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45864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45804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45805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45806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45807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45808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45809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45810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45811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45812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45813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45814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45815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45816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45817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45818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45819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45820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45821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45822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45823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45824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45825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45826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45827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45828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45829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45830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45831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45832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45833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45834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45835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45836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45837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45838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45839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45840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45841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45842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45843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45844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45845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45846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45847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45848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45849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45850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45851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45852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45853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45854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45855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45856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45857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45858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45859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45860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45861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45862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45863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45864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45804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45805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45806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45807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45808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45809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45810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45811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45812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45813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45814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45815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45816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45817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45818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45819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45820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45821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45822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45823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45824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45825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45826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45827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45828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45829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45830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45831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45832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45833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45834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45835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45836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45837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45838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45839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45840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45841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45842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45843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45844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45845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45846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45847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45848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45849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45850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45851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45852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45853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45854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45855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45856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45857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45858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45859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45860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45861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45862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45863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45864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2025-07-26T01:58:13Z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