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iddheshwar.lokhande\Downloads\"/>
    </mc:Choice>
  </mc:AlternateContent>
  <xr:revisionPtr revIDLastSave="0" documentId="13_ncr:1_{EAA57119-CBDA-4DF0-8EEA-A111ABA1DE6B}" xr6:coauthVersionLast="47" xr6:coauthVersionMax="47" xr10:uidLastSave="{00000000-0000-0000-0000-000000000000}"/>
  <bookViews>
    <workbookView xWindow="-110" yWindow="-110" windowWidth="19420" windowHeight="10300" tabRatio="827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7" l="1"/>
  <c r="D14" i="9"/>
  <c r="Q2" i="39"/>
  <c r="Q3" i="39"/>
  <c r="Q4" i="39"/>
  <c r="Q5" i="39"/>
  <c r="Q6" i="39"/>
  <c r="Q7" i="39"/>
  <c r="Q8" i="39"/>
  <c r="Q9" i="39"/>
  <c r="Q10" i="39"/>
  <c r="Q11" i="39"/>
  <c r="Q12" i="39"/>
  <c r="Q13" i="39"/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Q2" i="42" l="1"/>
  <c r="R2" i="42" s="1"/>
  <c r="Q3" i="42"/>
  <c r="R3" i="42" s="1"/>
  <c r="AL13" i="27"/>
  <c r="P10" i="39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D4" i="8" l="1"/>
  <c r="BN17" i="20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11" i="9" l="1"/>
  <c r="F4" i="7"/>
  <c r="F4" i="8"/>
  <c r="D6" i="30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76" i="38"/>
  <c r="I125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316" i="38"/>
  <c r="I247" i="38"/>
  <c r="I165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L3" i="38"/>
  <c r="I135" i="38"/>
  <c r="K3" i="38"/>
  <c r="I73" i="38"/>
  <c r="I137" i="38"/>
  <c r="I279" i="38"/>
  <c r="I99" i="38"/>
  <c r="I223" i="38"/>
  <c r="V5" i="38"/>
  <c r="I212" i="38"/>
  <c r="I185" i="38"/>
  <c r="I100" i="38"/>
  <c r="I7" i="38"/>
  <c r="I8" i="38"/>
  <c r="I175" i="38"/>
  <c r="I240" i="38"/>
  <c r="I296" i="38"/>
  <c r="AB2" i="38"/>
  <c r="V9" i="24"/>
  <c r="I220" i="38"/>
  <c r="I265" i="38"/>
  <c r="I260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217" i="38"/>
  <c r="I299" i="38"/>
  <c r="I333" i="38"/>
  <c r="I184" i="38"/>
  <c r="I214" i="38"/>
  <c r="I341" i="38"/>
  <c r="I109" i="38"/>
  <c r="I121" i="38"/>
  <c r="I54" i="38"/>
  <c r="I171" i="38"/>
  <c r="I281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343" i="38"/>
  <c r="I253" i="38"/>
  <c r="I120" i="38"/>
  <c r="I337" i="38"/>
  <c r="I96" i="38"/>
  <c r="I68" i="38"/>
  <c r="I248" i="38"/>
  <c r="I205" i="38"/>
  <c r="I103" i="38"/>
  <c r="I116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53" i="38"/>
  <c r="I122" i="38"/>
  <c r="I290" i="38"/>
  <c r="I219" i="38"/>
  <c r="V25" i="24"/>
  <c r="I38" i="38"/>
  <c r="V6" i="24"/>
  <c r="I98" i="38"/>
  <c r="V17" i="24"/>
  <c r="I74" i="38"/>
  <c r="I278" i="38"/>
  <c r="V19" i="24"/>
  <c r="K4" i="38"/>
  <c r="I218" i="38"/>
  <c r="I266" i="38"/>
  <c r="I134" i="38"/>
  <c r="I280" i="38"/>
  <c r="Y5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7" i="38"/>
  <c r="Y7" i="38"/>
  <c r="Y6" i="38"/>
  <c r="V6" i="38"/>
  <c r="X6" i="38"/>
  <c r="AA6" i="38"/>
  <c r="AA7" i="38"/>
  <c r="X7" i="38"/>
  <c r="X8" i="38"/>
  <c r="V8" i="38"/>
  <c r="Y212" i="38"/>
  <c r="K233" i="38"/>
  <c r="G216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K156" i="38"/>
  <c r="K325" i="38"/>
  <c r="X266" i="38"/>
  <c r="V214" i="38"/>
  <c r="M210" i="38"/>
  <c r="M359" i="38"/>
  <c r="M332" i="38"/>
  <c r="M149" i="38"/>
  <c r="X275" i="38"/>
  <c r="L193" i="38"/>
  <c r="G109" i="38"/>
  <c r="M350" i="38"/>
  <c r="X274" i="38"/>
  <c r="M272" i="38"/>
  <c r="AB285" i="38"/>
  <c r="AS285" i="38" s="1"/>
  <c r="L231" i="38"/>
  <c r="V318" i="38"/>
  <c r="L105" i="38"/>
  <c r="M89" i="38"/>
  <c r="M151" i="38"/>
  <c r="K75" i="38"/>
  <c r="Y42" i="38"/>
  <c r="V135" i="38"/>
  <c r="K331" i="38"/>
  <c r="N277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AB187" i="38"/>
  <c r="AS187" i="38" s="1"/>
  <c r="AB222" i="38"/>
  <c r="AS222" i="38" s="1"/>
  <c r="AB128" i="38"/>
  <c r="AS128" i="38" s="1"/>
  <c r="AA159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L344" i="38"/>
  <c r="M226" i="38"/>
  <c r="K212" i="38"/>
  <c r="G12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F333" i="38"/>
  <c r="G254" i="38"/>
  <c r="N369" i="38"/>
  <c r="M169" i="38"/>
  <c r="X99" i="38"/>
  <c r="L196" i="38"/>
  <c r="L365" i="38"/>
  <c r="G360" i="38"/>
  <c r="L184" i="38"/>
  <c r="V356" i="38"/>
  <c r="M240" i="38"/>
  <c r="Y2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X59" i="38"/>
  <c r="L214" i="38"/>
  <c r="AA195" i="38"/>
  <c r="AB44" i="38"/>
  <c r="AS44" i="38" s="1"/>
  <c r="V246" i="38"/>
  <c r="X92" i="38"/>
  <c r="V337" i="38"/>
  <c r="G178" i="38"/>
  <c r="Y206" i="38"/>
  <c r="Y151" i="38"/>
  <c r="M312" i="38"/>
  <c r="L205" i="38"/>
  <c r="L79" i="38"/>
  <c r="F33" i="38"/>
  <c r="G100" i="38"/>
  <c r="K236" i="38"/>
  <c r="K259" i="38"/>
  <c r="Y35" i="38"/>
  <c r="AB136" i="38"/>
  <c r="AS136" i="38" s="1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K321" i="38"/>
  <c r="K55" i="38"/>
  <c r="V279" i="38"/>
  <c r="M322" i="38"/>
  <c r="L68" i="38"/>
  <c r="F321" i="38"/>
  <c r="V121" i="38"/>
  <c r="M253" i="38"/>
  <c r="M339" i="38"/>
  <c r="K221" i="38"/>
  <c r="M174" i="38"/>
  <c r="M159" i="38"/>
  <c r="V360" i="38"/>
  <c r="M71" i="38"/>
  <c r="L363" i="38"/>
  <c r="L229" i="38"/>
  <c r="M271" i="38"/>
  <c r="G282" i="38"/>
  <c r="G296" i="38"/>
  <c r="M286" i="38"/>
  <c r="N106" i="38"/>
  <c r="K172" i="38"/>
  <c r="M360" i="38"/>
  <c r="G43" i="38"/>
  <c r="F279" i="38"/>
  <c r="X348" i="38"/>
  <c r="K53" i="38"/>
  <c r="G138" i="38"/>
  <c r="F80" i="38"/>
  <c r="N326" i="38"/>
  <c r="F242" i="38"/>
  <c r="F111" i="38"/>
  <c r="G46" i="38"/>
  <c r="K63" i="38"/>
  <c r="X363" i="38"/>
  <c r="L111" i="38"/>
  <c r="G93" i="38"/>
  <c r="Y364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54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138" i="38"/>
  <c r="K276" i="38"/>
  <c r="N195" i="38"/>
  <c r="X115" i="38"/>
  <c r="F60" i="38"/>
  <c r="F92" i="38"/>
  <c r="M297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X79" i="38"/>
  <c r="N164" i="38"/>
  <c r="AA224" i="38"/>
  <c r="AB212" i="38"/>
  <c r="AS212" i="38" s="1"/>
  <c r="AA71" i="38"/>
  <c r="AB293" i="38"/>
  <c r="AS293" i="38" s="1"/>
  <c r="K133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M259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M177" i="38"/>
  <c r="Y248" i="38"/>
  <c r="M258" i="38"/>
  <c r="M260" i="38"/>
  <c r="K47" i="38"/>
  <c r="L176" i="38"/>
  <c r="V193" i="38"/>
  <c r="V208" i="38"/>
  <c r="X159" i="38"/>
  <c r="K282" i="38"/>
  <c r="K289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K347" i="38"/>
  <c r="L53" i="38"/>
  <c r="L159" i="38"/>
  <c r="G359" i="38"/>
  <c r="F167" i="38"/>
  <c r="M316" i="38"/>
  <c r="L369" i="38"/>
  <c r="G7" i="38"/>
  <c r="M262" i="38"/>
  <c r="V160" i="38"/>
  <c r="K315" i="38"/>
  <c r="K273" i="38"/>
  <c r="N259" i="38"/>
  <c r="G227" i="38"/>
  <c r="G38" i="38"/>
  <c r="V250" i="38"/>
  <c r="V184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K232" i="38"/>
  <c r="K139" i="38"/>
  <c r="G137" i="38"/>
  <c r="L56" i="38"/>
  <c r="K100" i="38"/>
  <c r="F223" i="38"/>
  <c r="M63" i="38"/>
  <c r="N263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N50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V109" i="38"/>
  <c r="L107" i="38"/>
  <c r="M92" i="38"/>
  <c r="K95" i="38"/>
  <c r="F122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X217" i="38"/>
  <c r="AA209" i="38"/>
  <c r="V79" i="38"/>
  <c r="AB109" i="38"/>
  <c r="AS109" i="38" s="1"/>
  <c r="AA154" i="38"/>
  <c r="V343" i="38"/>
  <c r="G365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AA220" i="38"/>
  <c r="V260" i="38"/>
  <c r="V202" i="38"/>
  <c r="F343" i="38"/>
  <c r="AA107" i="38"/>
  <c r="V173" i="38"/>
  <c r="V209" i="38"/>
  <c r="K324" i="38"/>
  <c r="AB54" i="38"/>
  <c r="AS54" i="38" s="1"/>
  <c r="G49" i="38"/>
  <c r="G345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V329" i="38"/>
  <c r="M60" i="38"/>
  <c r="N63" i="38"/>
  <c r="G187" i="38"/>
  <c r="K356" i="38"/>
  <c r="X55" i="38"/>
  <c r="V263" i="38"/>
  <c r="V33" i="38"/>
  <c r="X345" i="38"/>
  <c r="AB133" i="38"/>
  <c r="AS133" i="38" s="1"/>
  <c r="N236" i="38"/>
  <c r="M334" i="38"/>
  <c r="L223" i="38"/>
  <c r="N254" i="38"/>
  <c r="Y56" i="38"/>
  <c r="Y306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V169" i="38"/>
  <c r="N6" i="38"/>
  <c r="V51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AB256" i="38"/>
  <c r="AS256" i="38" s="1"/>
  <c r="AA298" i="38"/>
  <c r="X105" i="38"/>
  <c r="AA131" i="38"/>
  <c r="K350" i="38"/>
  <c r="M73" i="38"/>
  <c r="F103" i="38"/>
  <c r="N52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AA342" i="38"/>
  <c r="V148" i="38"/>
  <c r="F28" i="38"/>
  <c r="L33" i="38"/>
  <c r="K125" i="38"/>
  <c r="AB98" i="38"/>
  <c r="AS98" i="38" s="1"/>
  <c r="K187" i="38"/>
  <c r="AB210" i="38"/>
  <c r="AS210" i="38" s="1"/>
  <c r="Y175" i="38"/>
  <c r="N252" i="38"/>
  <c r="G194" i="38"/>
  <c r="AA216" i="38"/>
  <c r="G48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V198" i="38"/>
  <c r="AA56" i="38"/>
  <c r="AA327" i="38"/>
  <c r="K262" i="38"/>
  <c r="F85" i="38"/>
  <c r="G171" i="38"/>
  <c r="G73" i="38"/>
  <c r="N223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X258" i="38"/>
  <c r="G108" i="38"/>
  <c r="AA160" i="38"/>
  <c r="X354" i="38"/>
  <c r="G318" i="38"/>
  <c r="K345" i="38"/>
  <c r="K311" i="38"/>
  <c r="AA110" i="38"/>
  <c r="V300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M163" i="38"/>
  <c r="M168" i="38"/>
  <c r="X198" i="38"/>
  <c r="X165" i="38"/>
  <c r="F121" i="38"/>
  <c r="L241" i="38"/>
  <c r="F260" i="38"/>
  <c r="V220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AA118" i="38"/>
  <c r="M185" i="38"/>
  <c r="G193" i="38"/>
  <c r="L104" i="38"/>
  <c r="L314" i="38"/>
  <c r="X167" i="38"/>
  <c r="G200" i="38"/>
  <c r="AA237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K46" i="38"/>
  <c r="G77" i="38"/>
  <c r="K190" i="38"/>
  <c r="F100" i="38"/>
  <c r="Y313" i="38"/>
  <c r="AA175" i="38"/>
  <c r="AB59" i="38"/>
  <c r="AS59" i="38" s="1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M279" i="38"/>
  <c r="K111" i="38"/>
  <c r="M181" i="38"/>
  <c r="G64" i="38"/>
  <c r="X38" i="38"/>
  <c r="K228" i="38"/>
  <c r="F203" i="38"/>
  <c r="K205" i="38"/>
  <c r="L255" i="38"/>
  <c r="AA215" i="38"/>
  <c r="Y210" i="38"/>
  <c r="Y318" i="38"/>
  <c r="K364" i="38"/>
  <c r="AA185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M362" i="38"/>
  <c r="L180" i="38"/>
  <c r="V70" i="38"/>
  <c r="AB168" i="38"/>
  <c r="AS168" i="38" s="1"/>
  <c r="V96" i="38"/>
  <c r="Y98" i="38"/>
  <c r="AB130" i="38"/>
  <c r="AS130" i="38" s="1"/>
  <c r="AA344" i="38"/>
  <c r="V301" i="38"/>
  <c r="M255" i="38"/>
  <c r="K149" i="38"/>
  <c r="L165" i="38"/>
  <c r="G339" i="38"/>
  <c r="F101" i="38"/>
  <c r="V313" i="38"/>
  <c r="AA201" i="38"/>
  <c r="V42" i="38"/>
  <c r="X56" i="38"/>
  <c r="L41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F158" i="38"/>
  <c r="X186" i="38"/>
  <c r="F170" i="38"/>
  <c r="X77" i="38"/>
  <c r="AA308" i="38"/>
  <c r="Y72" i="38"/>
  <c r="AA225" i="38"/>
  <c r="V67" i="38"/>
  <c r="AA198" i="38"/>
  <c r="K41" i="38"/>
  <c r="G307" i="38"/>
  <c r="F86" i="38"/>
  <c r="N125" i="38"/>
  <c r="K68" i="38"/>
  <c r="F178" i="38"/>
  <c r="M327" i="38"/>
  <c r="F291" i="38"/>
  <c r="L307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AA177" i="38"/>
  <c r="AA354" i="38"/>
  <c r="Y134" i="38"/>
  <c r="AB274" i="38"/>
  <c r="AS274" i="38" s="1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AB204" i="38"/>
  <c r="AS204" i="38" s="1"/>
  <c r="M200" i="38"/>
  <c r="M234" i="38"/>
  <c r="N346" i="38"/>
  <c r="N196" i="38"/>
  <c r="F289" i="38"/>
  <c r="AA338" i="38"/>
  <c r="Y103" i="38"/>
  <c r="G195" i="38"/>
  <c r="N212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Y89" i="38"/>
  <c r="AB282" i="38"/>
  <c r="AS282" i="38" s="1"/>
  <c r="G263" i="38"/>
  <c r="Y181" i="38"/>
  <c r="M298" i="38"/>
  <c r="N94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K59" i="38"/>
  <c r="L226" i="38"/>
  <c r="X315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AA360" i="38"/>
  <c r="Y272" i="38"/>
  <c r="X140" i="38"/>
  <c r="V333" i="38"/>
  <c r="AA155" i="38"/>
  <c r="Y201" i="38"/>
  <c r="M52" i="38"/>
  <c r="X242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N200" i="38"/>
  <c r="X280" i="38"/>
  <c r="V140" i="38"/>
  <c r="V185" i="38"/>
  <c r="AA57" i="38"/>
  <c r="N293" i="38"/>
  <c r="F8" i="38"/>
  <c r="G149" i="38"/>
  <c r="L275" i="38"/>
  <c r="Y273" i="38"/>
  <c r="AB219" i="38"/>
  <c r="X265" i="38"/>
  <c r="G269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V292" i="38"/>
  <c r="F155" i="38"/>
  <c r="M155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206" i="38"/>
  <c r="M166" i="38"/>
  <c r="L108" i="38"/>
  <c r="F184" i="38"/>
  <c r="L75" i="38"/>
  <c r="N284" i="38"/>
  <c r="V324" i="38"/>
  <c r="V48" i="38"/>
  <c r="L33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M182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AB301" i="38"/>
  <c r="AS301" i="38" s="1"/>
  <c r="G246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AS186" i="38" l="1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N4" i="7" s="1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4" i="7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U3" i="38"/>
  <c r="O3" i="38"/>
  <c r="R3" i="38"/>
  <c r="W3" i="38"/>
  <c r="Z13" i="39"/>
  <c r="R5" i="38"/>
  <c r="W5" i="38"/>
  <c r="U5" i="38"/>
  <c r="O5" i="38"/>
  <c r="Z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145" i="38"/>
  <c r="W145" i="38"/>
  <c r="R72" i="38"/>
  <c r="W72" i="38"/>
  <c r="R150" i="38"/>
  <c r="W150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223" i="38"/>
  <c r="W223" i="38"/>
  <c r="R154" i="38"/>
  <c r="W154" i="38"/>
  <c r="R350" i="38"/>
  <c r="W350" i="38"/>
  <c r="R128" i="38"/>
  <c r="W128" i="38"/>
  <c r="R55" i="38"/>
  <c r="W55" i="38"/>
  <c r="R293" i="38"/>
  <c r="W293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90" i="38"/>
  <c r="W90" i="38"/>
  <c r="R329" i="38"/>
  <c r="W329" i="38"/>
  <c r="R311" i="38"/>
  <c r="W311" i="38"/>
  <c r="R194" i="38"/>
  <c r="W194" i="38"/>
  <c r="R347" i="38"/>
  <c r="W347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84" i="38"/>
  <c r="W184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223" i="38"/>
  <c r="O154" i="38"/>
  <c r="O350" i="38"/>
  <c r="O128" i="38"/>
  <c r="O55" i="38"/>
  <c r="O293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90" i="38"/>
  <c r="O329" i="38"/>
  <c r="O311" i="38"/>
  <c r="O194" i="38"/>
  <c r="O347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330" i="38"/>
  <c r="O215" i="38"/>
  <c r="O118" i="38"/>
  <c r="O129" i="38"/>
  <c r="O317" i="38"/>
  <c r="O47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84" i="38"/>
  <c r="O45" i="38"/>
  <c r="O8" i="38"/>
  <c r="O131" i="38"/>
  <c r="O213" i="38"/>
  <c r="O70" i="38"/>
  <c r="O249" i="38"/>
  <c r="O245" i="38"/>
  <c r="O61" i="38"/>
  <c r="O286" i="38"/>
  <c r="O282" i="38"/>
  <c r="O366" i="38"/>
  <c r="O124" i="38"/>
  <c r="O133" i="38"/>
  <c r="O319" i="38"/>
  <c r="O363" i="38"/>
  <c r="O309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295" i="38"/>
  <c r="O195" i="38"/>
  <c r="O230" i="38"/>
  <c r="O284" i="38"/>
  <c r="O192" i="38"/>
  <c r="O163" i="38"/>
  <c r="O207" i="38"/>
  <c r="O221" i="38"/>
  <c r="O258" i="38"/>
  <c r="O225" i="38"/>
  <c r="O51" i="38"/>
  <c r="O197" i="38"/>
  <c r="O201" i="38"/>
  <c r="O145" i="38"/>
  <c r="O72" i="38"/>
  <c r="O150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G11" i="9" s="1"/>
  <c r="AS127" i="38"/>
  <c r="AS158" i="38"/>
  <c r="AS311" i="38"/>
  <c r="AS188" i="38"/>
  <c r="AS280" i="38"/>
  <c r="AS96" i="38"/>
  <c r="AM8" i="39" s="1"/>
  <c r="D26" i="9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U263" i="38"/>
  <c r="U320" i="38"/>
  <c r="U43" i="38"/>
  <c r="U84" i="38"/>
  <c r="U224" i="38"/>
  <c r="U123" i="38"/>
  <c r="U77" i="38"/>
  <c r="U195" i="38"/>
  <c r="U217" i="38"/>
  <c r="U114" i="38"/>
  <c r="U316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88" i="38"/>
  <c r="U191" i="38"/>
  <c r="U355" i="38"/>
  <c r="U246" i="38"/>
  <c r="U83" i="38"/>
  <c r="U6" i="38"/>
  <c r="U354" i="38"/>
  <c r="U280" i="38"/>
  <c r="U276" i="38"/>
  <c r="AS6" i="38"/>
  <c r="U227" i="38"/>
  <c r="U170" i="38"/>
  <c r="U296" i="38"/>
  <c r="U242" i="38"/>
  <c r="U154" i="38"/>
  <c r="U120" i="38"/>
  <c r="U321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109" i="38"/>
  <c r="U347" i="38"/>
  <c r="U241" i="38"/>
  <c r="U337" i="38"/>
  <c r="U336" i="38"/>
  <c r="U243" i="38"/>
  <c r="U278" i="38"/>
  <c r="U150" i="38"/>
  <c r="U303" i="38"/>
  <c r="U160" i="38"/>
  <c r="U117" i="38"/>
  <c r="U283" i="38"/>
  <c r="U46" i="38"/>
  <c r="U250" i="38"/>
  <c r="U245" i="38"/>
  <c r="U119" i="38"/>
  <c r="U269" i="38"/>
  <c r="U178" i="38"/>
  <c r="U36" i="38"/>
  <c r="U41" i="38"/>
  <c r="U277" i="38"/>
  <c r="U232" i="38"/>
  <c r="U310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338" i="38"/>
  <c r="U201" i="38"/>
  <c r="U132" i="38"/>
  <c r="U304" i="38"/>
  <c r="U203" i="38"/>
  <c r="U144" i="38"/>
  <c r="U88" i="38"/>
  <c r="U298" i="38"/>
  <c r="U334" i="38"/>
  <c r="U312" i="38"/>
  <c r="U62" i="38"/>
  <c r="U206" i="38"/>
  <c r="U282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28" i="38"/>
  <c r="U238" i="38"/>
  <c r="U323" i="38"/>
  <c r="U271" i="38"/>
  <c r="U256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302" i="38"/>
  <c r="U130" i="38"/>
  <c r="U208" i="38"/>
  <c r="U10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351" i="38"/>
  <c r="U61" i="38"/>
  <c r="U72" i="38"/>
  <c r="U185" i="38"/>
  <c r="U340" i="38"/>
  <c r="U66" i="38"/>
  <c r="U81" i="38"/>
  <c r="U325" i="38"/>
  <c r="U156" i="38"/>
  <c r="U57" i="38"/>
  <c r="U127" i="38"/>
  <c r="U339" i="38"/>
  <c r="U335" i="38"/>
  <c r="U165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H10" i="7" l="1"/>
  <c r="N10" i="7"/>
  <c r="AM10" i="39"/>
  <c r="AM5" i="39"/>
  <c r="AN5" i="39" s="1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AA6" i="39"/>
  <c r="AA10" i="39"/>
  <c r="AA8" i="39"/>
  <c r="AA9" i="39"/>
  <c r="AA7" i="39"/>
  <c r="AA5" i="39"/>
  <c r="N4" i="8" s="1"/>
  <c r="AA11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V25" i="27"/>
  <c r="V88" i="27"/>
  <c r="AJ88" i="27" l="1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<sst xmlns="http://schemas.openxmlformats.org/spreadsheetml/2006/main" count="5100" uniqueCount="682">
  <si>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</si>
  <si>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</si>
  <si>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</si>
  <si>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</si>
  <si>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</si>
  <si>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</si>
  <si>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</si>
  <si>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</si>
  <si>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</si>
  <si>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</si>
  <si>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</si>
  <si>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</si>
  <si>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</si>
  <si>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</si>
  <si>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</si>
  <si>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</si>
  <si>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</si>
  <si>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</si>
  <si>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</si>
  <si>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</si>
  <si>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</si>
  <si>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</si>
  <si>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</si>
  <si>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</si>
  <si>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</si>
  <si>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</si>
  <si>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</si>
  <si>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</si>
  <si>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</si>
  <si>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</si>
  <si>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</si>
  <si>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</si>
  <si>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</si>
  <si>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</si>
  <si>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</si>
  <si>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</si>
  <si>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</si>
  <si>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</si>
  <si>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</si>
  <si>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</si>
  <si>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</si>
  <si>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</si>
  <si>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</si>
  <si>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</si>
  <si>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</si>
  <si>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</si>
  <si>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</si>
  <si>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</si>
  <si>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</si>
  <si>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</si>
  <si>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</si>
  <si>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</si>
  <si>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</si>
  <si>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</si>
  <si>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</si>
  <si>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</si>
  <si>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</si>
  <si>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</si>
  <si>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</si>
  <si>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</si>
  <si>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</si>
  <si>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</si>
  <si>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</si>
  <si>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</si>
  <si>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</si>
  <si>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</si>
  <si>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</si>
  <si>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</si>
  <si>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</si>
  <si>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</si>
  <si>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</si>
  <si>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</si>
  <si>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</si>
  <si>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</si>
  <si>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</si>
  <si>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</si>
  <si>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</si>
  <si>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</si>
  <si>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</si>
  <si>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</si>
  <si>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</si>
  <si>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</si>
  <si>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</si>
  <si>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</si>
  <si>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</si>
  <si>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</si>
  <si>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</si>
  <si>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</si>
  <si>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</si>
  <si>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</si>
  <si>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</si>
  <si>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</si>
  <si>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</si>
  <si>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</si>
  <si>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</si>
  <si>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</si>
  <si>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</si>
  <si>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</si>
  <si>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</si>
  <si>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</si>
  <si>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</si>
  <si>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</si>
  <si>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</si>
  <si>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</si>
  <si>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</si>
  <si>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</si>
  <si>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</si>
  <si>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</si>
  <si>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</si>
  <si>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</si>
  <si>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</si>
  <si>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</si>
  <si>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</si>
  <si>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</si>
  <si>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</si>
  <si>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</si>
  <si>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</si>
  <si>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</si>
  <si>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</si>
  <si>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</si>
  <si>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</si>
  <si>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</si>
  <si>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</si>
  <si>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</si>
  <si>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</si>
  <si>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</si>
  <si>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</si>
  <si>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</si>
  <si>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</si>
  <si>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</si>
  <si>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</si>
  <si>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</si>
  <si>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</si>
  <si>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</si>
  <si>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</si>
  <si>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</si>
  <si>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</si>
  <si>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</si>
  <si>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</si>
  <si>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</si>
  <si>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</si>
  <si>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</si>
  <si>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</si>
  <si>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</si>
  <si>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</si>
  <si>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</si>
  <si>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</si>
  <si>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</si>
  <si>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</si>
  <si>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</si>
  <si>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</si>
  <si>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</si>
  <si>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</si>
  <si>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</si>
  <si>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</si>
  <si>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</si>
  <si>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</si>
  <si>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</si>
  <si>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</si>
  <si>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</si>
  <si>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</si>
  <si>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</si>
  <si>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</si>
  <si>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</si>
  <si>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</si>
  <si>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</si>
  <si>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</si>
  <si>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</si>
  <si>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</si>
  <si>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</si>
  <si>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</si>
  <si>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</si>
  <si>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</si>
  <si>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</si>
  <si>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</si>
  <si>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</si>
  <si>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</si>
  <si>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</si>
  <si>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</si>
  <si>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</si>
  <si>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</si>
  <si>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</si>
  <si>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</si>
  <si>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</si>
  <si>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</si>
  <si>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</si>
  <si>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</si>
  <si>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</si>
  <si>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</si>
  <si>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</si>
  <si>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</si>
  <si>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</si>
  <si>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</si>
  <si>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</si>
  <si>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</si>
  <si>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</si>
  <si>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</si>
  <si>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</si>
  <si>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</si>
  <si>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</si>
  <si>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</si>
  <si>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</si>
  <si>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</si>
  <si>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</si>
  <si>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</si>
  <si>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</si>
  <si>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</si>
  <si>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</si>
  <si>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</si>
  <si>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</si>
  <si>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</si>
  <si>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</si>
  <si>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</si>
  <si>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</si>
  <si>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</si>
  <si>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</si>
  <si>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</si>
  <si>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</si>
  <si>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</si>
  <si>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</si>
  <si>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</si>
  <si>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</si>
  <si>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</si>
  <si>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</si>
  <si>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</si>
  <si>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</si>
  <si>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</si>
  <si>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</si>
  <si>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</si>
  <si>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</si>
  <si>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</si>
  <si>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</si>
  <si>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</si>
  <si>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</si>
  <si>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</si>
  <si>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</si>
  <si>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</si>
  <si>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</si>
  <si>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</si>
  <si>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</si>
  <si>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</si>
  <si>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</si>
  <si>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</si>
  <si>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</si>
  <si>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</si>
  <si>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</si>
  <si>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</si>
  <si>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</si>
  <si>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</si>
  <si>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</si>
  <si>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</si>
  <si>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</si>
  <si>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</si>
  <si>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</si>
  <si>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</si>
  <si>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</si>
  <si>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</si>
  <si>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</si>
  <si>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</si>
  <si>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</si>
  <si>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</si>
  <si>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</si>
  <si>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</si>
  <si>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</si>
  <si>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</si>
  <si>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</si>
  <si>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</si>
  <si>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</si>
  <si>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</si>
  <si>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</si>
  <si>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</si>
  <si>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</si>
  <si>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</si>
  <si>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</si>
  <si>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</si>
  <si>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</si>
  <si>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</si>
  <si>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</si>
  <si>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</si>
  <si>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</si>
  <si>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</si>
  <si>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</si>
  <si>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</si>
  <si>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</si>
  <si>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</si>
  <si>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</si>
  <si>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</si>
  <si>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</si>
  <si>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</si>
  <si>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</si>
  <si>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</si>
  <si>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</si>
  <si>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</si>
  <si>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</si>
  <si>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</si>
  <si>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</si>
  <si>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</si>
  <si>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</si>
  <si>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</si>
  <si>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</si>
  <si>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</si>
  <si>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</si>
  <si>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</si>
  <si>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</si>
  <si>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</si>
  <si>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</si>
  <si>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</si>
  <si>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</si>
  <si>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</si>
  <si>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</si>
  <si>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</si>
  <si>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</si>
  <si>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</si>
  <si>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</si>
  <si>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</si>
  <si>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</si>
  <si>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</si>
  <si>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</si>
  <si>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</si>
  <si>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</si>
  <si>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</si>
  <si>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</si>
  <si>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</si>
  <si>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</si>
  <si>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</si>
  <si>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</si>
  <si>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</si>
  <si>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</si>
  <si>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</si>
  <si>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</si>
  <si>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</si>
  <si>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</si>
  <si>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</si>
  <si>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</si>
  <si>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</si>
  <si>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</si>
  <si>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</si>
  <si>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</si>
  <si>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</si>
  <si>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</si>
  <si>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</si>
  <si>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</si>
  <si>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</si>
  <si>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</si>
  <si>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</si>
  <si>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</si>
  <si>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</si>
  <si>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</si>
  <si>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</si>
  <si>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</si>
  <si>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</si>
  <si>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</si>
  <si>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</si>
  <si>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</si>
  <si>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</si>
  <si>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</si>
  <si>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</si>
  <si>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</si>
  <si>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</si>
  <si>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</si>
  <si>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</si>
  <si>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</si>
  <si>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</si>
  <si>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</si>
  <si>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</si>
  <si>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</si>
  <si>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</si>
  <si>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</si>
  <si>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</si>
  <si>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</si>
  <si>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</si>
  <si>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</si>
  <si>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</si>
  <si>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</si>
  <si>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</si>
  <si>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</si>
  <si>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</si>
  <si>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</si>
  <si>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</si>
  <si>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</si>
  <si>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</si>
  <si>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</si>
  <si>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</si>
  <si>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</si>
  <si>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</si>
  <si>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</si>
  <si>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</si>
  <si>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</si>
  <si>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</si>
  <si>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</si>
  <si>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</si>
  <si>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</si>
  <si>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</si>
  <si>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</si>
  <si>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</si>
  <si>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</si>
  <si>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</si>
  <si>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</si>
  <si>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</si>
  <si>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</si>
  <si>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</si>
  <si>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</si>
  <si>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</si>
  <si>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</si>
  <si>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</si>
  <si>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</si>
  <si>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</si>
  <si>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</si>
  <si>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</si>
  <si>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</si>
  <si>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</si>
  <si>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</si>
  <si>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</si>
  <si>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</si>
  <si>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</si>
  <si>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</si>
  <si>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</si>
  <si>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</si>
  <si>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</si>
  <si>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</si>
  <si>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</si>
  <si>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</si>
  <si>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</si>
  <si>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</si>
  <si>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</si>
  <si>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</si>
  <si>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</si>
  <si>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</si>
  <si>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</si>
  <si>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</si>
  <si>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</si>
  <si>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</si>
  <si>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</si>
  <si>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</si>
  <si>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</si>
  <si>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</si>
  <si>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</si>
  <si>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</si>
  <si>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</si>
  <si>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</si>
  <si>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</si>
  <si>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</si>
  <si>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</si>
  <si>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</si>
  <si>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</si>
  <si>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</si>
  <si>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</si>
  <si>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</si>
  <si>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</si>
  <si>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</si>
  <si>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</si>
  <si>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</si>
  <si>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</si>
  <si>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</si>
  <si>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</si>
  <si>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</si>
  <si>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</si>
  <si>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</si>
  <si>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</si>
  <si>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</si>
  <si>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</si>
  <si>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</si>
  <si>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</si>
  <si>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</si>
  <si>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</si>
  <si>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</si>
  <si>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</si>
  <si>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</si>
  <si>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</si>
  <si>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</si>
  <si>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</si>
  <si>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</si>
  <si>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</si>
  <si>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</si>
  <si>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</si>
  <si>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</si>
  <si>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</si>
  <si>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</si>
  <si>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</si>
  <si>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</si>
  <si>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</si>
  <si>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</si>
  <si>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</si>
  <si>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</si>
  <si>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</si>
  <si>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</si>
  <si>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</si>
  <si>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</si>
  <si>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</si>
  <si>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</si>
  <si>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</si>
  <si>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</si>
  <si>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</si>
  <si>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</si>
  <si>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</si>
  <si>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</si>
  <si>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</si>
  <si>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</si>
  <si>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</si>
  <si>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</si>
  <si>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</si>
  <si>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</si>
  <si>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</si>
  <si>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</si>
  <si>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</si>
  <si>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</si>
  <si>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</si>
  <si>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</si>
  <si>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</si>
  <si>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</si>
  <si>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</si>
  <si>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</si>
  <si>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</si>
  <si>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</si>
  <si>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</si>
  <si>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</si>
  <si>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</si>
  <si>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</si>
  <si>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</si>
  <si>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</si>
  <si>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</si>
  <si>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</si>
  <si>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</si>
  <si>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</si>
  <si>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</si>
  <si>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</si>
  <si>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</si>
  <si>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</si>
  <si>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</si>
  <si>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</si>
  <si>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</si>
  <si>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</si>
  <si>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</si>
  <si>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</si>
  <si>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</si>
  <si>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</si>
  <si>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</si>
  <si>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</si>
  <si>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</si>
  <si>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</si>
  <si>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</si>
  <si>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</si>
  <si>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</si>
  <si>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</si>
  <si>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</si>
  <si>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</si>
  <si>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</si>
  <si>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</si>
  <si>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</si>
  <si>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</si>
  <si>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</si>
  <si>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</si>
  <si>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</si>
  <si>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</si>
  <si>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</si>
  <si>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</si>
  <si>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</si>
  <si>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</si>
  <si>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</si>
  <si>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</si>
  <si>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</si>
  <si>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</si>
  <si>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</si>
  <si>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</si>
  <si>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</si>
  <si>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</si>
  <si>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</si>
  <si>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</si>
  <si>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</si>
  <si>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</si>
  <si>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</si>
  <si>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</si>
  <si>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</si>
  <si>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</si>
  <si>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</si>
  <si>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</si>
  <si>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</si>
  <si>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</si>
  <si>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</si>
  <si>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</si>
  <si>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</si>
  <si>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</si>
  <si>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</si>
  <si>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</si>
  <si>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</si>
  <si>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</si>
  <si>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</si>
  <si>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</si>
  <si>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</si>
  <si>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</si>
  <si>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</si>
  <si>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</si>
  <si>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</si>
  <si>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</si>
  <si>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</si>
  <si>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</si>
  <si>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</si>
  <si>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</si>
  <si>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</si>
  <si>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</si>
  <si>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</si>
  <si>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</si>
  <si>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</si>
  <si>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</si>
  <si>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</si>
  <si>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</si>
  <si>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</si>
  <si>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</si>
  <si>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</si>
  <si>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</si>
  <si>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</si>
  <si>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</si>
  <si>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</si>
  <si>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</si>
  <si>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</si>
  <si>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</si>
  <si>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</si>
  <si>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</si>
  <si>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</si>
  <si>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</si>
  <si>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</si>
  <si>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</si>
  <si>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</si>
  <si>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</si>
  <si>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</si>
  <si>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</si>
  <si>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</si>
  <si>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</si>
  <si>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</si>
  <si>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</si>
  <si>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</si>
  <si>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</si>
  <si>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</si>
  <si>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</si>
  <si>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</si>
  <si>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</si>
  <si>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</si>
  <si>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</si>
  <si>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</si>
  <si>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</si>
  <si>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</si>
  <si>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</si>
  <si>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</si>
  <si>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</si>
  <si>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</si>
  <si>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</si>
  <si>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</si>
  <si>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</si>
  <si>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</si>
  <si>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</si>
  <si>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</si>
  <si>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</si>
  <si>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</si>
  <si>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</si>
  <si>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</si>
  <si>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</si>
  <si>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</si>
  <si>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</si>
  <si>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</si>
  <si>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</si>
  <si>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</si>
  <si>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</si>
  <si>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</si>
  <si>
    <t>ICR-04</t>
  </si>
  <si>
    <t>Inv-01</t>
  </si>
  <si>
    <t>GFDI Fault</t>
  </si>
  <si>
    <t>All related paramerters checked, All SCbs checked. Found ok</t>
  </si>
  <si>
    <t>All related paramerters checked, SCB-03 String-07 6 Sqmm Cable cut by Crab.</t>
  </si>
  <si>
    <t>Instruction received from WRLDC to reduce infirm power to Zero.</t>
  </si>
  <si>
    <t>GFDI Fault- 2 Nos string fault.</t>
  </si>
  <si>
    <t>GFDI Fault U-3 SCB-03 Positive cable grounded.</t>
  </si>
  <si>
    <t>All SCB checked founf ok.</t>
  </si>
  <si>
    <t>All scb checked. String fault observed rectified.</t>
  </si>
  <si>
    <t>U-3 SCB-03 400 Sqmm Positive cable found grounded.</t>
  </si>
  <si>
    <t>ICR-04 Inv-01 Shutdown taken by project team. For U-3 SCB-03 Cable termination work.</t>
  </si>
  <si>
    <t>U-3 SCB-03 400 Sqmm cable termination work.</t>
  </si>
  <si>
    <t>Cable ground fault rectification work done.</t>
  </si>
  <si>
    <t>33 KV Line Shutdown taken due to 220KV TL Shutdown.</t>
  </si>
  <si>
    <t>Restored after work.</t>
  </si>
  <si>
    <t>ICR-05</t>
  </si>
  <si>
    <t>Inv-02</t>
  </si>
  <si>
    <t>Inverter shutdown taken for Load adding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</si>
</sst>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COUNTIFS(Input_Raw!$D:$D,D2,Input_Raw!$AO:$AO,"&gt;0")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D2" sqref="D2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45872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288.55386997153681</v>
      </c>
      <c r="D11" s="104">
        <f>_xlfn.XLOOKUP($B$5,Input_Raw!$A:$A,Input_Raw!$BO:$BO)/1000</f>
        <v>0</v>
      </c>
      <c r="E11" s="105">
        <f>D11/C11-1</f>
        <v>-1</v>
      </c>
      <c r="F11" s="268"/>
      <c r="G11" s="226">
        <f>_xlfn.XLOOKUP($B$5,'Daily KPI'!$A:$A,'Daily KPI'!$AS:$AS)/1000</f>
        <v>102.99861372332532</v>
      </c>
      <c r="H11" s="226">
        <f>_xlfn.XLOOKUP($B$4,'Modelling New'!$D:$D,'Modelling New'!$AM:$AM)/1000</f>
        <v>1470.9221486012639</v>
      </c>
      <c r="I11" s="226">
        <f>_xlfn.XLOOKUP($B$4,'Modelling New'!$D:$D,'Modelling New'!$AN:$AN)/1000</f>
        <v>1470.9221486012639</v>
      </c>
    </row>
    <row r="12" spans="1:9">
      <c r="A12" s="315"/>
      <c r="B12" s="106" t="s">
        <v>15</v>
      </c>
      <c r="C12" s="107">
        <f>MonthlyKPI!E4</f>
        <v>3385.763588560792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3385.763588560792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3.9645161290322584</v>
      </c>
      <c r="D14" s="219">
        <f>_xlfn.XLOOKUP($B$5,Input_Raw!$A:$A,Input_Raw!$AM:$AM)</f>
        <v>4.7883391649999991</v>
      </c>
      <c r="E14" s="105">
        <f t="shared" ref="E14:E25" si="0">(D14-C14)/(C14)</f>
        <v>0.20779913844589065</v>
      </c>
      <c r="F14" s="268"/>
    </row>
    <row r="15" spans="1:9">
      <c r="A15" s="315"/>
      <c r="B15" s="106" t="s">
        <v>18</v>
      </c>
      <c r="C15" s="220">
        <f>MonthlyKPI!C4</f>
        <v>62.735483870967741</v>
      </c>
      <c r="D15" s="221">
        <f>MonthlyKPI!D4</f>
        <v>55.348140771666678</v>
      </c>
      <c r="E15" s="109">
        <f t="shared" si="0"/>
        <v>-0.11775382356968991</v>
      </c>
      <c r="F15" s="269"/>
    </row>
    <row r="16" spans="1:9" ht="15" thickBot="1">
      <c r="A16" s="316"/>
      <c r="B16" s="111" t="s">
        <v>19</v>
      </c>
      <c r="C16" s="222">
        <f>AnnualKPI!C4</f>
        <v>62.735483870967741</v>
      </c>
      <c r="D16" s="223">
        <f>AnnualKPI!D4</f>
        <v>70.192407293333332</v>
      </c>
      <c r="E16" s="114">
        <f t="shared" si="0"/>
        <v>0.11886292991224462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0.82897646002895486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0.61467968812449436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0.61467968812449436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 t="str">
        <f>_xlfn.XLOOKUP($B$5,'Daily KPI'!$A:$A,'Daily KPI'!$O:$O,0)</f>
        <v/>
      </c>
      <c r="E20" s="105" t="e">
        <f t="shared" si="0"/>
        <v>#VALUE!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>
        <f>MonthlyKPI!L4</f>
        <v>0</v>
      </c>
      <c r="E21" s="109">
        <f t="shared" si="0"/>
        <v>-1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 t="e">
        <f>AnnualKPI!L4</f>
        <v>#DIV/0!</v>
      </c>
      <c r="E22" s="114" t="e">
        <f t="shared" si="0"/>
        <v>#DIV/0!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 t="str">
        <f>_xlfn.XLOOKUP($B$5,'Daily KPI'!$A:$A,'Daily KPI'!$R:$R)</f>
        <v/>
      </c>
      <c r="E23" s="105" t="e">
        <f t="shared" si="0"/>
        <v>#VALUE!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 t="e">
        <f>AnnualKPI!J4</f>
        <v>#DIV/0!</v>
      </c>
      <c r="E25" s="114" t="e">
        <f t="shared" si="0"/>
        <v>#DIV/0!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0.13693710609886903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0.53558649527980129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9.4515263872906125E-2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45872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2508100.9357955656</v>
      </c>
      <c r="D39" s="107">
        <f>SUMIFS(RD[O2RE9],RD[Month Year],$B$32)</f>
        <v>1259699.6099999999</v>
      </c>
      <c r="E39" s="109">
        <f>D39/C39-1</f>
        <v>-0.49774764164328766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877662.65276522632</v>
      </c>
      <c r="D40" s="107">
        <f>SUMIFS(RD[O2RE19],RD[Month Year],$B$32)</f>
        <v>354915.5</v>
      </c>
      <c r="E40" s="109">
        <f t="shared" ref="E40" si="2">D40/C40-1</f>
        <v>-0.59561284864773723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J4" sqref="J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45872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125</v>
      </c>
      <c r="C4" s="81">
        <f>_xlfn.XLOOKUP($C$1,'Modelling New'!$D:$D,'Modelling New'!$S:$S,0)</f>
        <v>62.735483870967741</v>
      </c>
      <c r="D4" s="82">
        <f>SUMIFS(Input_Raw!$AM:$AM,Input_Raw!$A:$A,"&gt;="&amp;O2Summary!$B$7,Input_Raw!$A:$A,"&lt;="&amp;AnnualKPI!$B$1)</f>
        <v>70.192407293333332</v>
      </c>
      <c r="E4" s="80">
        <f>_xlfn.XLOOKUP($C$1,'Modelling New'!$D:$D,'Modelling New'!$V:$V,0)</f>
        <v>3385.763588560792</v>
      </c>
      <c r="F4" s="83">
        <f>SUMIFS(Input_Raw!$BO:$BO,Input_Raw!$D:$D,"&gt;="&amp;O2Summary!$B$7,Input_Raw!$A:$A,"&lt;="&amp;AnnualKPI!$B$1)/1000</f>
        <v>0</v>
      </c>
      <c r="G4" s="84">
        <f>_xlfn.XLOOKUP($C$1,'Modelling New'!$D:$D,'Modelling New'!$Y:$Y,0)</f>
        <v>9.4515263872906125E-2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 t="e">
        <f>AVERAGEIFS('Daily KPI'!$R:$R,'Daily KPI'!B:B,"&gt;="&amp;AnnualKPI!$A$4,'Daily KPI'!$A:$A,"&gt;="&amp;AnnualKPI!$B$1)</f>
        <v>#DIV/0!</v>
      </c>
      <c r="K4" s="84">
        <f>IFERROR(_xlfn.XLOOKUP($C$1,'Modelling New'!$D:$D,'Modelling New'!AE:AE),"")</f>
        <v>0.995</v>
      </c>
      <c r="L4" s="86" t="e">
        <f>AVERAGEIFS('Daily KPI'!$O:$O,'Daily KPI'!D:D,"&gt;="&amp;AnnualKPI!$A$4,'Daily KPI'!$A:$A,"&gt;="&amp;AnnualKPI!$B$1)</f>
        <v>#DIV/0!</v>
      </c>
      <c r="M4" s="87">
        <f>_xlfn.XLOOKUP($C$1,'Modelling New'!$D:$D,'Modelling New'!O:O)</f>
        <v>0.61467968812449436</v>
      </c>
      <c r="N4" s="85">
        <f>IFERROR(F4/D4/_xlfn.XLOOKUP($C$1,'Modelling New'!$D:$D,'Modelling New'!$AA:$AA),"")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D5" sqref="D5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45872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3</v>
      </c>
      <c r="C4" s="81">
        <f>_xlfn.XLOOKUP($A$4,'Modelling New'!$D:$D,'Modelling New'!$R:$R,0)</f>
        <v>62.735483870967741</v>
      </c>
      <c r="D4" s="82">
        <f>SUMIF(Input_Raw!$D:$D,$A$4,Input_Raw!$AM:$AM)</f>
        <v>55.348140771666678</v>
      </c>
      <c r="E4" s="80">
        <f>_xlfn.XLOOKUP($A$4,'Modelling New'!$D:$D,'Modelling New'!$U:$U,0)</f>
        <v>3385.763588560792</v>
      </c>
      <c r="F4" s="83">
        <f>SUMIFS(Input_Raw!$BO:$BO,Input_Raw!$D:$D,"&gt;="&amp;$A$4,Input_Raw!$A:$A,"&lt;="&amp;MonthlyKPI!$B$1)/1000</f>
        <v>0</v>
      </c>
      <c r="G4" s="84">
        <f>E4/_xlfn.XLOOKUP(A4,'Modelling New'!D:D,'Modelling New'!N:N)/(24*B4)</f>
        <v>0.53558649527980129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>
        <f>AVERAGEIF('Daily KPI'!$D:$D,$A$4,'Daily KPI'!$O:$O)</f>
        <v>0</v>
      </c>
      <c r="M4" s="87">
        <f>_xlfn.XLOOKUP($A$4,'Modelling New'!$D:$D,'Modelling New'!$O:$O,0)</f>
        <v>0.61467968812449436</v>
      </c>
      <c r="N4" s="85">
        <f>IFERROR(F4/D4/(_xlfn.XLOOKUP(A4,'Modelling New'!$D:$D,'Modelling New'!$Z:$Z)),"")</f>
        <v>0</v>
      </c>
      <c r="O4" s="85">
        <f>IFERROR(AVERAGEIF('Daily KPI'!$D:$D,$A$4,'Daily KPI'!$V:$V),"")</f>
        <v>0</v>
      </c>
    </row>
    <row r="6" spans="1:15" ht="29.25" customHeight="1">
      <c r="A6" s="142" t="s">
        <v>57</v>
      </c>
      <c r="B6" s="75">
        <f>B7-6</f>
        <v>45866</v>
      </c>
      <c r="D6" s="25"/>
      <c r="F6" s="25"/>
    </row>
    <row r="7" spans="1:15" ht="29.25" customHeight="1">
      <c r="A7" s="142" t="s">
        <v>58</v>
      </c>
      <c r="B7" s="75">
        <f>B1</f>
        <v>45872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26.654838709677421</v>
      </c>
      <c r="D10" s="82">
        <f>SUMIFS('Daily KPI'!$I:$I,'Daily KPI'!$A:$A,"&gt;="&amp;B6,'Daily KPI'!$A:$A,"&lt;="&amp;B7)</f>
        <v>14.844266521666661</v>
      </c>
      <c r="E10" s="80">
        <f>SUMIFS('Daily KPI'!$AD:$AD,'Daily KPI'!$A:$A,"&gt;="&amp;B6,'Daily KPI'!$A:$A,"&lt;="&amp;B7)/1000</f>
        <v>1662.3118660465614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0.11269605339831879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>
        <f>AVERAGEIFS('Daily KPI'!$R:$R,'Daily KPI'!$A:$A,"&gt;="&amp;B6,'Daily KPI'!$A:$A,"&lt;="&amp;B7)</f>
        <v>0</v>
      </c>
      <c r="K10" s="84">
        <f>_xlfn.XLOOKUP($A$10,'Modelling New'!$D:$D,'Modelling New'!$AE:$AE)</f>
        <v>0.995</v>
      </c>
      <c r="L10" s="85">
        <f>AVERAGEIFS('Daily KPI'!$O:$O,'Daily KPI'!$A:$A,"&gt;="&amp;B6,'Daily KPI'!$A:$A,"&lt;="&amp;B7)</f>
        <v>0</v>
      </c>
      <c r="M10" s="84">
        <f>E10/C10/AVERAGEIFS('Daily KPI'!$AR:$AR,'Daily KPI'!$A:$A,"&gt;="&amp;B6,'Daily KPI'!$A:$A,"&lt;="&amp;B7)</f>
        <v>0.71030018891255509</v>
      </c>
      <c r="N10" s="85">
        <f>IFERROR(F10/D10/AVERAGEIFS('Daily KPI'!$AR:$AR,'Daily KPI'!$A:$A,"&gt;="&amp;B6,'Daily KPI'!$A:$A,"&lt;="&amp;B7),"")</f>
        <v>0</v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I4" sqref="I4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8" si="1">IFERROR(AA2/I2/AB2/1000,"")</f>
        <v/>
      </c>
      <c r="V2" s="240" t="str">
        <f>IFERROR(_xlfn.XLOOKUP($A2,Input_Raw!$A:$A,Input_Raw!$BS:$BS),"")</f>
        <v/>
      </c>
      <c r="W2" s="241">
        <f t="shared" ref="W2:W8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3.6903225806451614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0.61467968812449436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3.6903225806451614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0.61467968812449436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3.6903225806451614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0.61467968812449436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3.6903225806451614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0.61467968812449436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3.6903225806451614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0.61467968812449436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3.6903225806451614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0.61467968812449436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3.6903225806451614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0.61467968812449436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v>0</v>
      </c>
      <c r="H9" s="237">
        <v>0</v>
      </c>
      <c r="I9" s="237">
        <v>0</v>
      </c>
      <c r="J9" s="237">
        <v>0</v>
      </c>
      <c r="K9" s="237">
        <v>0</v>
      </c>
      <c r="L9" s="237">
        <v>0</v>
      </c>
      <c r="M9" s="237">
        <v>0</v>
      </c>
      <c r="N9" s="237">
        <v>0</v>
      </c>
      <c r="O9" s="238">
        <v>0</v>
      </c>
      <c r="P9" s="238">
        <v>0</v>
      </c>
      <c r="Q9" s="239">
        <v>0</v>
      </c>
      <c r="R9" s="238">
        <v>0</v>
      </c>
      <c r="S9" s="234">
        <v>0</v>
      </c>
      <c r="T9" s="239">
        <v>0</v>
      </c>
      <c r="U9" s="240">
        <v>0</v>
      </c>
      <c r="V9" s="240">
        <v>0</v>
      </c>
      <c r="W9" s="241">
        <v>0</v>
      </c>
      <c r="X9" s="233">
        <v>0</v>
      </c>
      <c r="Y9" s="233">
        <v>0</v>
      </c>
      <c r="Z9" s="233">
        <v>0</v>
      </c>
      <c r="AA9" s="233"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3.6903225806451614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0.61467968812449436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v>0</v>
      </c>
      <c r="H10" s="237">
        <v>0</v>
      </c>
      <c r="I10" s="237">
        <v>0</v>
      </c>
      <c r="J10" s="237">
        <v>0</v>
      </c>
      <c r="K10" s="237">
        <v>0</v>
      </c>
      <c r="L10" s="237">
        <v>0</v>
      </c>
      <c r="M10" s="237">
        <v>0</v>
      </c>
      <c r="N10" s="237">
        <v>0</v>
      </c>
      <c r="O10" s="238">
        <v>0</v>
      </c>
      <c r="P10" s="238">
        <v>0</v>
      </c>
      <c r="Q10" s="239">
        <v>0</v>
      </c>
      <c r="R10" s="238">
        <v>0</v>
      </c>
      <c r="S10" s="234">
        <v>0</v>
      </c>
      <c r="T10" s="239">
        <v>0</v>
      </c>
      <c r="U10" s="240">
        <v>0</v>
      </c>
      <c r="V10" s="240">
        <v>0</v>
      </c>
      <c r="W10" s="241">
        <v>0</v>
      </c>
      <c r="X10" s="233">
        <v>0</v>
      </c>
      <c r="Y10" s="233">
        <v>0</v>
      </c>
      <c r="Z10" s="233">
        <v>0</v>
      </c>
      <c r="AA10" s="233"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3.6903225806451614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0.61467968812449436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6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v>0</v>
      </c>
      <c r="H11" s="237">
        <v>0</v>
      </c>
      <c r="I11" s="237">
        <v>0</v>
      </c>
      <c r="J11" s="237">
        <v>0</v>
      </c>
      <c r="K11" s="237">
        <v>0</v>
      </c>
      <c r="L11" s="237">
        <v>0</v>
      </c>
      <c r="M11" s="237">
        <v>0</v>
      </c>
      <c r="N11" s="237">
        <v>0</v>
      </c>
      <c r="O11" s="238">
        <v>0</v>
      </c>
      <c r="P11" s="238">
        <v>0</v>
      </c>
      <c r="Q11" s="239">
        <v>0</v>
      </c>
      <c r="R11" s="238">
        <v>0</v>
      </c>
      <c r="S11" s="234">
        <v>0</v>
      </c>
      <c r="T11" s="239">
        <v>0</v>
      </c>
      <c r="U11" s="240">
        <v>0</v>
      </c>
      <c r="V11" s="240">
        <v>0</v>
      </c>
      <c r="W11" s="241">
        <v>0</v>
      </c>
      <c r="X11" s="233">
        <v>0</v>
      </c>
      <c r="Y11" s="233">
        <v>0</v>
      </c>
      <c r="Z11" s="233">
        <v>0</v>
      </c>
      <c r="AA11" s="233"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3.6903225806451614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0.61467968812449436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6"/>
        <v>0</v>
      </c>
    </row>
    <row r="12" spans="1:45">
      <c r="A12" s="232">
        <f t="shared" ref="A12:A75" si="7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v>0</v>
      </c>
      <c r="H12" s="237">
        <v>0</v>
      </c>
      <c r="I12" s="237">
        <v>0</v>
      </c>
      <c r="J12" s="237">
        <v>0</v>
      </c>
      <c r="K12" s="237">
        <v>0</v>
      </c>
      <c r="L12" s="237">
        <v>0</v>
      </c>
      <c r="M12" s="237">
        <v>0</v>
      </c>
      <c r="N12" s="237">
        <v>0</v>
      </c>
      <c r="O12" s="238">
        <v>0</v>
      </c>
      <c r="P12" s="238">
        <v>0</v>
      </c>
      <c r="Q12" s="239">
        <v>0</v>
      </c>
      <c r="R12" s="238">
        <v>0</v>
      </c>
      <c r="S12" s="234">
        <v>0</v>
      </c>
      <c r="T12" s="239">
        <v>0</v>
      </c>
      <c r="U12" s="240">
        <v>0</v>
      </c>
      <c r="V12" s="240">
        <v>0</v>
      </c>
      <c r="W12" s="241">
        <v>0</v>
      </c>
      <c r="X12" s="233">
        <v>0</v>
      </c>
      <c r="Y12" s="233">
        <v>0</v>
      </c>
      <c r="Z12" s="233">
        <v>0</v>
      </c>
      <c r="AA12" s="233"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3.6903225806451614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0.61467968812449436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6"/>
        <v>69933.734044840705</v>
      </c>
    </row>
    <row r="13" spans="1:45">
      <c r="A13" s="232">
        <f t="shared" si="7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v>0</v>
      </c>
      <c r="H13" s="237">
        <v>0</v>
      </c>
      <c r="I13" s="237">
        <v>0</v>
      </c>
      <c r="J13" s="237">
        <v>0</v>
      </c>
      <c r="K13" s="237">
        <v>0</v>
      </c>
      <c r="L13" s="237">
        <v>0</v>
      </c>
      <c r="M13" s="237">
        <v>0</v>
      </c>
      <c r="N13" s="237">
        <v>0</v>
      </c>
      <c r="O13" s="238">
        <v>0</v>
      </c>
      <c r="P13" s="238">
        <v>0</v>
      </c>
      <c r="Q13" s="239">
        <v>0</v>
      </c>
      <c r="R13" s="238">
        <v>0</v>
      </c>
      <c r="S13" s="234">
        <v>0</v>
      </c>
      <c r="T13" s="239">
        <v>0</v>
      </c>
      <c r="U13" s="240">
        <v>0</v>
      </c>
      <c r="V13" s="240">
        <v>0</v>
      </c>
      <c r="W13" s="241">
        <v>0</v>
      </c>
      <c r="X13" s="233">
        <v>0</v>
      </c>
      <c r="Y13" s="233">
        <v>0</v>
      </c>
      <c r="Z13" s="233">
        <v>0</v>
      </c>
      <c r="AA13" s="233"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3.6903225806451614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0.61467968812449436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6"/>
        <v>69933.734044840705</v>
      </c>
    </row>
    <row r="14" spans="1:45">
      <c r="A14" s="232">
        <f t="shared" si="7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v>0</v>
      </c>
      <c r="H14" s="237">
        <v>0</v>
      </c>
      <c r="I14" s="237">
        <v>0</v>
      </c>
      <c r="J14" s="237">
        <v>0</v>
      </c>
      <c r="K14" s="237">
        <v>0</v>
      </c>
      <c r="L14" s="237">
        <v>0</v>
      </c>
      <c r="M14" s="237">
        <v>0</v>
      </c>
      <c r="N14" s="237">
        <v>0</v>
      </c>
      <c r="O14" s="238">
        <v>0</v>
      </c>
      <c r="P14" s="238">
        <v>0</v>
      </c>
      <c r="Q14" s="239">
        <v>0</v>
      </c>
      <c r="R14" s="238">
        <v>0</v>
      </c>
      <c r="S14" s="234">
        <v>0</v>
      </c>
      <c r="T14" s="239">
        <v>0</v>
      </c>
      <c r="U14" s="240">
        <v>0</v>
      </c>
      <c r="V14" s="240">
        <v>0</v>
      </c>
      <c r="W14" s="241">
        <v>0</v>
      </c>
      <c r="X14" s="233">
        <v>0</v>
      </c>
      <c r="Y14" s="233">
        <v>0</v>
      </c>
      <c r="Z14" s="233">
        <v>0</v>
      </c>
      <c r="AA14" s="233"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3.6903225806451614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0.61467968812449436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6"/>
        <v>69933.734044840705</v>
      </c>
    </row>
    <row r="15" spans="1:45">
      <c r="A15" s="232">
        <f t="shared" si="7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v>0</v>
      </c>
      <c r="H15" s="237">
        <v>0</v>
      </c>
      <c r="I15" s="237">
        <v>0</v>
      </c>
      <c r="J15" s="237">
        <v>0</v>
      </c>
      <c r="K15" s="237">
        <v>0</v>
      </c>
      <c r="L15" s="237">
        <v>0</v>
      </c>
      <c r="M15" s="237">
        <v>0</v>
      </c>
      <c r="N15" s="237">
        <v>0</v>
      </c>
      <c r="O15" s="238">
        <v>0</v>
      </c>
      <c r="P15" s="238">
        <v>0</v>
      </c>
      <c r="Q15" s="239">
        <v>0</v>
      </c>
      <c r="R15" s="238">
        <v>0</v>
      </c>
      <c r="S15" s="234">
        <v>0</v>
      </c>
      <c r="T15" s="239">
        <v>0</v>
      </c>
      <c r="U15" s="240">
        <v>0</v>
      </c>
      <c r="V15" s="240">
        <v>0</v>
      </c>
      <c r="W15" s="241">
        <v>0</v>
      </c>
      <c r="X15" s="233">
        <v>0</v>
      </c>
      <c r="Y15" s="233">
        <v>0</v>
      </c>
      <c r="Z15" s="233">
        <v>0</v>
      </c>
      <c r="AA15" s="233"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3.6903225806451614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0.61467968812449436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6"/>
        <v>69933.734044840705</v>
      </c>
    </row>
    <row r="16" spans="1:45">
      <c r="A16" s="232">
        <f t="shared" si="7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v>0</v>
      </c>
      <c r="H16" s="237">
        <v>0</v>
      </c>
      <c r="I16" s="237">
        <v>0</v>
      </c>
      <c r="J16" s="237">
        <v>0</v>
      </c>
      <c r="K16" s="237">
        <v>0</v>
      </c>
      <c r="L16" s="237">
        <v>0</v>
      </c>
      <c r="M16" s="237">
        <v>0</v>
      </c>
      <c r="N16" s="237">
        <v>0</v>
      </c>
      <c r="O16" s="238">
        <v>0</v>
      </c>
      <c r="P16" s="238">
        <v>0</v>
      </c>
      <c r="Q16" s="239">
        <v>0</v>
      </c>
      <c r="R16" s="238">
        <v>0</v>
      </c>
      <c r="S16" s="234">
        <v>0</v>
      </c>
      <c r="T16" s="239">
        <v>0</v>
      </c>
      <c r="U16" s="240">
        <v>0</v>
      </c>
      <c r="V16" s="240">
        <v>0</v>
      </c>
      <c r="W16" s="241">
        <v>0</v>
      </c>
      <c r="X16" s="233">
        <v>0</v>
      </c>
      <c r="Y16" s="233">
        <v>0</v>
      </c>
      <c r="Z16" s="233">
        <v>0</v>
      </c>
      <c r="AA16" s="233"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3.6903225806451614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0.61467968812449436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6"/>
        <v>69933.734044840705</v>
      </c>
    </row>
    <row r="17" spans="1:45">
      <c r="A17" s="232">
        <f t="shared" si="7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v>0</v>
      </c>
      <c r="H17" s="237">
        <v>0</v>
      </c>
      <c r="I17" s="237">
        <v>0</v>
      </c>
      <c r="J17" s="237">
        <v>0</v>
      </c>
      <c r="K17" s="237">
        <v>0</v>
      </c>
      <c r="L17" s="237">
        <v>0</v>
      </c>
      <c r="M17" s="237">
        <v>0</v>
      </c>
      <c r="N17" s="237">
        <v>0</v>
      </c>
      <c r="O17" s="238">
        <v>0</v>
      </c>
      <c r="P17" s="238">
        <v>0</v>
      </c>
      <c r="Q17" s="239">
        <v>0</v>
      </c>
      <c r="R17" s="238">
        <v>0</v>
      </c>
      <c r="S17" s="234">
        <v>0</v>
      </c>
      <c r="T17" s="239">
        <v>0</v>
      </c>
      <c r="U17" s="240">
        <v>0</v>
      </c>
      <c r="V17" s="240">
        <v>0</v>
      </c>
      <c r="W17" s="241">
        <v>0</v>
      </c>
      <c r="X17" s="233">
        <v>0</v>
      </c>
      <c r="Y17" s="233">
        <v>0</v>
      </c>
      <c r="Z17" s="233">
        <v>0</v>
      </c>
      <c r="AA17" s="233"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3.6903225806451614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0.61467968812449436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6"/>
        <v>69933.734044840705</v>
      </c>
    </row>
    <row r="18" spans="1:45">
      <c r="A18" s="232">
        <f t="shared" si="7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v>0</v>
      </c>
      <c r="H18" s="237">
        <v>0</v>
      </c>
      <c r="I18" s="237">
        <v>0</v>
      </c>
      <c r="J18" s="237">
        <v>0</v>
      </c>
      <c r="K18" s="237">
        <v>0</v>
      </c>
      <c r="L18" s="237">
        <v>0</v>
      </c>
      <c r="M18" s="237">
        <v>0</v>
      </c>
      <c r="N18" s="237">
        <v>0</v>
      </c>
      <c r="O18" s="238">
        <v>0</v>
      </c>
      <c r="P18" s="238">
        <v>0</v>
      </c>
      <c r="Q18" s="239">
        <v>0</v>
      </c>
      <c r="R18" s="238">
        <v>0</v>
      </c>
      <c r="S18" s="234">
        <v>0</v>
      </c>
      <c r="T18" s="239">
        <v>0</v>
      </c>
      <c r="U18" s="240">
        <v>0</v>
      </c>
      <c r="V18" s="240">
        <v>0</v>
      </c>
      <c r="W18" s="241">
        <v>0</v>
      </c>
      <c r="X18" s="233">
        <v>0</v>
      </c>
      <c r="Y18" s="233">
        <v>0</v>
      </c>
      <c r="Z18" s="233">
        <v>0</v>
      </c>
      <c r="AA18" s="233"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3.6903225806451614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0.61467968812449436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6"/>
        <v>69933.734044840705</v>
      </c>
    </row>
    <row r="19" spans="1:45">
      <c r="A19" s="232">
        <f t="shared" si="7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v>0</v>
      </c>
      <c r="H19" s="237">
        <v>0</v>
      </c>
      <c r="I19" s="237">
        <v>0</v>
      </c>
      <c r="J19" s="237">
        <v>0</v>
      </c>
      <c r="K19" s="237">
        <v>0</v>
      </c>
      <c r="L19" s="237">
        <v>0</v>
      </c>
      <c r="M19" s="237">
        <v>0</v>
      </c>
      <c r="N19" s="237">
        <v>0</v>
      </c>
      <c r="O19" s="238">
        <v>0</v>
      </c>
      <c r="P19" s="238">
        <v>0</v>
      </c>
      <c r="Q19" s="239">
        <v>0</v>
      </c>
      <c r="R19" s="238">
        <v>0</v>
      </c>
      <c r="S19" s="234">
        <v>0</v>
      </c>
      <c r="T19" s="239">
        <v>0</v>
      </c>
      <c r="U19" s="240">
        <v>0</v>
      </c>
      <c r="V19" s="240">
        <v>0</v>
      </c>
      <c r="W19" s="241">
        <v>0</v>
      </c>
      <c r="X19" s="233">
        <v>0</v>
      </c>
      <c r="Y19" s="233">
        <v>0</v>
      </c>
      <c r="Z19" s="233">
        <v>0</v>
      </c>
      <c r="AA19" s="233"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3.6903225806451614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0.61467968812449436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6"/>
        <v>69933.734044840705</v>
      </c>
    </row>
    <row r="20" spans="1:45">
      <c r="A20" s="232">
        <f t="shared" si="7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v>0</v>
      </c>
      <c r="H20" s="237">
        <v>0</v>
      </c>
      <c r="I20" s="237">
        <v>0</v>
      </c>
      <c r="J20" s="237">
        <v>0</v>
      </c>
      <c r="K20" s="237">
        <v>0</v>
      </c>
      <c r="L20" s="237">
        <v>0</v>
      </c>
      <c r="M20" s="237">
        <v>0</v>
      </c>
      <c r="N20" s="237">
        <v>0</v>
      </c>
      <c r="O20" s="238">
        <v>0</v>
      </c>
      <c r="P20" s="238">
        <v>0</v>
      </c>
      <c r="Q20" s="239">
        <v>0</v>
      </c>
      <c r="R20" s="238">
        <v>0</v>
      </c>
      <c r="S20" s="234">
        <v>0</v>
      </c>
      <c r="T20" s="239">
        <v>0</v>
      </c>
      <c r="U20" s="240">
        <v>0</v>
      </c>
      <c r="V20" s="240">
        <v>0</v>
      </c>
      <c r="W20" s="241">
        <v>0</v>
      </c>
      <c r="X20" s="233">
        <v>0</v>
      </c>
      <c r="Y20" s="233">
        <v>0</v>
      </c>
      <c r="Z20" s="233">
        <v>0</v>
      </c>
      <c r="AA20" s="233"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3.6903225806451614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0.61467968812449436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6"/>
        <v>69933.734044840705</v>
      </c>
    </row>
    <row r="21" spans="1:45">
      <c r="A21" s="232">
        <f t="shared" si="7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v>0</v>
      </c>
      <c r="H21" s="237">
        <v>0</v>
      </c>
      <c r="I21" s="237">
        <v>0</v>
      </c>
      <c r="J21" s="237">
        <v>0</v>
      </c>
      <c r="K21" s="237">
        <v>0</v>
      </c>
      <c r="L21" s="237">
        <v>0</v>
      </c>
      <c r="M21" s="237">
        <v>0</v>
      </c>
      <c r="N21" s="237">
        <v>0</v>
      </c>
      <c r="O21" s="238">
        <v>0</v>
      </c>
      <c r="P21" s="238">
        <v>0</v>
      </c>
      <c r="Q21" s="239">
        <v>0</v>
      </c>
      <c r="R21" s="238">
        <v>0</v>
      </c>
      <c r="S21" s="234">
        <v>0</v>
      </c>
      <c r="T21" s="239">
        <v>0</v>
      </c>
      <c r="U21" s="240">
        <v>0</v>
      </c>
      <c r="V21" s="240">
        <v>0</v>
      </c>
      <c r="W21" s="241">
        <v>0</v>
      </c>
      <c r="X21" s="233">
        <v>0</v>
      </c>
      <c r="Y21" s="233">
        <v>0</v>
      </c>
      <c r="Z21" s="233">
        <v>0</v>
      </c>
      <c r="AA21" s="233"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3.6903225806451614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0.61467968812449436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6"/>
        <v>69933.734044840705</v>
      </c>
    </row>
    <row r="22" spans="1:45">
      <c r="A22" s="232">
        <f t="shared" si="7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12.016666666666666</v>
      </c>
      <c r="G22" s="237">
        <v>0</v>
      </c>
      <c r="H22" s="237">
        <v>0</v>
      </c>
      <c r="I22" s="237">
        <v>0</v>
      </c>
      <c r="J22" s="237">
        <v>0</v>
      </c>
      <c r="K22" s="237">
        <v>0</v>
      </c>
      <c r="L22" s="237">
        <v>0</v>
      </c>
      <c r="M22" s="237">
        <v>0</v>
      </c>
      <c r="N22" s="237">
        <v>0</v>
      </c>
      <c r="O22" s="238">
        <v>0</v>
      </c>
      <c r="P22" s="238">
        <v>0</v>
      </c>
      <c r="Q22" s="239">
        <v>0</v>
      </c>
      <c r="R22" s="238">
        <v>0</v>
      </c>
      <c r="S22" s="234">
        <v>0</v>
      </c>
      <c r="T22" s="239">
        <v>0</v>
      </c>
      <c r="U22" s="240">
        <v>0</v>
      </c>
      <c r="V22" s="240">
        <v>0</v>
      </c>
      <c r="W22" s="241">
        <v>0</v>
      </c>
      <c r="X22" s="233">
        <v>0</v>
      </c>
      <c r="Y22" s="233">
        <v>0</v>
      </c>
      <c r="Z22" s="233">
        <v>0</v>
      </c>
      <c r="AA22" s="233">
        <v>0</v>
      </c>
      <c r="AB22" s="233">
        <f>IFERROR(_xlfn.XLOOKUP($A22,Input_Raw!$A:$A,Input_Raw!$BP:$BP),"")</f>
        <v>30.83</v>
      </c>
      <c r="AC22" s="242">
        <f>IFERROR(_xlfn.XLOOKUP($D22,'Modelling New'!$D:$D,'Modelling New'!P:P),"")</f>
        <v>3.6903225806451614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0.61467968812449436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6"/>
        <v>69933.734044840705</v>
      </c>
    </row>
    <row r="23" spans="1:45">
      <c r="A23" s="232">
        <f t="shared" si="7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11.566666666666666</v>
      </c>
      <c r="G23" s="237">
        <v>0</v>
      </c>
      <c r="H23" s="237">
        <v>0</v>
      </c>
      <c r="I23" s="237">
        <v>0</v>
      </c>
      <c r="J23" s="237">
        <v>0</v>
      </c>
      <c r="K23" s="237">
        <v>0</v>
      </c>
      <c r="L23" s="237">
        <v>0</v>
      </c>
      <c r="M23" s="237">
        <v>0</v>
      </c>
      <c r="N23" s="237">
        <v>0</v>
      </c>
      <c r="O23" s="238">
        <v>0</v>
      </c>
      <c r="P23" s="238">
        <v>0</v>
      </c>
      <c r="Q23" s="239">
        <v>0</v>
      </c>
      <c r="R23" s="238">
        <v>0</v>
      </c>
      <c r="S23" s="234">
        <v>0</v>
      </c>
      <c r="T23" s="239">
        <v>0</v>
      </c>
      <c r="U23" s="240">
        <v>0</v>
      </c>
      <c r="V23" s="240">
        <v>0</v>
      </c>
      <c r="W23" s="241">
        <v>0</v>
      </c>
      <c r="X23" s="233">
        <v>0</v>
      </c>
      <c r="Y23" s="233">
        <v>0</v>
      </c>
      <c r="Z23" s="233">
        <v>0</v>
      </c>
      <c r="AA23" s="233">
        <v>0</v>
      </c>
      <c r="AB23" s="233">
        <f>IFERROR(_xlfn.XLOOKUP($A23,Input_Raw!$A:$A,Input_Raw!$BP:$BP),"")</f>
        <v>30.83</v>
      </c>
      <c r="AC23" s="242">
        <f>IFERROR(_xlfn.XLOOKUP($D23,'Modelling New'!$D:$D,'Modelling New'!P:P),"")</f>
        <v>3.6903225806451614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0.61467968812449436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6"/>
        <v>69933.734044840705</v>
      </c>
    </row>
    <row r="24" spans="1:45">
      <c r="A24" s="232">
        <f t="shared" si="7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11.683333333333334</v>
      </c>
      <c r="G24" s="237">
        <v>0</v>
      </c>
      <c r="H24" s="237">
        <v>0</v>
      </c>
      <c r="I24" s="237">
        <v>0</v>
      </c>
      <c r="J24" s="237">
        <v>0</v>
      </c>
      <c r="K24" s="237">
        <v>0</v>
      </c>
      <c r="L24" s="237">
        <v>0</v>
      </c>
      <c r="M24" s="237">
        <v>0</v>
      </c>
      <c r="N24" s="237">
        <v>0</v>
      </c>
      <c r="O24" s="238">
        <v>0</v>
      </c>
      <c r="P24" s="238">
        <v>0</v>
      </c>
      <c r="Q24" s="239">
        <v>0</v>
      </c>
      <c r="R24" s="238">
        <v>0</v>
      </c>
      <c r="S24" s="234">
        <v>0</v>
      </c>
      <c r="T24" s="239">
        <v>0</v>
      </c>
      <c r="U24" s="240">
        <v>0</v>
      </c>
      <c r="V24" s="240">
        <v>0</v>
      </c>
      <c r="W24" s="241">
        <v>0</v>
      </c>
      <c r="X24" s="233">
        <v>0</v>
      </c>
      <c r="Y24" s="233">
        <v>0</v>
      </c>
      <c r="Z24" s="233">
        <v>0</v>
      </c>
      <c r="AA24" s="233">
        <v>0</v>
      </c>
      <c r="AB24" s="233">
        <f>IFERROR(_xlfn.XLOOKUP($A24,Input_Raw!$A:$A,Input_Raw!$BP:$BP),"")</f>
        <v>30.83</v>
      </c>
      <c r="AC24" s="242">
        <f>IFERROR(_xlfn.XLOOKUP($D24,'Modelling New'!$D:$D,'Modelling New'!P:P),"")</f>
        <v>3.6903225806451614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0.61467968812449436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6"/>
        <v>69933.734044840705</v>
      </c>
    </row>
    <row r="25" spans="1:45">
      <c r="A25" s="232">
        <f t="shared" si="7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12.183333333333335</v>
      </c>
      <c r="G25" s="237">
        <v>0</v>
      </c>
      <c r="H25" s="237">
        <v>0</v>
      </c>
      <c r="I25" s="237">
        <v>0</v>
      </c>
      <c r="J25" s="237">
        <v>0</v>
      </c>
      <c r="K25" s="237">
        <v>0</v>
      </c>
      <c r="L25" s="237">
        <v>0</v>
      </c>
      <c r="M25" s="237">
        <v>0</v>
      </c>
      <c r="N25" s="237">
        <v>0</v>
      </c>
      <c r="O25" s="238">
        <v>0</v>
      </c>
      <c r="P25" s="238">
        <v>0</v>
      </c>
      <c r="Q25" s="239">
        <v>0</v>
      </c>
      <c r="R25" s="238">
        <v>0</v>
      </c>
      <c r="S25" s="234">
        <v>0</v>
      </c>
      <c r="T25" s="239">
        <v>0</v>
      </c>
      <c r="U25" s="240">
        <v>0</v>
      </c>
      <c r="V25" s="240">
        <v>0</v>
      </c>
      <c r="W25" s="241">
        <v>0</v>
      </c>
      <c r="X25" s="233">
        <v>0</v>
      </c>
      <c r="Y25" s="233">
        <v>0</v>
      </c>
      <c r="Z25" s="233">
        <v>0</v>
      </c>
      <c r="AA25" s="233">
        <v>0</v>
      </c>
      <c r="AB25" s="233">
        <f>IFERROR(_xlfn.XLOOKUP($A25,Input_Raw!$A:$A,Input_Raw!$BP:$BP),"")</f>
        <v>30.83</v>
      </c>
      <c r="AC25" s="242">
        <f>IFERROR(_xlfn.XLOOKUP($D25,'Modelling New'!$D:$D,'Modelling New'!P:P),"")</f>
        <v>3.6903225806451614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0.61467968812449436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6"/>
        <v>69933.734044840705</v>
      </c>
    </row>
    <row r="26" spans="1:45">
      <c r="A26" s="232">
        <f t="shared" si="7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11.65</v>
      </c>
      <c r="G26" s="237">
        <v>0</v>
      </c>
      <c r="H26" s="237">
        <v>0</v>
      </c>
      <c r="I26" s="237">
        <v>0</v>
      </c>
      <c r="J26" s="237">
        <v>0</v>
      </c>
      <c r="K26" s="237">
        <v>0</v>
      </c>
      <c r="L26" s="237">
        <v>0</v>
      </c>
      <c r="M26" s="237">
        <v>0</v>
      </c>
      <c r="N26" s="237">
        <v>0</v>
      </c>
      <c r="O26" s="238">
        <v>0</v>
      </c>
      <c r="P26" s="238">
        <v>0</v>
      </c>
      <c r="Q26" s="239">
        <v>0</v>
      </c>
      <c r="R26" s="238">
        <v>0</v>
      </c>
      <c r="S26" s="234">
        <v>0</v>
      </c>
      <c r="T26" s="239">
        <v>0</v>
      </c>
      <c r="U26" s="240">
        <v>0</v>
      </c>
      <c r="V26" s="240">
        <v>0</v>
      </c>
      <c r="W26" s="241">
        <v>0</v>
      </c>
      <c r="X26" s="233">
        <v>0</v>
      </c>
      <c r="Y26" s="233">
        <v>0</v>
      </c>
      <c r="Z26" s="233">
        <v>0</v>
      </c>
      <c r="AA26" s="233">
        <v>0</v>
      </c>
      <c r="AB26" s="233">
        <f>IFERROR(_xlfn.XLOOKUP($A26,Input_Raw!$A:$A,Input_Raw!$BP:$BP),"")</f>
        <v>30.83</v>
      </c>
      <c r="AC26" s="242">
        <f>IFERROR(_xlfn.XLOOKUP($D26,'Modelling New'!$D:$D,'Modelling New'!P:P),"")</f>
        <v>3.6903225806451614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0.61467968812449436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6"/>
        <v>69933.734044840705</v>
      </c>
    </row>
    <row r="27" spans="1:45">
      <c r="A27" s="232">
        <f t="shared" si="7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10.566666666666666</v>
      </c>
      <c r="G27" s="237">
        <v>0</v>
      </c>
      <c r="H27" s="237">
        <v>0</v>
      </c>
      <c r="I27" s="237">
        <v>0</v>
      </c>
      <c r="J27" s="237">
        <v>0</v>
      </c>
      <c r="K27" s="237">
        <v>0</v>
      </c>
      <c r="L27" s="237">
        <v>0</v>
      </c>
      <c r="M27" s="237">
        <v>0</v>
      </c>
      <c r="N27" s="237">
        <v>0</v>
      </c>
      <c r="O27" s="238">
        <v>0</v>
      </c>
      <c r="P27" s="238">
        <v>0</v>
      </c>
      <c r="Q27" s="239">
        <v>0</v>
      </c>
      <c r="R27" s="238">
        <v>0</v>
      </c>
      <c r="S27" s="234">
        <v>0</v>
      </c>
      <c r="T27" s="239">
        <v>0</v>
      </c>
      <c r="U27" s="240">
        <v>0</v>
      </c>
      <c r="V27" s="240">
        <v>0</v>
      </c>
      <c r="W27" s="241">
        <v>0</v>
      </c>
      <c r="X27" s="233">
        <v>0</v>
      </c>
      <c r="Y27" s="233">
        <v>0</v>
      </c>
      <c r="Z27" s="233">
        <v>0</v>
      </c>
      <c r="AA27" s="233">
        <v>0</v>
      </c>
      <c r="AB27" s="233">
        <f>IFERROR(_xlfn.XLOOKUP($A27,Input_Raw!$A:$A,Input_Raw!$BP:$BP),"")</f>
        <v>30.83</v>
      </c>
      <c r="AC27" s="242">
        <f>IFERROR(_xlfn.XLOOKUP($D27,'Modelling New'!$D:$D,'Modelling New'!P:P),"")</f>
        <v>3.6903225806451614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0.61467968812449436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6"/>
        <v>69933.734044840705</v>
      </c>
    </row>
    <row r="28" spans="1:45">
      <c r="A28" s="232">
        <f t="shared" si="7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12.033333333333333</v>
      </c>
      <c r="G28" s="237">
        <v>0</v>
      </c>
      <c r="H28" s="237">
        <v>0</v>
      </c>
      <c r="I28" s="237">
        <v>0</v>
      </c>
      <c r="J28" s="237">
        <v>0</v>
      </c>
      <c r="K28" s="237">
        <v>0</v>
      </c>
      <c r="L28" s="237">
        <v>0</v>
      </c>
      <c r="M28" s="237">
        <v>0</v>
      </c>
      <c r="N28" s="237">
        <v>0</v>
      </c>
      <c r="O28" s="238">
        <v>0</v>
      </c>
      <c r="P28" s="238">
        <v>0</v>
      </c>
      <c r="Q28" s="239">
        <v>0</v>
      </c>
      <c r="R28" s="238">
        <v>0</v>
      </c>
      <c r="S28" s="234">
        <v>0</v>
      </c>
      <c r="T28" s="239">
        <v>0</v>
      </c>
      <c r="U28" s="240">
        <v>0</v>
      </c>
      <c r="V28" s="240">
        <v>0</v>
      </c>
      <c r="W28" s="241">
        <v>0</v>
      </c>
      <c r="X28" s="233">
        <v>0</v>
      </c>
      <c r="Y28" s="233">
        <v>0</v>
      </c>
      <c r="Z28" s="233">
        <v>0</v>
      </c>
      <c r="AA28" s="233">
        <v>0</v>
      </c>
      <c r="AB28" s="233">
        <f>IFERROR(_xlfn.XLOOKUP($A28,Input_Raw!$A:$A,Input_Raw!$BP:$BP),"")</f>
        <v>30.83</v>
      </c>
      <c r="AC28" s="242">
        <f>IFERROR(_xlfn.XLOOKUP($D28,'Modelling New'!$D:$D,'Modelling New'!P:P),"")</f>
        <v>3.6903225806451614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0.61467968812449436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6"/>
        <v>69933.734044840705</v>
      </c>
    </row>
    <row r="29" spans="1:45">
      <c r="A29" s="232">
        <f t="shared" si="7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12.333333333333332</v>
      </c>
      <c r="G29" s="237">
        <v>0</v>
      </c>
      <c r="H29" s="237">
        <v>0</v>
      </c>
      <c r="I29" s="237">
        <v>0</v>
      </c>
      <c r="J29" s="237">
        <v>0</v>
      </c>
      <c r="K29" s="237">
        <v>0</v>
      </c>
      <c r="L29" s="237">
        <v>0</v>
      </c>
      <c r="M29" s="237">
        <v>0</v>
      </c>
      <c r="N29" s="237">
        <v>0</v>
      </c>
      <c r="O29" s="238">
        <v>0</v>
      </c>
      <c r="P29" s="238">
        <v>0</v>
      </c>
      <c r="Q29" s="239">
        <v>0</v>
      </c>
      <c r="R29" s="238">
        <v>0</v>
      </c>
      <c r="S29" s="234">
        <v>0</v>
      </c>
      <c r="T29" s="239">
        <v>0</v>
      </c>
      <c r="U29" s="240">
        <v>0</v>
      </c>
      <c r="V29" s="240">
        <v>0</v>
      </c>
      <c r="W29" s="241">
        <v>0</v>
      </c>
      <c r="X29" s="233">
        <v>0</v>
      </c>
      <c r="Y29" s="233">
        <v>0</v>
      </c>
      <c r="Z29" s="233">
        <v>0</v>
      </c>
      <c r="AA29" s="233">
        <v>0</v>
      </c>
      <c r="AB29" s="233">
        <f>IFERROR(_xlfn.XLOOKUP($A29,Input_Raw!$A:$A,Input_Raw!$BP:$BP),"")</f>
        <v>30.83</v>
      </c>
      <c r="AC29" s="242">
        <f>IFERROR(_xlfn.XLOOKUP($D29,'Modelling New'!$D:$D,'Modelling New'!P:P),"")</f>
        <v>3.6903225806451614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0.61467968812449436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6"/>
        <v>69933.734044840705</v>
      </c>
    </row>
    <row r="30" spans="1:45">
      <c r="A30" s="232">
        <f t="shared" si="7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11.65</v>
      </c>
      <c r="G30" s="237">
        <v>0</v>
      </c>
      <c r="H30" s="237">
        <v>0</v>
      </c>
      <c r="I30" s="237">
        <v>0</v>
      </c>
      <c r="J30" s="237">
        <v>0</v>
      </c>
      <c r="K30" s="237">
        <v>0</v>
      </c>
      <c r="L30" s="237">
        <v>0</v>
      </c>
      <c r="M30" s="237">
        <v>0</v>
      </c>
      <c r="N30" s="237">
        <v>0</v>
      </c>
      <c r="O30" s="238">
        <v>0</v>
      </c>
      <c r="P30" s="238">
        <v>0</v>
      </c>
      <c r="Q30" s="239">
        <v>0</v>
      </c>
      <c r="R30" s="238">
        <v>0</v>
      </c>
      <c r="S30" s="234">
        <v>0</v>
      </c>
      <c r="T30" s="239">
        <v>0</v>
      </c>
      <c r="U30" s="240">
        <v>0</v>
      </c>
      <c r="V30" s="240">
        <v>0</v>
      </c>
      <c r="W30" s="241">
        <v>0</v>
      </c>
      <c r="X30" s="233">
        <v>0</v>
      </c>
      <c r="Y30" s="233">
        <v>0</v>
      </c>
      <c r="Z30" s="233">
        <v>0</v>
      </c>
      <c r="AA30" s="233">
        <v>0</v>
      </c>
      <c r="AB30" s="233">
        <f>IFERROR(_xlfn.XLOOKUP($A30,Input_Raw!$A:$A,Input_Raw!$BP:$BP),"")</f>
        <v>30.83</v>
      </c>
      <c r="AC30" s="242">
        <f>IFERROR(_xlfn.XLOOKUP($D30,'Modelling New'!$D:$D,'Modelling New'!P:P),"")</f>
        <v>3.6903225806451614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0.61467968812449436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6"/>
        <v>69933.734044840705</v>
      </c>
    </row>
    <row r="31" spans="1:45">
      <c r="A31" s="232">
        <f t="shared" si="7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12</v>
      </c>
      <c r="G31" s="237">
        <v>0</v>
      </c>
      <c r="H31" s="237">
        <v>0</v>
      </c>
      <c r="I31" s="237">
        <v>0</v>
      </c>
      <c r="J31" s="237">
        <v>0</v>
      </c>
      <c r="K31" s="237">
        <v>0</v>
      </c>
      <c r="L31" s="237">
        <v>0</v>
      </c>
      <c r="M31" s="237">
        <v>0</v>
      </c>
      <c r="N31" s="237">
        <v>0</v>
      </c>
      <c r="O31" s="238">
        <v>0</v>
      </c>
      <c r="P31" s="238">
        <v>0</v>
      </c>
      <c r="Q31" s="239">
        <v>0</v>
      </c>
      <c r="R31" s="238">
        <v>0</v>
      </c>
      <c r="S31" s="234">
        <v>0</v>
      </c>
      <c r="T31" s="239">
        <v>0</v>
      </c>
      <c r="U31" s="240">
        <v>0</v>
      </c>
      <c r="V31" s="240">
        <v>0</v>
      </c>
      <c r="W31" s="241">
        <v>0</v>
      </c>
      <c r="X31" s="233">
        <v>0</v>
      </c>
      <c r="Y31" s="233">
        <v>0</v>
      </c>
      <c r="Z31" s="233">
        <v>0</v>
      </c>
      <c r="AA31" s="233">
        <v>0</v>
      </c>
      <c r="AB31" s="233">
        <f>IFERROR(_xlfn.XLOOKUP($A31,Input_Raw!$A:$A,Input_Raw!$BP:$BP),"")</f>
        <v>31.34</v>
      </c>
      <c r="AC31" s="242">
        <f>IFERROR(_xlfn.XLOOKUP($D31,'Modelling New'!$D:$D,'Modelling New'!P:P),"")</f>
        <v>3.6903225806451614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0.61467968812449436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6"/>
        <v>71090.600874645083</v>
      </c>
    </row>
    <row r="32" spans="1:45">
      <c r="A32" s="232">
        <f t="shared" si="7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11.75</v>
      </c>
      <c r="G32" s="237">
        <v>0</v>
      </c>
      <c r="H32" s="237">
        <v>0</v>
      </c>
      <c r="I32" s="237">
        <v>0</v>
      </c>
      <c r="J32" s="237">
        <v>0</v>
      </c>
      <c r="K32" s="237">
        <v>0</v>
      </c>
      <c r="L32" s="237">
        <v>0</v>
      </c>
      <c r="M32" s="237">
        <v>0</v>
      </c>
      <c r="N32" s="237">
        <v>0</v>
      </c>
      <c r="O32" s="238">
        <v>0</v>
      </c>
      <c r="P32" s="238">
        <v>0</v>
      </c>
      <c r="Q32" s="239">
        <v>0</v>
      </c>
      <c r="R32" s="238">
        <v>0</v>
      </c>
      <c r="S32" s="234">
        <v>0</v>
      </c>
      <c r="T32" s="239">
        <v>0</v>
      </c>
      <c r="U32" s="240">
        <v>0</v>
      </c>
      <c r="V32" s="240">
        <v>0</v>
      </c>
      <c r="W32" s="241">
        <v>0</v>
      </c>
      <c r="X32" s="233">
        <v>0</v>
      </c>
      <c r="Y32" s="233">
        <v>0</v>
      </c>
      <c r="Z32" s="233">
        <v>0</v>
      </c>
      <c r="AA32" s="233">
        <v>0</v>
      </c>
      <c r="AB32" s="233">
        <f>IFERROR(_xlfn.XLOOKUP($A32,Input_Raw!$A:$A,Input_Raw!$BP:$BP),"")</f>
        <v>31.34</v>
      </c>
      <c r="AC32" s="242">
        <f>IFERROR(_xlfn.XLOOKUP($D32,'Modelling New'!$D:$D,'Modelling New'!P:P),"")</f>
        <v>3.6903225806451614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0.61467968812449436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6"/>
        <v>71090.600874645083</v>
      </c>
    </row>
    <row r="33" spans="1:45">
      <c r="A33" s="232">
        <f t="shared" si="7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12.283333333333335</v>
      </c>
      <c r="G33" s="237">
        <f>IFERROR(_xlfn.XLOOKUP($A33,Input_Raw!$A:$A,Input_Raw!$AN:$AN),"")</f>
        <v>4.9725310983333326</v>
      </c>
      <c r="H33" s="237"/>
      <c r="I33" s="237">
        <f>IFERROR(_xlfn.XLOOKUP($A33,Input_Raw!$A:$A,Input_Raw!$AM:$AM),"")</f>
        <v>5.0064395583333319</v>
      </c>
      <c r="J33" s="237"/>
      <c r="K33" s="237">
        <f>IFERROR(_xlfn.XLOOKUP($A33,Input_Raw!$A:$A,Input_Raw!AO:AO),"")</f>
        <v>26.087876422764218</v>
      </c>
      <c r="L33" s="237">
        <f>IFERROR(_xlfn.XLOOKUP($A33,Input_Raw!$A:$A,Input_Raw!AP:AP),"")</f>
        <v>35.652117615176145</v>
      </c>
      <c r="M33" s="237">
        <f>IFERROR(_xlfn.XLOOKUP($A33,Input_Raw!$A:$A,Input_Raw!AS:AS),"")</f>
        <v>3.9983468834688356</v>
      </c>
      <c r="N33" s="237">
        <f>IFERROR(_xlfn.XLOOKUP($A33,Input_Raw!$A:$A,Input_Raw!AT:AT),"")</f>
        <v>7.29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>
        <f t="shared" ref="U33:U73" si="8">IFERROR(AA33/I33/AB33/1000,"")</f>
        <v>0</v>
      </c>
      <c r="V33" s="240" t="str">
        <f>IFERROR(_xlfn.XLOOKUP($A33,Input_Raw!$A:$A,Input_Raw!$BS:$BS),"")</f>
        <v/>
      </c>
      <c r="W33" s="241">
        <f t="shared" ref="W33:W73" si="9">IFERROR(AA33/(24*AR33*1000),"")</f>
        <v>0</v>
      </c>
      <c r="X33" s="233">
        <f>IFERROR(_xlfn.XLOOKUP($A33,Input_Raw!$A:$A,Input_Raw!$AW:$AW),"")</f>
        <v>140099.79999999999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31.34</v>
      </c>
      <c r="AC33" s="242">
        <f>IFERROR(_xlfn.XLOOKUP($D33,'Modelling New'!$D:$D,'Modelling New'!P:P),"")</f>
        <v>3.9645161290322584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0.82897646002895486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6"/>
        <v>102998.61372332532</v>
      </c>
    </row>
    <row r="34" spans="1:45">
      <c r="A34" s="232">
        <f t="shared" si="7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12.466666666666665</v>
      </c>
      <c r="G34" s="237">
        <f>IFERROR(_xlfn.XLOOKUP($A34,Input_Raw!$A:$A,Input_Raw!$AN:$AN),"")</f>
        <v>5.0001174200000076</v>
      </c>
      <c r="H34" s="237"/>
      <c r="I34" s="237">
        <f>IFERROR(_xlfn.XLOOKUP($A34,Input_Raw!$A:$A,Input_Raw!$AM:$AM),"")</f>
        <v>5.0494877983333293</v>
      </c>
      <c r="J34" s="237"/>
      <c r="K34" s="237">
        <f>IFERROR(_xlfn.XLOOKUP($A34,Input_Raw!$A:$A,Input_Raw!AO:AO),"")</f>
        <v>26.408362216288374</v>
      </c>
      <c r="L34" s="237">
        <f>IFERROR(_xlfn.XLOOKUP($A34,Input_Raw!$A:$A,Input_Raw!AP:AP),"")</f>
        <v>36.44592817089454</v>
      </c>
      <c r="M34" s="237">
        <f>IFERROR(_xlfn.XLOOKUP($A34,Input_Raw!$A:$A,Input_Raw!AS:AS),"")</f>
        <v>3.2250867823765077</v>
      </c>
      <c r="N34" s="237">
        <f>IFERROR(_xlfn.XLOOKUP($A34,Input_Raw!$A:$A,Input_Raw!AT:AT),"")</f>
        <v>6.69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>
        <f t="shared" si="8"/>
        <v>0</v>
      </c>
      <c r="V34" s="240" t="str">
        <f>IFERROR(_xlfn.XLOOKUP($A34,Input_Raw!$A:$A,Input_Raw!$BS:$BS),"")</f>
        <v/>
      </c>
      <c r="W34" s="241">
        <f t="shared" si="9"/>
        <v>0</v>
      </c>
      <c r="X34" s="233">
        <f>IFERROR(_xlfn.XLOOKUP($A34,Input_Raw!$A:$A,Input_Raw!$AW:$AW),"")</f>
        <v>139125.70000000001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31.34</v>
      </c>
      <c r="AC34" s="242">
        <f>IFERROR(_xlfn.XLOOKUP($D34,'Modelling New'!$D:$D,'Modelling New'!P:P),"")</f>
        <v>3.9645161290322584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0.82897646002895486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6"/>
        <v>102998.61372332532</v>
      </c>
    </row>
    <row r="35" spans="1:45">
      <c r="A35" s="232">
        <f t="shared" si="7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12.150000000000002</v>
      </c>
      <c r="G35" s="237">
        <f>IFERROR(_xlfn.XLOOKUP($A35,Input_Raw!$A:$A,Input_Raw!$AN:$AN),"")</f>
        <v>4.7682604999999976</v>
      </c>
      <c r="H35" s="237"/>
      <c r="I35" s="237">
        <f>IFERROR(_xlfn.XLOOKUP($A35,Input_Raw!$A:$A,Input_Raw!$AM:$AM),"")</f>
        <v>4.7883391649999991</v>
      </c>
      <c r="J35" s="237"/>
      <c r="K35" s="237">
        <f>IFERROR(_xlfn.XLOOKUP($A35,Input_Raw!$A:$A,Input_Raw!AO:AO),"")</f>
        <v>26.73424821917807</v>
      </c>
      <c r="L35" s="237">
        <f>IFERROR(_xlfn.XLOOKUP($A35,Input_Raw!$A:$A,Input_Raw!AP:AP),"")</f>
        <v>37.393541643835583</v>
      </c>
      <c r="M35" s="237">
        <f>IFERROR(_xlfn.XLOOKUP($A35,Input_Raw!$A:$A,Input_Raw!AS:AS),"")</f>
        <v>2.5641232876712339</v>
      </c>
      <c r="N35" s="237">
        <f>IFERROR(_xlfn.XLOOKUP($A35,Input_Raw!$A:$A,Input_Raw!AT:AT),"")</f>
        <v>5.89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>
        <f t="shared" si="8"/>
        <v>0</v>
      </c>
      <c r="V35" s="240" t="str">
        <f>IFERROR(_xlfn.XLOOKUP($A35,Input_Raw!$A:$A,Input_Raw!$BS:$BS),"")</f>
        <v/>
      </c>
      <c r="W35" s="241">
        <f t="shared" si="9"/>
        <v>0</v>
      </c>
      <c r="X35" s="233">
        <f>IFERROR(_xlfn.XLOOKUP($A35,Input_Raw!$A:$A,Input_Raw!$AW:$AW),"")</f>
        <v>128951.7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31.34</v>
      </c>
      <c r="AC35" s="242">
        <f>IFERROR(_xlfn.XLOOKUP($D35,'Modelling New'!$D:$D,'Modelling New'!P:P),"")</f>
        <v>3.9645161290322584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0.82897646002895486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6"/>
        <v>102998.61372332532</v>
      </c>
    </row>
    <row r="36" spans="1:45">
      <c r="A36" s="232">
        <f t="shared" si="7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8"/>
        <v/>
      </c>
      <c r="V36" s="240" t="str">
        <f>IFERROR(_xlfn.XLOOKUP($A36,Input_Raw!$A:$A,Input_Raw!$BS:$BS),"")</f>
        <v/>
      </c>
      <c r="W36" s="241">
        <f t="shared" si="9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3.9645161290322584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0.82897646002895486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6"/>
        <v>0</v>
      </c>
    </row>
    <row r="37" spans="1:45">
      <c r="A37" s="232">
        <f t="shared" si="7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8"/>
        <v/>
      </c>
      <c r="V37" s="240" t="str">
        <f>IFERROR(_xlfn.XLOOKUP($A37,Input_Raw!$A:$A,Input_Raw!$BS:$BS),"")</f>
        <v/>
      </c>
      <c r="W37" s="241">
        <f t="shared" si="9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3.9645161290322584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0.82897646002895486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6"/>
        <v>0</v>
      </c>
    </row>
    <row r="38" spans="1:45">
      <c r="A38" s="232">
        <f t="shared" si="7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8"/>
        <v/>
      </c>
      <c r="V38" s="240" t="str">
        <f>IFERROR(_xlfn.XLOOKUP($A38,Input_Raw!$A:$A,Input_Raw!$BS:$BS),"")</f>
        <v/>
      </c>
      <c r="W38" s="241">
        <f t="shared" si="9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3.9645161290322584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0.82897646002895486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6"/>
        <v>0</v>
      </c>
    </row>
    <row r="39" spans="1:45">
      <c r="A39" s="232">
        <f t="shared" si="7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8"/>
        <v/>
      </c>
      <c r="V39" s="240" t="str">
        <f>IFERROR(_xlfn.XLOOKUP($A39,Input_Raw!$A:$A,Input_Raw!$BS:$BS),"")</f>
        <v/>
      </c>
      <c r="W39" s="241">
        <f t="shared" si="9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3.9645161290322584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0.82897646002895486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6"/>
        <v>0</v>
      </c>
    </row>
    <row r="40" spans="1:45">
      <c r="A40" s="232">
        <f t="shared" si="7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8"/>
        <v/>
      </c>
      <c r="V40" s="240" t="str">
        <f>IFERROR(_xlfn.XLOOKUP($A40,Input_Raw!$A:$A,Input_Raw!$BS:$BS),"")</f>
        <v/>
      </c>
      <c r="W40" s="241">
        <f t="shared" si="9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3.9645161290322584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0.82897646002895486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6"/>
        <v>0</v>
      </c>
    </row>
    <row r="41" spans="1:45">
      <c r="A41" s="232">
        <f t="shared" si="7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8"/>
        <v/>
      </c>
      <c r="V41" s="240" t="str">
        <f>IFERROR(_xlfn.XLOOKUP($A41,Input_Raw!$A:$A,Input_Raw!$BS:$BS),"")</f>
        <v/>
      </c>
      <c r="W41" s="241">
        <f t="shared" si="9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3.9645161290322584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0.82897646002895486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6"/>
        <v>0</v>
      </c>
    </row>
    <row r="42" spans="1:45">
      <c r="A42" s="232">
        <f t="shared" si="7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8"/>
        <v/>
      </c>
      <c r="V42" s="240" t="str">
        <f>IFERROR(_xlfn.XLOOKUP($A42,Input_Raw!$A:$A,Input_Raw!$BS:$BS),"")</f>
        <v/>
      </c>
      <c r="W42" s="241">
        <f t="shared" si="9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3.9645161290322584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0.82897646002895486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6"/>
        <v>0</v>
      </c>
    </row>
    <row r="43" spans="1:45">
      <c r="A43" s="232">
        <f t="shared" si="7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8"/>
        <v/>
      </c>
      <c r="V43" s="240" t="str">
        <f>IFERROR(_xlfn.XLOOKUP($A43,Input_Raw!$A:$A,Input_Raw!$BS:$BS),"")</f>
        <v/>
      </c>
      <c r="W43" s="241">
        <f t="shared" si="9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3.9645161290322584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0.82897646002895486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6"/>
        <v>0</v>
      </c>
    </row>
    <row r="44" spans="1:45">
      <c r="A44" s="232">
        <f t="shared" si="7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8"/>
        <v/>
      </c>
      <c r="V44" s="240" t="str">
        <f>IFERROR(_xlfn.XLOOKUP($A44,Input_Raw!$A:$A,Input_Raw!$BS:$BS),"")</f>
        <v/>
      </c>
      <c r="W44" s="241">
        <f t="shared" si="9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3.9645161290322584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0.82897646002895486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6"/>
        <v>0</v>
      </c>
    </row>
    <row r="45" spans="1:45">
      <c r="A45" s="232">
        <f t="shared" si="7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8"/>
        <v/>
      </c>
      <c r="V45" s="240" t="str">
        <f>IFERROR(_xlfn.XLOOKUP($A45,Input_Raw!$A:$A,Input_Raw!$BS:$BS),"")</f>
        <v/>
      </c>
      <c r="W45" s="241">
        <f t="shared" si="9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3.9645161290322584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0.82897646002895486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6"/>
        <v>0</v>
      </c>
    </row>
    <row r="46" spans="1:45">
      <c r="A46" s="232">
        <f t="shared" si="7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8"/>
        <v/>
      </c>
      <c r="V46" s="240" t="str">
        <f>IFERROR(_xlfn.XLOOKUP($A46,Input_Raw!$A:$A,Input_Raw!$BS:$BS),"")</f>
        <v/>
      </c>
      <c r="W46" s="241">
        <f t="shared" si="9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3.9645161290322584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0.82897646002895486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6"/>
        <v>0</v>
      </c>
    </row>
    <row r="47" spans="1:45">
      <c r="A47" s="232">
        <f t="shared" si="7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8"/>
        <v/>
      </c>
      <c r="V47" s="240" t="str">
        <f>IFERROR(_xlfn.XLOOKUP($A47,Input_Raw!$A:$A,Input_Raw!$BS:$BS),"")</f>
        <v/>
      </c>
      <c r="W47" s="241">
        <f t="shared" si="9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3.9645161290322584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0.82897646002895486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6"/>
        <v>0</v>
      </c>
    </row>
    <row r="48" spans="1:45">
      <c r="A48" s="232">
        <f t="shared" si="7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8"/>
        <v/>
      </c>
      <c r="V48" s="240" t="str">
        <f>IFERROR(_xlfn.XLOOKUP($A48,Input_Raw!$A:$A,Input_Raw!$BS:$BS),"")</f>
        <v/>
      </c>
      <c r="W48" s="241">
        <f t="shared" si="9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3.9645161290322584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0.82897646002895486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6"/>
        <v>0</v>
      </c>
    </row>
    <row r="49" spans="1:45">
      <c r="A49" s="232">
        <f t="shared" si="7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8"/>
        <v/>
      </c>
      <c r="V49" s="240" t="str">
        <f>IFERROR(_xlfn.XLOOKUP($A49,Input_Raw!$A:$A,Input_Raw!$BS:$BS),"")</f>
        <v/>
      </c>
      <c r="W49" s="241">
        <f t="shared" si="9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3.9645161290322584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0.82897646002895486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6"/>
        <v>0</v>
      </c>
    </row>
    <row r="50" spans="1:45">
      <c r="A50" s="232">
        <f t="shared" si="7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8"/>
        <v/>
      </c>
      <c r="V50" s="240" t="str">
        <f>IFERROR(_xlfn.XLOOKUP($A50,Input_Raw!$A:$A,Input_Raw!$BS:$BS),"")</f>
        <v/>
      </c>
      <c r="W50" s="241">
        <f t="shared" si="9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3.9645161290322584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0.82897646002895486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6"/>
        <v>0</v>
      </c>
    </row>
    <row r="51" spans="1:45">
      <c r="A51" s="232">
        <f t="shared" si="7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8"/>
        <v/>
      </c>
      <c r="V51" s="240" t="str">
        <f>IFERROR(_xlfn.XLOOKUP($A51,Input_Raw!$A:$A,Input_Raw!$BS:$BS),"")</f>
        <v/>
      </c>
      <c r="W51" s="241">
        <f t="shared" si="9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3.9645161290322584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0.82897646002895486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6"/>
        <v>0</v>
      </c>
    </row>
    <row r="52" spans="1:45">
      <c r="A52" s="232">
        <f t="shared" si="7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8"/>
        <v/>
      </c>
      <c r="V52" s="240" t="str">
        <f>IFERROR(_xlfn.XLOOKUP($A52,Input_Raw!$A:$A,Input_Raw!$BS:$BS),"")</f>
        <v/>
      </c>
      <c r="W52" s="241">
        <f t="shared" si="9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3.9645161290322584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0.82897646002895486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6"/>
        <v>0</v>
      </c>
    </row>
    <row r="53" spans="1:45">
      <c r="A53" s="232">
        <f t="shared" si="7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8"/>
        <v/>
      </c>
      <c r="V53" s="240" t="str">
        <f>IFERROR(_xlfn.XLOOKUP($A53,Input_Raw!$A:$A,Input_Raw!$BS:$BS),"")</f>
        <v/>
      </c>
      <c r="W53" s="241">
        <f t="shared" si="9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3.9645161290322584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0.82897646002895486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6"/>
        <v>0</v>
      </c>
    </row>
    <row r="54" spans="1:45">
      <c r="A54" s="232">
        <f t="shared" si="7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8"/>
        <v/>
      </c>
      <c r="V54" s="240" t="str">
        <f>IFERROR(_xlfn.XLOOKUP($A54,Input_Raw!$A:$A,Input_Raw!$BS:$BS),"")</f>
        <v/>
      </c>
      <c r="W54" s="241">
        <f t="shared" si="9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3.9645161290322584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0.82897646002895486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6"/>
        <v>0</v>
      </c>
    </row>
    <row r="55" spans="1:45">
      <c r="A55" s="232">
        <f t="shared" si="7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8"/>
        <v/>
      </c>
      <c r="V55" s="240" t="str">
        <f>IFERROR(_xlfn.XLOOKUP($A55,Input_Raw!$A:$A,Input_Raw!$BS:$BS),"")</f>
        <v/>
      </c>
      <c r="W55" s="241">
        <f t="shared" si="9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3.9645161290322584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0.82897646002895486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6"/>
        <v>0</v>
      </c>
    </row>
    <row r="56" spans="1:45">
      <c r="A56" s="232">
        <f t="shared" si="7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8"/>
        <v/>
      </c>
      <c r="V56" s="240" t="str">
        <f>IFERROR(_xlfn.XLOOKUP($A56,Input_Raw!$A:$A,Input_Raw!$BS:$BS),"")</f>
        <v/>
      </c>
      <c r="W56" s="241">
        <f t="shared" si="9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3.9645161290322584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0.82897646002895486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6"/>
        <v>0</v>
      </c>
    </row>
    <row r="57" spans="1:45">
      <c r="A57" s="232">
        <f t="shared" si="7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8"/>
        <v/>
      </c>
      <c r="V57" s="240" t="str">
        <f>IFERROR(_xlfn.XLOOKUP($A57,Input_Raw!$A:$A,Input_Raw!$BS:$BS),"")</f>
        <v/>
      </c>
      <c r="W57" s="241">
        <f t="shared" si="9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3.9645161290322584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0.82897646002895486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6"/>
        <v>0</v>
      </c>
    </row>
    <row r="58" spans="1:45">
      <c r="A58" s="232">
        <f t="shared" si="7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8"/>
        <v/>
      </c>
      <c r="V58" s="240" t="str">
        <f>IFERROR(_xlfn.XLOOKUP($A58,Input_Raw!$A:$A,Input_Raw!$BS:$BS),"")</f>
        <v/>
      </c>
      <c r="W58" s="241">
        <f t="shared" si="9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3.9645161290322584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0.82897646002895486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6"/>
        <v>0</v>
      </c>
    </row>
    <row r="59" spans="1:45">
      <c r="A59" s="232">
        <f t="shared" si="7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8"/>
        <v/>
      </c>
      <c r="V59" s="240" t="str">
        <f>IFERROR(_xlfn.XLOOKUP($A59,Input_Raw!$A:$A,Input_Raw!$BS:$BS),"")</f>
        <v/>
      </c>
      <c r="W59" s="241">
        <f t="shared" si="9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3.9645161290322584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0.82897646002895486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6"/>
        <v>0</v>
      </c>
    </row>
    <row r="60" spans="1:45">
      <c r="A60" s="232">
        <f t="shared" si="7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8"/>
        <v/>
      </c>
      <c r="V60" s="240" t="str">
        <f>IFERROR(_xlfn.XLOOKUP($A60,Input_Raw!$A:$A,Input_Raw!$BS:$BS),"")</f>
        <v/>
      </c>
      <c r="W60" s="241">
        <f t="shared" si="9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3.9645161290322584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0.82897646002895486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6"/>
        <v>0</v>
      </c>
    </row>
    <row r="61" spans="1:45">
      <c r="A61" s="232">
        <f t="shared" si="7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8"/>
        <v/>
      </c>
      <c r="V61" s="240" t="str">
        <f>IFERROR(_xlfn.XLOOKUP($A61,Input_Raw!$A:$A,Input_Raw!$BS:$BS),"")</f>
        <v/>
      </c>
      <c r="W61" s="241">
        <f t="shared" si="9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3.9645161290322584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0.82897646002895486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6"/>
        <v>0</v>
      </c>
    </row>
    <row r="62" spans="1:45">
      <c r="A62" s="232">
        <f t="shared" si="7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8"/>
        <v/>
      </c>
      <c r="V62" s="240" t="str">
        <f>IFERROR(_xlfn.XLOOKUP($A62,Input_Raw!$A:$A,Input_Raw!$BS:$BS),"")</f>
        <v/>
      </c>
      <c r="W62" s="241">
        <f t="shared" si="9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3.9645161290322584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0.82897646002895486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6"/>
        <v>0</v>
      </c>
    </row>
    <row r="63" spans="1:45">
      <c r="A63" s="232">
        <f t="shared" si="7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8"/>
        <v/>
      </c>
      <c r="V63" s="240" t="str">
        <f>IFERROR(_xlfn.XLOOKUP($A63,Input_Raw!$A:$A,Input_Raw!$BS:$BS),"")</f>
        <v/>
      </c>
      <c r="W63" s="241">
        <f t="shared" si="9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3.9645161290322584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0.82897646002895486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6"/>
        <v>0</v>
      </c>
    </row>
    <row r="64" spans="1:45">
      <c r="A64" s="232">
        <f t="shared" si="7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8"/>
        <v/>
      </c>
      <c r="V64" s="240" t="str">
        <f>IFERROR(_xlfn.XLOOKUP($A64,Input_Raw!$A:$A,Input_Raw!$BS:$BS),"")</f>
        <v/>
      </c>
      <c r="W64" s="241">
        <f t="shared" si="9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4.7333333333333334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0.83289012015660258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6"/>
        <v>0</v>
      </c>
    </row>
    <row r="65" spans="1:45">
      <c r="A65" s="232">
        <f t="shared" si="7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8"/>
        <v/>
      </c>
      <c r="V65" s="240" t="str">
        <f>IFERROR(_xlfn.XLOOKUP($A65,Input_Raw!$A:$A,Input_Raw!$BS:$BS),"")</f>
        <v/>
      </c>
      <c r="W65" s="241">
        <f t="shared" si="9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4.7333333333333334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0.83289012015660258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6"/>
        <v>0</v>
      </c>
    </row>
    <row r="66" spans="1:45">
      <c r="A66" s="232">
        <f t="shared" si="7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8"/>
        <v/>
      </c>
      <c r="V66" s="240" t="str">
        <f>IFERROR(_xlfn.XLOOKUP($A66,Input_Raw!$A:$A,Input_Raw!$BS:$BS),"")</f>
        <v/>
      </c>
      <c r="W66" s="241">
        <f t="shared" si="9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4.7333333333333334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0.83289012015660258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6"/>
        <v>0</v>
      </c>
    </row>
    <row r="67" spans="1:45">
      <c r="A67" s="232">
        <f t="shared" si="7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8"/>
        <v/>
      </c>
      <c r="V67" s="240" t="str">
        <f>IFERROR(_xlfn.XLOOKUP($A67,Input_Raw!$A:$A,Input_Raw!$BS:$BS),"")</f>
        <v/>
      </c>
      <c r="W67" s="241">
        <f t="shared" si="9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4.7333333333333334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0.83289012015660258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6"/>
        <v>0</v>
      </c>
    </row>
    <row r="68" spans="1:45">
      <c r="A68" s="232">
        <f t="shared" si="7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8"/>
        <v/>
      </c>
      <c r="V68" s="240" t="str">
        <f>IFERROR(_xlfn.XLOOKUP($A68,Input_Raw!$A:$A,Input_Raw!$BS:$BS),"")</f>
        <v/>
      </c>
      <c r="W68" s="241">
        <f t="shared" si="9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4.7333333333333334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0.83289012015660258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6"/>
        <v>0</v>
      </c>
    </row>
    <row r="69" spans="1:45">
      <c r="A69" s="232">
        <f t="shared" si="7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8"/>
        <v/>
      </c>
      <c r="V69" s="240" t="str">
        <f>IFERROR(_xlfn.XLOOKUP($A69,Input_Raw!$A:$A,Input_Raw!$BS:$BS),"")</f>
        <v/>
      </c>
      <c r="W69" s="241">
        <f t="shared" si="9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4.7333333333333334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0.83289012015660258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6"/>
        <v>0</v>
      </c>
    </row>
    <row r="70" spans="1:45">
      <c r="A70" s="232">
        <f t="shared" si="7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8"/>
        <v/>
      </c>
      <c r="V70" s="240" t="str">
        <f>IFERROR(_xlfn.XLOOKUP($A70,Input_Raw!$A:$A,Input_Raw!$BS:$BS),"")</f>
        <v/>
      </c>
      <c r="W70" s="241">
        <f t="shared" si="9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4.7333333333333334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0.83289012015660258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6"/>
        <v>0</v>
      </c>
    </row>
    <row r="71" spans="1:45">
      <c r="A71" s="232">
        <f t="shared" si="7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8"/>
        <v/>
      </c>
      <c r="V71" s="240" t="str">
        <f>IFERROR(_xlfn.XLOOKUP($A71,Input_Raw!$A:$A,Input_Raw!$BS:$BS),"")</f>
        <v/>
      </c>
      <c r="W71" s="241">
        <f t="shared" si="9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4.7333333333333334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0.83289012015660258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6"/>
        <v>0</v>
      </c>
    </row>
    <row r="72" spans="1:45">
      <c r="A72" s="232">
        <f t="shared" si="7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8"/>
        <v/>
      </c>
      <c r="V72" s="240" t="str">
        <f>IFERROR(_xlfn.XLOOKUP($A72,Input_Raw!$A:$A,Input_Raw!$BS:$BS),"")</f>
        <v/>
      </c>
      <c r="W72" s="241">
        <f t="shared" si="9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4.7333333333333334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0.83289012015660258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6"/>
        <v>0</v>
      </c>
    </row>
    <row r="73" spans="1:45">
      <c r="A73" s="232">
        <f t="shared" si="7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8"/>
        <v/>
      </c>
      <c r="V73" s="240" t="str">
        <f>IFERROR(_xlfn.XLOOKUP($A73,Input_Raw!$A:$A,Input_Raw!$BS:$BS),"")</f>
        <v/>
      </c>
      <c r="W73" s="241">
        <f t="shared" si="9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4.7333333333333334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0.83289012015660258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6"/>
        <v>0</v>
      </c>
    </row>
    <row r="74" spans="1:45">
      <c r="A74" s="232">
        <f t="shared" si="7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4.7333333333333334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0.83289012015660258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7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4.7333333333333334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0.83289012015660258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4.7333333333333334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0.83289012015660258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4.7333333333333334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0.83289012015660258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4.7333333333333334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0.83289012015660258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4.7333333333333334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0.83289012015660258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4.7333333333333334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0.83289012015660258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4.7333333333333334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0.83289012015660258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4.7333333333333334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0.83289012015660258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4.7333333333333334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0.83289012015660258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4.7333333333333334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0.83289012015660258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4.7333333333333334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0.83289012015660258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4.7333333333333334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0.83289012015660258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4.7333333333333334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0.83289012015660258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4.7333333333333334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0.83289012015660258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4.7333333333333334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0.83289012015660258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4.7333333333333334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0.83289012015660258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4.7333333333333334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0.83289012015660258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4.7333333333333334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0.83289012015660258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4.7333333333333334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0.83289012015660258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5.5064516129032253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0.84867609056346871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5.5064516129032253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0.84867609056346871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5.5064516129032253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0.84867609056346871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5.5064516129032253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0.84867609056346871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5.5064516129032253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0.84867609056346871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5.5064516129032253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0.84867609056346871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5.5064516129032253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0.84867609056346871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5.5064516129032253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0.84867609056346871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5.5064516129032253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0.84867609056346871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5.5064516129032253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0.84867609056346871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5.5064516129032253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0.84867609056346871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5.5064516129032253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0.84867609056346871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5.5064516129032253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0.84867609056346871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5.5064516129032253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0.84867609056346871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5.5064516129032253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0.84867609056346871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5.5064516129032253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0.84867609056346871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5.5064516129032253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0.84867609056346871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5.5064516129032253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0.84867609056346871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5.5064516129032253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0.84867609056346871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5.5064516129032253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0.84867609056346871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5.5064516129032253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0.84867609056346871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5.5064516129032253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0.84867609056346871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5.5064516129032253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0.84867609056346871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5.5064516129032253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0.84867609056346871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5.5064516129032253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0.84867609056346871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5.5064516129032253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0.84867609056346871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5.5064516129032253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0.84867609056346871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5.5064516129032253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0.84867609056346871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5.5064516129032253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0.84867609056346871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5.5064516129032253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0.84867609056346871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5.5064516129032253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0.84867609056346871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5.5433333333333339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0.85553737542054087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5.5433333333333339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0.85553737542054087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5.5433333333333339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0.85553737542054087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5.5433333333333339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0.85553737542054087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5.5433333333333339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0.85553737542054087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5.5433333333333339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0.85553737542054087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5.5433333333333339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0.85553737542054087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5.5433333333333339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0.85553737542054087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5.5433333333333339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0.85553737542054087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5.5433333333333339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0.85553737542054087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5.5433333333333339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0.85553737542054087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5.5433333333333339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0.85553737542054087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5.5433333333333339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0.85553737542054087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5.5433333333333339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0.85553737542054087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5.5433333333333339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0.85553737542054087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5.5433333333333339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0.85553737542054087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5.5433333333333339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0.85553737542054087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5.5433333333333339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0.85553737542054087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5.5433333333333339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0.85553737542054087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5.5433333333333339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0.85553737542054087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5.5433333333333339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0.85553737542054087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5.5433333333333339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0.85553737542054087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5.5433333333333339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0.85553737542054087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5.5433333333333339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0.85553737542054087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5.5433333333333339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0.85553737542054087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5.5433333333333339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0.85553737542054087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5.5433333333333339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0.85553737542054087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5.5433333333333339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0.85553737542054087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5.5433333333333339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0.85553737542054087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5.5433333333333339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0.85553737542054087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5.5516129032258066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0.85324535831636061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5.5516129032258066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0.85324535831636061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5.5516129032258066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0.85324535831636061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5.5516129032258066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0.85324535831636061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5.5516129032258066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0.85324535831636061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5.5516129032258066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0.85324535831636061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5.5516129032258066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0.85324535831636061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5.5516129032258066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0.85324535831636061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5.5516129032258066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0.85324535831636061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5.5516129032258066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0.85324535831636061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5.5516129032258066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0.85324535831636061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5.5516129032258066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0.85324535831636061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5.5516129032258066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0.85324535831636061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5.5516129032258066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0.85324535831636061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5.5516129032258066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0.85324535831636061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5.5516129032258066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0.85324535831636061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5.5516129032258066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0.85324535831636061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5.5516129032258066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0.85324535831636061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5.5516129032258066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0.85324535831636061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5.5516129032258066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0.85324535831636061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5.5516129032258066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0.85324535831636061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5.5516129032258066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0.85324535831636061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5.5516129032258066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0.85324535831636061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5.5516129032258066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0.85324535831636061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5.5516129032258066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0.85324535831636061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5.5516129032258066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0.85324535831636061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5.5516129032258066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0.85324535831636061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5.5516129032258066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0.85324535831636061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5.5516129032258066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0.85324535831636061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5.5516129032258066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0.85324535831636061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5.5516129032258066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0.85324535831636061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5.806451612903226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0.85101059599344753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5.806451612903226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0.85101059599344753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5.806451612903226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0.85101059599344753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5.806451612903226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0.85101059599344753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5.806451612903226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0.85101059599344753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5.806451612903226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0.85101059599344753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5.806451612903226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0.85101059599344753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5.806451612903226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0.85101059599344753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5.806451612903226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0.85101059599344753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5.806451612903226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0.85101059599344753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5.806451612903226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0.85101059599344753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5.806451612903226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0.85101059599344753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5.806451612903226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0.85101059599344753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5.806451612903226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0.85101059599344753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5.806451612903226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0.85101059599344753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5.806451612903226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0.85101059599344753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5.806451612903226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0.85101059599344753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5.806451612903226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0.85101059599344753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5.806451612903226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0.85101059599344753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5.806451612903226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0.85101059599344753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5.806451612903226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0.85101059599344753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5.806451612903226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0.85101059599344753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5.806451612903226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0.85101059599344753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5.806451612903226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0.85101059599344753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5.806451612903226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0.85101059599344753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5.806451612903226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0.85101059599344753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5.806451612903226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0.85101059599344753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5.806451612903226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0.85101059599344753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5.806451612903226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0.85101059599344753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5.806451612903226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0.85101059599344753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5.806451612903226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0.85101059599344753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6.5392857142857137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0.83565061446984934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6.5392857142857137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0.83565061446984934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6.5392857142857137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0.83565061446984934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6.5392857142857137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0.83565061446984934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6.5392857142857137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0.83565061446984934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6.5392857142857137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0.83565061446984934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6.5392857142857137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0.83565061446984934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6.5392857142857137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0.83565061446984934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6.5392857142857137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0.83565061446984934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6.5392857142857137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0.83565061446984934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6.5392857142857137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0.83565061446984934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6.5392857142857137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0.83565061446984934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6.5392857142857137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0.83565061446984934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6.5392857142857137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0.83565061446984934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6.5392857142857137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0.83565061446984934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6.5392857142857137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0.83565061446984934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6.5392857142857137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0.83565061446984934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6.5392857142857137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0.83565061446984934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6.5392857142857137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0.83565061446984934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6.5392857142857137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0.83565061446984934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6.5392857142857137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0.83565061446984934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6.5392857142857137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0.83565061446984934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6.5392857142857137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0.83565061446984934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6.5392857142857137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0.83565061446984934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6.5392857142857137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0.83565061446984934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6.5392857142857137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0.83565061446984934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6.5392857142857137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0.83565061446984934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6.5392857142857137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0.83565061446984934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6.8580645161290317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0.82765964014693361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6.8580645161290317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0.82765964014693361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6.8580645161290317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0.82765964014693361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6.8580645161290317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0.82765964014693361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6.8580645161290317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0.82765964014693361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6.8580645161290317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0.82765964014693361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6.8580645161290317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0.82765964014693361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6.8580645161290317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0.82765964014693361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6.8580645161290317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0.82765964014693361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6.8580645161290317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0.82765964014693361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6.8580645161290317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0.82765964014693361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6.8580645161290317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0.82765964014693361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6.8580645161290317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0.82765964014693361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6.8580645161290317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0.82765964014693361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6.8580645161290317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0.82765964014693361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6.8580645161290317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0.82765964014693361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6.8580645161290317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0.82765964014693361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6.8580645161290317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0.82765964014693361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6.8580645161290317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0.82765964014693361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6.8580645161290317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0.82765964014693361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6.8580645161290317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0.82765964014693361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6.8580645161290317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0.82765964014693361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6.8580645161290317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0.82765964014693361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6.8580645161290317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0.82765964014693361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6.8580645161290317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0.82765964014693361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6.8580645161290317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0.82765964014693361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6.8580645161290317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0.82765964014693361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6.8580645161290317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0.82765964014693361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6.8580645161290317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0.82765964014693361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6.8580645161290317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0.82765964014693361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6.8580645161290317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0.82765964014693361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zoomScale="85" zoomScaleNormal="85" workbookViewId="0">
      <pane xSplit="5" ySplit="4" topLeftCell="F24" activePane="bottomRight" state="frozen"/>
      <selection pane="topRight" activeCell="F1" sqref="F1"/>
      <selection pane="bottomLeft" activeCell="A5" sqref="A5"/>
      <selection pane="bottomRight" activeCell="F38" sqref="F38:G38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575</v>
      </c>
      <c r="AF4" s="14" t="s">
        <v>576</v>
      </c>
      <c r="AG4" s="14" t="s">
        <v>577</v>
      </c>
      <c r="AH4" s="14" t="s">
        <v>578</v>
      </c>
      <c r="AI4" s="14" t="s">
        <v>579</v>
      </c>
      <c r="AJ4" s="14" t="s">
        <v>580</v>
      </c>
      <c r="AK4" s="14" t="s">
        <v>581</v>
      </c>
      <c r="AL4" s="14" t="s">
        <v>582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560</v>
      </c>
      <c r="AW4" s="57" t="s">
        <v>130</v>
      </c>
      <c r="AX4" s="56" t="s">
        <v>569</v>
      </c>
      <c r="AY4" s="56" t="s">
        <v>570</v>
      </c>
      <c r="AZ4" s="56" t="s">
        <v>571</v>
      </c>
      <c r="BA4" s="56" t="s">
        <v>572</v>
      </c>
      <c r="BB4" s="56" t="s">
        <v>573</v>
      </c>
      <c r="BC4" s="56" t="s">
        <v>574</v>
      </c>
      <c r="BD4" s="56" t="s">
        <v>583</v>
      </c>
      <c r="BE4" s="56" t="s">
        <v>584</v>
      </c>
      <c r="BF4" s="56" t="s">
        <v>585</v>
      </c>
      <c r="BG4" s="56" t="s">
        <v>587</v>
      </c>
      <c r="BH4" s="56" t="s">
        <v>588</v>
      </c>
      <c r="BI4" s="56" t="s">
        <v>589</v>
      </c>
      <c r="BJ4" s="56" t="s">
        <v>586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>
        <v>0.27500000000000002</v>
      </c>
      <c r="G25" s="121">
        <v>0.77569444444444446</v>
      </c>
      <c r="H25" s="137">
        <v>6336</v>
      </c>
      <c r="I25" s="137">
        <v>5367.5</v>
      </c>
      <c r="J25" s="137">
        <v>6022.8</v>
      </c>
      <c r="K25" s="137">
        <v>5987.8</v>
      </c>
      <c r="L25" s="137">
        <v>6191.9</v>
      </c>
      <c r="M25" s="137">
        <v>5991.1</v>
      </c>
      <c r="N25" s="137">
        <v>6271.6</v>
      </c>
      <c r="O25" s="137">
        <v>6024.4</v>
      </c>
      <c r="P25" s="137">
        <v>6422.5</v>
      </c>
      <c r="Q25" s="137">
        <v>6392.3</v>
      </c>
      <c r="R25" s="137">
        <v>6437.2</v>
      </c>
      <c r="S25" s="137">
        <v>6353</v>
      </c>
      <c r="T25" s="137">
        <v>6244.7</v>
      </c>
      <c r="U25" s="137">
        <v>6298.4</v>
      </c>
      <c r="V25" s="137">
        <v>6425.3</v>
      </c>
      <c r="W25" s="137">
        <v>5908.6</v>
      </c>
      <c r="X25" s="137">
        <v>6140.8</v>
      </c>
      <c r="Y25" s="137">
        <v>6222.7</v>
      </c>
      <c r="Z25" s="137">
        <v>6288.6</v>
      </c>
      <c r="AA25" s="137">
        <v>4984.1000000000004</v>
      </c>
      <c r="AB25" s="137">
        <v>6146.1</v>
      </c>
      <c r="AC25" s="137">
        <v>3008.1</v>
      </c>
      <c r="AD25" s="137">
        <v>3012.1</v>
      </c>
      <c r="AE25" s="166"/>
      <c r="AF25" s="166"/>
      <c r="AG25" s="166"/>
      <c r="AH25" s="166"/>
      <c r="AI25" s="166"/>
      <c r="AJ25" s="166"/>
      <c r="AK25" s="166"/>
      <c r="AL25" s="166"/>
      <c r="AM25" s="58">
        <v>4.7309150633333354</v>
      </c>
      <c r="AN25" s="58">
        <v>4.7306642649999926</v>
      </c>
      <c r="AO25" s="58">
        <v>28.846160262008759</v>
      </c>
      <c r="AP25" s="58">
        <v>38.499862736535675</v>
      </c>
      <c r="AQ25" s="58">
        <v>65.838950072780179</v>
      </c>
      <c r="AR25" s="58">
        <v>7.3944687045123729E-4</v>
      </c>
      <c r="AS25" s="58">
        <v>3.3016739446870433</v>
      </c>
      <c r="AT25" s="58">
        <v>6.35</v>
      </c>
      <c r="AU25" s="60">
        <f>SUM(RD[[#This Row],[IS2Inv1M1]:[IS4Inv1M3]])</f>
        <v>104815.90000000001</v>
      </c>
      <c r="AV25" s="60">
        <f>SUM(RD[[#This Row],[IS5Inv1M1]:[IS5Inv2M3]])</f>
        <v>29661.699999999997</v>
      </c>
      <c r="AW25" s="60">
        <f>SUM(RD[[#This Row],[O2RE9]:[O2RE19]])</f>
        <v>134477.6</v>
      </c>
      <c r="AX25" s="152">
        <v>2429</v>
      </c>
      <c r="AY25" s="152"/>
      <c r="AZ25" s="152">
        <v>42</v>
      </c>
      <c r="BA25" s="152">
        <v>2194</v>
      </c>
      <c r="BB25" s="152"/>
      <c r="BC25" s="152">
        <v>46</v>
      </c>
      <c r="BD25" s="153">
        <f>IF((RD[[#This Row],[33 kV_F1_Ex (O2RE9)]]-AX24)*300&lt;=0,"",(RD[[#This Row],[33 kV_F1_Ex (O2RE9)]]-AX24)*300)</f>
        <v>103200</v>
      </c>
      <c r="BE25" s="153">
        <f>IF((RD[[#This Row],[33kV_OG1_Ex (O2RE9)]]-AY24)*1000&lt;=0,0,(RD[[#This Row],[33kV_OG1_Ex (O2RE9)]]-AY24)*1000)</f>
        <v>0</v>
      </c>
      <c r="BF25" s="153"/>
      <c r="BG25" s="153">
        <f>IF((RD[[#This Row],[33 kV_F2_Ex (O2RE19)]]-BA24)*90&lt;=0,"",(RD[[#This Row],[33 kV_F2_Ex (O2RE19)]]-BA24)*90)</f>
        <v>29340</v>
      </c>
      <c r="BH25" s="153">
        <f>IF((RD[[#This Row],[33kV_OG2_Ex (O2RE19)]]-BB24)*1000&lt;=0,0,(RD[[#This Row],[33kV_OG2_Ex (O2RE19)]]-BB24)*1000)</f>
        <v>0</v>
      </c>
      <c r="BI25" s="153">
        <f>IF((RD[[#This Row],[33kV_Aux2_Im (O2RE19)]]-BC24)*90&lt;0,"",(RD[[#This Row],[33kV_Aux2_Im (O2RE19)]]-BC24)*90)</f>
        <v>180</v>
      </c>
      <c r="BJ25" s="153">
        <f>IF((RD[[#This Row],[33kV_Aux1_Im (O2RE9)]]-AZ24)*90&lt;0,"",(RD[[#This Row],[33kV_Aux1_Im (O2RE9)]]-AZ24)*90)</f>
        <v>180</v>
      </c>
      <c r="BK25" s="153">
        <f>SUM(RD[[#This Row],[33kV_OG1_O2RE9_Energy (KWh)]],RD[[#This Row],[33kV_OG2_O2RE19_Energy (KWh)]])</f>
        <v>0</v>
      </c>
      <c r="BL25" s="62">
        <f>IFERROR(RD[[#This Row],[33 kV Total Export (KWH)]]/RD[[#This Row],[Inv Total Gneration (MWh)]]-1,"")</f>
        <v>-1</v>
      </c>
      <c r="BM25" s="63">
        <f>IFERROR((RD[[#This Row],[Sunset Time (POA&lt;20 W/m2)]]-RD[[#This Row],[Sunrise Time (POA&gt;20 W/m2)]])*24,0)</f>
        <v>12.016666666666666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>
        <v>30.83</v>
      </c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>
        <v>0.29097222222222224</v>
      </c>
      <c r="G26" s="121">
        <v>0.7729166666666667</v>
      </c>
      <c r="H26" s="137">
        <v>5203.5</v>
      </c>
      <c r="I26" s="137">
        <v>4476.2</v>
      </c>
      <c r="J26" s="137">
        <v>4884.7</v>
      </c>
      <c r="K26" s="137">
        <v>4889.2</v>
      </c>
      <c r="L26" s="137">
        <v>5043.1000000000004</v>
      </c>
      <c r="M26" s="137">
        <v>4919.3999999999996</v>
      </c>
      <c r="N26" s="137">
        <v>5308.6</v>
      </c>
      <c r="O26" s="137">
        <v>5101.8</v>
      </c>
      <c r="P26" s="137">
        <v>5413.8</v>
      </c>
      <c r="Q26" s="137">
        <v>5404.7</v>
      </c>
      <c r="R26" s="137">
        <v>5435.5</v>
      </c>
      <c r="S26" s="137">
        <v>5308.7</v>
      </c>
      <c r="T26" s="137">
        <v>5236.2</v>
      </c>
      <c r="U26" s="137">
        <v>5332.9</v>
      </c>
      <c r="V26" s="137">
        <v>5140.5</v>
      </c>
      <c r="W26" s="137">
        <v>4756.5</v>
      </c>
      <c r="X26" s="137">
        <v>4929.8999999999996</v>
      </c>
      <c r="Y26" s="137">
        <v>5164.5</v>
      </c>
      <c r="Z26" s="137">
        <v>5084</v>
      </c>
      <c r="AA26" s="137">
        <v>4139.6000000000004</v>
      </c>
      <c r="AB26" s="137">
        <v>5088.8999999999996</v>
      </c>
      <c r="AC26" s="137">
        <v>2828.2</v>
      </c>
      <c r="AD26" s="137">
        <v>3023.3</v>
      </c>
      <c r="AE26" s="166"/>
      <c r="AF26" s="166"/>
      <c r="AG26" s="166"/>
      <c r="AH26" s="166"/>
      <c r="AI26" s="166"/>
      <c r="AJ26" s="166"/>
      <c r="AK26" s="166"/>
      <c r="AL26" s="166"/>
      <c r="AM26" s="58">
        <v>3.9720947883333326</v>
      </c>
      <c r="AN26" s="58">
        <v>3.9818129700000005</v>
      </c>
      <c r="AO26" s="58">
        <v>26.248835539568351</v>
      </c>
      <c r="AP26" s="58">
        <v>34.688129352518004</v>
      </c>
      <c r="AQ26" s="58">
        <v>81.796695827338127</v>
      </c>
      <c r="AR26" s="58">
        <v>0</v>
      </c>
      <c r="AS26" s="58">
        <v>3.3952086330935294</v>
      </c>
      <c r="AT26" s="58">
        <v>6.83</v>
      </c>
      <c r="AU26" s="60">
        <f>SUM(RD[[#This Row],[IS2Inv1M1]:[IS4Inv1M3]])</f>
        <v>86785.2</v>
      </c>
      <c r="AV26" s="60">
        <f>SUM(RD[[#This Row],[IS5Inv1M1]:[IS5Inv2M3]])</f>
        <v>25328.5</v>
      </c>
      <c r="AW26" s="60">
        <f>SUM(RD[[#This Row],[O2RE9]:[O2RE19]])</f>
        <v>112113.7</v>
      </c>
      <c r="AX26" s="152">
        <v>2716</v>
      </c>
      <c r="AY26" s="152"/>
      <c r="AZ26" s="152">
        <v>44</v>
      </c>
      <c r="BA26" s="152">
        <v>2475</v>
      </c>
      <c r="BB26" s="152"/>
      <c r="BC26" s="152">
        <v>49</v>
      </c>
      <c r="BD26" s="153">
        <f>IF((RD[[#This Row],[33 kV_F1_Ex (O2RE9)]]-AX25)*300&lt;=0,"",(RD[[#This Row],[33 kV_F1_Ex (O2RE9)]]-AX25)*300)</f>
        <v>86100</v>
      </c>
      <c r="BE26" s="153">
        <f>IF((RD[[#This Row],[33kV_OG1_Ex (O2RE9)]]-AY25)*1000&lt;=0,0,(RD[[#This Row],[33kV_OG1_Ex (O2RE9)]]-AY25)*1000)</f>
        <v>0</v>
      </c>
      <c r="BF26" s="153"/>
      <c r="BG26" s="153">
        <f>IF((RD[[#This Row],[33 kV_F2_Ex (O2RE19)]]-BA25)*90&lt;=0,"",(RD[[#This Row],[33 kV_F2_Ex (O2RE19)]]-BA25)*90)</f>
        <v>25290</v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270</v>
      </c>
      <c r="BJ26" s="153">
        <f>IF((RD[[#This Row],[33kV_Aux1_Im (O2RE9)]]-AZ25)*90&lt;0,"",(RD[[#This Row],[33kV_Aux1_Im (O2RE9)]]-AZ25)*90)</f>
        <v>180</v>
      </c>
      <c r="BK26" s="153">
        <f>SUM(RD[[#This Row],[33kV_OG1_O2RE9_Energy (KWh)]],RD[[#This Row],[33kV_OG2_O2RE19_Energy (KWh)]])</f>
        <v>0</v>
      </c>
      <c r="BL26" s="62">
        <f>IFERROR(RD[[#This Row],[33 kV Total Export (KWH)]]/RD[[#This Row],[Inv Total Gneration (MWh)]]-1,"")</f>
        <v>-1</v>
      </c>
      <c r="BM26" s="63">
        <f>IFERROR((RD[[#This Row],[Sunset Time (POA&lt;20 W/m2)]]-RD[[#This Row],[Sunrise Time (POA&gt;20 W/m2)]])*24,0)</f>
        <v>11.566666666666666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>
        <v>30.83</v>
      </c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>
        <v>0.28055555555555556</v>
      </c>
      <c r="G27" s="121">
        <v>0.76736111111111116</v>
      </c>
      <c r="H27" s="137">
        <v>2734.7</v>
      </c>
      <c r="I27" s="137">
        <v>2277.5</v>
      </c>
      <c r="J27" s="137">
        <v>2500.8000000000002</v>
      </c>
      <c r="K27" s="137">
        <v>2572.6999999999998</v>
      </c>
      <c r="L27" s="137">
        <v>2620.3000000000002</v>
      </c>
      <c r="M27" s="137">
        <v>2575.5</v>
      </c>
      <c r="N27" s="137">
        <v>2811.5</v>
      </c>
      <c r="O27" s="137">
        <v>2678.4</v>
      </c>
      <c r="P27" s="137">
        <v>2891.5</v>
      </c>
      <c r="Q27" s="137">
        <v>2878.8</v>
      </c>
      <c r="R27" s="137">
        <v>2896.2</v>
      </c>
      <c r="S27" s="137">
        <v>2819.7</v>
      </c>
      <c r="T27" s="137">
        <v>2783.9</v>
      </c>
      <c r="U27" s="137">
        <v>2814.6</v>
      </c>
      <c r="V27" s="137">
        <v>2740.7</v>
      </c>
      <c r="W27" s="137">
        <v>2779.2</v>
      </c>
      <c r="X27" s="137">
        <v>2585.5</v>
      </c>
      <c r="Y27" s="137">
        <v>2662.2</v>
      </c>
      <c r="Z27" s="137">
        <v>2710.6</v>
      </c>
      <c r="AA27" s="137">
        <v>2228.6</v>
      </c>
      <c r="AB27" s="137">
        <v>2627.7</v>
      </c>
      <c r="AC27" s="137">
        <v>1419.7</v>
      </c>
      <c r="AD27" s="137">
        <v>1517.3</v>
      </c>
      <c r="AE27" s="166"/>
      <c r="AF27" s="166"/>
      <c r="AG27" s="166"/>
      <c r="AH27" s="166"/>
      <c r="AI27" s="166"/>
      <c r="AJ27" s="166"/>
      <c r="AK27" s="166"/>
      <c r="AL27" s="166"/>
      <c r="AM27" s="58">
        <v>1.8685395516666676</v>
      </c>
      <c r="AN27" s="58">
        <v>1.7860710483333346</v>
      </c>
      <c r="AO27" s="58">
        <v>24.353908282208593</v>
      </c>
      <c r="AP27" s="58">
        <v>27.326814263803733</v>
      </c>
      <c r="AQ27" s="58">
        <v>88.979874233128712</v>
      </c>
      <c r="AR27" s="58">
        <v>0</v>
      </c>
      <c r="AS27" s="58">
        <v>4.0177453987730072</v>
      </c>
      <c r="AT27" s="58">
        <v>8.6199999999999992</v>
      </c>
      <c r="AU27" s="60">
        <f>SUM(RD[[#This Row],[IS2Inv1M1]:[IS4Inv1M3]])</f>
        <v>45961.499999999993</v>
      </c>
      <c r="AV27" s="60">
        <f>SUM(RD[[#This Row],[IS5Inv1M1]:[IS5Inv2M3]])</f>
        <v>13166.099999999999</v>
      </c>
      <c r="AW27" s="60">
        <f>SUM(RD[[#This Row],[O2RE9]:[O2RE19]])</f>
        <v>59127.599999999991</v>
      </c>
      <c r="AX27" s="152">
        <v>2870</v>
      </c>
      <c r="AY27" s="152"/>
      <c r="AZ27" s="152">
        <v>46</v>
      </c>
      <c r="BA27" s="152">
        <v>2624</v>
      </c>
      <c r="BB27" s="152"/>
      <c r="BC27" s="152">
        <v>51</v>
      </c>
      <c r="BD27" s="153">
        <f>IF((RD[[#This Row],[33 kV_F1_Ex (O2RE9)]]-AX26)*300&lt;=0,"",(RD[[#This Row],[33 kV_F1_Ex (O2RE9)]]-AX26)*300)</f>
        <v>46200</v>
      </c>
      <c r="BE27" s="153">
        <f>IF((RD[[#This Row],[33kV_OG1_Ex (O2RE9)]]-AY26)*1000&lt;=0,0,(RD[[#This Row],[33kV_OG1_Ex (O2RE9)]]-AY26)*1000)</f>
        <v>0</v>
      </c>
      <c r="BF27" s="153"/>
      <c r="BG27" s="153">
        <f>IF((RD[[#This Row],[33 kV_F2_Ex (O2RE19)]]-BA26)*90&lt;=0,"",(RD[[#This Row],[33 kV_F2_Ex (O2RE19)]]-BA26)*90)</f>
        <v>13410</v>
      </c>
      <c r="BH27" s="153">
        <f>IF((RD[[#This Row],[33kV_OG2_Ex (O2RE19)]]-BB26)*1000&lt;=0,0,(RD[[#This Row],[33kV_OG2_Ex (O2RE19)]]-BB26)*1000)</f>
        <v>0</v>
      </c>
      <c r="BI27" s="153">
        <f>IF((RD[[#This Row],[33kV_Aux2_Im (O2RE19)]]-BC26)*90&lt;0,"",(RD[[#This Row],[33kV_Aux2_Im (O2RE19)]]-BC26)*90)</f>
        <v>180</v>
      </c>
      <c r="BJ27" s="153">
        <f>IF((RD[[#This Row],[33kV_Aux1_Im (O2RE9)]]-AZ26)*90&lt;0,"",(RD[[#This Row],[33kV_Aux1_Im (O2RE9)]]-AZ26)*90)</f>
        <v>180</v>
      </c>
      <c r="BK27" s="153">
        <f>SUM(RD[[#This Row],[33kV_OG1_O2RE9_Energy (KWh)]],RD[[#This Row],[33kV_OG2_O2RE19_Energy (KWh)]])</f>
        <v>0</v>
      </c>
      <c r="BL27" s="62">
        <f>IFERROR(RD[[#This Row],[33 kV Total Export (KWH)]]/RD[[#This Row],[Inv Total Gneration (MWh)]]-1,"")</f>
        <v>-1</v>
      </c>
      <c r="BM27" s="63">
        <f>IFERROR((RD[[#This Row],[Sunset Time (POA&lt;20 W/m2)]]-RD[[#This Row],[Sunrise Time (POA&gt;20 W/m2)]])*24,0)</f>
        <v>11.683333333333334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>
        <v>30.83</v>
      </c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>
        <v>0.26805555555555555</v>
      </c>
      <c r="G28" s="121">
        <v>0.77569444444444446</v>
      </c>
      <c r="H28" s="137">
        <v>3379.2</v>
      </c>
      <c r="I28" s="137">
        <v>2827.5</v>
      </c>
      <c r="J28" s="137">
        <v>3060.2</v>
      </c>
      <c r="K28" s="137">
        <v>3132.6</v>
      </c>
      <c r="L28" s="137">
        <v>3187.2</v>
      </c>
      <c r="M28" s="137">
        <v>3177.7</v>
      </c>
      <c r="N28" s="137">
        <v>3464.7</v>
      </c>
      <c r="O28" s="137">
        <v>3295.8</v>
      </c>
      <c r="P28" s="137">
        <v>3543.1</v>
      </c>
      <c r="Q28" s="137">
        <v>3535</v>
      </c>
      <c r="R28" s="137">
        <v>3571.7</v>
      </c>
      <c r="S28" s="137">
        <v>3490.1</v>
      </c>
      <c r="T28" s="137">
        <v>3440.2</v>
      </c>
      <c r="U28" s="137">
        <v>3478.2</v>
      </c>
      <c r="V28" s="137">
        <v>3391.3</v>
      </c>
      <c r="W28" s="137">
        <v>3032.1</v>
      </c>
      <c r="X28" s="137">
        <v>3216.9</v>
      </c>
      <c r="Y28" s="137">
        <v>3333.4</v>
      </c>
      <c r="Z28" s="137">
        <v>3319.1</v>
      </c>
      <c r="AA28" s="137">
        <v>2620.8000000000002</v>
      </c>
      <c r="AB28" s="137">
        <v>3262.6</v>
      </c>
      <c r="AC28" s="137">
        <v>1788.6</v>
      </c>
      <c r="AD28" s="137">
        <v>1909.1</v>
      </c>
      <c r="AE28" s="166"/>
      <c r="AF28" s="166"/>
      <c r="AG28" s="166"/>
      <c r="AH28" s="166"/>
      <c r="AI28" s="166"/>
      <c r="AJ28" s="166"/>
      <c r="AK28" s="166"/>
      <c r="AL28" s="166"/>
      <c r="AM28" s="58">
        <v>2.4726846733333305</v>
      </c>
      <c r="AN28" s="58">
        <v>2.3845007633333335</v>
      </c>
      <c r="AO28" s="58">
        <v>24.355084435261698</v>
      </c>
      <c r="AP28" s="58">
        <v>28.257341735537189</v>
      </c>
      <c r="AQ28" s="58">
        <v>88.763116804407701</v>
      </c>
      <c r="AR28" s="58">
        <v>0</v>
      </c>
      <c r="AS28" s="58">
        <v>3.9473278236914617</v>
      </c>
      <c r="AT28" s="58">
        <v>8.2100000000000009</v>
      </c>
      <c r="AU28" s="60">
        <f>SUM(RD[[#This Row],[IS2Inv1M1]:[IS4Inv1M3]])</f>
        <v>56223.499999999993</v>
      </c>
      <c r="AV28" s="60">
        <f>SUM(RD[[#This Row],[IS5Inv1M1]:[IS5Inv2M3]])</f>
        <v>16233.6</v>
      </c>
      <c r="AW28" s="60">
        <f>SUM(RD[[#This Row],[O2RE9]:[O2RE19]])</f>
        <v>72457.099999999991</v>
      </c>
      <c r="AX28" s="152">
        <v>3059</v>
      </c>
      <c r="AY28" s="152"/>
      <c r="AZ28" s="152">
        <v>48</v>
      </c>
      <c r="BA28" s="152">
        <v>2807</v>
      </c>
      <c r="BB28" s="152"/>
      <c r="BC28" s="152">
        <v>53</v>
      </c>
      <c r="BD28" s="153">
        <f>IF((RD[[#This Row],[33 kV_F1_Ex (O2RE9)]]-AX27)*300&lt;=0,"",(RD[[#This Row],[33 kV_F1_Ex (O2RE9)]]-AX27)*300)</f>
        <v>56700</v>
      </c>
      <c r="BE28" s="153">
        <f>IF((RD[[#This Row],[33kV_OG1_Ex (O2RE9)]]-AY27)*1000&lt;=0,0,(RD[[#This Row],[33kV_OG1_Ex (O2RE9)]]-AY27)*1000)</f>
        <v>0</v>
      </c>
      <c r="BF28" s="153"/>
      <c r="BG28" s="153">
        <f>IF((RD[[#This Row],[33 kV_F2_Ex (O2RE19)]]-BA27)*90&lt;=0,"",(RD[[#This Row],[33 kV_F2_Ex (O2RE19)]]-BA27)*90)</f>
        <v>16470</v>
      </c>
      <c r="BH28" s="153">
        <f>IF((RD[[#This Row],[33kV_OG2_Ex (O2RE19)]]-BB27)*1000&lt;=0,0,(RD[[#This Row],[33kV_OG2_Ex (O2RE19)]]-BB27)*1000)</f>
        <v>0</v>
      </c>
      <c r="BI28" s="153">
        <f>IF((RD[[#This Row],[33kV_Aux2_Im (O2RE19)]]-BC27)*90&lt;0,"",(RD[[#This Row],[33kV_Aux2_Im (O2RE19)]]-BC27)*90)</f>
        <v>180</v>
      </c>
      <c r="BJ28" s="153">
        <f>IF((RD[[#This Row],[33kV_Aux1_Im (O2RE9)]]-AZ27)*90&lt;0,"",(RD[[#This Row],[33kV_Aux1_Im (O2RE9)]]-AZ27)*90)</f>
        <v>180</v>
      </c>
      <c r="BK28" s="153">
        <f>SUM(RD[[#This Row],[33kV_OG1_O2RE9_Energy (KWh)]],RD[[#This Row],[33kV_OG2_O2RE19_Energy (KWh)]])</f>
        <v>0</v>
      </c>
      <c r="BL28" s="62">
        <f>IFERROR(RD[[#This Row],[33 kV Total Export (KWH)]]/RD[[#This Row],[Inv Total Gneration (MWh)]]-1,"")</f>
        <v>-1</v>
      </c>
      <c r="BM28" s="63">
        <f>IFERROR((RD[[#This Row],[Sunset Time (POA&lt;20 W/m2)]]-RD[[#This Row],[Sunrise Time (POA&gt;20 W/m2)]])*24,0)</f>
        <v>12.183333333333335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>
        <v>30.83</v>
      </c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>
        <v>0.26180555555555557</v>
      </c>
      <c r="G29" s="121">
        <v>0.74722222222222223</v>
      </c>
      <c r="H29" s="137">
        <v>2058.3000000000002</v>
      </c>
      <c r="I29" s="137">
        <v>1713.3</v>
      </c>
      <c r="J29" s="137">
        <v>1865.5</v>
      </c>
      <c r="K29" s="137">
        <v>1899.8</v>
      </c>
      <c r="L29" s="137">
        <v>1959.9</v>
      </c>
      <c r="M29" s="137">
        <v>1937.3</v>
      </c>
      <c r="N29" s="137">
        <v>2114.1999999999998</v>
      </c>
      <c r="O29" s="137">
        <v>1997.6</v>
      </c>
      <c r="P29" s="137">
        <v>2164.4</v>
      </c>
      <c r="Q29" s="137">
        <v>2158.9</v>
      </c>
      <c r="R29" s="137">
        <v>2189.9</v>
      </c>
      <c r="S29" s="137">
        <v>2142.3000000000002</v>
      </c>
      <c r="T29" s="137">
        <v>2111.5</v>
      </c>
      <c r="U29" s="137">
        <v>2126.9</v>
      </c>
      <c r="V29" s="137">
        <v>2081.6999999999998</v>
      </c>
      <c r="W29" s="137">
        <v>1847.4</v>
      </c>
      <c r="X29" s="137">
        <v>1955</v>
      </c>
      <c r="Y29" s="137">
        <v>2002</v>
      </c>
      <c r="Z29" s="137">
        <v>2016.9</v>
      </c>
      <c r="AA29" s="137">
        <v>1579.1</v>
      </c>
      <c r="AB29" s="137">
        <v>1973.7</v>
      </c>
      <c r="AC29" s="137">
        <v>1046.3</v>
      </c>
      <c r="AD29" s="137">
        <v>1116.8</v>
      </c>
      <c r="AE29" s="166"/>
      <c r="AF29" s="166"/>
      <c r="AG29" s="166"/>
      <c r="AH29" s="166"/>
      <c r="AI29" s="166"/>
      <c r="AJ29" s="166"/>
      <c r="AK29" s="166"/>
      <c r="AL29" s="166"/>
      <c r="AM29" s="58">
        <v>1.519059823333331</v>
      </c>
      <c r="AN29" s="58">
        <v>1.4314601416666688</v>
      </c>
      <c r="AO29" s="58">
        <v>24.014203571428567</v>
      </c>
      <c r="AP29" s="58">
        <v>25.285023857142832</v>
      </c>
      <c r="AQ29" s="58">
        <v>94.184742285714265</v>
      </c>
      <c r="AR29" s="58">
        <v>0</v>
      </c>
      <c r="AS29" s="58">
        <v>4.1584285714285674</v>
      </c>
      <c r="AT29" s="58">
        <v>7.67</v>
      </c>
      <c r="AU29" s="60">
        <f>SUM(RD[[#This Row],[IS2Inv1M1]:[IS4Inv1M3]])</f>
        <v>34323.900000000009</v>
      </c>
      <c r="AV29" s="60">
        <f>SUM(RD[[#This Row],[IS5Inv1M1]:[IS5Inv2M3]])</f>
        <v>9734.7999999999993</v>
      </c>
      <c r="AW29" s="60">
        <f>SUM(RD[[#This Row],[O2RE9]:[O2RE19]])</f>
        <v>44058.700000000012</v>
      </c>
      <c r="AX29" s="152">
        <v>3177</v>
      </c>
      <c r="AY29" s="152"/>
      <c r="AZ29" s="152">
        <v>50</v>
      </c>
      <c r="BA29" s="152">
        <v>2919</v>
      </c>
      <c r="BB29" s="152"/>
      <c r="BC29" s="152">
        <v>56</v>
      </c>
      <c r="BD29" s="153">
        <f>IF((RD[[#This Row],[33 kV_F1_Ex (O2RE9)]]-AX28)*300&lt;=0,"",(RD[[#This Row],[33 kV_F1_Ex (O2RE9)]]-AX28)*300)</f>
        <v>35400</v>
      </c>
      <c r="BE29" s="153">
        <f>IF((RD[[#This Row],[33kV_OG1_Ex (O2RE9)]]-AY28)*1000&lt;=0,0,(RD[[#This Row],[33kV_OG1_Ex (O2RE9)]]-AY28)*1000)</f>
        <v>0</v>
      </c>
      <c r="BF29" s="153"/>
      <c r="BG29" s="153">
        <f>IF((RD[[#This Row],[33 kV_F2_Ex (O2RE19)]]-BA28)*90&lt;=0,"",(RD[[#This Row],[33 kV_F2_Ex (O2RE19)]]-BA28)*90)</f>
        <v>10080</v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270</v>
      </c>
      <c r="BJ29" s="153">
        <f>IF((RD[[#This Row],[33kV_Aux1_Im (O2RE9)]]-AZ28)*90&lt;0,"",(RD[[#This Row],[33kV_Aux1_Im (O2RE9)]]-AZ28)*90)</f>
        <v>180</v>
      </c>
      <c r="BK29" s="153">
        <f>SUM(RD[[#This Row],[33kV_OG1_O2RE9_Energy (KWh)]],RD[[#This Row],[33kV_OG2_O2RE19_Energy (KWh)]])</f>
        <v>0</v>
      </c>
      <c r="BL29" s="62">
        <f>IFERROR(RD[[#This Row],[33 kV Total Export (KWH)]]/RD[[#This Row],[Inv Total Gneration (MWh)]]-1,"")</f>
        <v>-1</v>
      </c>
      <c r="BM29" s="63">
        <f>IFERROR((RD[[#This Row],[Sunset Time (POA&lt;20 W/m2)]]-RD[[#This Row],[Sunrise Time (POA&gt;20 W/m2)]])*24,0)</f>
        <v>11.65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>
        <v>30.83</v>
      </c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>
        <v>0.31041666666666667</v>
      </c>
      <c r="G30" s="121">
        <v>0.75069444444444444</v>
      </c>
      <c r="H30" s="137">
        <v>963.8</v>
      </c>
      <c r="I30" s="137">
        <v>799.4</v>
      </c>
      <c r="J30" s="137">
        <v>879</v>
      </c>
      <c r="K30" s="137">
        <v>894.2</v>
      </c>
      <c r="L30" s="137">
        <v>927.3</v>
      </c>
      <c r="M30" s="137">
        <v>900.2</v>
      </c>
      <c r="N30" s="137">
        <v>981.4</v>
      </c>
      <c r="O30" s="137">
        <v>918.7</v>
      </c>
      <c r="P30" s="137">
        <v>1003.9</v>
      </c>
      <c r="Q30" s="137">
        <v>100.1</v>
      </c>
      <c r="R30" s="137">
        <v>1024.5</v>
      </c>
      <c r="S30" s="137">
        <v>1010.3</v>
      </c>
      <c r="T30" s="137">
        <v>990.6</v>
      </c>
      <c r="U30" s="137">
        <v>992.1</v>
      </c>
      <c r="V30" s="137">
        <v>840</v>
      </c>
      <c r="W30" s="137">
        <v>801</v>
      </c>
      <c r="X30" s="137">
        <v>790</v>
      </c>
      <c r="Y30" s="137">
        <v>931.9</v>
      </c>
      <c r="Z30" s="137">
        <v>937.2</v>
      </c>
      <c r="AA30" s="137">
        <v>724.1</v>
      </c>
      <c r="AB30" s="137">
        <v>922.9</v>
      </c>
      <c r="AC30" s="137">
        <v>434.3</v>
      </c>
      <c r="AD30" s="137">
        <v>500.5</v>
      </c>
      <c r="AE30" s="166"/>
      <c r="AF30" s="166"/>
      <c r="AG30" s="166"/>
      <c r="AH30" s="166"/>
      <c r="AI30" s="166"/>
      <c r="AJ30" s="166"/>
      <c r="AK30" s="166"/>
      <c r="AL30" s="166"/>
      <c r="AM30" s="58">
        <v>1.336570676666665</v>
      </c>
      <c r="AN30" s="58">
        <v>1.251392388333332</v>
      </c>
      <c r="AO30" s="58">
        <v>23.746571835443046</v>
      </c>
      <c r="AP30" s="58">
        <v>24.442912974683559</v>
      </c>
      <c r="AQ30" s="58">
        <v>95.755326107594982</v>
      </c>
      <c r="AR30" s="58">
        <v>2.286</v>
      </c>
      <c r="AS30" s="58">
        <v>5.0160759493670861</v>
      </c>
      <c r="AT30" s="58">
        <v>9.32</v>
      </c>
      <c r="AU30" s="60">
        <f>SUM(RD[[#This Row],[IS2Inv1M1]:[IS4Inv1M3]])</f>
        <v>14816.5</v>
      </c>
      <c r="AV30" s="60">
        <f>SUM(RD[[#This Row],[IS5Inv1M1]:[IS5Inv2M3]])</f>
        <v>4450.8999999999996</v>
      </c>
      <c r="AW30" s="60">
        <f>SUM(RD[[#This Row],[O2RE9]:[O2RE19]])</f>
        <v>19267.400000000001</v>
      </c>
      <c r="AX30" s="152">
        <v>3230</v>
      </c>
      <c r="AY30" s="152"/>
      <c r="AZ30" s="152">
        <v>52</v>
      </c>
      <c r="BA30" s="152">
        <v>2973</v>
      </c>
      <c r="BB30" s="152"/>
      <c r="BC30" s="152">
        <v>58</v>
      </c>
      <c r="BD30" s="153">
        <f>IF((RD[[#This Row],[33 kV_F1_Ex (O2RE9)]]-AX29)*300&lt;=0,"",(RD[[#This Row],[33 kV_F1_Ex (O2RE9)]]-AX29)*300)</f>
        <v>15900</v>
      </c>
      <c r="BE30" s="153">
        <f>IF((RD[[#This Row],[33kV_OG1_Ex (O2RE9)]]-AY29)*1000&lt;=0,0,(RD[[#This Row],[33kV_OG1_Ex (O2RE9)]]-AY29)*1000)</f>
        <v>0</v>
      </c>
      <c r="BF30" s="153"/>
      <c r="BG30" s="153">
        <f>IF((RD[[#This Row],[33 kV_F2_Ex (O2RE19)]]-BA29)*90&lt;=0,"",(RD[[#This Row],[33 kV_F2_Ex (O2RE19)]]-BA29)*90)</f>
        <v>4860</v>
      </c>
      <c r="BH30" s="153">
        <f>IF((RD[[#This Row],[33kV_OG2_Ex (O2RE19)]]-BB29)*1000&lt;=0,0,(RD[[#This Row],[33kV_OG2_Ex (O2RE19)]]-BB29)*1000)</f>
        <v>0</v>
      </c>
      <c r="BI30" s="153">
        <f>IF((RD[[#This Row],[33kV_Aux2_Im (O2RE19)]]-BC29)*90&lt;0,"",(RD[[#This Row],[33kV_Aux2_Im (O2RE19)]]-BC29)*90)</f>
        <v>180</v>
      </c>
      <c r="BJ30" s="153">
        <f>IF((RD[[#This Row],[33kV_Aux1_Im (O2RE9)]]-AZ29)*90&lt;0,"",(RD[[#This Row],[33kV_Aux1_Im (O2RE9)]]-AZ29)*90)</f>
        <v>180</v>
      </c>
      <c r="BK30" s="153">
        <f>SUM(RD[[#This Row],[33kV_OG1_O2RE9_Energy (KWh)]],RD[[#This Row],[33kV_OG2_O2RE19_Energy (KWh)]])</f>
        <v>0</v>
      </c>
      <c r="BL30" s="62">
        <f>IFERROR(RD[[#This Row],[33 kV Total Export (KWH)]]/RD[[#This Row],[Inv Total Gneration (MWh)]]-1,"")</f>
        <v>-1</v>
      </c>
      <c r="BM30" s="63">
        <f>IFERROR((RD[[#This Row],[Sunset Time (POA&lt;20 W/m2)]]-RD[[#This Row],[Sunrise Time (POA&gt;20 W/m2)]])*24,0)</f>
        <v>10.566666666666666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>
        <v>30.83</v>
      </c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>
        <v>0.27847222222222223</v>
      </c>
      <c r="G31" s="121">
        <v>0.77986111111111112</v>
      </c>
      <c r="H31" s="137">
        <v>4862.2</v>
      </c>
      <c r="I31" s="137">
        <v>4188.1000000000004</v>
      </c>
      <c r="J31" s="137">
        <v>4498.1000000000004</v>
      </c>
      <c r="K31" s="137">
        <v>4602.3</v>
      </c>
      <c r="L31" s="137">
        <v>4696.3</v>
      </c>
      <c r="M31" s="137">
        <v>4593.8999999999996</v>
      </c>
      <c r="N31" s="137">
        <v>4932.5</v>
      </c>
      <c r="O31" s="137">
        <v>4714.3999999999996</v>
      </c>
      <c r="P31" s="137">
        <v>5022.8</v>
      </c>
      <c r="Q31" s="137">
        <v>5030.6000000000004</v>
      </c>
      <c r="R31" s="137">
        <v>5087.6000000000004</v>
      </c>
      <c r="S31" s="137">
        <v>5011.1000000000004</v>
      </c>
      <c r="T31" s="137">
        <v>4926.3</v>
      </c>
      <c r="U31" s="137">
        <v>4966.3999999999996</v>
      </c>
      <c r="V31" s="137">
        <v>2489.6</v>
      </c>
      <c r="W31" s="137">
        <v>2154.8000000000002</v>
      </c>
      <c r="X31" s="137">
        <v>1828.2</v>
      </c>
      <c r="Y31" s="137">
        <v>4844.5</v>
      </c>
      <c r="Z31" s="137">
        <v>4809.8999999999996</v>
      </c>
      <c r="AA31" s="137">
        <v>3909.7</v>
      </c>
      <c r="AB31" s="137">
        <v>4748.7</v>
      </c>
      <c r="AC31" s="137">
        <v>2533.6</v>
      </c>
      <c r="AD31" s="137">
        <v>2872.3</v>
      </c>
      <c r="AE31" s="166"/>
      <c r="AF31" s="166"/>
      <c r="AG31" s="166"/>
      <c r="AH31" s="166"/>
      <c r="AI31" s="166"/>
      <c r="AJ31" s="166"/>
      <c r="AK31" s="166"/>
      <c r="AL31" s="166"/>
      <c r="AM31" s="58">
        <v>3.7933028316666673</v>
      </c>
      <c r="AN31" s="58">
        <v>3.7337540099999997</v>
      </c>
      <c r="AO31" s="58">
        <v>25.027078561549079</v>
      </c>
      <c r="AP31" s="58">
        <v>30.178332226832648</v>
      </c>
      <c r="AQ31" s="58">
        <v>84.005136376210245</v>
      </c>
      <c r="AR31" s="58">
        <v>0</v>
      </c>
      <c r="AS31" s="58">
        <v>6.4141632088520089</v>
      </c>
      <c r="AT31" s="58">
        <v>12.48</v>
      </c>
      <c r="AU31" s="60">
        <f>SUM(RD[[#This Row],[IS2Inv1M1]:[IS4Inv1M3]])</f>
        <v>73605.200000000012</v>
      </c>
      <c r="AV31" s="60">
        <f>SUM(RD[[#This Row],[IS5Inv1M1]:[IS5Inv2M3]])</f>
        <v>23718.699999999997</v>
      </c>
      <c r="AW31" s="60">
        <f>SUM(RD[[#This Row],[O2RE9]:[O2RE19]])</f>
        <v>97323.900000000009</v>
      </c>
      <c r="AX31" s="152">
        <v>3473</v>
      </c>
      <c r="AY31" s="152"/>
      <c r="AZ31" s="152">
        <v>54</v>
      </c>
      <c r="BA31" s="152">
        <v>3236</v>
      </c>
      <c r="BB31" s="152"/>
      <c r="BC31" s="152">
        <v>61</v>
      </c>
      <c r="BD31" s="153">
        <f>IF((RD[[#This Row],[33 kV_F1_Ex (O2RE9)]]-AX30)*300&lt;=0,"",(RD[[#This Row],[33 kV_F1_Ex (O2RE9)]]-AX30)*300)</f>
        <v>72900</v>
      </c>
      <c r="BE31" s="153">
        <f>IF((RD[[#This Row],[33kV_OG1_Ex (O2RE9)]]-AY30)*1000&lt;=0,0,(RD[[#This Row],[33kV_OG1_Ex (O2RE9)]]-AY30)*1000)</f>
        <v>0</v>
      </c>
      <c r="BF31" s="153"/>
      <c r="BG31" s="153">
        <f>IF((RD[[#This Row],[33 kV_F2_Ex (O2RE19)]]-BA30)*90&lt;=0,"",(RD[[#This Row],[33 kV_F2_Ex (O2RE19)]]-BA30)*90)</f>
        <v>23670</v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270</v>
      </c>
      <c r="BJ31" s="153">
        <f>IF((RD[[#This Row],[33kV_Aux1_Im (O2RE9)]]-AZ30)*90&lt;0,"",(RD[[#This Row],[33kV_Aux1_Im (O2RE9)]]-AZ30)*90)</f>
        <v>180</v>
      </c>
      <c r="BK31" s="153">
        <f>SUM(RD[[#This Row],[33kV_OG1_O2RE9_Energy (KWh)]],RD[[#This Row],[33kV_OG2_O2RE19_Energy (KWh)]])</f>
        <v>0</v>
      </c>
      <c r="BL31" s="62">
        <f>IFERROR(RD[[#This Row],[33 kV Total Export (KWH)]]/RD[[#This Row],[Inv Total Gneration (MWh)]]-1,"")</f>
        <v>-1</v>
      </c>
      <c r="BM31" s="63">
        <f>IFERROR((RD[[#This Row],[Sunset Time (POA&lt;20 W/m2)]]-RD[[#This Row],[Sunrise Time (POA&gt;20 W/m2)]])*24,0)</f>
        <v>12.033333333333333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>
        <v>30.83</v>
      </c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>
        <v>0.26805555555555555</v>
      </c>
      <c r="G32" s="121">
        <v>0.78194444444444444</v>
      </c>
      <c r="H32" s="137">
        <v>4794.3999999999996</v>
      </c>
      <c r="I32" s="137">
        <v>4030.8</v>
      </c>
      <c r="J32" s="137">
        <v>4333.2</v>
      </c>
      <c r="K32" s="137">
        <v>4373.5</v>
      </c>
      <c r="L32" s="137">
        <v>4597</v>
      </c>
      <c r="M32" s="137">
        <v>4568.7</v>
      </c>
      <c r="N32" s="137">
        <v>4955.3999999999996</v>
      </c>
      <c r="O32" s="137">
        <v>4762.8</v>
      </c>
      <c r="P32" s="137">
        <v>5101.2</v>
      </c>
      <c r="Q32" s="137">
        <v>5098.5</v>
      </c>
      <c r="R32" s="137">
        <v>5078.3999999999996</v>
      </c>
      <c r="S32" s="137">
        <v>4933.3999999999996</v>
      </c>
      <c r="T32" s="137">
        <v>4883.5</v>
      </c>
      <c r="U32" s="137">
        <v>4953.5</v>
      </c>
      <c r="V32" s="137">
        <v>4716.6000000000004</v>
      </c>
      <c r="W32" s="137">
        <v>4113.5</v>
      </c>
      <c r="X32" s="137">
        <v>3382.7</v>
      </c>
      <c r="Y32" s="137">
        <v>4659.1000000000004</v>
      </c>
      <c r="Z32" s="137">
        <v>4794.6000000000004</v>
      </c>
      <c r="AA32" s="137">
        <v>3807.7</v>
      </c>
      <c r="AB32" s="137">
        <v>4604.8</v>
      </c>
      <c r="AC32" s="137">
        <v>2441.5</v>
      </c>
      <c r="AD32" s="137">
        <v>2762.2</v>
      </c>
      <c r="AE32" s="166"/>
      <c r="AF32" s="166"/>
      <c r="AG32" s="166"/>
      <c r="AH32" s="166"/>
      <c r="AI32" s="166"/>
      <c r="AJ32" s="166"/>
      <c r="AK32" s="166"/>
      <c r="AL32" s="166"/>
      <c r="AM32" s="58">
        <v>3.6988279549999978</v>
      </c>
      <c r="AN32" s="58">
        <v>3.6476362433333316</v>
      </c>
      <c r="AO32" s="58">
        <v>25.250952638700966</v>
      </c>
      <c r="AP32" s="58">
        <v>30.373118403247616</v>
      </c>
      <c r="AQ32" s="58">
        <v>78.490605953991889</v>
      </c>
      <c r="AR32" s="58">
        <v>0</v>
      </c>
      <c r="AS32" s="58">
        <v>6.1969147496617083</v>
      </c>
      <c r="AT32" s="58">
        <v>12.12</v>
      </c>
      <c r="AU32" s="60">
        <f>SUM(RD[[#This Row],[IS2Inv1M1]:[IS4Inv1M3]])</f>
        <v>78677.100000000006</v>
      </c>
      <c r="AV32" s="60">
        <f>SUM(RD[[#This Row],[IS5Inv1M1]:[IS5Inv2M3]])</f>
        <v>23069.9</v>
      </c>
      <c r="AW32" s="60">
        <f>SUM(RD[[#This Row],[O2RE9]:[O2RE19]])</f>
        <v>101747</v>
      </c>
      <c r="AX32" s="152">
        <v>3734</v>
      </c>
      <c r="AY32" s="152"/>
      <c r="AZ32" s="152">
        <v>58</v>
      </c>
      <c r="BA32" s="152">
        <v>3492</v>
      </c>
      <c r="BB32" s="152"/>
      <c r="BC32" s="152">
        <v>65</v>
      </c>
      <c r="BD32" s="153">
        <f>IF((RD[[#This Row],[33 kV_F1_Ex (O2RE9)]]-AX31)*300&lt;=0,"",(RD[[#This Row],[33 kV_F1_Ex (O2RE9)]]-AX31)*300)</f>
        <v>78300</v>
      </c>
      <c r="BE32" s="153">
        <f>IF((RD[[#This Row],[33kV_OG1_Ex (O2RE9)]]-AY31)*1000&lt;=0,0,(RD[[#This Row],[33kV_OG1_Ex (O2RE9)]]-AY31)*1000)</f>
        <v>0</v>
      </c>
      <c r="BF32" s="153"/>
      <c r="BG32" s="153">
        <f>IF((RD[[#This Row],[33 kV_F2_Ex (O2RE19)]]-BA31)*90&lt;=0,"",(RD[[#This Row],[33 kV_F2_Ex (O2RE19)]]-BA31)*90)</f>
        <v>23040</v>
      </c>
      <c r="BH32" s="153">
        <f>IF((RD[[#This Row],[33kV_OG2_Ex (O2RE19)]]-BB31)*1000&lt;=0,0,(RD[[#This Row],[33kV_OG2_Ex (O2RE19)]]-BB31)*1000)</f>
        <v>0</v>
      </c>
      <c r="BI32" s="153">
        <f>IF((RD[[#This Row],[33kV_Aux2_Im (O2RE19)]]-BC31)*90&lt;0,"",(RD[[#This Row],[33kV_Aux2_Im (O2RE19)]]-BC31)*90)</f>
        <v>360</v>
      </c>
      <c r="BJ32" s="153">
        <f>IF((RD[[#This Row],[33kV_Aux1_Im (O2RE9)]]-AZ31)*90&lt;0,"",(RD[[#This Row],[33kV_Aux1_Im (O2RE9)]]-AZ31)*90)</f>
        <v>360</v>
      </c>
      <c r="BK32" s="153">
        <f>SUM(RD[[#This Row],[33kV_OG1_O2RE9_Energy (KWh)]],RD[[#This Row],[33kV_OG2_O2RE19_Energy (KWh)]])</f>
        <v>0</v>
      </c>
      <c r="BL32" s="62">
        <f>IFERROR(RD[[#This Row],[33 kV Total Export (KWH)]]/RD[[#This Row],[Inv Total Gneration (MWh)]]-1,"")</f>
        <v>-1</v>
      </c>
      <c r="BM32" s="63">
        <f>IFERROR((RD[[#This Row],[Sunset Time (POA&lt;20 W/m2)]]-RD[[#This Row],[Sunrise Time (POA&gt;20 W/m2)]])*24,0)</f>
        <v>12.333333333333332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>
        <v>30.83</v>
      </c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>
        <v>0.29166666666666669</v>
      </c>
      <c r="G33" s="121">
        <v>0.77708333333333335</v>
      </c>
      <c r="H33" s="137">
        <v>3554.9</v>
      </c>
      <c r="I33" s="137">
        <v>2989.9</v>
      </c>
      <c r="J33" s="137">
        <v>3216.1</v>
      </c>
      <c r="K33" s="137">
        <v>3284</v>
      </c>
      <c r="L33" s="137">
        <v>3398.2</v>
      </c>
      <c r="M33" s="137">
        <v>3364.3</v>
      </c>
      <c r="N33" s="137">
        <v>3683.4</v>
      </c>
      <c r="O33" s="137">
        <v>3535.1</v>
      </c>
      <c r="P33" s="137">
        <v>3770.5</v>
      </c>
      <c r="Q33" s="137">
        <v>3760.7</v>
      </c>
      <c r="R33" s="137">
        <v>3764</v>
      </c>
      <c r="S33" s="137">
        <v>3670.5</v>
      </c>
      <c r="T33" s="137">
        <v>3619.9</v>
      </c>
      <c r="U33" s="137">
        <v>3679.2</v>
      </c>
      <c r="V33" s="137">
        <v>3614.3</v>
      </c>
      <c r="W33" s="137">
        <v>3217.4</v>
      </c>
      <c r="X33" s="137">
        <v>3230.8</v>
      </c>
      <c r="Y33" s="137">
        <v>3492.7</v>
      </c>
      <c r="Z33" s="137">
        <v>3504.4</v>
      </c>
      <c r="AA33" s="137">
        <v>2779.5</v>
      </c>
      <c r="AB33" s="137">
        <v>3420.5</v>
      </c>
      <c r="AC33" s="137">
        <v>1981.5</v>
      </c>
      <c r="AD33" s="137">
        <v>2383.4</v>
      </c>
      <c r="AE33" s="166"/>
      <c r="AF33" s="166"/>
      <c r="AG33" s="166"/>
      <c r="AH33" s="166"/>
      <c r="AI33" s="166"/>
      <c r="AJ33" s="166"/>
      <c r="AK33" s="166"/>
      <c r="AL33" s="166"/>
      <c r="AM33" s="58">
        <v>2.6406742800000065</v>
      </c>
      <c r="AN33" s="58">
        <v>2.5486865450000016</v>
      </c>
      <c r="AO33" s="58">
        <v>24.746445142857123</v>
      </c>
      <c r="AP33" s="58">
        <v>27.998319428571428</v>
      </c>
      <c r="AQ33" s="58">
        <v>81.484031999999971</v>
      </c>
      <c r="AR33" s="58">
        <v>0</v>
      </c>
      <c r="AS33" s="58">
        <v>6.3813571428571363</v>
      </c>
      <c r="AT33" s="58">
        <v>11.85</v>
      </c>
      <c r="AU33" s="60">
        <f>SUM(RD[[#This Row],[IS2Inv1M1]:[IS4Inv1M3]])</f>
        <v>59353.200000000004</v>
      </c>
      <c r="AV33" s="60">
        <f>SUM(RD[[#This Row],[IS5Inv1M1]:[IS5Inv2M3]])</f>
        <v>17562</v>
      </c>
      <c r="AW33" s="60">
        <f>SUM(RD[[#This Row],[O2RE9]:[O2RE19]])</f>
        <v>76915.200000000012</v>
      </c>
      <c r="AX33" s="152">
        <v>3932</v>
      </c>
      <c r="AY33" s="152"/>
      <c r="AZ33" s="152">
        <v>58</v>
      </c>
      <c r="BA33" s="152">
        <v>3689</v>
      </c>
      <c r="BB33" s="152"/>
      <c r="BC33" s="152">
        <v>66</v>
      </c>
      <c r="BD33" s="153">
        <f>IF((RD[[#This Row],[33 kV_F1_Ex (O2RE9)]]-AX32)*300&lt;=0,"",(RD[[#This Row],[33 kV_F1_Ex (O2RE9)]]-AX32)*300)</f>
        <v>59400</v>
      </c>
      <c r="BE33" s="153">
        <f>IF((RD[[#This Row],[33kV_OG1_Ex (O2RE9)]]-AY32)*1000&lt;=0,0,(RD[[#This Row],[33kV_OG1_Ex (O2RE9)]]-AY32)*1000)</f>
        <v>0</v>
      </c>
      <c r="BF33" s="153"/>
      <c r="BG33" s="153">
        <f>IF((RD[[#This Row],[33 kV_F2_Ex (O2RE19)]]-BA32)*90&lt;=0,"",(RD[[#This Row],[33 kV_F2_Ex (O2RE19)]]-BA32)*90)</f>
        <v>17730</v>
      </c>
      <c r="BH33" s="153">
        <f>IF((RD[[#This Row],[33kV_OG2_Ex (O2RE19)]]-BB32)*1000&lt;=0,0,(RD[[#This Row],[33kV_OG2_Ex (O2RE19)]]-BB32)*1000)</f>
        <v>0</v>
      </c>
      <c r="BI33" s="153">
        <f>IF((RD[[#This Row],[33kV_Aux2_Im (O2RE19)]]-BC32)*90&lt;0,"",(RD[[#This Row],[33kV_Aux2_Im (O2RE19)]]-BC32)*90)</f>
        <v>90</v>
      </c>
      <c r="BJ33" s="153">
        <f>IF((RD[[#This Row],[33kV_Aux1_Im (O2RE9)]]-AZ32)*90&lt;0,"",(RD[[#This Row],[33kV_Aux1_Im (O2RE9)]]-AZ32)*90)</f>
        <v>0</v>
      </c>
      <c r="BK33" s="153">
        <f>SUM(RD[[#This Row],[33kV_OG1_O2RE9_Energy (KWh)]],RD[[#This Row],[33kV_OG2_O2RE19_Energy (KWh)]])</f>
        <v>0</v>
      </c>
      <c r="BL33" s="62">
        <f>IFERROR(RD[[#This Row],[33 kV Total Export (KWH)]]/RD[[#This Row],[Inv Total Gneration (MWh)]]-1,"")</f>
        <v>-1</v>
      </c>
      <c r="BM33" s="63">
        <f>IFERROR((RD[[#This Row],[Sunset Time (POA&lt;20 W/m2)]]-RD[[#This Row],[Sunrise Time (POA&gt;20 W/m2)]])*24,0)</f>
        <v>11.65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>
        <v>30.83</v>
      </c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>
        <v>0.28194444444444444</v>
      </c>
      <c r="G34" s="121">
        <v>0.78194444444444444</v>
      </c>
      <c r="H34" s="137">
        <v>1854.1</v>
      </c>
      <c r="I34" s="137">
        <v>1547.6</v>
      </c>
      <c r="J34" s="137">
        <v>1674.7</v>
      </c>
      <c r="K34" s="137">
        <v>1706.1</v>
      </c>
      <c r="L34" s="137">
        <v>1769.9</v>
      </c>
      <c r="M34" s="137">
        <v>1741.8</v>
      </c>
      <c r="N34" s="137">
        <v>1905.7</v>
      </c>
      <c r="O34" s="137">
        <v>1818.9</v>
      </c>
      <c r="P34" s="137">
        <v>1956.9</v>
      </c>
      <c r="Q34" s="137">
        <v>1953.5</v>
      </c>
      <c r="R34" s="137">
        <v>1958.8</v>
      </c>
      <c r="S34" s="137">
        <v>1909.6</v>
      </c>
      <c r="T34" s="137">
        <v>1880</v>
      </c>
      <c r="U34" s="137">
        <v>1906.8</v>
      </c>
      <c r="V34" s="137">
        <v>1875.7</v>
      </c>
      <c r="W34" s="137">
        <v>1662.7</v>
      </c>
      <c r="X34" s="137">
        <v>1667.9</v>
      </c>
      <c r="Y34" s="137">
        <v>1831.4</v>
      </c>
      <c r="Z34" s="137">
        <v>1855.7</v>
      </c>
      <c r="AA34" s="137">
        <v>1461.8</v>
      </c>
      <c r="AB34" s="137">
        <v>1804.9</v>
      </c>
      <c r="AC34" s="137">
        <v>1041</v>
      </c>
      <c r="AD34" s="137">
        <v>1279.9000000000001</v>
      </c>
      <c r="AE34" s="166"/>
      <c r="AF34" s="166"/>
      <c r="AG34" s="166"/>
      <c r="AH34" s="166"/>
      <c r="AI34" s="166"/>
      <c r="AJ34" s="166"/>
      <c r="AK34" s="166"/>
      <c r="AL34" s="166"/>
      <c r="AM34" s="58">
        <v>1.9262147066666686</v>
      </c>
      <c r="AN34" s="58">
        <v>1.855448063333333</v>
      </c>
      <c r="AO34" s="58">
        <v>24.798657850070736</v>
      </c>
      <c r="AP34" s="58">
        <v>28.156636916548774</v>
      </c>
      <c r="AQ34" s="58">
        <v>86.489081895332333</v>
      </c>
      <c r="AR34" s="58">
        <v>0</v>
      </c>
      <c r="AS34" s="58">
        <v>4.0017043847241895</v>
      </c>
      <c r="AT34" s="58">
        <v>8.4600000000000009</v>
      </c>
      <c r="AU34" s="60">
        <f>SUM(RD[[#This Row],[IS2Inv1M1]:[IS4Inv1M3]])</f>
        <v>30790.699999999997</v>
      </c>
      <c r="AV34" s="60">
        <f>SUM(RD[[#This Row],[IS5Inv1M1]:[IS5Inv2M3]])</f>
        <v>9274.7000000000007</v>
      </c>
      <c r="AW34" s="60">
        <f>SUM(RD[[#This Row],[O2RE9]:[O2RE19]])</f>
        <v>40065.399999999994</v>
      </c>
      <c r="AX34" s="152">
        <v>4036</v>
      </c>
      <c r="AY34" s="152"/>
      <c r="AZ34" s="152">
        <v>60</v>
      </c>
      <c r="BA34" s="152">
        <v>3795</v>
      </c>
      <c r="BB34" s="152"/>
      <c r="BC34" s="152">
        <v>68</v>
      </c>
      <c r="BD34" s="153">
        <f>IF((RD[[#This Row],[33 kV_F1_Ex (O2RE9)]]-AX33)*300&lt;=0,"",(RD[[#This Row],[33 kV_F1_Ex (O2RE9)]]-AX33)*300)</f>
        <v>31200</v>
      </c>
      <c r="BE34" s="153">
        <f>IF((RD[[#This Row],[33kV_OG1_Ex (O2RE9)]]-AY33)*1000&lt;=0,0,(RD[[#This Row],[33kV_OG1_Ex (O2RE9)]]-AY33)*1000)</f>
        <v>0</v>
      </c>
      <c r="BF34" s="153"/>
      <c r="BG34" s="153">
        <f>IF((RD[[#This Row],[33 kV_F2_Ex (O2RE19)]]-BA33)*90&lt;=0,"",(RD[[#This Row],[33 kV_F2_Ex (O2RE19)]]-BA33)*90)</f>
        <v>9540</v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180</v>
      </c>
      <c r="BJ34" s="153">
        <f>IF((RD[[#This Row],[33kV_Aux1_Im (O2RE9)]]-AZ33)*90&lt;0,"",(RD[[#This Row],[33kV_Aux1_Im (O2RE9)]]-AZ33)*90)</f>
        <v>180</v>
      </c>
      <c r="BK34" s="153">
        <f>SUM(RD[[#This Row],[33kV_OG1_O2RE9_Energy (KWh)]],RD[[#This Row],[33kV_OG2_O2RE19_Energy (KWh)]])</f>
        <v>0</v>
      </c>
      <c r="BL34" s="62">
        <f>IFERROR(RD[[#This Row],[33 kV Total Export (KWH)]]/RD[[#This Row],[Inv Total Gneration (MWh)]]-1,"")</f>
        <v>-1</v>
      </c>
      <c r="BM34" s="63">
        <f>IFERROR((RD[[#This Row],[Sunset Time (POA&lt;20 W/m2)]]-RD[[#This Row],[Sunrise Time (POA&gt;20 W/m2)]])*24,0)</f>
        <v>12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>
        <v>31.34</v>
      </c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>
        <v>0.28194444444444444</v>
      </c>
      <c r="G35" s="121">
        <v>0.77152777777777781</v>
      </c>
      <c r="H35" s="137">
        <v>4223.2</v>
      </c>
      <c r="I35" s="137">
        <v>3567.4</v>
      </c>
      <c r="J35" s="137">
        <v>3832</v>
      </c>
      <c r="K35" s="137">
        <v>3933.1</v>
      </c>
      <c r="L35" s="137">
        <v>4034.3</v>
      </c>
      <c r="M35" s="137">
        <v>3979.5</v>
      </c>
      <c r="N35" s="137">
        <v>4372.5</v>
      </c>
      <c r="O35" s="137">
        <v>4203</v>
      </c>
      <c r="P35" s="137">
        <v>4455.7</v>
      </c>
      <c r="Q35" s="137">
        <v>4438.8999999999996</v>
      </c>
      <c r="R35" s="137">
        <v>4454.5</v>
      </c>
      <c r="S35" s="137">
        <v>4342.7</v>
      </c>
      <c r="T35" s="137">
        <v>4295.7</v>
      </c>
      <c r="U35" s="137">
        <v>4371</v>
      </c>
      <c r="V35" s="137">
        <v>4293.8</v>
      </c>
      <c r="W35" s="137">
        <v>3844.9</v>
      </c>
      <c r="X35" s="137">
        <v>3860</v>
      </c>
      <c r="Y35" s="137">
        <v>4180</v>
      </c>
      <c r="Z35" s="137">
        <v>4165.7</v>
      </c>
      <c r="AA35" s="137">
        <v>3320.1</v>
      </c>
      <c r="AB35" s="137">
        <v>4098.8</v>
      </c>
      <c r="AC35" s="137">
        <v>2411.3000000000002</v>
      </c>
      <c r="AD35" s="137">
        <v>2937.3</v>
      </c>
      <c r="AE35" s="166"/>
      <c r="AF35" s="166"/>
      <c r="AG35" s="166"/>
      <c r="AH35" s="166"/>
      <c r="AI35" s="166"/>
      <c r="AJ35" s="166"/>
      <c r="AK35" s="166"/>
      <c r="AL35" s="166"/>
      <c r="AM35" s="58">
        <v>3.0952918349999994</v>
      </c>
      <c r="AN35" s="58">
        <v>2.9867295449999967</v>
      </c>
      <c r="AO35" s="58">
        <v>25.177279130434776</v>
      </c>
      <c r="AP35" s="58">
        <v>30.892377681159417</v>
      </c>
      <c r="AQ35" s="58">
        <v>86.012808840579709</v>
      </c>
      <c r="AR35" s="58">
        <v>0</v>
      </c>
      <c r="AS35" s="58">
        <v>4.2101594202898545</v>
      </c>
      <c r="AT35" s="58">
        <v>8.8000000000000007</v>
      </c>
      <c r="AU35" s="60">
        <f>SUM(RD[[#This Row],[IS2Inv1M1]:[IS4Inv1M3]])</f>
        <v>70502.2</v>
      </c>
      <c r="AV35" s="60">
        <f>SUM(RD[[#This Row],[IS5Inv1M1]:[IS5Inv2M3]])</f>
        <v>21113.200000000001</v>
      </c>
      <c r="AW35" s="60">
        <f>SUM(RD[[#This Row],[O2RE9]:[O2RE19]])</f>
        <v>91615.4</v>
      </c>
      <c r="AX35" s="152">
        <v>4271</v>
      </c>
      <c r="AY35" s="152"/>
      <c r="AZ35" s="152">
        <v>62</v>
      </c>
      <c r="BA35" s="152">
        <v>4030</v>
      </c>
      <c r="BB35" s="152"/>
      <c r="BC35" s="152">
        <v>70</v>
      </c>
      <c r="BD35" s="153">
        <f>IF((RD[[#This Row],[33 kV_F1_Ex (O2RE9)]]-AX34)*300&lt;=0,"",(RD[[#This Row],[33 kV_F1_Ex (O2RE9)]]-AX34)*300)</f>
        <v>70500</v>
      </c>
      <c r="BE35" s="153">
        <f>IF((RD[[#This Row],[33kV_OG1_Ex (O2RE9)]]-AY34)*1000&lt;=0,0,(RD[[#This Row],[33kV_OG1_Ex (O2RE9)]]-AY34)*1000)</f>
        <v>0</v>
      </c>
      <c r="BF35" s="153"/>
      <c r="BG35" s="153">
        <f>IF((RD[[#This Row],[33 kV_F2_Ex (O2RE19)]]-BA34)*90&lt;=0,"",(RD[[#This Row],[33 kV_F2_Ex (O2RE19)]]-BA34)*90)</f>
        <v>21150</v>
      </c>
      <c r="BH35" s="153">
        <f>IF((RD[[#This Row],[33kV_OG2_Ex (O2RE19)]]-BB34)*1000&lt;=0,0,(RD[[#This Row],[33kV_OG2_Ex (O2RE19)]]-BB34)*1000)</f>
        <v>0</v>
      </c>
      <c r="BI35" s="153">
        <f>IF((RD[[#This Row],[33kV_Aux2_Im (O2RE19)]]-BC34)*90&lt;0,"",(RD[[#This Row],[33kV_Aux2_Im (O2RE19)]]-BC34)*90)</f>
        <v>180</v>
      </c>
      <c r="BJ35" s="153">
        <f>IF((RD[[#This Row],[33kV_Aux1_Im (O2RE9)]]-AZ34)*90&lt;0,"",(RD[[#This Row],[33kV_Aux1_Im (O2RE9)]]-AZ34)*90)</f>
        <v>180</v>
      </c>
      <c r="BK35" s="153">
        <f>SUM(RD[[#This Row],[33kV_OG1_O2RE9_Energy (KWh)]],RD[[#This Row],[33kV_OG2_O2RE19_Energy (KWh)]])</f>
        <v>0</v>
      </c>
      <c r="BL35" s="62">
        <f>IFERROR(RD[[#This Row],[33 kV Total Export (KWH)]]/RD[[#This Row],[Inv Total Gneration (MWh)]]-1,"")</f>
        <v>-1</v>
      </c>
      <c r="BM35" s="63">
        <f>IFERROR((RD[[#This Row],[Sunset Time (POA&lt;20 W/m2)]]-RD[[#This Row],[Sunrise Time (POA&gt;20 W/m2)]])*24,0)</f>
        <v>11.75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>
        <v>31.34</v>
      </c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>
        <v>0.26944444444444443</v>
      </c>
      <c r="G36" s="121">
        <v>0.78125</v>
      </c>
      <c r="H36" s="137">
        <v>6451.8</v>
      </c>
      <c r="I36" s="137">
        <v>5521.9</v>
      </c>
      <c r="J36" s="137">
        <v>5880.6</v>
      </c>
      <c r="K36" s="137">
        <v>6036.5</v>
      </c>
      <c r="L36" s="137">
        <v>6201.1</v>
      </c>
      <c r="M36" s="137">
        <v>6106</v>
      </c>
      <c r="N36" s="137">
        <v>6616.9</v>
      </c>
      <c r="O36" s="137">
        <v>6372.7</v>
      </c>
      <c r="P36" s="137">
        <v>6724.1</v>
      </c>
      <c r="Q36" s="137">
        <v>6718.1</v>
      </c>
      <c r="R36" s="137">
        <v>6774.5</v>
      </c>
      <c r="S36" s="137">
        <v>6616.4</v>
      </c>
      <c r="T36" s="137">
        <v>6647.5</v>
      </c>
      <c r="U36" s="137">
        <v>6553.9</v>
      </c>
      <c r="V36" s="137">
        <v>6501.7</v>
      </c>
      <c r="W36" s="137">
        <v>5891.8</v>
      </c>
      <c r="X36" s="137">
        <v>5913.3</v>
      </c>
      <c r="Y36" s="137">
        <v>6350.5</v>
      </c>
      <c r="Z36" s="137">
        <v>6341.9</v>
      </c>
      <c r="AA36" s="137">
        <v>5135.2</v>
      </c>
      <c r="AB36" s="137">
        <v>6313.3</v>
      </c>
      <c r="AC36" s="137">
        <v>3800.7</v>
      </c>
      <c r="AD36" s="137">
        <v>4629.3999999999996</v>
      </c>
      <c r="AE36" s="166"/>
      <c r="AF36" s="166"/>
      <c r="AG36" s="166"/>
      <c r="AH36" s="166"/>
      <c r="AI36" s="166"/>
      <c r="AJ36" s="166"/>
      <c r="AK36" s="166"/>
      <c r="AL36" s="166"/>
      <c r="AM36" s="58">
        <v>5.0064395583333319</v>
      </c>
      <c r="AN36" s="58">
        <v>4.9725310983333326</v>
      </c>
      <c r="AO36" s="58">
        <v>26.087876422764218</v>
      </c>
      <c r="AP36" s="58">
        <v>35.652117615176145</v>
      </c>
      <c r="AQ36" s="58">
        <v>77.123734688346815</v>
      </c>
      <c r="AR36" s="58">
        <v>0</v>
      </c>
      <c r="AS36" s="58">
        <v>3.9983468834688356</v>
      </c>
      <c r="AT36" s="58">
        <v>7.29</v>
      </c>
      <c r="AU36" s="60">
        <f>SUM(RD[[#This Row],[IS2Inv1M1]:[IS4Inv1M3]])</f>
        <v>107528.79999999999</v>
      </c>
      <c r="AV36" s="60">
        <f>SUM(RD[[#This Row],[IS5Inv1M1]:[IS5Inv2M3]])</f>
        <v>32571</v>
      </c>
      <c r="AW36" s="60">
        <f>SUM(RD[[#This Row],[O2RE9]:[O2RE19]])</f>
        <v>140099.79999999999</v>
      </c>
      <c r="AX36" s="152">
        <v>4624</v>
      </c>
      <c r="AY36" s="152"/>
      <c r="AZ36" s="152">
        <v>64</v>
      </c>
      <c r="BA36" s="152">
        <v>4388</v>
      </c>
      <c r="BB36" s="152"/>
      <c r="BC36" s="152">
        <v>73</v>
      </c>
      <c r="BD36" s="153">
        <f>IF((RD[[#This Row],[33 kV_F1_Ex (O2RE9)]]-AX35)*300&lt;=0,"",(RD[[#This Row],[33 kV_F1_Ex (O2RE9)]]-AX35)*300)</f>
        <v>105900</v>
      </c>
      <c r="BE36" s="153">
        <f>IF((RD[[#This Row],[33kV_OG1_Ex (O2RE9)]]-AY35)*1000&lt;=0,0,(RD[[#This Row],[33kV_OG1_Ex (O2RE9)]]-AY35)*1000)</f>
        <v>0</v>
      </c>
      <c r="BF36" s="153"/>
      <c r="BG36" s="153">
        <f>IF((RD[[#This Row],[33 kV_F2_Ex (O2RE19)]]-BA35)*90&lt;=0,"",(RD[[#This Row],[33 kV_F2_Ex (O2RE19)]]-BA35)*90)</f>
        <v>32220</v>
      </c>
      <c r="BH36" s="153">
        <f>IF((RD[[#This Row],[33kV_OG2_Ex (O2RE19)]]-BB35)*1000&lt;=0,0,(RD[[#This Row],[33kV_OG2_Ex (O2RE19)]]-BB35)*1000)</f>
        <v>0</v>
      </c>
      <c r="BI36" s="153">
        <f>IF((RD[[#This Row],[33kV_Aux2_Im (O2RE19)]]-BC35)*90&lt;0,"",(RD[[#This Row],[33kV_Aux2_Im (O2RE19)]]-BC35)*90)</f>
        <v>270</v>
      </c>
      <c r="BJ36" s="153">
        <f>IF((RD[[#This Row],[33kV_Aux1_Im (O2RE9)]]-AZ35)*90&lt;0,"",(RD[[#This Row],[33kV_Aux1_Im (O2RE9)]]-AZ35)*90)</f>
        <v>180</v>
      </c>
      <c r="BK36" s="153">
        <f>SUM(RD[[#This Row],[33kV_OG1_O2RE9_Energy (KWh)]],RD[[#This Row],[33kV_OG2_O2RE19_Energy (KWh)]])</f>
        <v>0</v>
      </c>
      <c r="BL36" s="62">
        <f>IFERROR(RD[[#This Row],[33 kV Total Export (KWH)]]/RD[[#This Row],[Inv Total Gneration (MWh)]]-1,"")</f>
        <v>-1</v>
      </c>
      <c r="BM36" s="63">
        <f>IFERROR((RD[[#This Row],[Sunset Time (POA&lt;20 W/m2)]]-RD[[#This Row],[Sunrise Time (POA&gt;20 W/m2)]])*24,0)</f>
        <v>12.283333333333335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>
        <v>31.34</v>
      </c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>
        <v>0.2638888888888889</v>
      </c>
      <c r="G37" s="121">
        <v>0.78333333333333333</v>
      </c>
      <c r="H37" s="137">
        <v>6518.9</v>
      </c>
      <c r="I37" s="137">
        <v>5540.5</v>
      </c>
      <c r="J37" s="137">
        <v>5958.6</v>
      </c>
      <c r="K37" s="137">
        <v>6039.8</v>
      </c>
      <c r="L37" s="137">
        <v>5257.4</v>
      </c>
      <c r="M37" s="137">
        <v>6167.6</v>
      </c>
      <c r="N37" s="137">
        <v>6567.3</v>
      </c>
      <c r="O37" s="137">
        <v>6313.4</v>
      </c>
      <c r="P37" s="137">
        <v>6736.7</v>
      </c>
      <c r="Q37" s="137">
        <v>6748.5</v>
      </c>
      <c r="R37" s="137">
        <v>6803.6</v>
      </c>
      <c r="S37" s="137">
        <v>6621.6</v>
      </c>
      <c r="T37" s="137">
        <v>6526.4</v>
      </c>
      <c r="U37" s="137">
        <v>6613</v>
      </c>
      <c r="V37" s="137">
        <v>6454.4</v>
      </c>
      <c r="W37" s="137">
        <v>5757.8</v>
      </c>
      <c r="X37" s="137">
        <v>5773.6</v>
      </c>
      <c r="Y37" s="137">
        <v>6371.9</v>
      </c>
      <c r="Z37" s="137">
        <v>6466.8</v>
      </c>
      <c r="AA37" s="137">
        <v>5165.3999999999996</v>
      </c>
      <c r="AB37" s="137">
        <v>6481.4</v>
      </c>
      <c r="AC37" s="137">
        <v>3723</v>
      </c>
      <c r="AD37" s="137">
        <v>4518.1000000000004</v>
      </c>
      <c r="AE37" s="166"/>
      <c r="AF37" s="166"/>
      <c r="AG37" s="166"/>
      <c r="AH37" s="166"/>
      <c r="AI37" s="166"/>
      <c r="AJ37" s="166"/>
      <c r="AK37" s="166"/>
      <c r="AL37" s="166"/>
      <c r="AM37" s="58">
        <v>5.0494877983333293</v>
      </c>
      <c r="AN37" s="58">
        <v>5.0001174200000076</v>
      </c>
      <c r="AO37" s="58">
        <v>26.408362216288374</v>
      </c>
      <c r="AP37" s="58">
        <v>36.44592817089454</v>
      </c>
      <c r="AQ37" s="58">
        <v>73.254528704939901</v>
      </c>
      <c r="AR37" s="58">
        <v>0</v>
      </c>
      <c r="AS37" s="58">
        <v>3.2250867823765077</v>
      </c>
      <c r="AT37" s="58">
        <v>6.69</v>
      </c>
      <c r="AU37" s="60">
        <f>SUM(RD[[#This Row],[IS2Inv1M1]:[IS4Inv1M3]])</f>
        <v>106399.1</v>
      </c>
      <c r="AV37" s="60">
        <f>SUM(RD[[#This Row],[IS5Inv1M1]:[IS5Inv2M3]])</f>
        <v>32726.6</v>
      </c>
      <c r="AW37" s="60">
        <f>SUM(RD[[#This Row],[O2RE9]:[O2RE19]])</f>
        <v>139125.70000000001</v>
      </c>
      <c r="AX37" s="152">
        <v>4978</v>
      </c>
      <c r="AY37" s="152"/>
      <c r="AZ37" s="152">
        <v>66</v>
      </c>
      <c r="BA37" s="152">
        <v>4749</v>
      </c>
      <c r="BB37" s="152"/>
      <c r="BC37" s="152">
        <v>75</v>
      </c>
      <c r="BD37" s="153">
        <f>IF((RD[[#This Row],[33 kV_F1_Ex (O2RE9)]]-AX36)*300&lt;=0,"",(RD[[#This Row],[33 kV_F1_Ex (O2RE9)]]-AX36)*300)</f>
        <v>106200</v>
      </c>
      <c r="BE37" s="153">
        <f>IF((RD[[#This Row],[33kV_OG1_Ex (O2RE9)]]-AY36)*1000&lt;=0,0,(RD[[#This Row],[33kV_OG1_Ex (O2RE9)]]-AY36)*1000)</f>
        <v>0</v>
      </c>
      <c r="BF37" s="153"/>
      <c r="BG37" s="153">
        <f>IF((RD[[#This Row],[33 kV_F2_Ex (O2RE19)]]-BA36)*90&lt;=0,"",(RD[[#This Row],[33 kV_F2_Ex (O2RE19)]]-BA36)*90)</f>
        <v>32490</v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180</v>
      </c>
      <c r="BJ37" s="153">
        <f>IF((RD[[#This Row],[33kV_Aux1_Im (O2RE9)]]-AZ36)*90&lt;0,"",(RD[[#This Row],[33kV_Aux1_Im (O2RE9)]]-AZ36)*90)</f>
        <v>180</v>
      </c>
      <c r="BK37" s="153">
        <f>SUM(RD[[#This Row],[33kV_OG1_O2RE9_Energy (KWh)]],RD[[#This Row],[33kV_OG2_O2RE19_Energy (KWh)]])</f>
        <v>0</v>
      </c>
      <c r="BL37" s="62">
        <f>IFERROR(RD[[#This Row],[33 kV Total Export (KWH)]]/RD[[#This Row],[Inv Total Gneration (MWh)]]-1,"")</f>
        <v>-1</v>
      </c>
      <c r="BM37" s="63">
        <f>IFERROR((RD[[#This Row],[Sunset Time (POA&lt;20 W/m2)]]-RD[[#This Row],[Sunrise Time (POA&gt;20 W/m2)]])*24,0)</f>
        <v>12.466666666666665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>
        <v>31.34</v>
      </c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>
        <v>0.27152777777777776</v>
      </c>
      <c r="G38" s="121">
        <v>0.77777777777777779</v>
      </c>
      <c r="H38" s="137">
        <v>6112.1</v>
      </c>
      <c r="I38" s="137">
        <v>5239.8</v>
      </c>
      <c r="J38" s="137">
        <v>5672.2</v>
      </c>
      <c r="K38" s="137">
        <v>5798.8</v>
      </c>
      <c r="L38" s="137">
        <v>5870.9</v>
      </c>
      <c r="M38" s="137">
        <v>5740</v>
      </c>
      <c r="N38" s="137">
        <v>6216.4</v>
      </c>
      <c r="O38" s="137">
        <v>5952.1</v>
      </c>
      <c r="P38" s="137">
        <v>6303.3</v>
      </c>
      <c r="Q38" s="137">
        <v>6302.2</v>
      </c>
      <c r="R38" s="137">
        <v>6344</v>
      </c>
      <c r="S38" s="137">
        <v>6199.8</v>
      </c>
      <c r="T38" s="137">
        <v>6128</v>
      </c>
      <c r="U38" s="137">
        <v>6240.2</v>
      </c>
      <c r="V38" s="137">
        <v>6108.5</v>
      </c>
      <c r="W38" s="137">
        <v>5525.3</v>
      </c>
      <c r="X38" s="137">
        <v>5542.4</v>
      </c>
      <c r="Y38" s="137">
        <v>4953.2</v>
      </c>
      <c r="Z38" s="137">
        <v>4803.8999999999996</v>
      </c>
      <c r="AA38" s="137">
        <v>3934.8</v>
      </c>
      <c r="AB38" s="137">
        <v>6127.4</v>
      </c>
      <c r="AC38" s="137">
        <v>3529.4</v>
      </c>
      <c r="AD38" s="137">
        <v>4307</v>
      </c>
      <c r="AE38" s="166"/>
      <c r="AF38" s="166"/>
      <c r="AG38" s="166"/>
      <c r="AH38" s="166"/>
      <c r="AI38" s="166"/>
      <c r="AJ38" s="166"/>
      <c r="AK38" s="166"/>
      <c r="AL38" s="166"/>
      <c r="AM38" s="58">
        <v>4.7883391649999991</v>
      </c>
      <c r="AN38" s="58">
        <v>4.7682604999999976</v>
      </c>
      <c r="AO38" s="58">
        <v>26.73424821917807</v>
      </c>
      <c r="AP38" s="58">
        <v>37.393541643835583</v>
      </c>
      <c r="AQ38" s="58">
        <v>71.693660410958927</v>
      </c>
      <c r="AR38" s="58">
        <v>0</v>
      </c>
      <c r="AS38" s="58">
        <v>2.5641232876712339</v>
      </c>
      <c r="AT38" s="58">
        <v>5.89</v>
      </c>
      <c r="AU38" s="60">
        <f>SUM(RD[[#This Row],[IS2Inv1M1]:[IS4Inv1M3]])</f>
        <v>101296</v>
      </c>
      <c r="AV38" s="60">
        <f>SUM(RD[[#This Row],[IS5Inv1M1]:[IS5Inv2M3]])</f>
        <v>27655.699999999997</v>
      </c>
      <c r="AW38" s="60">
        <f>SUM(RD[[#This Row],[O2RE9]:[O2RE19]])</f>
        <v>128951.7</v>
      </c>
      <c r="AX38" s="152">
        <v>5311</v>
      </c>
      <c r="AY38" s="152"/>
      <c r="AZ38" s="152">
        <v>68</v>
      </c>
      <c r="BA38" s="152">
        <v>5054</v>
      </c>
      <c r="BB38" s="152"/>
      <c r="BC38" s="152">
        <v>77</v>
      </c>
      <c r="BD38" s="153">
        <f>IF((RD[[#This Row],[33 kV_F1_Ex (O2RE9)]]-AX37)*300&lt;=0,"",(RD[[#This Row],[33 kV_F1_Ex (O2RE9)]]-AX37)*300)</f>
        <v>99900</v>
      </c>
      <c r="BE38" s="153">
        <f>IF((RD[[#This Row],[33kV_OG1_Ex (O2RE9)]]-AY37)*1000&lt;=0,0,(RD[[#This Row],[33kV_OG1_Ex (O2RE9)]]-AY37)*1000)</f>
        <v>0</v>
      </c>
      <c r="BF38" s="153"/>
      <c r="BG38" s="153">
        <f>IF((RD[[#This Row],[33 kV_F2_Ex (O2RE19)]]-BA37)*90&lt;=0,"",(RD[[#This Row],[33 kV_F2_Ex (O2RE19)]]-BA37)*90)</f>
        <v>27450</v>
      </c>
      <c r="BH38" s="153">
        <f>IF((RD[[#This Row],[33kV_OG2_Ex (O2RE19)]]-BB37)*1000&lt;=0,0,(RD[[#This Row],[33kV_OG2_Ex (O2RE19)]]-BB37)*1000)</f>
        <v>0</v>
      </c>
      <c r="BI38" s="153">
        <f>IF((RD[[#This Row],[33kV_Aux2_Im (O2RE19)]]-BC37)*90&lt;0,"",(RD[[#This Row],[33kV_Aux2_Im (O2RE19)]]-BC37)*90)</f>
        <v>180</v>
      </c>
      <c r="BJ38" s="153">
        <f>IF((RD[[#This Row],[33kV_Aux1_Im (O2RE9)]]-AZ37)*90&lt;0,"",(RD[[#This Row],[33kV_Aux1_Im (O2RE9)]]-AZ37)*90)</f>
        <v>180</v>
      </c>
      <c r="BK38" s="153">
        <f>SUM(RD[[#This Row],[33kV_OG1_O2RE9_Energy (KWh)]],RD[[#This Row],[33kV_OG2_O2RE19_Energy (KWh)]])</f>
        <v>0</v>
      </c>
      <c r="BL38" s="62">
        <f>IFERROR(RD[[#This Row],[33 kV Total Export (KWH)]]/RD[[#This Row],[Inv Total Gneration (MWh)]]-1,"")</f>
        <v>-1</v>
      </c>
      <c r="BM38" s="63">
        <f>IFERROR((RD[[#This Row],[Sunset Time (POA&lt;20 W/m2)]]-RD[[#This Row],[Sunrise Time (POA&gt;20 W/m2)]])*24,0)</f>
        <v>12.150000000000002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>
        <v>31.34</v>
      </c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 t="str">
        <f>IF((RD[[#This Row],[33kV_Aux2_Im (O2RE19)]]-BC38)*90&lt;0,"",(RD[[#This Row],[33kV_Aux2_Im (O2RE19)]]-BC38)*90)</f>
        <v/>
      </c>
      <c r="BJ39" s="153" t="str">
        <f>IF((RD[[#This Row],[33kV_Aux1_Im (O2RE9)]]-AZ38)*90&lt;0,"",(RD[[#This Row],[33kV_Aux1_Im (O2RE9)]]-AZ38)*90)</f>
        <v/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workbookViewId="0">
      <pane xSplit="4" ySplit="1" topLeftCell="H2" activePane="bottomRight" state="frozen"/>
      <selection pane="topRight" activeCell="E1" sqref="E1"/>
      <selection pane="bottomLeft" activeCell="A2" sqref="A2"/>
      <selection pane="bottomRight" activeCell="Q3" sqref="Q3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201.8</v>
      </c>
      <c r="I2" s="254">
        <v>203.1</v>
      </c>
      <c r="J2" s="255"/>
      <c r="K2" s="254">
        <v>30.5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6.77</v>
      </c>
      <c r="Q2" s="253">
        <f>COUNTIFS(Input_Raw!$D:$D,D2,Input_Raw!$AO:$AO,"&gt;0")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206.6</v>
      </c>
      <c r="I3" s="258">
        <v>199.6</v>
      </c>
      <c r="J3" s="262"/>
      <c r="K3" s="258">
        <v>31.1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6.4387096774193546</v>
      </c>
      <c r="Q3" s="261">
        <f>COUNTIFS(Input_Raw!$D:$D,D3,Input_Raw!$AO:$AO,"&gt;0")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149.5</v>
      </c>
      <c r="I4" s="258">
        <v>142.80000000000001</v>
      </c>
      <c r="J4" s="255"/>
      <c r="K4" s="258">
        <v>26.5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4.7600000000000007</v>
      </c>
      <c r="Q4" s="253">
        <f>COUNTIFS(Input_Raw!$D:$D,D4,Input_Raw!$AO:$AO,"&gt;0")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118.3</v>
      </c>
      <c r="I5" s="258">
        <v>114.4</v>
      </c>
      <c r="J5" s="262"/>
      <c r="K5" s="258">
        <v>24</v>
      </c>
      <c r="L5" s="261"/>
      <c r="M5" s="263">
        <v>6174.0394850226212</v>
      </c>
      <c r="N5" s="256">
        <v>87.8</v>
      </c>
      <c r="O5" s="264">
        <f>IFERROR(M5/I5/N5,"")</f>
        <v>0.61467968812449436</v>
      </c>
      <c r="P5" s="262">
        <f>IFERROR(I5/G5,"")</f>
        <v>3.6903225806451614</v>
      </c>
      <c r="Q5" s="261">
        <f>COUNTIFS(Input_Raw!$D:$D,D5,Input_Raw!$AO:$AO,"&gt;0")</f>
        <v>17</v>
      </c>
      <c r="R5" s="263">
        <f>I5/G5*Q5</f>
        <v>62.735483870967741</v>
      </c>
      <c r="S5" s="256">
        <f>SUMIF($F$2:F5,F5,$R$2:R5)</f>
        <v>62.735483870967741</v>
      </c>
      <c r="T5" s="262">
        <f>M5/G5</f>
        <v>199.16256403298777</v>
      </c>
      <c r="U5" s="263">
        <f>M5/G5*Q5</f>
        <v>3385.763588560792</v>
      </c>
      <c r="V5" s="256">
        <f>SUMIF($F$2:F5,F5,$U$2:U5)</f>
        <v>3385.763588560792</v>
      </c>
      <c r="W5" s="264">
        <f>IFERROR(T5/(24*N5),"")</f>
        <v>9.4515263872906125E-2</v>
      </c>
      <c r="X5" s="264">
        <f t="shared" si="8"/>
        <v>9.4515263872906125E-2</v>
      </c>
      <c r="Y5" s="264">
        <f t="shared" si="9"/>
        <v>9.4515263872906125E-2</v>
      </c>
      <c r="Z5" s="262">
        <f>IFERROR(AVERAGEIF('Daily KPI'!D:D,Mod[[#This Row],[Month]],'Daily KPI'!AB:AB),"")</f>
        <v>20.917741935483868</v>
      </c>
      <c r="AA5" s="258">
        <f>IFERROR(AVERAGEIF($F$2:F5,F5,$Z$2:Z5),"")</f>
        <v>20.917741935483868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1470922.1486012638</v>
      </c>
      <c r="AN5" s="259">
        <f>SUMIF($F$2:F5,F5,$AM$2:AM5)</f>
        <v>1470922.1486012638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125.2</v>
      </c>
      <c r="I6" s="258">
        <v>122.9</v>
      </c>
      <c r="J6" s="255"/>
      <c r="K6" s="258">
        <v>23.6</v>
      </c>
      <c r="L6" s="253"/>
      <c r="M6" s="256">
        <v>8945.1699691176418</v>
      </c>
      <c r="N6" s="256">
        <v>87.8</v>
      </c>
      <c r="O6" s="257">
        <f t="shared" ref="O6:O13" si="13">IFERROR(M6/I6/N6,"")</f>
        <v>0.82897646002895486</v>
      </c>
      <c r="P6" s="255">
        <f t="shared" ref="P6:P13" si="14">IFERROR(I6/G6,"")</f>
        <v>3.9645161290322584</v>
      </c>
      <c r="Q6" s="253">
        <f>COUNTIFS(Input_Raw!$D:$D,D6,Input_Raw!$AO:$AO,"&gt;0")</f>
        <v>3</v>
      </c>
      <c r="R6" s="256">
        <f t="shared" ref="R6:R13" si="15">I6/G6*Q6</f>
        <v>11.893548387096775</v>
      </c>
      <c r="S6" s="256">
        <f>SUMIF($F$2:F6,F6,$R$2:R6)</f>
        <v>74.629032258064512</v>
      </c>
      <c r="T6" s="255">
        <f t="shared" ref="T6:T13" si="16">M6/G6</f>
        <v>288.55386997153681</v>
      </c>
      <c r="U6" s="256">
        <f t="shared" ref="U6:U13" si="17">M6/G6*Q6</f>
        <v>865.66160991461038</v>
      </c>
      <c r="V6" s="256">
        <f>SUMIF($F$2:F6,F6,$U$2:U6)</f>
        <v>4251.4251984754028</v>
      </c>
      <c r="W6" s="257">
        <f t="shared" ref="W6:W13" si="18">IFERROR(T6/(24*N6),"")</f>
        <v>0.13693710609886903</v>
      </c>
      <c r="X6" s="257">
        <f t="shared" si="8"/>
        <v>0.13693710609886903</v>
      </c>
      <c r="Y6" s="257">
        <f t="shared" si="9"/>
        <v>0.10087854020680057</v>
      </c>
      <c r="Z6" s="255">
        <f>IFERROR(AVERAGEIF('Daily KPI'!D:D,Mod[[#This Row],[Month]],'Daily KPI'!AB:AB),"")</f>
        <v>3.0329032258064514</v>
      </c>
      <c r="AA6" s="258">
        <f>IFERROR(AVERAGEIF($F$2:F6,F6,$Z$2:Z6),"")</f>
        <v>11.975322580645159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308995.84116997599</v>
      </c>
      <c r="AN6" s="259">
        <f>SUMIF($F$2:F6,F6,$AM$2:AM6)</f>
        <v>1779917.9897712397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</v>
      </c>
      <c r="I7" s="258">
        <v>142</v>
      </c>
      <c r="J7" s="255"/>
      <c r="K7" s="258">
        <v>23.7</v>
      </c>
      <c r="L7" s="253"/>
      <c r="M7" s="256">
        <v>10384.140862064458</v>
      </c>
      <c r="N7" s="256">
        <v>87.8</v>
      </c>
      <c r="O7" s="257">
        <f t="shared" si="13"/>
        <v>0.83289012015660258</v>
      </c>
      <c r="P7" s="255">
        <f t="shared" si="14"/>
        <v>4.7333333333333334</v>
      </c>
      <c r="Q7" s="253">
        <f>COUNTIFS(Input_Raw!$D:$D,D7,Input_Raw!$AO:$AO,"&gt;0")</f>
        <v>0</v>
      </c>
      <c r="R7" s="256">
        <f t="shared" si="15"/>
        <v>0</v>
      </c>
      <c r="S7" s="256">
        <f>SUMIF($F$2:F7,F7,$R$2:R7)</f>
        <v>74.629032258064512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4251.4251984754028</v>
      </c>
      <c r="W7" s="257">
        <f t="shared" si="18"/>
        <v>0.16426444036421886</v>
      </c>
      <c r="X7" s="257" t="str">
        <f t="shared" si="8"/>
        <v/>
      </c>
      <c r="Y7" s="257">
        <f t="shared" si="9"/>
        <v>0.10087854020680057</v>
      </c>
      <c r="Z7" s="255">
        <f>IFERROR(AVERAGEIF('Daily KPI'!D:D,Mod[[#This Row],[Month]],'Daily KPI'!AB:AB),"")</f>
        <v>0</v>
      </c>
      <c r="AA7" s="258">
        <f>IFERROR(AVERAGEIF($F$2:F7,F7,$Z$2:Z7),"")</f>
        <v>7.9835483870967723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1779917.9897712397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158.4</v>
      </c>
      <c r="I8" s="258">
        <v>170.7</v>
      </c>
      <c r="J8" s="262"/>
      <c r="K8" s="254">
        <v>23.8</v>
      </c>
      <c r="L8" s="261"/>
      <c r="M8" s="263">
        <v>12719.498960276364</v>
      </c>
      <c r="N8" s="263">
        <v>87.8</v>
      </c>
      <c r="O8" s="264">
        <f t="shared" si="13"/>
        <v>0.84867609056346871</v>
      </c>
      <c r="P8" s="262">
        <f t="shared" si="14"/>
        <v>5.5064516129032253</v>
      </c>
      <c r="Q8" s="261">
        <f>COUNTIFS(Input_Raw!$D:$D,D8,Input_Raw!$AO:$AO,"&gt;0")</f>
        <v>0</v>
      </c>
      <c r="R8" s="263">
        <f t="shared" si="15"/>
        <v>0</v>
      </c>
      <c r="S8" s="256">
        <f>SUMIF($F$2:F8,F8,$R$2:R8)</f>
        <v>74.629032258064512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4251.4251984754028</v>
      </c>
      <c r="W8" s="264">
        <f t="shared" si="18"/>
        <v>0.19471640948815067</v>
      </c>
      <c r="X8" s="264" t="str">
        <f t="shared" si="8"/>
        <v/>
      </c>
      <c r="Y8" s="264">
        <f t="shared" si="9"/>
        <v>0.10087854020680057</v>
      </c>
      <c r="Z8" s="262">
        <f>IFERROR(AVERAGEIF('Daily KPI'!D:D,Mod[[#This Row],[Month]],'Daily KPI'!AB:AB),"")</f>
        <v>0</v>
      </c>
      <c r="AA8" s="258">
        <f>IFERROR(AVERAGEIF($F$2:F8,F8,$Z$2:Z8),"")</f>
        <v>5.9876612903225794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1779917.9897712397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146.80000000000001</v>
      </c>
      <c r="I9" s="258">
        <v>166.3</v>
      </c>
      <c r="J9" s="255"/>
      <c r="K9" s="258">
        <v>22.7</v>
      </c>
      <c r="L9" s="253"/>
      <c r="M9" s="256">
        <v>12491.820993747877</v>
      </c>
      <c r="N9" s="256">
        <v>87.8</v>
      </c>
      <c r="O9" s="257">
        <f t="shared" si="13"/>
        <v>0.85553737542054087</v>
      </c>
      <c r="P9" s="255">
        <f t="shared" si="14"/>
        <v>5.5433333333333339</v>
      </c>
      <c r="Q9" s="253">
        <f>COUNTIFS(Input_Raw!$D:$D,D9,Input_Raw!$AO:$AO,"&gt;0")</f>
        <v>0</v>
      </c>
      <c r="R9" s="256">
        <f t="shared" si="15"/>
        <v>0</v>
      </c>
      <c r="S9" s="256">
        <f>SUMIF($F$2:F9,F9,$R$2:R9)</f>
        <v>74.629032258064512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4251.4251984754028</v>
      </c>
      <c r="W9" s="257">
        <f t="shared" si="18"/>
        <v>0.19760536879504997</v>
      </c>
      <c r="X9" s="257" t="str">
        <f t="shared" si="8"/>
        <v/>
      </c>
      <c r="Y9" s="257">
        <f t="shared" si="9"/>
        <v>0.10087854020680057</v>
      </c>
      <c r="Z9" s="255">
        <f>IFERROR(AVERAGEIF('Daily KPI'!D:D,Mod[[#This Row],[Month]],'Daily KPI'!AB:AB),"")</f>
        <v>0</v>
      </c>
      <c r="AA9" s="258">
        <f>IFERROR(AVERAGEIF($F$2:F9,F9,$Z$2:Z9),"")</f>
        <v>4.7901290322580632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1779917.9897712397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147.80000000000001</v>
      </c>
      <c r="I10" s="258">
        <v>172.1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0.85324535831636061</v>
      </c>
      <c r="P10" s="262">
        <f t="shared" si="14"/>
        <v>5.5516129032258066</v>
      </c>
      <c r="Q10" s="261">
        <f>COUNTIFS(Input_Raw!$D:$D,D10,Input_Raw!$AO:$AO,"&gt;0")</f>
        <v>0</v>
      </c>
      <c r="R10" s="263">
        <f t="shared" si="15"/>
        <v>0</v>
      </c>
      <c r="S10" s="256">
        <f>SUMIF($F$2:F10,F10,$R$2:R10)</f>
        <v>74.629032258064512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4251.4251984754028</v>
      </c>
      <c r="W10" s="264">
        <f t="shared" si="18"/>
        <v>0.19737033086860975</v>
      </c>
      <c r="X10" s="264" t="str">
        <f t="shared" si="8"/>
        <v/>
      </c>
      <c r="Y10" s="264">
        <f t="shared" si="9"/>
        <v>0.10087854020680057</v>
      </c>
      <c r="Z10" s="262">
        <f>IFERROR(AVERAGEIF('Daily KPI'!D:D,Mod[[#This Row],[Month]],'Daily KPI'!AB:AB),"")</f>
        <v>0</v>
      </c>
      <c r="AA10" s="258">
        <f>IFERROR(AVERAGEIF($F$2:F10,F10,$Z$2:Z10),"")</f>
        <v>3.9917741935483861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1779917.9897712397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156.1</v>
      </c>
      <c r="I11" s="258">
        <v>180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0.85101059599344753</v>
      </c>
      <c r="P11" s="255">
        <f t="shared" si="14"/>
        <v>5.806451612903226</v>
      </c>
      <c r="Q11" s="253">
        <f>COUNTIFS(Input_Raw!$D:$D,D11,Input_Raw!$AO:$AO,"&gt;0")</f>
        <v>0</v>
      </c>
      <c r="R11" s="256">
        <f t="shared" si="15"/>
        <v>0</v>
      </c>
      <c r="S11" s="256">
        <f>SUMIF($F$2:F11,F11,$R$2:R11)</f>
        <v>74.629032258064512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4251.4251984754028</v>
      </c>
      <c r="W11" s="257">
        <f t="shared" si="18"/>
        <v>0.2058896603209954</v>
      </c>
      <c r="X11" s="257" t="str">
        <f t="shared" si="8"/>
        <v/>
      </c>
      <c r="Y11" s="257">
        <f t="shared" si="9"/>
        <v>0.10087854020680057</v>
      </c>
      <c r="Z11" s="255">
        <f>IFERROR(AVERAGEIF('Daily KPI'!D:D,Mod[[#This Row],[Month]],'Daily KPI'!AB:AB),"")</f>
        <v>0</v>
      </c>
      <c r="AA11" s="258">
        <f>IFERROR(AVERAGEIF($F$2:F11,F11,$Z$2:Z11),"")</f>
        <v>3.4215207373271883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1779917.9897712397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164.9</v>
      </c>
      <c r="I12" s="258">
        <v>183.1</v>
      </c>
      <c r="J12" s="262"/>
      <c r="K12" s="254">
        <v>24.2</v>
      </c>
      <c r="L12" s="261"/>
      <c r="M12" s="263">
        <v>13434.0696953279</v>
      </c>
      <c r="N12" s="263">
        <v>87.8</v>
      </c>
      <c r="O12" s="264">
        <f t="shared" si="13"/>
        <v>0.83565061446984934</v>
      </c>
      <c r="P12" s="262">
        <f t="shared" si="14"/>
        <v>6.5392857142857137</v>
      </c>
      <c r="Q12" s="261">
        <f>COUNTIFS(Input_Raw!$D:$D,D12,Input_Raw!$AO:$AO,"&gt;0")</f>
        <v>0</v>
      </c>
      <c r="R12" s="263">
        <f>I12/G12*Q12</f>
        <v>0</v>
      </c>
      <c r="S12" s="256">
        <f>SUMIF($F$2:F12,F12,$R$2:R12)</f>
        <v>74.629032258064512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4251.4251984754028</v>
      </c>
      <c r="W12" s="264">
        <f t="shared" si="18"/>
        <v>0.22768992188903184</v>
      </c>
      <c r="X12" s="264" t="str">
        <f t="shared" si="8"/>
        <v/>
      </c>
      <c r="Y12" s="264">
        <f t="shared" si="9"/>
        <v>0.10087854020680057</v>
      </c>
      <c r="Z12" s="262">
        <f>IFERROR(AVERAGEIF('Daily KPI'!D:D,Mod[[#This Row],[Month]],'Daily KPI'!AB:AB),"")</f>
        <v>0</v>
      </c>
      <c r="AA12" s="258">
        <f>IFERROR(AVERAGEIF($F$2:F12,F12,$Z$2:Z12),"")</f>
        <v>2.9938306451612897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1779917.9897712397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201.4</v>
      </c>
      <c r="I13" s="258">
        <v>212.6</v>
      </c>
      <c r="J13" s="255"/>
      <c r="K13" s="258">
        <v>27.5</v>
      </c>
      <c r="L13" s="253"/>
      <c r="M13" s="256">
        <v>15449.326587681902</v>
      </c>
      <c r="N13" s="263">
        <v>87.8</v>
      </c>
      <c r="O13" s="257">
        <f t="shared" si="13"/>
        <v>0.82765964014693361</v>
      </c>
      <c r="P13" s="255">
        <f t="shared" si="14"/>
        <v>6.8580645161290317</v>
      </c>
      <c r="Q13" s="253">
        <f>COUNTIFS(Input_Raw!$D:$D,D13,Input_Raw!$AO:$AO,"&gt;0")</f>
        <v>0</v>
      </c>
      <c r="R13" s="256">
        <f t="shared" si="15"/>
        <v>0</v>
      </c>
      <c r="S13" s="256">
        <f>SUMIF($F$2:F13,F13,$R$2:R13)</f>
        <v>74.629032258064512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4251.4251984754028</v>
      </c>
      <c r="W13" s="257">
        <f t="shared" si="18"/>
        <v>0.23650596706349206</v>
      </c>
      <c r="X13" s="257" t="str">
        <f t="shared" si="8"/>
        <v/>
      </c>
      <c r="Y13" s="257">
        <f t="shared" si="9"/>
        <v>0.10087854020680057</v>
      </c>
      <c r="Z13" s="255">
        <f>IFERROR(AVERAGEIF('Daily KPI'!D:D,Mod[[#This Row],[Month]],'Daily KPI'!AB:AB),"")</f>
        <v>0</v>
      </c>
      <c r="AA13" s="258">
        <f>IFERROR(AVERAGEIF($F$2:F13,F13,$Z$2:Z13),"")</f>
        <v>2.6611827956989242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1779917.9897712397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12" activePane="bottomRight" state="frozen"/>
      <selection pane="topRight" activeCell="C1" sqref="C1"/>
      <selection pane="bottomLeft" activeCell="A4" sqref="A4"/>
      <selection pane="bottomRight" activeCell="A22" sqref="A22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652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653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652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654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655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654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656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654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655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654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657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657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658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658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656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662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661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662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>
        <v>45864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155</v>
      </c>
      <c r="F11" s="33" t="s">
        <v>155</v>
      </c>
      <c r="G11" s="194">
        <f>PA[[#This Row],[Date]]-DAY(PA[[#This Row],[Date]])+1</f>
        <v>45839</v>
      </c>
      <c r="H11" s="32">
        <f>DAY(EOMONTH(PA[[#This Row],[Month Year]],0))</f>
        <v>31</v>
      </c>
      <c r="I11" s="121">
        <v>0.31041666666666667</v>
      </c>
      <c r="J11" s="121">
        <v>0.75069444444444444</v>
      </c>
      <c r="K11" s="35">
        <f>IFERROR((PA[[#This Row],[Sunset Time (POA&lt;20 W/m2)]]-PA[[#This Row],[Sunrise Time (POA&gt;20 W/m2)]])*24,"")</f>
        <v>10.566666666666666</v>
      </c>
      <c r="L11" s="33" t="s">
        <v>663</v>
      </c>
      <c r="M11" s="33" t="s">
        <v>664</v>
      </c>
      <c r="N11" s="33" t="s">
        <v>237</v>
      </c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 t="s">
        <v>235</v>
      </c>
      <c r="X11" s="40"/>
      <c r="Y11" s="40" t="s">
        <v>665</v>
      </c>
      <c r="Z11" s="46">
        <v>0.64583333333333337</v>
      </c>
      <c r="AA11" s="46">
        <v>0.64583333333333337</v>
      </c>
      <c r="AB11" s="46">
        <v>0.64583333333333337</v>
      </c>
      <c r="AC11" s="46">
        <v>0.75069444444444444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2.5166666666666657</v>
      </c>
      <c r="AG11" s="44">
        <f>IFERROR((PA[[#This Row],[Work Completion time on fault]]-PA[[#This Row],[Fault Time]])*24,"")</f>
        <v>2.5166666666666657</v>
      </c>
      <c r="AH11" s="36" t="s">
        <v>666</v>
      </c>
      <c r="AI11" s="33" t="s">
        <v>231</v>
      </c>
      <c r="AJ11" s="35" t="str">
        <f>IFERROR(PA[[#This Row],[Breakdown Time]]*PA[[#This Row],[Plant Equivalent Weightage]],"")</f>
        <v/>
      </c>
      <c r="AK11" s="36">
        <v>0.19086333333333333</v>
      </c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>
        <v>45864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155</v>
      </c>
      <c r="F12" s="33" t="s">
        <v>155</v>
      </c>
      <c r="G12" s="194">
        <f>PA[[#This Row],[Date]]-DAY(PA[[#This Row],[Date]])+1</f>
        <v>45839</v>
      </c>
      <c r="H12" s="32">
        <f>DAY(EOMONTH(PA[[#This Row],[Month Year]],0))</f>
        <v>31</v>
      </c>
      <c r="I12" s="121">
        <v>0.31041666666666667</v>
      </c>
      <c r="J12" s="121">
        <v>0.75069444444444444</v>
      </c>
      <c r="K12" s="35">
        <f>IFERROR((PA[[#This Row],[Sunset Time (POA&lt;20 W/m2)]]-PA[[#This Row],[Sunrise Time (POA&gt;20 W/m2)]])*24,"")</f>
        <v>10.566666666666666</v>
      </c>
      <c r="L12" s="33" t="s">
        <v>663</v>
      </c>
      <c r="M12" s="33" t="s">
        <v>664</v>
      </c>
      <c r="N12" s="33" t="s">
        <v>238</v>
      </c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 t="s">
        <v>235</v>
      </c>
      <c r="X12" s="40"/>
      <c r="Y12" s="40" t="s">
        <v>665</v>
      </c>
      <c r="Z12" s="46">
        <v>0.61458333333333337</v>
      </c>
      <c r="AA12" s="46">
        <v>0.63055555555555554</v>
      </c>
      <c r="AB12" s="46">
        <v>0.63055555555555554</v>
      </c>
      <c r="AC12" s="46">
        <v>0.75069444444444444</v>
      </c>
      <c r="AD12" s="44">
        <f>IF(PA[[#This Row],[Acknowledgement Time ]]="NA","",(PA[[#This Row],[Acknowledgement Time ]]-PA[[#This Row],[Fault Time]])*24)</f>
        <v>0.38333333333333197</v>
      </c>
      <c r="AE12" s="44">
        <f>IF(PA[[#This Row],[Work Start time on Fault]]="NA","",(PA[[#This Row],[Work Start time on Fault]]-PA[[#This Row],[Fault Time]])*24)</f>
        <v>0.38333333333333197</v>
      </c>
      <c r="AF12" s="45">
        <f>IF(PA[[#This Row],[Status]]="Open","",(PA[[#This Row],[Work Completion time on fault]]-PA[[#This Row],[Fault Time]])*24)</f>
        <v>3.2666666666666657</v>
      </c>
      <c r="AG12" s="44">
        <f>IFERROR((PA[[#This Row],[Work Completion time on fault]]-PA[[#This Row],[Fault Time]])*24,"")</f>
        <v>3.2666666666666657</v>
      </c>
      <c r="AH12" s="36" t="s">
        <v>666</v>
      </c>
      <c r="AI12" s="33" t="s">
        <v>231</v>
      </c>
      <c r="AJ12" s="35" t="str">
        <f>IFERROR(PA[[#This Row],[Breakdown Time]]*PA[[#This Row],[Plant Equivalent Weightage]],"")</f>
        <v/>
      </c>
      <c r="AK12" s="36">
        <v>0.31109999999999999</v>
      </c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>
        <v>45864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155</v>
      </c>
      <c r="F13" s="33" t="s">
        <v>155</v>
      </c>
      <c r="G13" s="194">
        <f>PA[[#This Row],[Date]]-DAY(PA[[#This Row],[Date]])+1</f>
        <v>45839</v>
      </c>
      <c r="H13" s="32">
        <f>DAY(EOMONTH(PA[[#This Row],[Month Year]],0))</f>
        <v>31</v>
      </c>
      <c r="I13" s="121">
        <v>0.31041666666666667</v>
      </c>
      <c r="J13" s="121">
        <v>0.75069444444444444</v>
      </c>
      <c r="K13" s="35">
        <f>IFERROR((PA[[#This Row],[Sunset Time (POA&lt;20 W/m2)]]-PA[[#This Row],[Sunrise Time (POA&gt;20 W/m2)]])*24,"")</f>
        <v>10.566666666666666</v>
      </c>
      <c r="L13" s="33" t="s">
        <v>663</v>
      </c>
      <c r="M13" s="33" t="s">
        <v>664</v>
      </c>
      <c r="N13" s="33" t="s">
        <v>239</v>
      </c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 t="s">
        <v>235</v>
      </c>
      <c r="X13" s="40"/>
      <c r="Y13" s="40" t="s">
        <v>665</v>
      </c>
      <c r="Z13" s="46">
        <v>0.61458333333333337</v>
      </c>
      <c r="AA13" s="46">
        <v>0.63055555555555554</v>
      </c>
      <c r="AB13" s="46">
        <v>0.63055555555555554</v>
      </c>
      <c r="AC13" s="46">
        <v>0.75069444444444444</v>
      </c>
      <c r="AD13" s="44">
        <f>IF(PA[[#This Row],[Acknowledgement Time ]]="NA","",(PA[[#This Row],[Acknowledgement Time ]]-PA[[#This Row],[Fault Time]])*24)</f>
        <v>0.38333333333333197</v>
      </c>
      <c r="AE13" s="44">
        <f>IF(PA[[#This Row],[Work Start time on Fault]]="NA","",(PA[[#This Row],[Work Start time on Fault]]-PA[[#This Row],[Fault Time]])*24)</f>
        <v>0.38333333333333197</v>
      </c>
      <c r="AF13" s="45">
        <f>IF(PA[[#This Row],[Status]]="Open","",(PA[[#This Row],[Work Completion time on fault]]-PA[[#This Row],[Fault Time]])*24)</f>
        <v>3.2666666666666657</v>
      </c>
      <c r="AG13" s="44">
        <f>IFERROR((PA[[#This Row],[Work Completion time on fault]]-PA[[#This Row],[Fault Time]])*24,"")</f>
        <v>3.2666666666666657</v>
      </c>
      <c r="AH13" s="36" t="s">
        <v>667</v>
      </c>
      <c r="AI13" s="33" t="s">
        <v>231</v>
      </c>
      <c r="AJ13" s="35" t="str">
        <f>IFERROR(PA[[#This Row],[Breakdown Time]]*PA[[#This Row],[Plant Equivalent Weightage]],"")</f>
        <v/>
      </c>
      <c r="AK13" s="36">
        <v>0.31109999999999999</v>
      </c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>
        <v>45865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155</v>
      </c>
      <c r="F14" s="33" t="s">
        <v>155</v>
      </c>
      <c r="G14" s="194">
        <f>PA[[#This Row],[Date]]-DAY(PA[[#This Row],[Date]])+1</f>
        <v>45839</v>
      </c>
      <c r="H14" s="32">
        <f>DAY(EOMONTH(PA[[#This Row],[Month Year]],0))</f>
        <v>31</v>
      </c>
      <c r="I14" s="121">
        <v>0.27847222222222223</v>
      </c>
      <c r="J14" s="121">
        <v>0.77986111111111112</v>
      </c>
      <c r="K14" s="35">
        <f>IFERROR((PA[[#This Row],[Sunset Time (POA&lt;20 W/m2)]]-PA[[#This Row],[Sunrise Time (POA&gt;20 W/m2)]])*24,"")</f>
        <v>12.033333333333333</v>
      </c>
      <c r="L14" s="33" t="s">
        <v>663</v>
      </c>
      <c r="M14" s="33" t="s">
        <v>664</v>
      </c>
      <c r="N14" s="33" t="s">
        <v>237</v>
      </c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 t="s">
        <v>235</v>
      </c>
      <c r="X14" s="40"/>
      <c r="Y14" s="40" t="s">
        <v>665</v>
      </c>
      <c r="Z14" s="46">
        <v>0.27847222222222223</v>
      </c>
      <c r="AA14" s="46">
        <v>0.27847222222222223</v>
      </c>
      <c r="AB14" s="46">
        <v>0.27847222222222223</v>
      </c>
      <c r="AC14" s="46">
        <v>0.53680555555555554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6.1999999999999993</v>
      </c>
      <c r="AG14" s="44">
        <f>IFERROR((PA[[#This Row],[Work Completion time on fault]]-PA[[#This Row],[Fault Time]])*24,"")</f>
        <v>6.1999999999999993</v>
      </c>
      <c r="AH14" s="36" t="s">
        <v>671</v>
      </c>
      <c r="AI14" s="33" t="s">
        <v>231</v>
      </c>
      <c r="AJ14" s="35" t="str">
        <f>IFERROR(PA[[#This Row],[Breakdown Time]]*PA[[#This Row],[Plant Equivalent Weightage]],"")</f>
        <v/>
      </c>
      <c r="AK14" s="36">
        <v>1.7791824999999999</v>
      </c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>
        <v>45865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155</v>
      </c>
      <c r="F15" s="33" t="s">
        <v>155</v>
      </c>
      <c r="G15" s="194">
        <f>PA[[#This Row],[Date]]-DAY(PA[[#This Row],[Date]])+1</f>
        <v>45839</v>
      </c>
      <c r="H15" s="32">
        <f>DAY(EOMONTH(PA[[#This Row],[Month Year]],0))</f>
        <v>31</v>
      </c>
      <c r="I15" s="121">
        <v>0.27847222222222223</v>
      </c>
      <c r="J15" s="121">
        <v>0.77986111111111112</v>
      </c>
      <c r="K15" s="35">
        <f>IFERROR((PA[[#This Row],[Sunset Time (POA&lt;20 W/m2)]]-PA[[#This Row],[Sunrise Time (POA&gt;20 W/m2)]])*24,"")</f>
        <v>12.033333333333333</v>
      </c>
      <c r="L15" s="33" t="s">
        <v>663</v>
      </c>
      <c r="M15" s="33" t="s">
        <v>664</v>
      </c>
      <c r="N15" s="33" t="s">
        <v>238</v>
      </c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 t="s">
        <v>235</v>
      </c>
      <c r="X15" s="40"/>
      <c r="Y15" s="40" t="s">
        <v>669</v>
      </c>
      <c r="Z15" s="46">
        <v>0.27847222222222223</v>
      </c>
      <c r="AA15" s="46">
        <v>0.27847222222222223</v>
      </c>
      <c r="AB15" s="46">
        <v>0.27847222222222223</v>
      </c>
      <c r="AC15" s="46">
        <v>0.53680555555555554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6.1999999999999993</v>
      </c>
      <c r="AG15" s="44">
        <f>IFERROR((PA[[#This Row],[Work Completion time on fault]]-PA[[#This Row],[Fault Time]])*24,"")</f>
        <v>6.1999999999999993</v>
      </c>
      <c r="AH15" s="36" t="s">
        <v>672</v>
      </c>
      <c r="AI15" s="33" t="s">
        <v>231</v>
      </c>
      <c r="AJ15" s="35" t="str">
        <f>IFERROR(PA[[#This Row],[Breakdown Time]]*PA[[#This Row],[Plant Equivalent Weightage]],"")</f>
        <v/>
      </c>
      <c r="AK15" s="36">
        <v>1.7791824999999999</v>
      </c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>
        <v>45865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155</v>
      </c>
      <c r="F16" s="33" t="s">
        <v>155</v>
      </c>
      <c r="G16" s="194">
        <f>PA[[#This Row],[Date]]-DAY(PA[[#This Row],[Date]])+1</f>
        <v>45839</v>
      </c>
      <c r="H16" s="32">
        <f>DAY(EOMONTH(PA[[#This Row],[Month Year]],0))</f>
        <v>31</v>
      </c>
      <c r="I16" s="121">
        <v>0.27847222222222223</v>
      </c>
      <c r="J16" s="121">
        <v>0.77986111111111112</v>
      </c>
      <c r="K16" s="35">
        <f>IFERROR((PA[[#This Row],[Sunset Time (POA&lt;20 W/m2)]]-PA[[#This Row],[Sunrise Time (POA&gt;20 W/m2)]])*24,"")</f>
        <v>12.033333333333333</v>
      </c>
      <c r="L16" s="33" t="s">
        <v>663</v>
      </c>
      <c r="M16" s="33" t="s">
        <v>664</v>
      </c>
      <c r="N16" s="33" t="s">
        <v>239</v>
      </c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 t="s">
        <v>235</v>
      </c>
      <c r="X16" s="40"/>
      <c r="Y16" s="40" t="s">
        <v>670</v>
      </c>
      <c r="Z16" s="46">
        <v>0.27847222222222223</v>
      </c>
      <c r="AA16" s="46">
        <v>0.27847222222222223</v>
      </c>
      <c r="AB16" s="46">
        <v>0.27847222222222223</v>
      </c>
      <c r="AC16" s="46">
        <v>0.53680555555555554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6.1999999999999993</v>
      </c>
      <c r="AG16" s="44">
        <f>IFERROR((PA[[#This Row],[Work Completion time on fault]]-PA[[#This Row],[Fault Time]])*24,"")</f>
        <v>6.1999999999999993</v>
      </c>
      <c r="AH16" s="36" t="s">
        <v>673</v>
      </c>
      <c r="AI16" s="33" t="s">
        <v>231</v>
      </c>
      <c r="AJ16" s="35" t="str">
        <f>IFERROR(PA[[#This Row],[Breakdown Time]]*PA[[#This Row],[Plant Equivalent Weightage]],"")</f>
        <v/>
      </c>
      <c r="AK16" s="36">
        <v>1.7791824999999999</v>
      </c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>
        <v>45866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155</v>
      </c>
      <c r="F17" s="33" t="s">
        <v>155</v>
      </c>
      <c r="G17" s="194">
        <f>PA[[#This Row],[Date]]-DAY(PA[[#This Row],[Date]])+1</f>
        <v>45839</v>
      </c>
      <c r="H17" s="32">
        <f>DAY(EOMONTH(PA[[#This Row],[Month Year]],0))</f>
        <v>31</v>
      </c>
      <c r="I17" s="121">
        <v>0.26805555555555555</v>
      </c>
      <c r="J17" s="121">
        <v>0.78194444444444444</v>
      </c>
      <c r="K17" s="35">
        <f>IFERROR((PA[[#This Row],[Sunset Time (POA&lt;20 W/m2)]]-PA[[#This Row],[Sunrise Time (POA&gt;20 W/m2)]])*24,"")</f>
        <v>12.333333333333332</v>
      </c>
      <c r="L17" s="33" t="s">
        <v>663</v>
      </c>
      <c r="M17" s="33" t="s">
        <v>664</v>
      </c>
      <c r="N17" s="33" t="s">
        <v>237</v>
      </c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 t="s">
        <v>235</v>
      </c>
      <c r="X17" s="40"/>
      <c r="Y17" s="40" t="s">
        <v>674</v>
      </c>
      <c r="Z17" s="46">
        <v>0.66597222222222219</v>
      </c>
      <c r="AA17" s="46">
        <v>0.66597222222222219</v>
      </c>
      <c r="AB17" s="46">
        <v>0.66597222222222219</v>
      </c>
      <c r="AC17" s="46">
        <v>0.68888888888888888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0.55000000000000071</v>
      </c>
      <c r="AG17" s="44">
        <f>IFERROR((PA[[#This Row],[Work Completion time on fault]]-PA[[#This Row],[Fault Time]])*24,"")</f>
        <v>0.55000000000000071</v>
      </c>
      <c r="AH17" s="36" t="s">
        <v>675</v>
      </c>
      <c r="AI17" s="33" t="s">
        <v>231</v>
      </c>
      <c r="AJ17" s="35" t="str">
        <f>IFERROR(PA[[#This Row],[Breakdown Time]]*PA[[#This Row],[Plant Equivalent Weightage]],"")</f>
        <v/>
      </c>
      <c r="AK17" s="36">
        <v>0.28599999999999998</v>
      </c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>
        <v>45866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155</v>
      </c>
      <c r="F18" s="33" t="s">
        <v>155</v>
      </c>
      <c r="G18" s="194">
        <f>PA[[#This Row],[Date]]-DAY(PA[[#This Row],[Date]])+1</f>
        <v>45839</v>
      </c>
      <c r="H18" s="32">
        <f>DAY(EOMONTH(PA[[#This Row],[Month Year]],0))</f>
        <v>31</v>
      </c>
      <c r="I18" s="121">
        <v>0.26805555555555555</v>
      </c>
      <c r="J18" s="121">
        <v>0.78194444444444444</v>
      </c>
      <c r="K18" s="35">
        <f>IFERROR((PA[[#This Row],[Sunset Time (POA&lt;20 W/m2)]]-PA[[#This Row],[Sunrise Time (POA&gt;20 W/m2)]])*24,"")</f>
        <v>12.333333333333332</v>
      </c>
      <c r="L18" s="33" t="s">
        <v>663</v>
      </c>
      <c r="M18" s="33" t="s">
        <v>664</v>
      </c>
      <c r="N18" s="33" t="s">
        <v>238</v>
      </c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 t="s">
        <v>235</v>
      </c>
      <c r="X18" s="40"/>
      <c r="Y18" s="40" t="s">
        <v>674</v>
      </c>
      <c r="Z18" s="46">
        <v>0.66597222222222219</v>
      </c>
      <c r="AA18" s="46">
        <v>0.66597222222222219</v>
      </c>
      <c r="AB18" s="46">
        <v>0.66597222222222219</v>
      </c>
      <c r="AC18" s="46">
        <v>0.68888888888888888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0.55000000000000071</v>
      </c>
      <c r="AG18" s="44">
        <f>IFERROR((PA[[#This Row],[Work Completion time on fault]]-PA[[#This Row],[Fault Time]])*24,"")</f>
        <v>0.55000000000000071</v>
      </c>
      <c r="AH18" s="36" t="s">
        <v>675</v>
      </c>
      <c r="AI18" s="33" t="s">
        <v>231</v>
      </c>
      <c r="AJ18" s="35" t="str">
        <f>IFERROR(PA[[#This Row],[Breakdown Time]]*PA[[#This Row],[Plant Equivalent Weightage]],"")</f>
        <v/>
      </c>
      <c r="AK18" s="36">
        <v>0.28599999999999998</v>
      </c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>
        <v>45866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155</v>
      </c>
      <c r="F19" s="33" t="s">
        <v>155</v>
      </c>
      <c r="G19" s="194">
        <f>PA[[#This Row],[Date]]-DAY(PA[[#This Row],[Date]])+1</f>
        <v>45839</v>
      </c>
      <c r="H19" s="32">
        <f>DAY(EOMONTH(PA[[#This Row],[Month Year]],0))</f>
        <v>31</v>
      </c>
      <c r="I19" s="121">
        <v>0.26805555555555555</v>
      </c>
      <c r="J19" s="121">
        <v>0.78194444444444444</v>
      </c>
      <c r="K19" s="35">
        <f>IFERROR((PA[[#This Row],[Sunset Time (POA&lt;20 W/m2)]]-PA[[#This Row],[Sunrise Time (POA&gt;20 W/m2)]])*24,"")</f>
        <v>12.333333333333332</v>
      </c>
      <c r="L19" s="33" t="s">
        <v>663</v>
      </c>
      <c r="M19" s="33" t="s">
        <v>664</v>
      </c>
      <c r="N19" s="33" t="s">
        <v>239</v>
      </c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 t="s">
        <v>235</v>
      </c>
      <c r="X19" s="40"/>
      <c r="Y19" s="40" t="s">
        <v>674</v>
      </c>
      <c r="Z19" s="46">
        <v>0.66597222222222219</v>
      </c>
      <c r="AA19" s="46">
        <v>0.66597222222222219</v>
      </c>
      <c r="AB19" s="46">
        <v>0.66597222222222219</v>
      </c>
      <c r="AC19" s="46">
        <v>0.68888888888888888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0.55000000000000071</v>
      </c>
      <c r="AG19" s="44">
        <f>IFERROR((PA[[#This Row],[Work Completion time on fault]]-PA[[#This Row],[Fault Time]])*24,"")</f>
        <v>0.55000000000000071</v>
      </c>
      <c r="AH19" s="36" t="s">
        <v>675</v>
      </c>
      <c r="AI19" s="33" t="s">
        <v>231</v>
      </c>
      <c r="AJ19" s="35" t="str">
        <f>IFERROR(PA[[#This Row],[Breakdown Time]]*PA[[#This Row],[Plant Equivalent Weightage]],"")</f>
        <v/>
      </c>
      <c r="AK19" s="36">
        <v>0.28599999999999998</v>
      </c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>
        <v>45866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155</v>
      </c>
      <c r="F20" s="33" t="s">
        <v>155</v>
      </c>
      <c r="G20" s="194">
        <f>PA[[#This Row],[Date]]-DAY(PA[[#This Row],[Date]])+1</f>
        <v>45839</v>
      </c>
      <c r="H20" s="32">
        <f>DAY(EOMONTH(PA[[#This Row],[Month Year]],0))</f>
        <v>31</v>
      </c>
      <c r="I20" s="121">
        <v>0.26805555555555555</v>
      </c>
      <c r="J20" s="121">
        <v>0.78194444444444444</v>
      </c>
      <c r="K20" s="35">
        <f>IFERROR((PA[[#This Row],[Sunset Time (POA&lt;20 W/m2)]]-PA[[#This Row],[Sunrise Time (POA&gt;20 W/m2)]])*24,"")</f>
        <v>12.333333333333332</v>
      </c>
      <c r="L20" s="33" t="s">
        <v>663</v>
      </c>
      <c r="M20" s="33" t="s">
        <v>664</v>
      </c>
      <c r="N20" s="33" t="s">
        <v>239</v>
      </c>
      <c r="O20" s="36" t="s">
        <v>241</v>
      </c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ICR-04Inv-01M3SCB3</v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 t="s">
        <v>249</v>
      </c>
      <c r="X20" s="40"/>
      <c r="Y20" s="40" t="s">
        <v>670</v>
      </c>
      <c r="Z20" s="46">
        <v>0.26805555555555555</v>
      </c>
      <c r="AA20" s="46">
        <v>0.26805555555555555</v>
      </c>
      <c r="AB20" s="46">
        <v>0.26805555555555555</v>
      </c>
      <c r="AC20" s="46">
        <v>0.68888888888888888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10.1</v>
      </c>
      <c r="AG20" s="44">
        <f>IFERROR((PA[[#This Row],[Work Completion time on fault]]-PA[[#This Row],[Fault Time]])*24,"")</f>
        <v>10.1</v>
      </c>
      <c r="AH20" s="36" t="s">
        <v>676</v>
      </c>
      <c r="AI20" s="33" t="s">
        <v>231</v>
      </c>
      <c r="AJ20" s="35" t="str">
        <f>IFERROR(PA[[#This Row],[Breakdown Time]]*PA[[#This Row],[Plant Equivalent Weightage]],"")</f>
        <v/>
      </c>
      <c r="AK20" s="36">
        <v>3.4923500000000001</v>
      </c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>
        <v>45872</v>
      </c>
      <c r="C21" s="32">
        <f>YEAR(PA[[#This Row],[Date]])+IF(MONTH(PA[[#This Row],[Date]])&gt;=4,1,0)</f>
        <v>2026</v>
      </c>
      <c r="D21" s="32">
        <f>YEAR(PA[[#This Row],[Date]])</f>
        <v>2025</v>
      </c>
      <c r="E21" s="33" t="s">
        <v>155</v>
      </c>
      <c r="F21" s="33" t="s">
        <v>155</v>
      </c>
      <c r="G21" s="194">
        <f>PA[[#This Row],[Date]]-DAY(PA[[#This Row],[Date]])+1</f>
        <v>45870</v>
      </c>
      <c r="H21" s="32">
        <f>DAY(EOMONTH(PA[[#This Row],[Month Year]],0))</f>
        <v>31</v>
      </c>
      <c r="I21" s="121">
        <v>0.27152777777777776</v>
      </c>
      <c r="J21" s="121">
        <v>0.77777777777777779</v>
      </c>
      <c r="K21" s="35">
        <f>IFERROR((PA[[#This Row],[Sunset Time (POA&lt;20 W/m2)]]-PA[[#This Row],[Sunrise Time (POA&gt;20 W/m2)]])*24,"")</f>
        <v>12.150000000000002</v>
      </c>
      <c r="L21" s="33" t="s">
        <v>679</v>
      </c>
      <c r="M21" s="33" t="s">
        <v>664</v>
      </c>
      <c r="N21" s="33" t="s">
        <v>237</v>
      </c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ICR-05Inv-01M1</v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 t="s">
        <v>249</v>
      </c>
      <c r="X21" s="41"/>
      <c r="Y21" s="40" t="s">
        <v>681</v>
      </c>
      <c r="Z21" s="46">
        <v>0.62986111111111109</v>
      </c>
      <c r="AA21" s="46">
        <v>0.62986111111111109</v>
      </c>
      <c r="AB21" s="46">
        <v>0.62986111111111109</v>
      </c>
      <c r="AC21" s="46">
        <v>0.73611111111111116</v>
      </c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2.5500000000000016</v>
      </c>
      <c r="AG21" s="44">
        <f>IFERROR((PA[[#This Row],[Work Completion time on fault]]-PA[[#This Row],[Fault Time]])*24,"")</f>
        <v>2.5500000000000016</v>
      </c>
      <c r="AH21" s="40" t="s">
        <v>681</v>
      </c>
      <c r="AI21" s="33" t="s">
        <v>231</v>
      </c>
      <c r="AJ21" s="35" t="str">
        <f>IFERROR(PA[[#This Row],[Breakdown Time]]*PA[[#This Row],[Plant Equivalent Weightage]],"")</f>
        <v/>
      </c>
      <c r="AK21" s="38">
        <v>0.99043333333333339</v>
      </c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>
        <v>45872</v>
      </c>
      <c r="C22" s="32">
        <f>YEAR(PA[[#This Row],[Date]])+IF(MONTH(PA[[#This Row],[Date]])&gt;=4,1,0)</f>
        <v>2026</v>
      </c>
      <c r="D22" s="32">
        <f>YEAR(PA[[#This Row],[Date]])</f>
        <v>2025</v>
      </c>
      <c r="E22" s="33" t="s">
        <v>155</v>
      </c>
      <c r="F22" s="33" t="s">
        <v>155</v>
      </c>
      <c r="G22" s="194">
        <f>PA[[#This Row],[Date]]-DAY(PA[[#This Row],[Date]])+1</f>
        <v>45870</v>
      </c>
      <c r="H22" s="32">
        <f>DAY(EOMONTH(PA[[#This Row],[Month Year]],0))</f>
        <v>31</v>
      </c>
      <c r="I22" s="121">
        <v>0.27152777777777776</v>
      </c>
      <c r="J22" s="121">
        <v>0.77777777777777779</v>
      </c>
      <c r="K22" s="35">
        <f>IFERROR((PA[[#This Row],[Sunset Time (POA&lt;20 W/m2)]]-PA[[#This Row],[Sunrise Time (POA&gt;20 W/m2)]])*24,"")</f>
        <v>12.150000000000002</v>
      </c>
      <c r="L22" s="33" t="s">
        <v>679</v>
      </c>
      <c r="M22" s="33" t="s">
        <v>664</v>
      </c>
      <c r="N22" s="33" t="s">
        <v>238</v>
      </c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ICR-05Inv-01M2</v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 t="s">
        <v>249</v>
      </c>
      <c r="X22" s="40"/>
      <c r="Y22" s="40" t="s">
        <v>681</v>
      </c>
      <c r="Z22" s="46">
        <v>0.62986111111111109</v>
      </c>
      <c r="AA22" s="46">
        <v>0.62986111111111109</v>
      </c>
      <c r="AB22" s="46">
        <v>0.62986111111111109</v>
      </c>
      <c r="AC22" s="46">
        <v>0.73611111111111116</v>
      </c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2.5500000000000016</v>
      </c>
      <c r="AG22" s="44">
        <f>IFERROR((PA[[#This Row],[Work Completion time on fault]]-PA[[#This Row],[Fault Time]])*24,"")</f>
        <v>2.5500000000000016</v>
      </c>
      <c r="AH22" s="40" t="s">
        <v>681</v>
      </c>
      <c r="AI22" s="33" t="s">
        <v>231</v>
      </c>
      <c r="AJ22" s="35" t="str">
        <f>IFERROR(PA[[#This Row],[Breakdown Time]]*PA[[#This Row],[Plant Equivalent Weightage]],"")</f>
        <v/>
      </c>
      <c r="AK22" s="38">
        <v>0.99043333333333339</v>
      </c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>
        <v>45872</v>
      </c>
      <c r="C23" s="32">
        <f>YEAR(PA[[#This Row],[Date]])+IF(MONTH(PA[[#This Row],[Date]])&gt;=4,1,0)</f>
        <v>2026</v>
      </c>
      <c r="D23" s="32">
        <f>YEAR(PA[[#This Row],[Date]])</f>
        <v>2025</v>
      </c>
      <c r="E23" s="33" t="s">
        <v>155</v>
      </c>
      <c r="F23" s="33" t="s">
        <v>155</v>
      </c>
      <c r="G23" s="194">
        <f>PA[[#This Row],[Date]]-DAY(PA[[#This Row],[Date]])+1</f>
        <v>45870</v>
      </c>
      <c r="H23" s="32">
        <f>DAY(EOMONTH(PA[[#This Row],[Month Year]],0))</f>
        <v>31</v>
      </c>
      <c r="I23" s="121">
        <v>0.27152777777777776</v>
      </c>
      <c r="J23" s="121">
        <v>0.77777777777777779</v>
      </c>
      <c r="K23" s="35">
        <f>IFERROR((PA[[#This Row],[Sunset Time (POA&lt;20 W/m2)]]-PA[[#This Row],[Sunrise Time (POA&gt;20 W/m2)]])*24,"")</f>
        <v>12.150000000000002</v>
      </c>
      <c r="L23" s="33" t="s">
        <v>679</v>
      </c>
      <c r="M23" s="33" t="s">
        <v>664</v>
      </c>
      <c r="N23" s="33" t="s">
        <v>239</v>
      </c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ICR-05Inv-01M3</v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 t="s">
        <v>249</v>
      </c>
      <c r="X23" s="40"/>
      <c r="Y23" s="40" t="s">
        <v>681</v>
      </c>
      <c r="Z23" s="46">
        <v>0.62986111111111109</v>
      </c>
      <c r="AA23" s="46">
        <v>0.62986111111111109</v>
      </c>
      <c r="AB23" s="46">
        <v>0.62986111111111109</v>
      </c>
      <c r="AC23" s="46">
        <v>0.73611111111111116</v>
      </c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2.5500000000000016</v>
      </c>
      <c r="AG23" s="44">
        <f>IFERROR((PA[[#This Row],[Work Completion time on fault]]-PA[[#This Row],[Fault Time]])*24,"")</f>
        <v>2.5500000000000016</v>
      </c>
      <c r="AH23" s="40" t="s">
        <v>681</v>
      </c>
      <c r="AI23" s="33" t="s">
        <v>231</v>
      </c>
      <c r="AJ23" s="35" t="str">
        <f>IFERROR(PA[[#This Row],[Breakdown Time]]*PA[[#This Row],[Plant Equivalent Weightage]],"")</f>
        <v/>
      </c>
      <c r="AK23" s="38">
        <v>0.99043333333333339</v>
      </c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>
        <v>45872</v>
      </c>
      <c r="C24" s="32">
        <f>YEAR(PA[[#This Row],[Date]])+IF(MONTH(PA[[#This Row],[Date]])&gt;=4,1,0)</f>
        <v>2026</v>
      </c>
      <c r="D24" s="32">
        <f>YEAR(PA[[#This Row],[Date]])</f>
        <v>2025</v>
      </c>
      <c r="E24" s="33" t="s">
        <v>155</v>
      </c>
      <c r="F24" s="33" t="s">
        <v>155</v>
      </c>
      <c r="G24" s="194">
        <f>PA[[#This Row],[Date]]-DAY(PA[[#This Row],[Date]])+1</f>
        <v>45870</v>
      </c>
      <c r="H24" s="32">
        <f>DAY(EOMONTH(PA[[#This Row],[Month Year]],0))</f>
        <v>31</v>
      </c>
      <c r="I24" s="121">
        <v>0.27152777777777776</v>
      </c>
      <c r="J24" s="121">
        <v>0.77777777777777779</v>
      </c>
      <c r="K24" s="35">
        <f>IFERROR((PA[[#This Row],[Sunset Time (POA&lt;20 W/m2)]]-PA[[#This Row],[Sunrise Time (POA&gt;20 W/m2)]])*24,"")</f>
        <v>12.150000000000002</v>
      </c>
      <c r="L24" s="33" t="s">
        <v>679</v>
      </c>
      <c r="M24" s="33" t="s">
        <v>664</v>
      </c>
      <c r="N24" s="33" t="s">
        <v>240</v>
      </c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ICR-05Inv-01M4</v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 t="s">
        <v>249</v>
      </c>
      <c r="X24" s="40"/>
      <c r="Y24" s="40" t="s">
        <v>681</v>
      </c>
      <c r="Z24" s="46">
        <v>0.62986111111111109</v>
      </c>
      <c r="AA24" s="46">
        <v>0.62986111111111109</v>
      </c>
      <c r="AB24" s="46">
        <v>0.62986111111111109</v>
      </c>
      <c r="AC24" s="46">
        <v>0.73611111111111116</v>
      </c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2.5500000000000016</v>
      </c>
      <c r="AG24" s="44">
        <f>IFERROR((PA[[#This Row],[Work Completion time on fault]]-PA[[#This Row],[Fault Time]])*24,"")</f>
        <v>2.5500000000000016</v>
      </c>
      <c r="AH24" s="40" t="s">
        <v>681</v>
      </c>
      <c r="AI24" s="33" t="s">
        <v>231</v>
      </c>
      <c r="AJ24" s="35" t="str">
        <f>IFERROR(PA[[#This Row],[Breakdown Time]]*PA[[#This Row],[Plant Equivalent Weightage]],"")</f>
        <v/>
      </c>
      <c r="AK24" s="38">
        <v>0.99043333333333339</v>
      </c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>
        <v>45872</v>
      </c>
      <c r="C25" s="32">
        <f>YEAR(PA[[#This Row],[Date]])+IF(MONTH(PA[[#This Row],[Date]])&gt;=4,1,0)</f>
        <v>2026</v>
      </c>
      <c r="D25" s="32">
        <f>YEAR(PA[[#This Row],[Date]])</f>
        <v>2025</v>
      </c>
      <c r="E25" s="33" t="s">
        <v>155</v>
      </c>
      <c r="F25" s="33" t="s">
        <v>155</v>
      </c>
      <c r="G25" s="194">
        <f>PA[[#This Row],[Date]]-DAY(PA[[#This Row],[Date]])+1</f>
        <v>45870</v>
      </c>
      <c r="H25" s="32">
        <f>DAY(EOMONTH(PA[[#This Row],[Month Year]],0))</f>
        <v>31</v>
      </c>
      <c r="I25" s="121">
        <v>0.27152777777777776</v>
      </c>
      <c r="J25" s="121">
        <v>0.77777777777777779</v>
      </c>
      <c r="K25" s="35">
        <f>IFERROR((PA[[#This Row],[Sunset Time (POA&lt;20 W/m2)]]-PA[[#This Row],[Sunrise Time (POA&gt;20 W/m2)]])*24,"")</f>
        <v>12.150000000000002</v>
      </c>
      <c r="L25" s="33" t="s">
        <v>679</v>
      </c>
      <c r="M25" s="33" t="s">
        <v>680</v>
      </c>
      <c r="N25" s="33" t="s">
        <v>237</v>
      </c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ICR-05Inv-02M1</v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 t="s">
        <v>249</v>
      </c>
      <c r="X25" s="40"/>
      <c r="Y25" s="40" t="s">
        <v>681</v>
      </c>
      <c r="Z25" s="46">
        <v>0.62986111111111109</v>
      </c>
      <c r="AA25" s="46">
        <v>0.62986111111111109</v>
      </c>
      <c r="AB25" s="46">
        <v>0.62986111111111109</v>
      </c>
      <c r="AC25" s="46">
        <v>0.73611111111111116</v>
      </c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2.5500000000000016</v>
      </c>
      <c r="AG25" s="44">
        <f>IFERROR((PA[[#This Row],[Work Completion time on fault]]-PA[[#This Row],[Fault Time]])*24,"")</f>
        <v>2.5500000000000016</v>
      </c>
      <c r="AH25" s="40" t="s">
        <v>681</v>
      </c>
      <c r="AI25" s="33" t="s">
        <v>231</v>
      </c>
      <c r="AJ25" s="35" t="str">
        <f>IFERROR(PA[[#This Row],[Breakdown Time]]*PA[[#This Row],[Plant Equivalent Weightage]],"")</f>
        <v/>
      </c>
      <c r="AK25" s="38">
        <v>0.99043333333333339</v>
      </c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>
        <v>45872</v>
      </c>
      <c r="C26" s="32">
        <f>YEAR(PA[[#This Row],[Date]])+IF(MONTH(PA[[#This Row],[Date]])&gt;=4,1,0)</f>
        <v>2026</v>
      </c>
      <c r="D26" s="32">
        <f>YEAR(PA[[#This Row],[Date]])</f>
        <v>2025</v>
      </c>
      <c r="E26" s="33" t="s">
        <v>155</v>
      </c>
      <c r="F26" s="33" t="s">
        <v>155</v>
      </c>
      <c r="G26" s="194">
        <f>PA[[#This Row],[Date]]-DAY(PA[[#This Row],[Date]])+1</f>
        <v>45870</v>
      </c>
      <c r="H26" s="32">
        <f>DAY(EOMONTH(PA[[#This Row],[Month Year]],0))</f>
        <v>31</v>
      </c>
      <c r="I26" s="121">
        <v>0.27152777777777776</v>
      </c>
      <c r="J26" s="121">
        <v>0.77777777777777779</v>
      </c>
      <c r="K26" s="35">
        <f>IFERROR((PA[[#This Row],[Sunset Time (POA&lt;20 W/m2)]]-PA[[#This Row],[Sunrise Time (POA&gt;20 W/m2)]])*24,"")</f>
        <v>12.150000000000002</v>
      </c>
      <c r="L26" s="33" t="s">
        <v>679</v>
      </c>
      <c r="M26" s="33" t="s">
        <v>680</v>
      </c>
      <c r="N26" s="33" t="s">
        <v>238</v>
      </c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ICR-05Inv-02M2</v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 t="s">
        <v>249</v>
      </c>
      <c r="X26" s="40"/>
      <c r="Y26" s="40" t="s">
        <v>681</v>
      </c>
      <c r="Z26" s="46">
        <v>0.62986111111111109</v>
      </c>
      <c r="AA26" s="46">
        <v>0.62986111111111109</v>
      </c>
      <c r="AB26" s="46">
        <v>0.62986111111111109</v>
      </c>
      <c r="AC26" s="46">
        <v>0.73611111111111116</v>
      </c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2.5500000000000016</v>
      </c>
      <c r="AG26" s="44">
        <f>IFERROR((PA[[#This Row],[Work Completion time on fault]]-PA[[#This Row],[Fault Time]])*24,"")</f>
        <v>2.5500000000000016</v>
      </c>
      <c r="AH26" s="40" t="s">
        <v>681</v>
      </c>
      <c r="AI26" s="33" t="s">
        <v>231</v>
      </c>
      <c r="AJ26" s="35" t="str">
        <f>IFERROR(PA[[#This Row],[Breakdown Time]]*PA[[#This Row],[Plant Equivalent Weightage]],"")</f>
        <v/>
      </c>
      <c r="AK26" s="38">
        <v>0.99043333333333339</v>
      </c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>
        <v>45872</v>
      </c>
      <c r="C27" s="32">
        <f>YEAR(PA[[#This Row],[Date]])+IF(MONTH(PA[[#This Row],[Date]])&gt;=4,1,0)</f>
        <v>2026</v>
      </c>
      <c r="D27" s="32">
        <f>YEAR(PA[[#This Row],[Date]])</f>
        <v>2025</v>
      </c>
      <c r="E27" s="33" t="s">
        <v>155</v>
      </c>
      <c r="F27" s="33" t="s">
        <v>155</v>
      </c>
      <c r="G27" s="194">
        <f>PA[[#This Row],[Date]]-DAY(PA[[#This Row],[Date]])+1</f>
        <v>45870</v>
      </c>
      <c r="H27" s="32">
        <f>DAY(EOMONTH(PA[[#This Row],[Month Year]],0))</f>
        <v>31</v>
      </c>
      <c r="I27" s="121">
        <v>0.27152777777777776</v>
      </c>
      <c r="J27" s="121">
        <v>0.77777777777777779</v>
      </c>
      <c r="K27" s="35">
        <f>IFERROR((PA[[#This Row],[Sunset Time (POA&lt;20 W/m2)]]-PA[[#This Row],[Sunrise Time (POA&gt;20 W/m2)]])*24,"")</f>
        <v>12.150000000000002</v>
      </c>
      <c r="L27" s="33" t="s">
        <v>679</v>
      </c>
      <c r="M27" s="33" t="s">
        <v>680</v>
      </c>
      <c r="N27" s="33" t="s">
        <v>239</v>
      </c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ICR-05Inv-02M3</v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 t="s">
        <v>249</v>
      </c>
      <c r="X27" s="40"/>
      <c r="Y27" s="40" t="s">
        <v>681</v>
      </c>
      <c r="Z27" s="46">
        <v>0.62986111111111109</v>
      </c>
      <c r="AA27" s="46">
        <v>0.62986111111111109</v>
      </c>
      <c r="AB27" s="46">
        <v>0.62986111111111109</v>
      </c>
      <c r="AC27" s="46">
        <v>0.73611111111111116</v>
      </c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2.5500000000000016</v>
      </c>
      <c r="AG27" s="44">
        <f>IFERROR((PA[[#This Row],[Work Completion time on fault]]-PA[[#This Row],[Fault Time]])*24,"")</f>
        <v>2.5500000000000016</v>
      </c>
      <c r="AH27" s="40" t="s">
        <v>681</v>
      </c>
      <c r="AI27" s="33" t="s">
        <v>231</v>
      </c>
      <c r="AJ27" s="35" t="str">
        <f>IFERROR(PA[[#This Row],[Breakdown Time]]*PA[[#This Row],[Plant Equivalent Weightage]],"")</f>
        <v/>
      </c>
      <c r="AK27" s="38">
        <v>0.99043333333333339</v>
      </c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>
        <v>45872</v>
      </c>
      <c r="C28" s="32">
        <f>YEAR(PA[[#This Row],[Date]])+IF(MONTH(PA[[#This Row],[Date]])&gt;=4,1,0)</f>
        <v>2026</v>
      </c>
      <c r="D28" s="32">
        <f>YEAR(PA[[#This Row],[Date]])</f>
        <v>2025</v>
      </c>
      <c r="E28" s="33" t="s">
        <v>155</v>
      </c>
      <c r="F28" s="33" t="s">
        <v>155</v>
      </c>
      <c r="G28" s="194">
        <f>PA[[#This Row],[Date]]-DAY(PA[[#This Row],[Date]])+1</f>
        <v>45870</v>
      </c>
      <c r="H28" s="32">
        <f>DAY(EOMONTH(PA[[#This Row],[Month Year]],0))</f>
        <v>31</v>
      </c>
      <c r="I28" s="121">
        <v>0.27152777777777776</v>
      </c>
      <c r="J28" s="121">
        <v>0.77777777777777779</v>
      </c>
      <c r="K28" s="35">
        <f>IFERROR((PA[[#This Row],[Sunset Time (POA&lt;20 W/m2)]]-PA[[#This Row],[Sunrise Time (POA&gt;20 W/m2)]])*24,"")</f>
        <v>12.150000000000002</v>
      </c>
      <c r="L28" s="33" t="s">
        <v>679</v>
      </c>
      <c r="M28" s="33" t="s">
        <v>680</v>
      </c>
      <c r="N28" s="33" t="s">
        <v>240</v>
      </c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ICR-05Inv-02M4</v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 t="s">
        <v>249</v>
      </c>
      <c r="X28" s="40"/>
      <c r="Y28" s="40" t="s">
        <v>681</v>
      </c>
      <c r="Z28" s="46">
        <v>0.62986111111111109</v>
      </c>
      <c r="AA28" s="46">
        <v>0.62986111111111109</v>
      </c>
      <c r="AB28" s="46">
        <v>0.62986111111111109</v>
      </c>
      <c r="AC28" s="46">
        <v>0.73611111111111116</v>
      </c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2.5500000000000016</v>
      </c>
      <c r="AG28" s="44">
        <f>IFERROR((PA[[#This Row],[Work Completion time on fault]]-PA[[#This Row],[Fault Time]])*24,"")</f>
        <v>2.5500000000000016</v>
      </c>
      <c r="AH28" s="40" t="s">
        <v>681</v>
      </c>
      <c r="AI28" s="33" t="s">
        <v>231</v>
      </c>
      <c r="AJ28" s="35" t="str">
        <f>IFERROR(PA[[#This Row],[Breakdown Time]]*PA[[#This Row],[Plant Equivalent Weightage]],"")</f>
        <v/>
      </c>
      <c r="AK28" s="38">
        <v>0.99043333333333339</v>
      </c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284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N54:N127 N2:N45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M115:M468 M54:M113 M29:M45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L115:L468 L54:L113 L29:L45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659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660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482.2921282751492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45868</v>
      </c>
      <c r="C3" s="26">
        <f>YEAR(Grid_BD[[#This Row],[Date]])+IF(MONTH(Grid_BD[[#This Row],[Date]])&gt;=4,1,0)</f>
        <v>2026</v>
      </c>
      <c r="D3" s="8">
        <f>YEAR(Grid_BD[[#This Row],[Date]])</f>
        <v>2025</v>
      </c>
      <c r="E3" s="8" t="s">
        <v>154</v>
      </c>
      <c r="G3" s="4">
        <f>IFERROR(_xlfn.XLOOKUP(Grid_BD[[#This Row],[Date]],RD[Date],RD[Operating Hours]),"")</f>
        <v>12</v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J3" t="s">
        <v>677</v>
      </c>
      <c r="L3" s="18">
        <v>0.62638888888888888</v>
      </c>
      <c r="M3" s="18">
        <v>0.62638888888888888</v>
      </c>
      <c r="N3" s="18">
        <v>0.78194444444444444</v>
      </c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3.7333333333333334</v>
      </c>
      <c r="Q3" s="19">
        <f>(Grid_BD[[#This Row],[Fault Clearance time]]-Grid_BD[[#This Row],[Fault Start TimeStamp]])*24</f>
        <v>3.7333333333333334</v>
      </c>
      <c r="R3" s="23" t="s">
        <v>678</v>
      </c>
      <c r="S3" s="4"/>
      <c r="T3" s="24" t="str">
        <f>IFERROR(Grid_BD[[#This Row],[Breakdown Time]]*Grid_BD[[#This Row],[Plant Equivalent Weightage]],"")</f>
        <v/>
      </c>
      <c r="U3" s="24">
        <v>0.59955000000000003</v>
      </c>
      <c r="V3" s="73">
        <f>IFERROR(Grid_BD[[#This Row],[POA Lost (kWh/m2)]]*_xlfn.XLOOKUP(Grid_BD[[#This Row],[Date]],'Daily KPI'!$A:$A,'Daily KPI'!$AE:$AE)*_xlfn.XLOOKUP(Grid_BD[[#This Row],[Date]],RD[Date],RD[Connected DC Capcity (MWp)])*1000,"")</f>
        <v>11549.768027851373</v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/>
      <c r="U4" s="24"/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3" sqref="A3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0.61467968812449436</v>
      </c>
      <c r="R2" s="299" t="str">
        <f>IFERROR(Table7[[#This Row],[Loss of Capacity in KWp]]*Table7[[#This Row],[Lost POA]]*Table7[[#This Row],[Estimated PR % (Pvsyst)]],"")</f>
        <v/>
      </c>
      <c r="S2" s="1" t="s">
        <v>668</v>
      </c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45839</v>
      </c>
      <c r="C3" s="296">
        <v>45864</v>
      </c>
      <c r="D3" s="1" t="s">
        <v>553</v>
      </c>
      <c r="E3" s="1" t="s">
        <v>554</v>
      </c>
      <c r="F3" s="1" t="s">
        <v>556</v>
      </c>
      <c r="G3" s="1" t="s">
        <v>555</v>
      </c>
      <c r="H3" s="297">
        <v>0.48194444444444445</v>
      </c>
      <c r="I3" s="297">
        <v>0.6</v>
      </c>
      <c r="J3" s="297">
        <f>I3-H3</f>
        <v>0.11805555555555552</v>
      </c>
      <c r="K3" s="297">
        <f>(J3/0.041677)</f>
        <v>2.8326308408847933</v>
      </c>
      <c r="L3" s="1">
        <v>218.2</v>
      </c>
      <c r="M3" s="1">
        <v>0.61832333333333334</v>
      </c>
      <c r="N3" s="298">
        <v>1.336570676666665</v>
      </c>
      <c r="O3" s="298">
        <f t="shared" si="0"/>
        <v>0.71824734333333162</v>
      </c>
      <c r="P3" s="298">
        <v>30830</v>
      </c>
      <c r="Q3" s="1">
        <f>IFERROR(_xlfn.XLOOKUP(Table7[[#This Row],[Month]],'Modelling New'!$D:$D,'Modelling New'!$O:$O),"")</f>
        <v>0.61467968812449436</v>
      </c>
      <c r="R3" s="299">
        <f>IFERROR(Table7[[#This Row],[Loss of Capacity in KWp]]*Table7[[#This Row],[Lost POA]]*Table7[[#This Row],[Estimated PR % (Pvsyst)]],"")</f>
        <v>11717.582569568482</v>
      </c>
      <c r="S3" s="1" t="s">
        <v>668</v>
      </c>
      <c r="T3" s="1">
        <v>5.5</v>
      </c>
      <c r="U3" s="300">
        <v>0</v>
      </c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45813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45814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45815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45816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45817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45818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45819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45820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45821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45822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45823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45824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45825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45826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45827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45828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45829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45830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45831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45832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45833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45834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45835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45836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45837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45838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45839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45840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45841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45842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45843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45844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45845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45846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45847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45848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45849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45850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45851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45852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45853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45854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45855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45856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45857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45858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45859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45860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45861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45862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45863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45864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45865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45866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45867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45868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45869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45870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45871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45872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45873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45813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45814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45815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45816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45817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45818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45819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45820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45821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45822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45823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45824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45825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45826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45827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45828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45829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45830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45831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45832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45833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45834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45835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45836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45837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45838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45839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45840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45841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45842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45843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45844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45845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45846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45847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45848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45849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45850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45851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45852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45853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45854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45855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45856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45857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45858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45859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45860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45861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45862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45863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45864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45865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45866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45867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45868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45869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45870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45871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45872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45873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45813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45814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45815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45816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45817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45818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45819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45820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45821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45822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45823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45824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45825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45826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45827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45828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45829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45830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45831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45832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45833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45834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45835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45836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45837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45838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45839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45840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45841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45842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45843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45844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45845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45846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45847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45848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45849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45850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45851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45852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45853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45854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45855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45856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45857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45858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45859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45860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45861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45862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45863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45864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45865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45866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45867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45868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45869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45870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45871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45872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45873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97" activePane="bottomRight" state="frozen"/>
      <selection pane="topRight" activeCell="C2" sqref="C2"/>
      <selection pane="bottomLeft" activeCell="B3" sqref="B3"/>
      <selection pane="bottomRight" activeCell="K3" sqref="K3:N116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/>
      <c r="L3" s="125"/>
      <c r="M3" s="125"/>
      <c r="N3" s="125"/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4">
        <f>SUM( MC_2[[#This Row],[ICR1]:[ICR5]])</f>
        <v>0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4">
        <f>SUM(MC_2[[#This Row],[ICR1]:[ICR5]])</f>
        <v>0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4">
        <f>SUM(MC_2[[#This Row],[ICR1]:[ICR5]])</f>
        <v>0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4">
        <f>SUM(MC_2[[#This Row],[ICR1]:[ICR5]])</f>
        <v>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4">
        <f>SUM(MC_2[[#This Row],[ICR1]:[ICR5]])</f>
        <v>0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4">
        <f>SUM(MC_2[[#This Row],[ICR1]:[ICR5]])</f>
        <v>0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4">
        <f>SUM(MC_2[[#This Row],[ICR1]:[ICR5]])</f>
        <v>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4">
        <f>SUM(MC_2[[#This Row],[ICR1]:[ICR5]])</f>
        <v>0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4">
        <f>SUM(MC_2[[#This Row],[ICR1]:[ICR5]])</f>
        <v>0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4">
        <f>SUM(MC_2[[#This Row],[ICR1]:[ICR5]])</f>
        <v>0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4">
        <f>SUM(MC_2[[#This Row],[ICR1]:[ICR5]])</f>
        <v>0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4">
        <f>SUM(MC_2[[#This Row],[ICR1]:[ICR5]])</f>
        <v>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4">
        <f>SUM(MC_2[[#This Row],[ICR1]:[ICR5]])</f>
        <v>0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4">
        <f>SUM(MC_2[[#This Row],[ICR1]:[ICR5]])</f>
        <v>0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4">
        <f>SUM(MC_2[[#This Row],[ICR1]:[ICR5]])</f>
        <v>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4">
        <f>SUM(MC_2[[#This Row],[ICR1]:[ICR5]])</f>
        <v>0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4">
        <f>SUM(MC_2[[#This Row],[ICR1]:[ICR5]])</f>
        <v>0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4">
        <f>SUM(MC_2[[#This Row],[ICR1]:[ICR5]])</f>
        <v>0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4">
        <f>SUM(MC_2[[#This Row],[ICR1]:[ICR5]])</f>
        <v>0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4">
        <f>SUM(MC_2[[#This Row],[ICR1]:[ICR5]])</f>
        <v>0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4">
        <f>SUM(MC_2[[#This Row],[ICR1]:[ICR5]])</f>
        <v>0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4">
        <f>SUM(MC_2[[#This Row],[ICR1]:[ICR5]])</f>
        <v>0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4">
        <f>SUM(MC_2[[#This Row],[ICR1]:[ICR5]])</f>
        <v>0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4">
        <f>SUM(MC_2[[#This Row],[ICR1]:[ICR5]])</f>
        <v>0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4">
        <f>SUM(MC_2[[#This Row],[ICR1]:[ICR5]])</f>
        <v>0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4">
        <f>SUM(MC_2[[#This Row],[ICR1]:[ICR5]])</f>
        <v>0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4">
        <f>SUM(MC_2[[#This Row],[ICR1]:[ICR5]])</f>
        <v>0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4">
        <f>SUM(MC_2[[#This Row],[ICR1]:[ICR5]])</f>
        <v>0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4">
        <f>SUM(MC_2[[#This Row],[ICR1]:[ICR5]])</f>
        <v>0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4">
        <f>SUM(MC_2[[#This Row],[ICR1]:[ICR5]])</f>
        <v>0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4">
        <f>SUM(MC_2[[#This Row],[ICR1]:[ICR5]])</f>
        <v>0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4">
        <f>SUM(MC_2[[#This Row],[ICR1]:[ICR5]])</f>
        <v>0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4">
        <f>SUM(MC_2[[#This Row],[ICR1]:[ICR5]])</f>
        <v>0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4">
        <f>SUM(MC_2[[#This Row],[ICR1]:[ICR5]])</f>
        <v>0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165" activePane="bottomRight" state="frozen"/>
      <selection pane="topRight" activeCell="B1" sqref="B1"/>
      <selection pane="bottomLeft" activeCell="A2" sqref="A2"/>
      <selection pane="bottomRight" activeCell="Q173" sqref="Q173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7.4637523931078489E-2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7.4133216336949581E-2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7.4637523931078489E-2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31340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590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7.4133216336949581E-2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5.1943682195277598E-2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5.1943682195277598E-2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5.1943682195277598E-2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5.1943682195277598E-2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5.1943682195277598E-2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5.1439374601148689E-2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5.1943682195277598E-2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5.1943682195277598E-2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5.1943682195277598E-2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5.1943682195277598E-2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5.2447989789406506E-2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5.1943682195277591E-2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4.0714741544352263E-2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4.0714741544352263E-2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4.0714741544352263E-2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4.0714741544352263E-2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4.0714741544352263E-2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4.0714741544352263E-2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4.0714741544352263E-2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8.0689215060625406E-3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8.0689215060625406E-3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8.0689215060625406E-3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8.494575622208041E-3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8.494575622208041E-3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8.494575622208041E-3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8.494575622208041E-3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8.494575622208041E-3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8.5732291001914488E-3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8.0689215060625406E-3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8.0689215060625406E-3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8.5732291001914488E-3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8.0689215060625406E-3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8.0689215060625406E-3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8.0689215060625406E-3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8.0689215060625406E-3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8.0689215060625406E-3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8.0689215060625406E-3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8.5732291001914488E-3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8.0689215060625406E-3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8.0689215060625406E-3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8.0689215060625406E-3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8.0689215060625406E-3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8.0689215060625406E-3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8.5732291001914488E-3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8.5732291001914488E-3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8.5732291001914488E-3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8.0689215060625406E-3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8.0689215060625406E-3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8.0689215060625406E-3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8.0689215060625406E-3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8.0689215060625406E-3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8.0689215060625406E-3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8.5732291001914488E-3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8.5732291001914488E-3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8.5732291001914488E-3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8.6518825781748548E-3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8.6518825781748548E-3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8.6518825781748548E-3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8.6518825781748548E-3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9.1608168474792608E-3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8.6518825781748548E-3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8.6518825781748548E-3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8.6518825781748548E-3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8.6518825781748548E-3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8.6518825781748548E-3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9.1608168474792608E-3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8.6518825781748548E-3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8.6518825781748548E-3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8.6518825781748548E-3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8.6518825781748548E-3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8.6518825781748548E-3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8.6518825781748548E-3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9.1608168474792608E-3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8.6518825781748548E-3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8.6518825781748548E-3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9.1608168474792608E-3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8.6518825781748548E-3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8.6518825781748548E-3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8.1429483088704523E-3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591</v>
      </c>
      <c r="O85" s="9" t="s">
        <v>559</v>
      </c>
      <c r="Q85" s="1">
        <v>271.14999999999998</v>
      </c>
      <c r="R85" s="10">
        <f t="shared" ca="1" si="3"/>
        <v>8.6518825781748548E-3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592</v>
      </c>
      <c r="O86" s="9" t="s">
        <v>559</v>
      </c>
      <c r="Q86" s="1">
        <v>271.14999999999998</v>
      </c>
      <c r="R86" s="10">
        <f t="shared" ca="1" si="3"/>
        <v>8.6518825781748548E-3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593</v>
      </c>
      <c r="O87" s="9" t="s">
        <v>559</v>
      </c>
      <c r="Q87" s="1">
        <v>271.14999999999998</v>
      </c>
      <c r="R87" s="10">
        <f t="shared" ca="1" si="3"/>
        <v>8.6518825781748548E-3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594</v>
      </c>
      <c r="O88" s="9" t="s">
        <v>559</v>
      </c>
      <c r="Q88" s="1">
        <v>287.10000000000002</v>
      </c>
      <c r="R88" s="10">
        <f t="shared" ca="1" si="3"/>
        <v>9.1608168474792608E-3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595</v>
      </c>
      <c r="O89" s="9" t="s">
        <v>559</v>
      </c>
      <c r="Q89" s="1">
        <v>271.14999999999998</v>
      </c>
      <c r="R89" s="10">
        <f t="shared" ca="1" si="3"/>
        <v>8.6518825781748548E-3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596</v>
      </c>
      <c r="O90" s="9" t="s">
        <v>559</v>
      </c>
      <c r="Q90" s="1">
        <v>271.14999999999998</v>
      </c>
      <c r="R90" s="10">
        <f t="shared" ca="1" si="3"/>
        <v>8.6518825781748548E-3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597</v>
      </c>
      <c r="O91" s="9" t="s">
        <v>559</v>
      </c>
      <c r="Q91" s="1">
        <v>271.14999999999998</v>
      </c>
      <c r="R91" s="10">
        <f t="shared" ca="1" si="3"/>
        <v>8.6518825781748548E-3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598</v>
      </c>
      <c r="O92" s="9" t="s">
        <v>559</v>
      </c>
      <c r="Q92" s="1">
        <v>287.10000000000002</v>
      </c>
      <c r="R92" s="10">
        <f t="shared" ca="1" si="3"/>
        <v>9.1608168474792608E-3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599</v>
      </c>
      <c r="O93" s="9" t="s">
        <v>559</v>
      </c>
      <c r="Q93" s="1">
        <v>271.14999999999998</v>
      </c>
      <c r="R93" s="10">
        <f t="shared" ca="1" si="3"/>
        <v>8.6518825781748548E-3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600</v>
      </c>
      <c r="O94" s="9" t="s">
        <v>559</v>
      </c>
      <c r="Q94" s="1">
        <v>271.14999999999998</v>
      </c>
      <c r="R94" s="10">
        <f t="shared" ca="1" si="3"/>
        <v>8.6518825781748548E-3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601</v>
      </c>
      <c r="O95" s="9" t="s">
        <v>559</v>
      </c>
      <c r="Q95" s="1">
        <v>271.14999999999998</v>
      </c>
      <c r="R95" s="10">
        <f t="shared" ca="1" si="3"/>
        <v>8.6518825781748548E-3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602</v>
      </c>
      <c r="O96" s="9" t="s">
        <v>559</v>
      </c>
      <c r="Q96" s="1">
        <v>271.14999999999998</v>
      </c>
      <c r="R96" s="10">
        <f t="shared" ca="1" si="3"/>
        <v>8.6518825781748548E-3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603</v>
      </c>
      <c r="O97" s="9" t="s">
        <v>559</v>
      </c>
      <c r="Q97" s="1">
        <v>271.14999999999998</v>
      </c>
      <c r="R97" s="10">
        <f t="shared" ca="1" si="3"/>
        <v>8.6518825781748548E-3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604</v>
      </c>
      <c r="O98" s="9" t="s">
        <v>559</v>
      </c>
      <c r="Q98" s="1">
        <v>271.14999999999998</v>
      </c>
      <c r="R98" s="10">
        <f t="shared" ca="1" si="3"/>
        <v>8.6518825781748548E-3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605</v>
      </c>
      <c r="O99" s="9" t="s">
        <v>559</v>
      </c>
      <c r="Q99" s="1">
        <v>271.14999999999998</v>
      </c>
      <c r="R99" s="10">
        <f t="shared" ca="1" si="3"/>
        <v>8.6518825781748548E-3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606</v>
      </c>
      <c r="O100" s="9" t="s">
        <v>559</v>
      </c>
      <c r="Q100" s="1">
        <v>287.10000000000002</v>
      </c>
      <c r="R100" s="10">
        <f t="shared" ca="1" si="3"/>
        <v>9.1608168474792608E-3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607</v>
      </c>
      <c r="O101" s="9" t="s">
        <v>559</v>
      </c>
      <c r="Q101" s="1">
        <v>271.14999999999998</v>
      </c>
      <c r="R101" s="10">
        <f t="shared" ca="1" si="3"/>
        <v>8.6518825781748548E-3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608</v>
      </c>
      <c r="O102" s="9" t="s">
        <v>559</v>
      </c>
      <c r="Q102" s="1">
        <v>271.14999999999998</v>
      </c>
      <c r="R102" s="10">
        <f t="shared" ca="1" si="3"/>
        <v>8.6518825781748548E-3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609</v>
      </c>
      <c r="O103" s="9" t="s">
        <v>559</v>
      </c>
      <c r="Q103" s="1">
        <v>271.14999999999998</v>
      </c>
      <c r="R103" s="10">
        <f t="shared" ca="1" si="3"/>
        <v>8.6518825781748548E-3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610</v>
      </c>
      <c r="O104" s="9" t="s">
        <v>559</v>
      </c>
      <c r="Q104" s="1">
        <v>271.14999999999998</v>
      </c>
      <c r="R104" s="10">
        <f t="shared" ca="1" si="3"/>
        <v>8.6518825781748548E-3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611</v>
      </c>
      <c r="O105" s="9" t="s">
        <v>559</v>
      </c>
      <c r="Q105" s="1">
        <v>255.2</v>
      </c>
      <c r="R105" s="10">
        <f t="shared" ca="1" si="3"/>
        <v>8.1429483088704523E-3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612</v>
      </c>
      <c r="O106" s="9" t="s">
        <v>559</v>
      </c>
      <c r="Q106" s="1">
        <v>271.14999999999998</v>
      </c>
      <c r="R106" s="10">
        <f t="shared" ca="1" si="3"/>
        <v>8.6518825781748548E-3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613</v>
      </c>
      <c r="O107" s="9" t="s">
        <v>559</v>
      </c>
      <c r="Q107" s="1">
        <v>287.10000000000002</v>
      </c>
      <c r="R107" s="10">
        <f t="shared" ca="1" si="3"/>
        <v>9.1608168474792608E-3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614</v>
      </c>
      <c r="O108" s="9" t="s">
        <v>559</v>
      </c>
      <c r="Q108" s="1">
        <v>287.10000000000002</v>
      </c>
      <c r="R108" s="10">
        <f t="shared" ca="1" si="3"/>
        <v>9.1608168474792608E-3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8.6518825781748548E-3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9.1608168474792608E-3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9.1608168474792608E-3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9.1608168474792608E-3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9.1608168474792608E-3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7.6340140395660498E-3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7.1250797702616464E-3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8.1429483088704523E-3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8.6518825781748548E-3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8.6518825781748548E-3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9.1608168474792608E-3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9.1608168474792608E-3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9.1608168474792608E-3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9.1608168474792608E-3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9.1608168474792608E-3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8.6518825781748548E-3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8.6518825781748548E-3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8.6518825781748548E-3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615</v>
      </c>
      <c r="O127" s="9" t="s">
        <v>560</v>
      </c>
      <c r="Q127" s="1">
        <v>287.10000000000002</v>
      </c>
      <c r="R127" s="10">
        <f t="shared" ca="1" si="5"/>
        <v>9.1608168474792608E-3</v>
      </c>
      <c r="S127" s="5">
        <f t="shared" si="4"/>
        <v>0</v>
      </c>
      <c r="T127" s="1" t="s">
        <v>651</v>
      </c>
      <c r="U127" s="5" t="s">
        <v>394</v>
      </c>
      <c r="V127" s="1" t="s">
        <v>395</v>
      </c>
    </row>
    <row r="128" spans="14:22">
      <c r="N128" s="2" t="s">
        <v>616</v>
      </c>
      <c r="O128" s="9" t="s">
        <v>560</v>
      </c>
      <c r="Q128" s="1">
        <v>271.14999999999998</v>
      </c>
      <c r="R128" s="10">
        <f t="shared" ca="1" si="5"/>
        <v>8.6518825781748548E-3</v>
      </c>
      <c r="S128" s="5">
        <f t="shared" si="4"/>
        <v>0</v>
      </c>
      <c r="T128" s="1" t="s">
        <v>651</v>
      </c>
      <c r="U128" s="5" t="s">
        <v>394</v>
      </c>
      <c r="V128" s="1" t="s">
        <v>395</v>
      </c>
    </row>
    <row r="129" spans="14:22">
      <c r="N129" s="2" t="s">
        <v>617</v>
      </c>
      <c r="O129" s="9" t="s">
        <v>560</v>
      </c>
      <c r="Q129" s="1">
        <v>271.14999999999998</v>
      </c>
      <c r="R129" s="10">
        <f t="shared" ca="1" si="5"/>
        <v>8.6518825781748548E-3</v>
      </c>
      <c r="S129" s="5">
        <f t="shared" si="4"/>
        <v>0</v>
      </c>
      <c r="T129" s="1" t="s">
        <v>651</v>
      </c>
      <c r="U129" s="5" t="s">
        <v>394</v>
      </c>
      <c r="V129" s="1" t="s">
        <v>395</v>
      </c>
    </row>
    <row r="130" spans="14:22">
      <c r="N130" s="2" t="s">
        <v>618</v>
      </c>
      <c r="O130" s="9" t="s">
        <v>560</v>
      </c>
      <c r="Q130" s="1">
        <v>271.14999999999998</v>
      </c>
      <c r="R130" s="10">
        <f t="shared" ca="1" si="5"/>
        <v>8.6518825781748548E-3</v>
      </c>
      <c r="S130" s="5">
        <f t="shared" ref="S130:S193" si="6">_xlfn.XLOOKUP(O130,AE:AE,AG:AG)</f>
        <v>0</v>
      </c>
      <c r="T130" s="1" t="s">
        <v>651</v>
      </c>
      <c r="U130" s="5" t="s">
        <v>394</v>
      </c>
      <c r="V130" s="1" t="s">
        <v>395</v>
      </c>
    </row>
    <row r="131" spans="14:22">
      <c r="N131" s="2" t="s">
        <v>619</v>
      </c>
      <c r="O131" s="9" t="s">
        <v>560</v>
      </c>
      <c r="Q131" s="1">
        <v>271.14999999999998</v>
      </c>
      <c r="R131" s="10">
        <f t="shared" ca="1" si="5"/>
        <v>8.6518825781748548E-3</v>
      </c>
      <c r="S131" s="5">
        <f t="shared" si="6"/>
        <v>0</v>
      </c>
      <c r="T131" s="1" t="s">
        <v>651</v>
      </c>
      <c r="U131" s="5" t="s">
        <v>394</v>
      </c>
      <c r="V131" s="1" t="s">
        <v>395</v>
      </c>
    </row>
    <row r="132" spans="14:22">
      <c r="N132" s="2" t="s">
        <v>620</v>
      </c>
      <c r="O132" s="9" t="s">
        <v>560</v>
      </c>
      <c r="Q132" s="1">
        <v>271.14999999999998</v>
      </c>
      <c r="R132" s="10">
        <f t="shared" ca="1" si="5"/>
        <v>8.6518825781748548E-3</v>
      </c>
      <c r="S132" s="5">
        <f t="shared" si="6"/>
        <v>0</v>
      </c>
      <c r="T132" s="1" t="s">
        <v>651</v>
      </c>
      <c r="U132" s="5" t="s">
        <v>394</v>
      </c>
      <c r="V132" s="1" t="s">
        <v>395</v>
      </c>
    </row>
    <row r="133" spans="14:22">
      <c r="N133" s="2" t="s">
        <v>621</v>
      </c>
      <c r="O133" s="9" t="s">
        <v>560</v>
      </c>
      <c r="Q133" s="1">
        <v>191.4</v>
      </c>
      <c r="R133" s="10">
        <f t="shared" ca="1" si="5"/>
        <v>6.1072112316528397E-3</v>
      </c>
      <c r="S133" s="5">
        <f t="shared" si="6"/>
        <v>0</v>
      </c>
      <c r="T133" s="1" t="s">
        <v>651</v>
      </c>
      <c r="U133" s="5" t="s">
        <v>394</v>
      </c>
      <c r="V133" s="1" t="s">
        <v>395</v>
      </c>
    </row>
    <row r="134" spans="14:22">
      <c r="N134" s="2" t="s">
        <v>622</v>
      </c>
      <c r="O134" s="9" t="s">
        <v>560</v>
      </c>
      <c r="Q134" s="1">
        <v>191.4</v>
      </c>
      <c r="R134" s="10">
        <f t="shared" ca="1" si="5"/>
        <v>6.1072112316528397E-3</v>
      </c>
      <c r="S134" s="5">
        <f t="shared" si="6"/>
        <v>0</v>
      </c>
      <c r="T134" s="1" t="s">
        <v>651</v>
      </c>
      <c r="U134" s="5" t="s">
        <v>394</v>
      </c>
      <c r="V134" s="1" t="s">
        <v>395</v>
      </c>
    </row>
    <row r="135" spans="14:22">
      <c r="N135" s="2" t="s">
        <v>623</v>
      </c>
      <c r="O135" s="9" t="s">
        <v>560</v>
      </c>
      <c r="Q135" s="1">
        <v>223.3</v>
      </c>
      <c r="R135" s="10">
        <f t="shared" ca="1" si="5"/>
        <v>7.1250797702616464E-3</v>
      </c>
      <c r="S135" s="5">
        <f t="shared" si="6"/>
        <v>0</v>
      </c>
      <c r="T135" s="1" t="s">
        <v>651</v>
      </c>
      <c r="U135" s="5" t="s">
        <v>394</v>
      </c>
      <c r="V135" s="1" t="s">
        <v>395</v>
      </c>
    </row>
    <row r="136" spans="14:22">
      <c r="N136" s="2" t="s">
        <v>624</v>
      </c>
      <c r="O136" s="9" t="s">
        <v>560</v>
      </c>
      <c r="Q136" s="1">
        <v>221.27</v>
      </c>
      <c r="R136" s="10">
        <f t="shared" ca="1" si="5"/>
        <v>7.0603063178047223E-3</v>
      </c>
      <c r="S136" s="5">
        <f t="shared" si="6"/>
        <v>0</v>
      </c>
      <c r="T136" s="1" t="s">
        <v>651</v>
      </c>
      <c r="U136" s="5" t="s">
        <v>394</v>
      </c>
      <c r="V136" s="1" t="s">
        <v>395</v>
      </c>
    </row>
    <row r="137" spans="14:22">
      <c r="N137" s="2" t="s">
        <v>625</v>
      </c>
      <c r="O137" s="9" t="s">
        <v>560</v>
      </c>
      <c r="Q137" s="1">
        <v>221.27</v>
      </c>
      <c r="R137" s="10">
        <f t="shared" ca="1" si="5"/>
        <v>7.0603063178047223E-3</v>
      </c>
      <c r="S137" s="5">
        <f t="shared" si="6"/>
        <v>0</v>
      </c>
      <c r="T137" s="1" t="s">
        <v>651</v>
      </c>
      <c r="U137" s="5" t="s">
        <v>394</v>
      </c>
      <c r="V137" s="1" t="s">
        <v>395</v>
      </c>
    </row>
    <row r="138" spans="14:22">
      <c r="N138" s="2" t="s">
        <v>626</v>
      </c>
      <c r="O138" s="9" t="s">
        <v>560</v>
      </c>
      <c r="Q138" s="1">
        <v>221.27</v>
      </c>
      <c r="R138" s="10">
        <f t="shared" ca="1" si="5"/>
        <v>7.0603063178047223E-3</v>
      </c>
      <c r="S138" s="5">
        <f t="shared" si="6"/>
        <v>0</v>
      </c>
      <c r="T138" s="1" t="s">
        <v>651</v>
      </c>
      <c r="U138" s="5" t="s">
        <v>394</v>
      </c>
      <c r="V138" s="1" t="s">
        <v>395</v>
      </c>
    </row>
    <row r="139" spans="14:22">
      <c r="N139" s="2" t="s">
        <v>627</v>
      </c>
      <c r="O139" s="9" t="s">
        <v>560</v>
      </c>
      <c r="Q139" s="1">
        <v>191.4</v>
      </c>
      <c r="R139" s="10">
        <f t="shared" ca="1" si="5"/>
        <v>6.1072112316528397E-3</v>
      </c>
      <c r="S139" s="5">
        <f t="shared" si="6"/>
        <v>0</v>
      </c>
      <c r="T139" s="1" t="s">
        <v>651</v>
      </c>
      <c r="U139" s="5" t="s">
        <v>394</v>
      </c>
      <c r="V139" s="1" t="s">
        <v>395</v>
      </c>
    </row>
    <row r="140" spans="14:22">
      <c r="N140" s="2" t="s">
        <v>628</v>
      </c>
      <c r="O140" s="9" t="s">
        <v>560</v>
      </c>
      <c r="Q140" s="1">
        <v>223.3</v>
      </c>
      <c r="R140" s="10">
        <f t="shared" ca="1" si="5"/>
        <v>7.1250797702616464E-3</v>
      </c>
      <c r="S140" s="5">
        <f t="shared" si="6"/>
        <v>0</v>
      </c>
      <c r="T140" s="1" t="s">
        <v>651</v>
      </c>
      <c r="U140" s="5" t="s">
        <v>394</v>
      </c>
      <c r="V140" s="1" t="s">
        <v>395</v>
      </c>
    </row>
    <row r="141" spans="14:22">
      <c r="N141" s="2" t="s">
        <v>629</v>
      </c>
      <c r="O141" s="9" t="s">
        <v>560</v>
      </c>
      <c r="Q141" s="1">
        <v>223.3</v>
      </c>
      <c r="R141" s="10">
        <f t="shared" ca="1" si="5"/>
        <v>7.1250797702616464E-3</v>
      </c>
      <c r="S141" s="5">
        <f t="shared" si="6"/>
        <v>0</v>
      </c>
      <c r="T141" s="1" t="s">
        <v>651</v>
      </c>
      <c r="U141" s="5" t="s">
        <v>394</v>
      </c>
      <c r="V141" s="1" t="s">
        <v>395</v>
      </c>
    </row>
    <row r="142" spans="14:22">
      <c r="N142" s="2" t="s">
        <v>630</v>
      </c>
      <c r="O142" s="9" t="s">
        <v>560</v>
      </c>
      <c r="Q142" s="1">
        <v>223.3</v>
      </c>
      <c r="R142" s="10">
        <f t="shared" ca="1" si="5"/>
        <v>7.1250797702616464E-3</v>
      </c>
      <c r="S142" s="5">
        <f t="shared" si="6"/>
        <v>0</v>
      </c>
      <c r="T142" s="1" t="s">
        <v>651</v>
      </c>
      <c r="U142" s="5" t="s">
        <v>394</v>
      </c>
      <c r="V142" s="1" t="s">
        <v>395</v>
      </c>
    </row>
    <row r="143" spans="14:22">
      <c r="N143" s="2" t="s">
        <v>631</v>
      </c>
      <c r="O143" s="9" t="s">
        <v>560</v>
      </c>
      <c r="Q143" s="1">
        <v>191.4</v>
      </c>
      <c r="R143" s="10">
        <f t="shared" ca="1" si="5"/>
        <v>6.1072112316528397E-3</v>
      </c>
      <c r="S143" s="5">
        <f t="shared" si="6"/>
        <v>0</v>
      </c>
      <c r="T143" s="1" t="s">
        <v>651</v>
      </c>
      <c r="U143" s="5" t="s">
        <v>394</v>
      </c>
      <c r="V143" s="1" t="s">
        <v>395</v>
      </c>
    </row>
    <row r="144" spans="14:22">
      <c r="N144" s="2" t="s">
        <v>632</v>
      </c>
      <c r="O144" s="9" t="s">
        <v>560</v>
      </c>
      <c r="Q144" s="1">
        <v>223.3</v>
      </c>
      <c r="R144" s="10">
        <f t="shared" ca="1" si="5"/>
        <v>7.1250797702616464E-3</v>
      </c>
      <c r="S144" s="5">
        <f t="shared" si="6"/>
        <v>0</v>
      </c>
      <c r="T144" s="1" t="s">
        <v>651</v>
      </c>
      <c r="U144" s="5" t="s">
        <v>394</v>
      </c>
      <c r="V144" s="1" t="s">
        <v>395</v>
      </c>
    </row>
    <row r="145" spans="14:22">
      <c r="N145" s="2" t="s">
        <v>633</v>
      </c>
      <c r="O145" s="9" t="s">
        <v>560</v>
      </c>
      <c r="Q145" s="1">
        <v>223.3</v>
      </c>
      <c r="R145" s="10">
        <f t="shared" ca="1" si="5"/>
        <v>7.1250797702616464E-3</v>
      </c>
      <c r="S145" s="5">
        <f t="shared" si="6"/>
        <v>0</v>
      </c>
      <c r="T145" s="1" t="s">
        <v>651</v>
      </c>
      <c r="U145" s="5" t="s">
        <v>394</v>
      </c>
      <c r="V145" s="1" t="s">
        <v>395</v>
      </c>
    </row>
    <row r="146" spans="14:22">
      <c r="N146" s="2" t="s">
        <v>634</v>
      </c>
      <c r="O146" s="9" t="s">
        <v>560</v>
      </c>
      <c r="Q146" s="1">
        <v>223.3</v>
      </c>
      <c r="R146" s="10">
        <f t="shared" ca="1" si="5"/>
        <v>7.1250797702616464E-3</v>
      </c>
      <c r="S146" s="5">
        <f t="shared" si="6"/>
        <v>0</v>
      </c>
      <c r="T146" s="1" t="s">
        <v>651</v>
      </c>
      <c r="U146" s="5" t="s">
        <v>394</v>
      </c>
      <c r="V146" s="1" t="s">
        <v>395</v>
      </c>
    </row>
    <row r="147" spans="14:22">
      <c r="N147" s="2" t="s">
        <v>635</v>
      </c>
      <c r="O147" s="9" t="s">
        <v>560</v>
      </c>
      <c r="Q147" s="1">
        <v>191.4</v>
      </c>
      <c r="R147" s="10">
        <f t="shared" ca="1" si="5"/>
        <v>6.1072112316528397E-3</v>
      </c>
      <c r="S147" s="5">
        <f t="shared" si="6"/>
        <v>0</v>
      </c>
      <c r="T147" s="1" t="s">
        <v>651</v>
      </c>
      <c r="U147" s="5" t="s">
        <v>394</v>
      </c>
      <c r="V147" s="1" t="s">
        <v>395</v>
      </c>
    </row>
    <row r="148" spans="14:22">
      <c r="N148" s="2" t="s">
        <v>636</v>
      </c>
      <c r="O148" s="9" t="s">
        <v>560</v>
      </c>
      <c r="Q148" s="1">
        <v>223.3</v>
      </c>
      <c r="R148" s="10">
        <f t="shared" ca="1" si="5"/>
        <v>7.1250797702616464E-3</v>
      </c>
      <c r="S148" s="5">
        <f t="shared" si="6"/>
        <v>0</v>
      </c>
      <c r="T148" s="1" t="s">
        <v>651</v>
      </c>
      <c r="U148" s="5" t="s">
        <v>394</v>
      </c>
      <c r="V148" s="1" t="s">
        <v>395</v>
      </c>
    </row>
    <row r="149" spans="14:22">
      <c r="N149" s="2" t="s">
        <v>637</v>
      </c>
      <c r="O149" s="9" t="s">
        <v>560</v>
      </c>
      <c r="Q149" s="1">
        <v>191.4</v>
      </c>
      <c r="R149" s="10">
        <f t="shared" ca="1" si="5"/>
        <v>6.1072112316528397E-3</v>
      </c>
      <c r="S149" s="5">
        <f t="shared" si="6"/>
        <v>0</v>
      </c>
      <c r="T149" s="1" t="s">
        <v>651</v>
      </c>
      <c r="U149" s="5" t="s">
        <v>394</v>
      </c>
      <c r="V149" s="1" t="s">
        <v>395</v>
      </c>
    </row>
    <row r="150" spans="14:22">
      <c r="N150" s="2" t="s">
        <v>638</v>
      </c>
      <c r="O150" s="9" t="s">
        <v>560</v>
      </c>
      <c r="Q150" s="1">
        <v>223.3</v>
      </c>
      <c r="R150" s="10">
        <f t="shared" ca="1" si="5"/>
        <v>7.1250797702616464E-3</v>
      </c>
      <c r="S150" s="5">
        <f t="shared" si="6"/>
        <v>0</v>
      </c>
      <c r="T150" s="1" t="s">
        <v>651</v>
      </c>
      <c r="U150" s="5" t="s">
        <v>394</v>
      </c>
      <c r="V150" s="1" t="s">
        <v>395</v>
      </c>
    </row>
    <row r="151" spans="14:22">
      <c r="N151" s="2" t="s">
        <v>633</v>
      </c>
      <c r="O151" s="9" t="s">
        <v>560</v>
      </c>
      <c r="Q151" s="1">
        <v>223.3</v>
      </c>
      <c r="R151" s="10">
        <f t="shared" ca="1" si="5"/>
        <v>7.1250797702616464E-3</v>
      </c>
      <c r="S151" s="5">
        <f t="shared" si="6"/>
        <v>0</v>
      </c>
      <c r="T151" s="1" t="s">
        <v>651</v>
      </c>
      <c r="U151" s="5" t="s">
        <v>394</v>
      </c>
      <c r="V151" s="1" t="s">
        <v>395</v>
      </c>
    </row>
    <row r="152" spans="14:22">
      <c r="N152" s="2" t="s">
        <v>634</v>
      </c>
      <c r="O152" s="9" t="s">
        <v>560</v>
      </c>
      <c r="Q152" s="1">
        <v>191.4</v>
      </c>
      <c r="R152" s="10">
        <f t="shared" ca="1" si="5"/>
        <v>6.1072112316528397E-3</v>
      </c>
      <c r="S152" s="5">
        <f t="shared" si="6"/>
        <v>0</v>
      </c>
      <c r="T152" s="1" t="s">
        <v>651</v>
      </c>
      <c r="U152" s="5" t="s">
        <v>394</v>
      </c>
      <c r="V152" s="1" t="s">
        <v>395</v>
      </c>
    </row>
    <row r="153" spans="14:22">
      <c r="N153" s="2" t="s">
        <v>635</v>
      </c>
      <c r="O153" s="9" t="s">
        <v>560</v>
      </c>
      <c r="Q153" s="1">
        <v>191.4</v>
      </c>
      <c r="R153" s="10">
        <f t="shared" ca="1" si="5"/>
        <v>6.1072112316528397E-3</v>
      </c>
      <c r="S153" s="5">
        <f t="shared" si="6"/>
        <v>0</v>
      </c>
      <c r="T153" s="1" t="s">
        <v>651</v>
      </c>
      <c r="U153" s="5" t="s">
        <v>394</v>
      </c>
      <c r="V153" s="1" t="s">
        <v>395</v>
      </c>
    </row>
    <row r="154" spans="14:22">
      <c r="N154" s="2" t="s">
        <v>636</v>
      </c>
      <c r="O154" s="9" t="s">
        <v>560</v>
      </c>
      <c r="Q154" s="1">
        <v>239.25</v>
      </c>
      <c r="R154" s="10">
        <f t="shared" ca="1" si="5"/>
        <v>7.6340140395660498E-3</v>
      </c>
      <c r="S154" s="5">
        <f t="shared" si="6"/>
        <v>0</v>
      </c>
      <c r="T154" s="1" t="s">
        <v>651</v>
      </c>
      <c r="U154" s="5" t="s">
        <v>394</v>
      </c>
      <c r="V154" s="1" t="s">
        <v>395</v>
      </c>
    </row>
    <row r="155" spans="14:22">
      <c r="N155" s="2" t="s">
        <v>637</v>
      </c>
      <c r="O155" s="9" t="s">
        <v>560</v>
      </c>
      <c r="Q155" s="1">
        <v>207.35</v>
      </c>
      <c r="R155" s="10">
        <f t="shared" ca="1" si="5"/>
        <v>6.6161455009572431E-3</v>
      </c>
      <c r="S155" s="5">
        <f t="shared" si="6"/>
        <v>0</v>
      </c>
      <c r="T155" s="1" t="s">
        <v>651</v>
      </c>
      <c r="U155" s="5" t="s">
        <v>394</v>
      </c>
      <c r="V155" s="1" t="s">
        <v>395</v>
      </c>
    </row>
    <row r="156" spans="14:22">
      <c r="N156" s="2" t="s">
        <v>638</v>
      </c>
      <c r="O156" s="9" t="s">
        <v>560</v>
      </c>
      <c r="Q156" s="1">
        <v>223.3</v>
      </c>
      <c r="R156" s="10">
        <f t="shared" ca="1" si="5"/>
        <v>7.1250797702616464E-3</v>
      </c>
      <c r="S156" s="5">
        <f t="shared" si="6"/>
        <v>0</v>
      </c>
      <c r="T156" s="1" t="s">
        <v>651</v>
      </c>
      <c r="U156" s="5" t="s">
        <v>394</v>
      </c>
      <c r="V156" s="1" t="s">
        <v>395</v>
      </c>
    </row>
    <row r="157" spans="14:22">
      <c r="N157" s="2" t="s">
        <v>639</v>
      </c>
      <c r="O157" s="9" t="s">
        <v>560</v>
      </c>
      <c r="Q157" s="1">
        <v>191.4</v>
      </c>
      <c r="R157" s="10">
        <f t="shared" ca="1" si="5"/>
        <v>6.1072112316528397E-3</v>
      </c>
      <c r="S157" s="5">
        <f t="shared" si="6"/>
        <v>0</v>
      </c>
      <c r="T157" s="1" t="s">
        <v>651</v>
      </c>
      <c r="U157" s="5" t="s">
        <v>394</v>
      </c>
      <c r="V157" s="1" t="s">
        <v>395</v>
      </c>
    </row>
    <row r="158" spans="14:22">
      <c r="N158" s="2" t="s">
        <v>640</v>
      </c>
      <c r="O158" s="9" t="s">
        <v>560</v>
      </c>
      <c r="Q158" s="1">
        <v>223.3</v>
      </c>
      <c r="R158" s="10">
        <f t="shared" ca="1" si="5"/>
        <v>7.1250797702616464E-3</v>
      </c>
      <c r="S158" s="5">
        <f t="shared" si="6"/>
        <v>0</v>
      </c>
      <c r="T158" s="1" t="s">
        <v>651</v>
      </c>
      <c r="U158" s="5" t="s">
        <v>394</v>
      </c>
      <c r="V158" s="1" t="s">
        <v>395</v>
      </c>
    </row>
    <row r="159" spans="14:22">
      <c r="N159" s="2" t="s">
        <v>641</v>
      </c>
      <c r="O159" s="9" t="s">
        <v>560</v>
      </c>
      <c r="Q159" s="1">
        <v>223.3</v>
      </c>
      <c r="R159" s="10">
        <f t="shared" ca="1" si="5"/>
        <v>7.1250797702616464E-3</v>
      </c>
      <c r="S159" s="5">
        <f t="shared" si="6"/>
        <v>0</v>
      </c>
      <c r="T159" s="1" t="s">
        <v>651</v>
      </c>
      <c r="U159" s="5" t="s">
        <v>394</v>
      </c>
      <c r="V159" s="1" t="s">
        <v>395</v>
      </c>
    </row>
    <row r="160" spans="14:22">
      <c r="N160" s="2" t="s">
        <v>642</v>
      </c>
      <c r="O160" s="9" t="s">
        <v>560</v>
      </c>
      <c r="Q160" s="1">
        <v>223.3</v>
      </c>
      <c r="R160" s="10">
        <f t="shared" ca="1" si="5"/>
        <v>7.1250797702616464E-3</v>
      </c>
      <c r="S160" s="5">
        <f t="shared" si="6"/>
        <v>0</v>
      </c>
      <c r="T160" s="1" t="s">
        <v>651</v>
      </c>
      <c r="U160" s="5" t="s">
        <v>394</v>
      </c>
      <c r="V160" s="1" t="s">
        <v>395</v>
      </c>
    </row>
    <row r="161" spans="14:22">
      <c r="N161" s="2" t="s">
        <v>643</v>
      </c>
      <c r="O161" s="9" t="s">
        <v>560</v>
      </c>
      <c r="Q161" s="1">
        <v>223.3</v>
      </c>
      <c r="R161" s="10">
        <f t="shared" ca="1" si="5"/>
        <v>7.1250797702616464E-3</v>
      </c>
      <c r="S161" s="5">
        <f t="shared" si="6"/>
        <v>0</v>
      </c>
      <c r="T161" s="1" t="s">
        <v>651</v>
      </c>
      <c r="U161" s="5" t="s">
        <v>394</v>
      </c>
      <c r="V161" s="1" t="s">
        <v>395</v>
      </c>
    </row>
    <row r="162" spans="14:22">
      <c r="N162" s="2" t="s">
        <v>644</v>
      </c>
      <c r="O162" s="9" t="s">
        <v>560</v>
      </c>
      <c r="Q162" s="1">
        <v>191.4</v>
      </c>
      <c r="R162" s="10">
        <f t="shared" ca="1" si="5"/>
        <v>6.1072112316528397E-3</v>
      </c>
      <c r="S162" s="5">
        <f t="shared" si="6"/>
        <v>0</v>
      </c>
      <c r="T162" s="1" t="s">
        <v>651</v>
      </c>
      <c r="U162" s="5" t="s">
        <v>394</v>
      </c>
      <c r="V162" s="1" t="s">
        <v>395</v>
      </c>
    </row>
    <row r="163" spans="14:22">
      <c r="N163" s="2" t="s">
        <v>645</v>
      </c>
      <c r="O163" s="9" t="s">
        <v>560</v>
      </c>
      <c r="Q163" s="1">
        <v>191.4</v>
      </c>
      <c r="R163" s="10">
        <f t="shared" ca="1" si="5"/>
        <v>6.1072112316528397E-3</v>
      </c>
      <c r="S163" s="5">
        <f t="shared" si="6"/>
        <v>0</v>
      </c>
      <c r="T163" s="1" t="s">
        <v>651</v>
      </c>
      <c r="U163" s="5" t="s">
        <v>394</v>
      </c>
      <c r="V163" s="1" t="s">
        <v>395</v>
      </c>
    </row>
    <row r="164" spans="14:22">
      <c r="N164" s="2" t="s">
        <v>646</v>
      </c>
      <c r="O164" s="9" t="s">
        <v>560</v>
      </c>
      <c r="Q164" s="1">
        <v>223.3</v>
      </c>
      <c r="R164" s="10">
        <f t="shared" ca="1" si="5"/>
        <v>7.1250797702616464E-3</v>
      </c>
      <c r="S164" s="5">
        <f t="shared" si="6"/>
        <v>0</v>
      </c>
      <c r="T164" s="1" t="s">
        <v>651</v>
      </c>
      <c r="U164" s="5" t="s">
        <v>394</v>
      </c>
      <c r="V164" s="1" t="s">
        <v>395</v>
      </c>
    </row>
    <row r="165" spans="14:22">
      <c r="N165" s="2" t="s">
        <v>647</v>
      </c>
      <c r="O165" s="9" t="s">
        <v>560</v>
      </c>
      <c r="Q165" s="1">
        <v>223.3</v>
      </c>
      <c r="R165" s="10">
        <f t="shared" ca="1" si="5"/>
        <v>7.1250797702616464E-3</v>
      </c>
      <c r="S165" s="5">
        <f t="shared" si="6"/>
        <v>0</v>
      </c>
      <c r="T165" s="1" t="s">
        <v>651</v>
      </c>
      <c r="U165" s="5" t="s">
        <v>394</v>
      </c>
      <c r="V165" s="1" t="s">
        <v>395</v>
      </c>
    </row>
    <row r="166" spans="14:22">
      <c r="N166" s="2" t="s">
        <v>648</v>
      </c>
      <c r="O166" s="9" t="s">
        <v>560</v>
      </c>
      <c r="Q166" s="1">
        <v>191.4</v>
      </c>
      <c r="R166" s="10">
        <f t="shared" ca="1" si="5"/>
        <v>6.1072112316528397E-3</v>
      </c>
      <c r="S166" s="5">
        <f t="shared" si="6"/>
        <v>0</v>
      </c>
      <c r="T166" s="1" t="s">
        <v>651</v>
      </c>
      <c r="U166" s="5" t="s">
        <v>394</v>
      </c>
      <c r="V166" s="1" t="s">
        <v>395</v>
      </c>
    </row>
    <row r="167" spans="14:22">
      <c r="N167" s="2" t="s">
        <v>649</v>
      </c>
      <c r="O167" s="9" t="s">
        <v>560</v>
      </c>
      <c r="Q167" s="1">
        <v>223.3</v>
      </c>
      <c r="R167" s="10">
        <f t="shared" ca="1" si="5"/>
        <v>7.1250797702616464E-3</v>
      </c>
      <c r="S167" s="5">
        <f t="shared" si="6"/>
        <v>0</v>
      </c>
      <c r="T167" s="1" t="s">
        <v>651</v>
      </c>
      <c r="U167" s="5" t="s">
        <v>394</v>
      </c>
      <c r="V167" s="1" t="s">
        <v>395</v>
      </c>
    </row>
    <row r="168" spans="14:22">
      <c r="N168" s="2" t="s">
        <v>650</v>
      </c>
      <c r="O168" s="9" t="s">
        <v>560</v>
      </c>
      <c r="Q168" s="1">
        <v>223.3</v>
      </c>
      <c r="R168" s="10">
        <f t="shared" ca="1" si="5"/>
        <v>7.1250797702616464E-3</v>
      </c>
      <c r="S168" s="5">
        <f t="shared" si="6"/>
        <v>0</v>
      </c>
      <c r="T168" s="1" t="s">
        <v>651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5.0430759412890879E-4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5.0893426930440327E-4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1.0086151882578176E-3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1.0178685386088065E-3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5B7CB66-0F54-4A75-B26C-F983A3C3B7F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Siddheshwar Dhanaji Lokhande</cp:lastModifiedBy>
  <cp:revision/>
  <dcterms:created xsi:type="dcterms:W3CDTF">2022-12-28T09:03:00Z</dcterms:created>
  <dcterms:modified xsi:type="dcterms:W3CDTF">2025-08-04T02:36:48Z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