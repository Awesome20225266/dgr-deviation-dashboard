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siddheshwar_lokhande_o2power_in/Documents/Desktop/Washi 28.82 C&amp;I/DGR/DGR/"/>
    </mc:Choice>
  </mc:AlternateContent>
  <xr:revisionPtr revIDLastSave="391" documentId="13_ncr:1_{E94C9CE5-05F1-44AF-82A9-396A56E5D78A}" xr6:coauthVersionLast="47" xr6:coauthVersionMax="47" xr10:uidLastSave="{C19340DB-8D1B-422C-8C83-ABEAEA03AD5F}"/>
  <bookViews>
    <workbookView xWindow="-110" yWindow="-110" windowWidth="19420" windowHeight="10300" tabRatio="827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AL13" i="27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Q2" i="42" s="1"/>
  <c r="R2" i="42" s="1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P10" i="39" l="1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Q3" i="39"/>
  <c r="Q4" i="39"/>
  <c r="Q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BN17" i="20" l="1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6" i="30" l="1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Q5" i="39" l="1"/>
  <c r="Q7" i="39"/>
  <c r="Q8" i="39"/>
  <c r="Q11" i="39"/>
  <c r="Q10" i="39"/>
  <c r="Q9" i="39"/>
  <c r="Q6" i="39"/>
  <c r="AS186" i="38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10" i="7" s="1"/>
  <c r="F4" i="7"/>
  <c r="H4" i="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Q13" i="39"/>
  <c r="U3" i="38"/>
  <c r="O3" i="38"/>
  <c r="R3" i="38"/>
  <c r="W3" i="38"/>
  <c r="Z13" i="39"/>
  <c r="R5" i="38"/>
  <c r="W5" i="38"/>
  <c r="U5" i="38"/>
  <c r="O5" i="38"/>
  <c r="Z12" i="39"/>
  <c r="Q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F4" i="8"/>
  <c r="D11" i="9"/>
  <c r="D26" i="9" s="1"/>
  <c r="D14" i="9"/>
  <c r="D4" i="8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U310" i="38"/>
  <c r="U14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AM10" i="39" l="1"/>
  <c r="AM5" i="39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N10" i="7"/>
  <c r="AA6" i="39"/>
  <c r="AA10" i="39"/>
  <c r="AA8" i="39"/>
  <c r="AA9" i="39"/>
  <c r="AA7" i="39"/>
  <c r="AA5" i="39"/>
  <c r="AA11" i="39"/>
  <c r="AN5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N4" i="7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N4" i="8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<sst xmlns="http://schemas.openxmlformats.org/spreadsheetml/2006/main" count="4966" uniqueCount="664">
  <si>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</si>
  <si>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</si>
  <si>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</si>
  <si>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</si>
  <si>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</si>
  <si>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</si>
  <si>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</si>
  <si>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</si>
  <si>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</si>
  <si>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</si>
  <si>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</si>
  <si>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</si>
  <si>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</si>
  <si>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</si>
  <si>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</si>
  <si>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</si>
  <si>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</si>
  <si>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</si>
  <si>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</si>
  <si>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</si>
  <si>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</si>
  <si>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</si>
  <si>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</si>
  <si>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</si>
  <si>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</si>
  <si>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</si>
  <si>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</si>
  <si>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</si>
  <si>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</si>
  <si>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</si>
  <si>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</si>
  <si>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</si>
  <si>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</si>
  <si>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</si>
  <si>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</si>
  <si>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</si>
  <si>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</si>
  <si>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</si>
  <si>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</si>
  <si>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</si>
  <si>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</si>
  <si>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</si>
  <si>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</si>
  <si>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</si>
  <si>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</si>
  <si>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</si>
  <si>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</si>
  <si>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</si>
  <si>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</si>
  <si>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</si>
  <si>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</si>
  <si>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</si>
  <si>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</si>
  <si>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</si>
  <si>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</si>
  <si>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</si>
  <si>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</si>
  <si>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</si>
  <si>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</si>
  <si>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</si>
  <si>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</si>
  <si>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</si>
  <si>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</si>
  <si>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</si>
  <si>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</si>
  <si>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</si>
  <si>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</si>
  <si>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</si>
  <si>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</si>
  <si>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</si>
  <si>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</si>
  <si>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</si>
  <si>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</si>
  <si>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</si>
  <si>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</si>
  <si>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</si>
  <si>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</si>
  <si>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</si>
  <si>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</si>
  <si>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</si>
  <si>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</si>
  <si>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</si>
  <si>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</si>
  <si>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</si>
  <si>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</si>
  <si>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</si>
  <si>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</si>
  <si>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</si>
  <si>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</si>
  <si>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</si>
  <si>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</si>
  <si>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</si>
  <si>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</si>
  <si>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</si>
  <si>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</si>
  <si>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</si>
  <si>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</si>
  <si>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</si>
  <si>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</si>
  <si>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</si>
  <si>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</si>
  <si>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</si>
  <si>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</si>
  <si>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</si>
  <si>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</si>
  <si>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</si>
  <si>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</si>
  <si>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</si>
  <si>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</si>
  <si>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</si>
  <si>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</si>
  <si>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</si>
  <si>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</si>
  <si>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</si>
  <si>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</si>
  <si>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</si>
  <si>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</si>
  <si>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</si>
  <si>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</si>
  <si>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</si>
  <si>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</si>
  <si>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</si>
  <si>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</si>
  <si>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</si>
  <si>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</si>
  <si>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</si>
  <si>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</si>
  <si>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</si>
  <si>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</si>
  <si>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</si>
  <si>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</si>
  <si>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</si>
  <si>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</si>
  <si>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</si>
  <si>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</si>
  <si>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</si>
  <si>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</si>
  <si>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</si>
  <si>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</si>
  <si>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</si>
  <si>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</si>
  <si>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</si>
  <si>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</si>
  <si>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</si>
  <si>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</si>
  <si>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</si>
  <si>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</si>
  <si>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</si>
  <si>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</si>
  <si>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</si>
  <si>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</si>
  <si>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</si>
  <si>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</si>
  <si>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</si>
  <si>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</si>
  <si>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</si>
  <si>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</si>
  <si>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</si>
  <si>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</si>
  <si>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</si>
  <si>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</si>
  <si>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</si>
  <si>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</si>
  <si>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</si>
  <si>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</si>
  <si>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</si>
  <si>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</si>
  <si>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</si>
  <si>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</si>
  <si>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</si>
  <si>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</si>
  <si>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</si>
  <si>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</si>
  <si>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</si>
  <si>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</si>
  <si>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</si>
  <si>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</si>
  <si>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</si>
  <si>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</si>
  <si>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</si>
  <si>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</si>
  <si>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</si>
  <si>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</si>
  <si>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</si>
  <si>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</si>
  <si>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</si>
  <si>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</si>
  <si>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</si>
  <si>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</si>
  <si>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</si>
  <si>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</si>
  <si>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</si>
  <si>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</si>
  <si>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</si>
  <si>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</si>
  <si>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</si>
  <si>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</si>
  <si>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</si>
  <si>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</si>
  <si>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</si>
  <si>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</si>
  <si>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</si>
  <si>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</si>
  <si>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</si>
  <si>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</si>
  <si>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</si>
  <si>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</si>
  <si>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</si>
  <si>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</si>
  <si>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</si>
  <si>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</si>
  <si>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</si>
  <si>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</si>
  <si>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</si>
  <si>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</si>
  <si>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</si>
  <si>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</si>
  <si>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</si>
  <si>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</si>
  <si>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</si>
  <si>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</si>
  <si>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</si>
  <si>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</si>
  <si>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</si>
  <si>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</si>
  <si>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</si>
  <si>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</si>
  <si>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</si>
  <si>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</si>
  <si>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</si>
  <si>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</si>
  <si>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</si>
  <si>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</si>
  <si>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</si>
  <si>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</si>
  <si>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</si>
  <si>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</si>
  <si>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</si>
  <si>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</si>
  <si>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</si>
  <si>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</si>
  <si>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</si>
  <si>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</si>
  <si>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</si>
  <si>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</si>
  <si>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</si>
  <si>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</si>
  <si>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</si>
  <si>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</si>
  <si>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</si>
  <si>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</si>
  <si>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</si>
  <si>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</si>
  <si>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</si>
  <si>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</si>
  <si>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</si>
  <si>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</si>
  <si>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</si>
  <si>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</si>
  <si>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</si>
  <si>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</si>
  <si>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</si>
  <si>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</si>
  <si>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</si>
  <si>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</si>
  <si>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</si>
  <si>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</si>
  <si>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</si>
  <si>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</si>
  <si>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</si>
  <si>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</si>
  <si>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</si>
  <si>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</si>
  <si>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</si>
  <si>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</si>
  <si>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</si>
  <si>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</si>
  <si>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</si>
  <si>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</si>
  <si>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</si>
  <si>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</si>
  <si>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</si>
  <si>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</si>
  <si>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</si>
  <si>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</si>
  <si>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</si>
  <si>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</si>
  <si>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</si>
  <si>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</si>
  <si>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</si>
  <si>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</si>
  <si>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</si>
  <si>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</si>
  <si>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</si>
  <si>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</si>
  <si>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</si>
  <si>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</si>
  <si>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</si>
  <si>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</si>
  <si>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</si>
  <si>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</si>
  <si>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</si>
  <si>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</si>
  <si>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</si>
  <si>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</si>
  <si>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</si>
  <si>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</si>
  <si>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</si>
  <si>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</si>
  <si>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</si>
  <si>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</si>
  <si>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</si>
  <si>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</si>
  <si>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</si>
  <si>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</si>
  <si>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</si>
  <si>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</si>
  <si>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</si>
  <si>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</si>
  <si>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</si>
  <si>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</si>
  <si>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</si>
  <si>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</si>
  <si>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</si>
  <si>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</si>
  <si>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</si>
  <si>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</si>
  <si>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</si>
  <si>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</si>
  <si>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</si>
  <si>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</si>
  <si>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</si>
  <si>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</si>
  <si>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</si>
  <si>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</si>
  <si>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</si>
  <si>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</si>
  <si>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</si>
  <si>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</si>
  <si>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</si>
  <si>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</si>
  <si>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</si>
  <si>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</si>
  <si>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</si>
  <si>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</si>
  <si>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</si>
  <si>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</si>
  <si>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</si>
  <si>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</si>
  <si>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</si>
  <si>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</si>
  <si>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</si>
  <si>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</si>
  <si>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</si>
  <si>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</si>
  <si>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</si>
  <si>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</si>
  <si>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</si>
  <si>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</si>
  <si>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</si>
  <si>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</si>
  <si>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</si>
  <si>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</si>
  <si>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</si>
  <si>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</si>
  <si>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</si>
  <si>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</si>
  <si>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</si>
  <si>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</si>
  <si>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</si>
  <si>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</si>
  <si>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</si>
  <si>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</si>
  <si>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</si>
  <si>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</si>
  <si>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</si>
  <si>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</si>
  <si>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</si>
  <si>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</si>
  <si>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</si>
  <si>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</si>
  <si>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</si>
  <si>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</si>
  <si>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</si>
  <si>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</si>
  <si>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</si>
  <si>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</si>
  <si>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</si>
  <si>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</si>
  <si>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</si>
  <si>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</si>
  <si>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</si>
  <si>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</si>
  <si>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</si>
  <si>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</si>
  <si>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</si>
  <si>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</si>
  <si>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</si>
  <si>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</si>
  <si>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</si>
  <si>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</si>
  <si>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</si>
  <si>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</si>
  <si>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</si>
  <si>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</si>
  <si>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</si>
  <si>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</si>
  <si>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</si>
  <si>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</si>
  <si>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</si>
  <si>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</si>
  <si>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</si>
  <si>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</si>
  <si>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</si>
  <si>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</si>
  <si>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</si>
  <si>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</si>
  <si>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</si>
  <si>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</si>
  <si>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</si>
  <si>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</si>
  <si>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</si>
  <si>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</si>
  <si>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</si>
  <si>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</si>
  <si>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</si>
  <si>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</si>
  <si>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</si>
  <si>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</si>
  <si>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</si>
  <si>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</si>
  <si>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</si>
  <si>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</si>
  <si>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</si>
  <si>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</si>
  <si>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</si>
  <si>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</si>
  <si>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</si>
  <si>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</si>
  <si>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</si>
  <si>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</si>
  <si>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</si>
  <si>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</si>
  <si>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</si>
  <si>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</si>
  <si>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</si>
  <si>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</si>
  <si>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</si>
  <si>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</si>
  <si>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</si>
  <si>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</si>
  <si>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</si>
  <si>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</si>
  <si>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</si>
  <si>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</si>
  <si>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</si>
  <si>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</si>
  <si>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</si>
  <si>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</si>
  <si>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</si>
  <si>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</si>
  <si>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</si>
  <si>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</si>
  <si>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</si>
  <si>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</si>
  <si>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</si>
  <si>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</si>
  <si>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</si>
  <si>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</si>
  <si>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</si>
  <si>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</si>
  <si>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</si>
  <si>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</si>
  <si>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</si>
  <si>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</si>
  <si>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</si>
  <si>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</si>
  <si>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</si>
  <si>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</si>
  <si>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</si>
  <si>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</si>
  <si>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</si>
  <si>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</si>
  <si>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</si>
  <si>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</si>
  <si>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</si>
  <si>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</si>
  <si>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</si>
  <si>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</si>
  <si>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</si>
  <si>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</si>
  <si>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</si>
  <si>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</si>
  <si>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</si>
  <si>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</si>
  <si>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</si>
  <si>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</si>
  <si>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</si>
  <si>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</si>
  <si>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</si>
  <si>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</si>
  <si>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</si>
  <si>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</si>
  <si>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</si>
  <si>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</si>
  <si>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</si>
  <si>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</si>
  <si>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</si>
  <si>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</si>
  <si>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</si>
  <si>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</si>
  <si>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</si>
  <si>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</si>
  <si>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</si>
  <si>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</si>
  <si>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</si>
  <si>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</si>
  <si>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</si>
  <si>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</si>
  <si>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</si>
  <si>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</si>
  <si>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</si>
  <si>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</si>
  <si>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</si>
  <si>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</si>
  <si>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</si>
  <si>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</si>
  <si>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</si>
  <si>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</si>
  <si>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</si>
  <si>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</si>
  <si>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</si>
  <si>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</si>
  <si>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</si>
  <si>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</si>
  <si>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</si>
  <si>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</si>
  <si>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</si>
  <si>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</si>
  <si>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</si>
  <si>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</si>
  <si>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</si>
  <si>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</si>
  <si>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</si>
  <si>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</si>
  <si>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</si>
  <si>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</si>
  <si>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</si>
  <si>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</si>
  <si>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</si>
  <si>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</si>
  <si>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</si>
  <si>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</si>
  <si>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</si>
  <si>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</si>
  <si>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</si>
  <si>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</si>
  <si>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</si>
  <si>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</si>
  <si>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</si>
  <si>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</si>
  <si>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</si>
  <si>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</si>
  <si>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</si>
  <si>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</si>
  <si>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</si>
  <si>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</si>
  <si>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</si>
  <si>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</si>
  <si>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O2RE192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</si>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</sst>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2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Row],[O2RE9]:[O2RE192]])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COUNTIFS('Daily KPI'!$D:$D,D2,'Daily KPI'!$K:$K,"&gt;0")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9" workbookViewId="0">
      <selection activeCell="B28" sqref="B28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45861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199.16256403298777</v>
      </c>
      <c r="D11" s="104">
        <f>_xlfn.XLOOKUP($B$5,'Daily KPI'!$A:$A,'Daily KPI'!$Y:$Y)/1000</f>
        <v>0</v>
      </c>
      <c r="E11" s="105">
        <f>D11/C11-1</f>
        <v>-1</v>
      </c>
      <c r="F11" s="268"/>
      <c r="G11" s="226">
        <f>_xlfn.XLOOKUP($B$5,'Daily KPI'!$A:$A,'Daily KPI'!$AS:$AS)/1000</f>
        <v>69.933734044840705</v>
      </c>
      <c r="H11" s="226">
        <f>_xlfn.XLOOKUP($B$4,'Modelling New'!$D:$D,'Modelling New'!$AM:$AM)/1000</f>
        <v>909.13854258292895</v>
      </c>
      <c r="I11" s="226">
        <f>_xlfn.XLOOKUP($B$4,'Modelling New'!$D:$D,'Modelling New'!$AN:$AN)/1000</f>
        <v>909.13854258292895</v>
      </c>
    </row>
    <row r="12" spans="1:9">
      <c r="A12" s="315"/>
      <c r="B12" s="106" t="s">
        <v>15</v>
      </c>
      <c r="C12" s="107">
        <f>MonthlyKPI!E4</f>
        <v>1792.46307629689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1792.46307629689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3.7225806451612904</v>
      </c>
      <c r="D14" s="219">
        <f>_xlfn.XLOOKUP($B$5,'Daily KPI'!$A:$A,'Daily KPI'!$I:$I)</f>
        <v>1.8685395516666676</v>
      </c>
      <c r="E14" s="105">
        <f t="shared" ref="E14:E25" si="0">(D14-C14)/(C14)</f>
        <v>-0.49805263343443074</v>
      </c>
      <c r="F14" s="268"/>
    </row>
    <row r="15" spans="1:9">
      <c r="A15" s="315"/>
      <c r="B15" s="106" t="s">
        <v>18</v>
      </c>
      <c r="C15" s="220">
        <f>MonthlyKPI!C4</f>
        <v>33.50322580645161</v>
      </c>
      <c r="D15" s="221">
        <f>MonthlyKPI!D4</f>
        <v>34.865513990000011</v>
      </c>
      <c r="E15" s="109">
        <f t="shared" si="0"/>
        <v>4.0661403514346647E-2</v>
      </c>
      <c r="F15" s="269"/>
    </row>
    <row r="16" spans="1:9" ht="15" thickBot="1">
      <c r="A16" s="316"/>
      <c r="B16" s="111" t="s">
        <v>19</v>
      </c>
      <c r="C16" s="222">
        <f>AnnualKPI!C4</f>
        <v>33.50322580645161</v>
      </c>
      <c r="D16" s="223">
        <f>AnnualKPI!D4</f>
        <v>34.865513990000011</v>
      </c>
      <c r="E16" s="114">
        <f t="shared" si="0"/>
        <v>4.0661403514346647E-2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0.60935317436258363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0.60935317436258363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0.60935317436258363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 t="str">
        <f>_xlfn.XLOOKUP($B$5,'Daily KPI'!$A:$A,'Daily KPI'!$O:$O,0)</f>
        <v/>
      </c>
      <c r="E20" s="105" t="e">
        <f t="shared" si="0"/>
        <v>#VALUE!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 t="e">
        <f>MonthlyKPI!L4</f>
        <v>#DIV/0!</v>
      </c>
      <c r="E21" s="109" t="e">
        <f t="shared" si="0"/>
        <v>#DIV/0!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 t="e">
        <f>AnnualKPI!L4</f>
        <v>#DIV/0!</v>
      </c>
      <c r="E22" s="114" t="e">
        <f t="shared" si="0"/>
        <v>#DIV/0!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 t="str">
        <f>_xlfn.XLOOKUP($B$5,'Daily KPI'!$A:$A,'Daily KPI'!$R:$R)</f>
        <v/>
      </c>
      <c r="E23" s="105" t="e">
        <f t="shared" si="0"/>
        <v>#VALUE!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 t="e">
        <f>AnnualKPI!J4</f>
        <v>#DIV/0!</v>
      </c>
      <c r="E25" s="114" t="e">
        <f t="shared" si="0"/>
        <v>#DIV/0!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9.4515263872906125E-2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3.6984233689398051E-2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45861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1327818.1424800053</v>
      </c>
      <c r="D39" s="107">
        <f>SUMIFS(RD[O2RE9],RD[Month Year],$B$32)</f>
        <v>841407.30999999994</v>
      </c>
      <c r="E39" s="109">
        <f>D39/C39-1</f>
        <v>-0.3663233818838485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464644.93381688459</v>
      </c>
      <c r="D40" s="107">
        <f>SUMIFS(RD[O2RE192],RD[Month Year],$B$32)</f>
        <v>229757.69999999998</v>
      </c>
      <c r="E40" s="109">
        <f t="shared" ref="E40" si="2">D40/C40-1</f>
        <v>-0.50551984261912364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D14" sqref="D1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45861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114</v>
      </c>
      <c r="C4" s="81">
        <f>_xlfn.XLOOKUP($C$1,'Modelling New'!$D:$D,'Modelling New'!$S:$S,0)</f>
        <v>33.50322580645161</v>
      </c>
      <c r="D4" s="82">
        <f>SUMIFS('Daily KPI'!$I:$I,'Daily KPI'!$A:$A,"&gt;="&amp;O2Summary!$B$7,'Daily KPI'!$A:$A,"&lt;="&amp;AnnualKPI!$B$1)</f>
        <v>34.865513990000011</v>
      </c>
      <c r="E4" s="80">
        <f>_xlfn.XLOOKUP($C$1,'Modelling New'!$D:$D,'Modelling New'!$V:$V,0)</f>
        <v>1792.46307629689</v>
      </c>
      <c r="F4" s="83">
        <f>SUMIFS('Daily KPI'!$Y:$Y,'Daily KPI'!$D:$D,"&gt;="&amp;O2Summary!$B$7,'Daily KPI'!$A:$A,"&lt;="&amp;AnnualKPI!$B$1)/1000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 t="e">
        <f>AVERAGEIFS('Daily KPI'!$R:$R,'Daily KPI'!B:B,"&gt;="&amp;AnnualKPI!$A$4,'Daily KPI'!$A:$A,"&gt;="&amp;AnnualKPI!$B$1)</f>
        <v>#DIV/0!</v>
      </c>
      <c r="K4" s="84">
        <f>IFERROR(_xlfn.XLOOKUP($C$1,'Modelling New'!$D:$D,'Modelling New'!AE:AE),"")</f>
        <v>0.995</v>
      </c>
      <c r="L4" s="86" t="e">
        <f>AVERAGEIFS('Daily KPI'!$O:$O,'Daily KPI'!D:D,"&gt;="&amp;AnnualKPI!$A$4,'Daily KPI'!$A:$A,"&gt;="&amp;AnnualKPI!$B$1)</f>
        <v>#DIV/0!</v>
      </c>
      <c r="M4" s="87">
        <f>_xlfn.XLOOKUP($C$1,'Modelling New'!$D:$D,'Modelling New'!O:O)</f>
        <v>0.60935317436258363</v>
      </c>
      <c r="N4" s="85">
        <f>F4/D4/_xlfn.XLOOKUP($C$1,'Modelling New'!$D:$D,'Modelling New'!$AA:$AA)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C11" sqref="C1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45861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23</v>
      </c>
      <c r="C4" s="81">
        <f>_xlfn.XLOOKUP($A$4,'Modelling New'!$D:$D,'Modelling New'!$R:$R,0)</f>
        <v>33.50322580645161</v>
      </c>
      <c r="D4" s="82">
        <f>SUMIF('Daily KPI'!$D:$D,$A$4,'Daily KPI'!I:I)</f>
        <v>34.865513990000011</v>
      </c>
      <c r="E4" s="80">
        <f>_xlfn.XLOOKUP($A$4,'Modelling New'!$D:$D,'Modelling New'!$U:$U,0)</f>
        <v>1792.46307629689</v>
      </c>
      <c r="F4" s="83">
        <f>SUMIFS('Daily KPI'!$AA:$AA,'Daily KPI'!$D:$D,"&gt;="&amp;$A$4,'Daily KPI'!$A:$A,"&lt;="&amp;MonthlyKPI!$B$1)/1000</f>
        <v>0</v>
      </c>
      <c r="G4" s="84">
        <f>E4/_xlfn.XLOOKUP(A4,'Modelling New'!D:D,'Modelling New'!N:N)/(24*B4)</f>
        <v>3.6984233689398051E-2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 t="e">
        <f>AVERAGEIF('Daily KPI'!$D:$D,$A$4,'Daily KPI'!$O:$O)</f>
        <v>#DIV/0!</v>
      </c>
      <c r="M4" s="87">
        <f>_xlfn.XLOOKUP($A$4,'Modelling New'!$D:$D,'Modelling New'!$O:$O,0)</f>
        <v>0.60935317436258363</v>
      </c>
      <c r="N4" s="85">
        <f>F4/D4/(_xlfn.XLOOKUP(A4,'Modelling New'!$D:$D,'Modelling New'!$Z:$Z))</f>
        <v>0</v>
      </c>
      <c r="O4" s="85" t="str">
        <f>IFERROR(AVERAGEIF('Daily KPI'!$D:$D,$A$4,'Daily KPI'!$V:$V),"")</f>
        <v/>
      </c>
    </row>
    <row r="6" spans="1:15" ht="29.25" customHeight="1">
      <c r="A6" s="142" t="s">
        <v>57</v>
      </c>
      <c r="B6" s="75">
        <f>B7-6</f>
        <v>45855</v>
      </c>
      <c r="D6" s="25"/>
      <c r="F6" s="25"/>
    </row>
    <row r="7" spans="1:15" ht="29.25" customHeight="1">
      <c r="A7" s="142" t="s">
        <v>58</v>
      </c>
      <c r="B7" s="75">
        <f>B1</f>
        <v>45861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26.058064516129033</v>
      </c>
      <c r="D10" s="82">
        <f>SUMIFS('Daily KPI'!$I:$I,'Daily KPI'!$A:$A,"&gt;="&amp;B6,'Daily KPI'!$A:$A,"&lt;="&amp;B7)</f>
        <v>26.781198126666681</v>
      </c>
      <c r="E10" s="80">
        <f>SUMIFS('Daily KPI'!$AD:$AD,'Daily KPI'!$A:$A,"&gt;="&amp;B6,'Daily KPI'!$A:$A,"&lt;="&amp;B7)/1000</f>
        <v>1394.1379482309144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9.4515263872906125E-2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>
        <f>AVERAGEIFS('Daily KPI'!$R:$R,'Daily KPI'!$A:$A,"&gt;="&amp;B6,'Daily KPI'!$A:$A,"&lt;="&amp;B7)</f>
        <v>0</v>
      </c>
      <c r="K10" s="84">
        <f>_xlfn.XLOOKUP($A$10,'Modelling New'!$D:$D,'Modelling New'!$AE:$AE)</f>
        <v>0.995</v>
      </c>
      <c r="L10" s="85" t="e">
        <f>AVERAGEIFS('Daily KPI'!$O:$O,'Daily KPI'!$A:$A,"&gt;="&amp;B6,'Daily KPI'!$A:$A,"&lt;="&amp;B7)</f>
        <v>#DIV/0!</v>
      </c>
      <c r="M10" s="84">
        <f>E10/C10/AVERAGEIFS('Daily KPI'!$AR:$AR,'Daily KPI'!$A:$A,"&gt;="&amp;B6,'Daily KPI'!$A:$A,"&lt;="&amp;B7)</f>
        <v>0.60935317436258374</v>
      </c>
      <c r="N10" s="85">
        <f>F10/D10/AVERAGEIFS('Daily KPI'!$AR:$AR,'Daily KPI'!$A:$A,"&gt;="&amp;B6,'Daily KPI'!$A:$A,"&lt;="&amp;B7)</f>
        <v>0</v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9" si="1">IFERROR(AA2/I2/AB2/1000,"")</f>
        <v/>
      </c>
      <c r="V2" s="240" t="str">
        <f>IFERROR(_xlfn.XLOOKUP($A2,Input_Raw!$A:$A,Input_Raw!$BS:$BS),"")</f>
        <v/>
      </c>
      <c r="W2" s="241">
        <f t="shared" ref="W2:W9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3.7225806451612904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0.60935317436258363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3.7225806451612904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0.60935317436258363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3.7225806451612904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0.60935317436258363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3.7225806451612904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0.60935317436258363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3.7225806451612904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0.60935317436258363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3.7225806451612904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0.60935317436258363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3.7225806451612904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0.60935317436258363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f>IFERROR(_xlfn.XLOOKUP($A9,Input_Raw!$A:$A,Input_Raw!$AN:$AN),"")</f>
        <v>0</v>
      </c>
      <c r="H9" s="237"/>
      <c r="I9" s="237">
        <f>IFERROR(_xlfn.XLOOKUP($A9,Input_Raw!$A:$A,Input_Raw!$AM:$AM),"")</f>
        <v>0</v>
      </c>
      <c r="J9" s="237"/>
      <c r="K9" s="237">
        <f>IFERROR(_xlfn.XLOOKUP($A9,Input_Raw!$A:$A,Input_Raw!AO:AO),"")</f>
        <v>0</v>
      </c>
      <c r="L9" s="237">
        <f>IFERROR(_xlfn.XLOOKUP($A9,Input_Raw!$A:$A,Input_Raw!AP:AP),"")</f>
        <v>0</v>
      </c>
      <c r="M9" s="237">
        <f>IFERROR(_xlfn.XLOOKUP($A9,Input_Raw!$A:$A,Input_Raw!AS:AS),"")</f>
        <v>0</v>
      </c>
      <c r="N9" s="237">
        <f>IFERROR(_xlfn.XLOOKUP($A9,Input_Raw!$A:$A,Input_Raw!AT:AT),"")</f>
        <v>0</v>
      </c>
      <c r="O9" s="238" t="str">
        <f>IFERROR(1-(SUMIF(Plant_BD!$B:$B,$A9,Plant_BD!$AL:$AL)/($AA9+SUMIF(Plant_BD!$B:$B,$A9,Plant_BD!$AL:$AL))),"")</f>
        <v/>
      </c>
      <c r="P9" s="238"/>
      <c r="Q9" s="239"/>
      <c r="R9" s="238" t="str">
        <f>IFERROR(1-(SUMIF(Grid_BD!$B:$B,$A9,Grid_BD!$V:$V)/($AA9+SUMIF(Grid_BD!$B:$B,$A9,Grid_BD!$V:$V))),"")</f>
        <v/>
      </c>
      <c r="S9" s="234"/>
      <c r="T9" s="239"/>
      <c r="U9" s="240" t="str">
        <f t="shared" si="1"/>
        <v/>
      </c>
      <c r="V9" s="240" t="str">
        <f>IFERROR(_xlfn.XLOOKUP($A9,Input_Raw!$A:$A,Input_Raw!$BS:$BS),"")</f>
        <v/>
      </c>
      <c r="W9" s="241">
        <f t="shared" si="2"/>
        <v>0</v>
      </c>
      <c r="X9" s="233">
        <f>IFERROR(_xlfn.XLOOKUP($A9,Input_Raw!$A:$A,Input_Raw!$AW:$AW),"")</f>
        <v>0</v>
      </c>
      <c r="Y9" s="233">
        <f>IFERROR(_xlfn.XLOOKUP($A9,Input_Raw!$A:$A,Input_Raw!$BN:$BN),"")</f>
        <v>0</v>
      </c>
      <c r="Z9" s="233"/>
      <c r="AA9" s="233">
        <f>IFERROR(_xlfn.XLOOKUP($A9,Input_Raw!$A:$A,Input_Raw!$BO:$BO),"")</f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3.7225806451612904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0.60935317436258363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f>IFERROR(_xlfn.XLOOKUP($A10,Input_Raw!$A:$A,Input_Raw!$AN:$AN),"")</f>
        <v>0</v>
      </c>
      <c r="H10" s="237"/>
      <c r="I10" s="237">
        <f>IFERROR(_xlfn.XLOOKUP($A10,Input_Raw!$A:$A,Input_Raw!$AM:$AM),"")</f>
        <v>0</v>
      </c>
      <c r="J10" s="237"/>
      <c r="K10" s="237">
        <f>IFERROR(_xlfn.XLOOKUP($A10,Input_Raw!$A:$A,Input_Raw!AO:AO),"")</f>
        <v>0</v>
      </c>
      <c r="L10" s="237">
        <f>IFERROR(_xlfn.XLOOKUP($A10,Input_Raw!$A:$A,Input_Raw!AP:AP),"")</f>
        <v>0</v>
      </c>
      <c r="M10" s="237">
        <f>IFERROR(_xlfn.XLOOKUP($A10,Input_Raw!$A:$A,Input_Raw!AS:AS),"")</f>
        <v>0</v>
      </c>
      <c r="N10" s="237">
        <f>IFERROR(_xlfn.XLOOKUP($A10,Input_Raw!$A:$A,Input_Raw!AT:AT),"")</f>
        <v>0</v>
      </c>
      <c r="O10" s="238" t="str">
        <f>IFERROR(1-(SUMIF(Plant_BD!$B:$B,$A10,Plant_BD!$AL:$AL)/($AA10+SUMIF(Plant_BD!$B:$B,$A10,Plant_BD!$AL:$AL))),"")</f>
        <v/>
      </c>
      <c r="P10" s="238"/>
      <c r="Q10" s="239"/>
      <c r="R10" s="238" t="str">
        <f>IFERROR(1-(SUMIF(Grid_BD!$B:$B,$A10,Grid_BD!$V:$V)/($AA10+SUMIF(Grid_BD!$B:$B,$A10,Grid_BD!$V:$V))),"")</f>
        <v/>
      </c>
      <c r="S10" s="234"/>
      <c r="T10" s="239"/>
      <c r="U10" s="240" t="str">
        <f t="shared" ref="U10:U73" si="6">IFERROR(AA10/I10/AB10/1000,"")</f>
        <v/>
      </c>
      <c r="V10" s="240" t="str">
        <f>IFERROR(_xlfn.XLOOKUP($A10,Input_Raw!$A:$A,Input_Raw!$BS:$BS),"")</f>
        <v/>
      </c>
      <c r="W10" s="241">
        <f t="shared" ref="W10:W73" si="7">IFERROR(AA10/(24*AR10*1000),"")</f>
        <v>0</v>
      </c>
      <c r="X10" s="233">
        <f>IFERROR(_xlfn.XLOOKUP($A10,Input_Raw!$A:$A,Input_Raw!$AW:$AW),"")</f>
        <v>0</v>
      </c>
      <c r="Y10" s="233">
        <f>IFERROR(_xlfn.XLOOKUP($A10,Input_Raw!$A:$A,Input_Raw!$BN:$BN),"")</f>
        <v>0</v>
      </c>
      <c r="Z10" s="233"/>
      <c r="AA10" s="233">
        <f>IFERROR(_xlfn.XLOOKUP($A10,Input_Raw!$A:$A,Input_Raw!$BO:$BO),"")</f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3.7225806451612904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0.60935317436258363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8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f>IFERROR(_xlfn.XLOOKUP($A11,Input_Raw!$A:$A,Input_Raw!$AN:$AN),"")</f>
        <v>0</v>
      </c>
      <c r="H11" s="237"/>
      <c r="I11" s="237">
        <f>IFERROR(_xlfn.XLOOKUP($A11,Input_Raw!$A:$A,Input_Raw!$AM:$AM),"")</f>
        <v>0</v>
      </c>
      <c r="J11" s="237"/>
      <c r="K11" s="237">
        <f>IFERROR(_xlfn.XLOOKUP($A11,Input_Raw!$A:$A,Input_Raw!AO:AO),"")</f>
        <v>0</v>
      </c>
      <c r="L11" s="237">
        <f>IFERROR(_xlfn.XLOOKUP($A11,Input_Raw!$A:$A,Input_Raw!AP:AP),"")</f>
        <v>0</v>
      </c>
      <c r="M11" s="237">
        <f>IFERROR(_xlfn.XLOOKUP($A11,Input_Raw!$A:$A,Input_Raw!AS:AS),"")</f>
        <v>0</v>
      </c>
      <c r="N11" s="237">
        <f>IFERROR(_xlfn.XLOOKUP($A11,Input_Raw!$A:$A,Input_Raw!AT:AT),"")</f>
        <v>0</v>
      </c>
      <c r="O11" s="238" t="str">
        <f>IFERROR(1-(SUMIF(Plant_BD!$B:$B,$A11,Plant_BD!$AL:$AL)/($AA11+SUMIF(Plant_BD!$B:$B,$A11,Plant_BD!$AL:$AL))),"")</f>
        <v/>
      </c>
      <c r="P11" s="238"/>
      <c r="Q11" s="239"/>
      <c r="R11" s="238" t="str">
        <f>IFERROR(1-(SUMIF(Grid_BD!$B:$B,$A11,Grid_BD!$V:$V)/($AA11+SUMIF(Grid_BD!$B:$B,$A11,Grid_BD!$V:$V))),"")</f>
        <v/>
      </c>
      <c r="S11" s="234"/>
      <c r="T11" s="239"/>
      <c r="U11" s="240" t="str">
        <f t="shared" si="6"/>
        <v/>
      </c>
      <c r="V11" s="240" t="str">
        <f>IFERROR(_xlfn.XLOOKUP($A11,Input_Raw!$A:$A,Input_Raw!$BS:$BS),"")</f>
        <v/>
      </c>
      <c r="W11" s="241">
        <f t="shared" si="7"/>
        <v>0</v>
      </c>
      <c r="X11" s="233">
        <f>IFERROR(_xlfn.XLOOKUP($A11,Input_Raw!$A:$A,Input_Raw!$AW:$AW),"")</f>
        <v>0</v>
      </c>
      <c r="Y11" s="233">
        <f>IFERROR(_xlfn.XLOOKUP($A11,Input_Raw!$A:$A,Input_Raw!$BN:$BN),"")</f>
        <v>0</v>
      </c>
      <c r="Z11" s="233"/>
      <c r="AA11" s="233">
        <f>IFERROR(_xlfn.XLOOKUP($A11,Input_Raw!$A:$A,Input_Raw!$BO:$BO),"")</f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3.7225806451612904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0.60935317436258363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8"/>
        <v>0</v>
      </c>
    </row>
    <row r="12" spans="1:45">
      <c r="A12" s="232">
        <f t="shared" ref="A12:A75" si="9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f>IFERROR(_xlfn.XLOOKUP($A12,Input_Raw!$A:$A,Input_Raw!$AN:$AN),"")</f>
        <v>0</v>
      </c>
      <c r="H12" s="237"/>
      <c r="I12" s="237">
        <f>IFERROR(_xlfn.XLOOKUP($A12,Input_Raw!$A:$A,Input_Raw!$AM:$AM),"")</f>
        <v>0</v>
      </c>
      <c r="J12" s="237"/>
      <c r="K12" s="237">
        <f>IFERROR(_xlfn.XLOOKUP($A12,Input_Raw!$A:$A,Input_Raw!AO:AO),"")</f>
        <v>0</v>
      </c>
      <c r="L12" s="237">
        <f>IFERROR(_xlfn.XLOOKUP($A12,Input_Raw!$A:$A,Input_Raw!AP:AP),"")</f>
        <v>0</v>
      </c>
      <c r="M12" s="237">
        <f>IFERROR(_xlfn.XLOOKUP($A12,Input_Raw!$A:$A,Input_Raw!AS:AS),"")</f>
        <v>0</v>
      </c>
      <c r="N12" s="237">
        <f>IFERROR(_xlfn.XLOOKUP($A12,Input_Raw!$A:$A,Input_Raw!AT:AT),"")</f>
        <v>0</v>
      </c>
      <c r="O12" s="238" t="str">
        <f>IFERROR(1-(SUMIF(Plant_BD!$B:$B,$A12,Plant_BD!$AL:$AL)/($AA12+SUMIF(Plant_BD!$B:$B,$A12,Plant_BD!$AL:$AL))),"")</f>
        <v/>
      </c>
      <c r="P12" s="238"/>
      <c r="Q12" s="239"/>
      <c r="R12" s="238" t="str">
        <f>IFERROR(1-(SUMIF(Grid_BD!$B:$B,$A12,Grid_BD!$V:$V)/($AA12+SUMIF(Grid_BD!$B:$B,$A12,Grid_BD!$V:$V))),"")</f>
        <v/>
      </c>
      <c r="S12" s="234"/>
      <c r="T12" s="239"/>
      <c r="U12" s="240" t="str">
        <f t="shared" si="6"/>
        <v/>
      </c>
      <c r="V12" s="240" t="str">
        <f>IFERROR(_xlfn.XLOOKUP($A12,Input_Raw!$A:$A,Input_Raw!$BS:$BS),"")</f>
        <v/>
      </c>
      <c r="W12" s="241">
        <f t="shared" si="7"/>
        <v>0</v>
      </c>
      <c r="X12" s="233">
        <f>IFERROR(_xlfn.XLOOKUP($A12,Input_Raw!$A:$A,Input_Raw!$AW:$AW),"")</f>
        <v>0</v>
      </c>
      <c r="Y12" s="233">
        <f>IFERROR(_xlfn.XLOOKUP($A12,Input_Raw!$A:$A,Input_Raw!$BN:$BN),"")</f>
        <v>0</v>
      </c>
      <c r="Z12" s="233"/>
      <c r="AA12" s="233">
        <f>IFERROR(_xlfn.XLOOKUP($A12,Input_Raw!$A:$A,Input_Raw!$BO:$BO),"")</f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3.7225806451612904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0.60935317436258363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8"/>
        <v>69933.734044840705</v>
      </c>
    </row>
    <row r="13" spans="1:45">
      <c r="A13" s="232">
        <f t="shared" si="9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f>IFERROR(_xlfn.XLOOKUP($A13,Input_Raw!$A:$A,Input_Raw!$AN:$AN),"")</f>
        <v>0</v>
      </c>
      <c r="H13" s="237"/>
      <c r="I13" s="237">
        <f>IFERROR(_xlfn.XLOOKUP($A13,Input_Raw!$A:$A,Input_Raw!$AM:$AM),"")</f>
        <v>0</v>
      </c>
      <c r="J13" s="237"/>
      <c r="K13" s="237">
        <f>IFERROR(_xlfn.XLOOKUP($A13,Input_Raw!$A:$A,Input_Raw!AO:AO),"")</f>
        <v>0</v>
      </c>
      <c r="L13" s="237">
        <f>IFERROR(_xlfn.XLOOKUP($A13,Input_Raw!$A:$A,Input_Raw!AP:AP),"")</f>
        <v>0</v>
      </c>
      <c r="M13" s="237">
        <f>IFERROR(_xlfn.XLOOKUP($A13,Input_Raw!$A:$A,Input_Raw!AS:AS),"")</f>
        <v>0</v>
      </c>
      <c r="N13" s="237">
        <f>IFERROR(_xlfn.XLOOKUP($A13,Input_Raw!$A:$A,Input_Raw!AT:AT),"")</f>
        <v>0</v>
      </c>
      <c r="O13" s="238" t="str">
        <f>IFERROR(1-(SUMIF(Plant_BD!$B:$B,$A13,Plant_BD!$AL:$AL)/($AA13+SUMIF(Plant_BD!$B:$B,$A13,Plant_BD!$AL:$AL))),"")</f>
        <v/>
      </c>
      <c r="P13" s="238"/>
      <c r="Q13" s="239"/>
      <c r="R13" s="238" t="str">
        <f>IFERROR(1-(SUMIF(Grid_BD!$B:$B,$A13,Grid_BD!$V:$V)/($AA13+SUMIF(Grid_BD!$B:$B,$A13,Grid_BD!$V:$V))),"")</f>
        <v/>
      </c>
      <c r="S13" s="234"/>
      <c r="T13" s="239"/>
      <c r="U13" s="240" t="str">
        <f t="shared" si="6"/>
        <v/>
      </c>
      <c r="V13" s="240" t="str">
        <f>IFERROR(_xlfn.XLOOKUP($A13,Input_Raw!$A:$A,Input_Raw!$BS:$BS),"")</f>
        <v/>
      </c>
      <c r="W13" s="241">
        <f t="shared" si="7"/>
        <v>0</v>
      </c>
      <c r="X13" s="233">
        <f>IFERROR(_xlfn.XLOOKUP($A13,Input_Raw!$A:$A,Input_Raw!$AW:$AW),"")</f>
        <v>14012.000000000002</v>
      </c>
      <c r="Y13" s="233">
        <f>IFERROR(_xlfn.XLOOKUP($A13,Input_Raw!$A:$A,Input_Raw!$BN:$BN),"")</f>
        <v>0</v>
      </c>
      <c r="Z13" s="233"/>
      <c r="AA13" s="233">
        <f>IFERROR(_xlfn.XLOOKUP($A13,Input_Raw!$A:$A,Input_Raw!$BO:$BO),"")</f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3.7225806451612904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0.60935317436258363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8"/>
        <v>69933.734044840705</v>
      </c>
    </row>
    <row r="14" spans="1:45">
      <c r="A14" s="232">
        <f t="shared" si="9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f>IFERROR(_xlfn.XLOOKUP($A14,Input_Raw!$A:$A,Input_Raw!$AN:$AN),"")</f>
        <v>0</v>
      </c>
      <c r="H14" s="237"/>
      <c r="I14" s="237">
        <f>IFERROR(_xlfn.XLOOKUP($A14,Input_Raw!$A:$A,Input_Raw!$AM:$AM),"")</f>
        <v>0</v>
      </c>
      <c r="J14" s="237"/>
      <c r="K14" s="237">
        <f>IFERROR(_xlfn.XLOOKUP($A14,Input_Raw!$A:$A,Input_Raw!AO:AO),"")</f>
        <v>0</v>
      </c>
      <c r="L14" s="237">
        <f>IFERROR(_xlfn.XLOOKUP($A14,Input_Raw!$A:$A,Input_Raw!AP:AP),"")</f>
        <v>0</v>
      </c>
      <c r="M14" s="237">
        <f>IFERROR(_xlfn.XLOOKUP($A14,Input_Raw!$A:$A,Input_Raw!AS:AS),"")</f>
        <v>0</v>
      </c>
      <c r="N14" s="237">
        <f>IFERROR(_xlfn.XLOOKUP($A14,Input_Raw!$A:$A,Input_Raw!AT:AT),"")</f>
        <v>0</v>
      </c>
      <c r="O14" s="238" t="str">
        <f>IFERROR(1-(SUMIF(Plant_BD!$B:$B,$A14,Plant_BD!$AL:$AL)/($AA14+SUMIF(Plant_BD!$B:$B,$A14,Plant_BD!$AL:$AL))),"")</f>
        <v/>
      </c>
      <c r="P14" s="238"/>
      <c r="Q14" s="239"/>
      <c r="R14" s="238" t="str">
        <f>IFERROR(1-(SUMIF(Grid_BD!$B:$B,$A14,Grid_BD!$V:$V)/($AA14+SUMIF(Grid_BD!$B:$B,$A14,Grid_BD!$V:$V))),"")</f>
        <v/>
      </c>
      <c r="S14" s="234"/>
      <c r="T14" s="239"/>
      <c r="U14" s="240" t="str">
        <f t="shared" si="6"/>
        <v/>
      </c>
      <c r="V14" s="240" t="str">
        <f>IFERROR(_xlfn.XLOOKUP($A14,Input_Raw!$A:$A,Input_Raw!$BS:$BS),"")</f>
        <v/>
      </c>
      <c r="W14" s="241">
        <f t="shared" si="7"/>
        <v>0</v>
      </c>
      <c r="X14" s="233">
        <f>IFERROR(_xlfn.XLOOKUP($A14,Input_Raw!$A:$A,Input_Raw!$AW:$AW),"")</f>
        <v>20175.400000000001</v>
      </c>
      <c r="Y14" s="233">
        <f>IFERROR(_xlfn.XLOOKUP($A14,Input_Raw!$A:$A,Input_Raw!$BN:$BN),"")</f>
        <v>0</v>
      </c>
      <c r="Z14" s="233"/>
      <c r="AA14" s="233">
        <f>IFERROR(_xlfn.XLOOKUP($A14,Input_Raw!$A:$A,Input_Raw!$BO:$BO),"")</f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3.7225806451612904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0.60935317436258363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8"/>
        <v>69933.734044840705</v>
      </c>
    </row>
    <row r="15" spans="1:45">
      <c r="A15" s="232">
        <f t="shared" si="9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f>IFERROR(_xlfn.XLOOKUP($A15,Input_Raw!$A:$A,Input_Raw!$AN:$AN),"")</f>
        <v>0</v>
      </c>
      <c r="H15" s="237"/>
      <c r="I15" s="237">
        <f>IFERROR(_xlfn.XLOOKUP($A15,Input_Raw!$A:$A,Input_Raw!$AM:$AM),"")</f>
        <v>0</v>
      </c>
      <c r="J15" s="237"/>
      <c r="K15" s="237">
        <f>IFERROR(_xlfn.XLOOKUP($A15,Input_Raw!$A:$A,Input_Raw!AO:AO),"")</f>
        <v>0</v>
      </c>
      <c r="L15" s="237">
        <f>IFERROR(_xlfn.XLOOKUP($A15,Input_Raw!$A:$A,Input_Raw!AP:AP),"")</f>
        <v>0</v>
      </c>
      <c r="M15" s="237">
        <f>IFERROR(_xlfn.XLOOKUP($A15,Input_Raw!$A:$A,Input_Raw!AS:AS),"")</f>
        <v>0</v>
      </c>
      <c r="N15" s="237">
        <f>IFERROR(_xlfn.XLOOKUP($A15,Input_Raw!$A:$A,Input_Raw!AT:AT),"")</f>
        <v>0</v>
      </c>
      <c r="O15" s="238" t="str">
        <f>IFERROR(1-(SUMIF(Plant_BD!$B:$B,$A15,Plant_BD!$AL:$AL)/($AA15+SUMIF(Plant_BD!$B:$B,$A15,Plant_BD!$AL:$AL))),"")</f>
        <v/>
      </c>
      <c r="P15" s="238"/>
      <c r="Q15" s="239"/>
      <c r="R15" s="238" t="str">
        <f>IFERROR(1-(SUMIF(Grid_BD!$B:$B,$A15,Grid_BD!$V:$V)/($AA15+SUMIF(Grid_BD!$B:$B,$A15,Grid_BD!$V:$V))),"")</f>
        <v/>
      </c>
      <c r="S15" s="234"/>
      <c r="T15" s="239"/>
      <c r="U15" s="240" t="str">
        <f t="shared" si="6"/>
        <v/>
      </c>
      <c r="V15" s="240" t="str">
        <f>IFERROR(_xlfn.XLOOKUP($A15,Input_Raw!$A:$A,Input_Raw!$BS:$BS),"")</f>
        <v/>
      </c>
      <c r="W15" s="241">
        <f t="shared" si="7"/>
        <v>0</v>
      </c>
      <c r="X15" s="233">
        <f>IFERROR(_xlfn.XLOOKUP($A15,Input_Raw!$A:$A,Input_Raw!$AW:$AW),"")</f>
        <v>94774.400000000009</v>
      </c>
      <c r="Y15" s="233">
        <f>IFERROR(_xlfn.XLOOKUP($A15,Input_Raw!$A:$A,Input_Raw!$BN:$BN),"")</f>
        <v>0</v>
      </c>
      <c r="Z15" s="233"/>
      <c r="AA15" s="233">
        <f>IFERROR(_xlfn.XLOOKUP($A15,Input_Raw!$A:$A,Input_Raw!$BO:$BO),"")</f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3.7225806451612904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0.60935317436258363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8"/>
        <v>69933.734044840705</v>
      </c>
    </row>
    <row r="16" spans="1:45">
      <c r="A16" s="232">
        <f t="shared" si="9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f>IFERROR(_xlfn.XLOOKUP($A16,Input_Raw!$A:$A,Input_Raw!$AN:$AN),"")</f>
        <v>2.6598812766666686</v>
      </c>
      <c r="H16" s="237"/>
      <c r="I16" s="237">
        <f>IFERROR(_xlfn.XLOOKUP($A16,Input_Raw!$A:$A,Input_Raw!$AM:$AM),"")</f>
        <v>2.7126382566666702</v>
      </c>
      <c r="J16" s="237"/>
      <c r="K16" s="237">
        <f>IFERROR(_xlfn.XLOOKUP($A16,Input_Raw!$A:$A,Input_Raw!AO:AO),"")</f>
        <v>25.212886535764383</v>
      </c>
      <c r="L16" s="237">
        <f>IFERROR(_xlfn.XLOOKUP($A16,Input_Raw!$A:$A,Input_Raw!AP:AP),"")</f>
        <v>29.743295091164114</v>
      </c>
      <c r="M16" s="237">
        <f>IFERROR(_xlfn.XLOOKUP($A16,Input_Raw!$A:$A,Input_Raw!AS:AS),"")</f>
        <v>4.4234642356241327</v>
      </c>
      <c r="N16" s="237">
        <f>IFERROR(_xlfn.XLOOKUP($A16,Input_Raw!$A:$A,Input_Raw!AT:AT),"")</f>
        <v>9.19</v>
      </c>
      <c r="O16" s="238" t="str">
        <f>IFERROR(1-(SUMIF(Plant_BD!$B:$B,$A16,Plant_BD!$AL:$AL)/($AA16+SUMIF(Plant_BD!$B:$B,$A16,Plant_BD!$AL:$AL))),"")</f>
        <v/>
      </c>
      <c r="P16" s="238"/>
      <c r="Q16" s="239"/>
      <c r="R16" s="238" t="str">
        <f>IFERROR(1-(SUMIF(Grid_BD!$B:$B,$A16,Grid_BD!$V:$V)/($AA16+SUMIF(Grid_BD!$B:$B,$A16,Grid_BD!$V:$V))),"")</f>
        <v/>
      </c>
      <c r="S16" s="234"/>
      <c r="T16" s="239"/>
      <c r="U16" s="240">
        <f t="shared" si="6"/>
        <v>0</v>
      </c>
      <c r="V16" s="240" t="str">
        <f>IFERROR(_xlfn.XLOOKUP($A16,Input_Raw!$A:$A,Input_Raw!$BS:$BS),"")</f>
        <v/>
      </c>
      <c r="W16" s="241">
        <f t="shared" si="7"/>
        <v>0</v>
      </c>
      <c r="X16" s="233">
        <f>IFERROR(_xlfn.XLOOKUP($A16,Input_Raw!$A:$A,Input_Raw!$AW:$AW),"")</f>
        <v>72978</v>
      </c>
      <c r="Y16" s="233">
        <f>IFERROR(_xlfn.XLOOKUP($A16,Input_Raw!$A:$A,Input_Raw!$BN:$BN),"")</f>
        <v>0</v>
      </c>
      <c r="Z16" s="233"/>
      <c r="AA16" s="233">
        <f>IFERROR(_xlfn.XLOOKUP($A16,Input_Raw!$A:$A,Input_Raw!$BO:$BO),"")</f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3.7225806451612904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0.60935317436258363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8"/>
        <v>69933.734044840705</v>
      </c>
    </row>
    <row r="17" spans="1:45">
      <c r="A17" s="232">
        <f t="shared" si="9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f>IFERROR(_xlfn.XLOOKUP($A17,Input_Raw!$A:$A,Input_Raw!$AN:$AN),"")</f>
        <v>5.4900485800000043</v>
      </c>
      <c r="H17" s="237"/>
      <c r="I17" s="237">
        <f>IFERROR(_xlfn.XLOOKUP($A17,Input_Raw!$A:$A,Input_Raw!$AM:$AM),"")</f>
        <v>5.371677606666668</v>
      </c>
      <c r="J17" s="237"/>
      <c r="K17" s="237">
        <f>IFERROR(_xlfn.XLOOKUP($A17,Input_Raw!$A:$A,Input_Raw!AO:AO),"")</f>
        <v>28.325091432396249</v>
      </c>
      <c r="L17" s="237">
        <f>IFERROR(_xlfn.XLOOKUP($A17,Input_Raw!$A:$A,Input_Raw!AP:AP),"")</f>
        <v>38.517155287817928</v>
      </c>
      <c r="M17" s="237">
        <f>IFERROR(_xlfn.XLOOKUP($A17,Input_Raw!$A:$A,Input_Raw!AS:AS),"")</f>
        <v>3.1490495314591724</v>
      </c>
      <c r="N17" s="237">
        <f>IFERROR(_xlfn.XLOOKUP($A17,Input_Raw!$A:$A,Input_Raw!AT:AT),"")</f>
        <v>7.48</v>
      </c>
      <c r="O17" s="238" t="str">
        <f>IFERROR(1-(SUMIF(Plant_BD!$B:$B,$A17,Plant_BD!$AL:$AL)/($AA17+SUMIF(Plant_BD!$B:$B,$A17,Plant_BD!$AL:$AL))),"")</f>
        <v/>
      </c>
      <c r="P17" s="238"/>
      <c r="Q17" s="239"/>
      <c r="R17" s="238" t="str">
        <f>IFERROR(1-(SUMIF(Grid_BD!$B:$B,$A17,Grid_BD!$V:$V)/($AA17+SUMIF(Grid_BD!$B:$B,$A17,Grid_BD!$V:$V))),"")</f>
        <v/>
      </c>
      <c r="S17" s="234"/>
      <c r="T17" s="239"/>
      <c r="U17" s="240">
        <f t="shared" si="6"/>
        <v>0</v>
      </c>
      <c r="V17" s="240" t="str">
        <f>IFERROR(_xlfn.XLOOKUP($A17,Input_Raw!$A:$A,Input_Raw!$BS:$BS),"")</f>
        <v/>
      </c>
      <c r="W17" s="241">
        <f t="shared" si="7"/>
        <v>0</v>
      </c>
      <c r="X17" s="233">
        <f>IFERROR(_xlfn.XLOOKUP($A17,Input_Raw!$A:$A,Input_Raw!$AW:$AW),"")</f>
        <v>147147</v>
      </c>
      <c r="Y17" s="233">
        <f>IFERROR(_xlfn.XLOOKUP($A17,Input_Raw!$A:$A,Input_Raw!$BN:$BN),"")</f>
        <v>0</v>
      </c>
      <c r="Z17" s="233"/>
      <c r="AA17" s="233">
        <f>IFERROR(_xlfn.XLOOKUP($A17,Input_Raw!$A:$A,Input_Raw!$BO:$BO),"")</f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3.7225806451612904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0.60935317436258363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8"/>
        <v>69933.734044840705</v>
      </c>
    </row>
    <row r="18" spans="1:45">
      <c r="A18" s="232">
        <f t="shared" si="9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f>IFERROR(_xlfn.XLOOKUP($A18,Input_Raw!$A:$A,Input_Raw!$AN:$AN),"")</f>
        <v>3.1663089600000003</v>
      </c>
      <c r="H18" s="237"/>
      <c r="I18" s="237">
        <f>IFERROR(_xlfn.XLOOKUP($A18,Input_Raw!$A:$A,Input_Raw!$AM:$AM),"")</f>
        <v>3.2817902016666727</v>
      </c>
      <c r="J18" s="237"/>
      <c r="K18" s="237">
        <f>IFERROR(_xlfn.XLOOKUP($A18,Input_Raw!$A:$A,Input_Raw!AO:AO),"")</f>
        <v>26.804495896032879</v>
      </c>
      <c r="L18" s="237">
        <f>IFERROR(_xlfn.XLOOKUP($A18,Input_Raw!$A:$A,Input_Raw!AP:AP),"")</f>
        <v>33.293361969904211</v>
      </c>
      <c r="M18" s="237">
        <f>IFERROR(_xlfn.XLOOKUP($A18,Input_Raw!$A:$A,Input_Raw!AS:AS),"")</f>
        <v>1.789370725034199</v>
      </c>
      <c r="N18" s="237">
        <f>IFERROR(_xlfn.XLOOKUP($A18,Input_Raw!$A:$A,Input_Raw!AT:AT),"")</f>
        <v>4.46</v>
      </c>
      <c r="O18" s="238" t="str">
        <f>IFERROR(1-(SUMIF(Plant_BD!$B:$B,$A18,Plant_BD!$AL:$AL)/($AA18+SUMIF(Plant_BD!$B:$B,$A18,Plant_BD!$AL:$AL))),"")</f>
        <v/>
      </c>
      <c r="P18" s="238"/>
      <c r="Q18" s="239"/>
      <c r="R18" s="238" t="str">
        <f>IFERROR(1-(SUMIF(Grid_BD!$B:$B,$A18,Grid_BD!$V:$V)/($AA18+SUMIF(Grid_BD!$B:$B,$A18,Grid_BD!$V:$V))),"")</f>
        <v/>
      </c>
      <c r="S18" s="234"/>
      <c r="T18" s="239"/>
      <c r="U18" s="240">
        <f t="shared" si="6"/>
        <v>0</v>
      </c>
      <c r="V18" s="240" t="str">
        <f>IFERROR(_xlfn.XLOOKUP($A18,Input_Raw!$A:$A,Input_Raw!$BS:$BS),"")</f>
        <v/>
      </c>
      <c r="W18" s="241">
        <f t="shared" si="7"/>
        <v>0</v>
      </c>
      <c r="X18" s="233">
        <f>IFERROR(_xlfn.XLOOKUP($A18,Input_Raw!$A:$A,Input_Raw!$AW:$AW),"")</f>
        <v>92393.010000000009</v>
      </c>
      <c r="Y18" s="233">
        <f>IFERROR(_xlfn.XLOOKUP($A18,Input_Raw!$A:$A,Input_Raw!$BN:$BN),"")</f>
        <v>0</v>
      </c>
      <c r="Z18" s="233"/>
      <c r="AA18" s="233">
        <f>IFERROR(_xlfn.XLOOKUP($A18,Input_Raw!$A:$A,Input_Raw!$BO:$BO),"")</f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3.7225806451612904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0.60935317436258363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8"/>
        <v>69933.734044840705</v>
      </c>
    </row>
    <row r="19" spans="1:45">
      <c r="A19" s="232">
        <f t="shared" si="9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f>IFERROR(_xlfn.XLOOKUP($A19,Input_Raw!$A:$A,Input_Raw!$AN:$AN),"")</f>
        <v>1.9903576566666661</v>
      </c>
      <c r="H19" s="237"/>
      <c r="I19" s="237">
        <f>IFERROR(_xlfn.XLOOKUP($A19,Input_Raw!$A:$A,Input_Raw!$AM:$AM),"")</f>
        <v>2.1051240133333322</v>
      </c>
      <c r="J19" s="237"/>
      <c r="K19" s="237">
        <f>IFERROR(_xlfn.XLOOKUP($A19,Input_Raw!$A:$A,Input_Raw!AO:AO),"")</f>
        <v>26.497325615050634</v>
      </c>
      <c r="L19" s="237">
        <f>IFERROR(_xlfn.XLOOKUP($A19,Input_Raw!$A:$A,Input_Raw!AP:AP),"")</f>
        <v>31.534842547033257</v>
      </c>
      <c r="M19" s="237">
        <f>IFERROR(_xlfn.XLOOKUP($A19,Input_Raw!$A:$A,Input_Raw!AS:AS),"")</f>
        <v>2.1211866859623778</v>
      </c>
      <c r="N19" s="237">
        <f>IFERROR(_xlfn.XLOOKUP($A19,Input_Raw!$A:$A,Input_Raw!AT:AT),"")</f>
        <v>4.32</v>
      </c>
      <c r="O19" s="238" t="str">
        <f>IFERROR(1-(SUMIF(Plant_BD!$B:$B,$A19,Plant_BD!$AL:$AL)/($AA19+SUMIF(Plant_BD!$B:$B,$A19,Plant_BD!$AL:$AL))),"")</f>
        <v/>
      </c>
      <c r="P19" s="238"/>
      <c r="Q19" s="239"/>
      <c r="R19" s="238">
        <f>IFERROR(1-(SUMIF(Grid_BD!$B:$B,$A19,Grid_BD!$V:$V)/($AA19+SUMIF(Grid_BD!$B:$B,$A19,Grid_BD!$V:$V))),"")</f>
        <v>0</v>
      </c>
      <c r="S19" s="234"/>
      <c r="T19" s="239"/>
      <c r="U19" s="240">
        <f t="shared" si="6"/>
        <v>0</v>
      </c>
      <c r="V19" s="240" t="str">
        <f>IFERROR(_xlfn.XLOOKUP($A19,Input_Raw!$A:$A,Input_Raw!$BS:$BS),"")</f>
        <v/>
      </c>
      <c r="W19" s="241">
        <f t="shared" si="7"/>
        <v>0</v>
      </c>
      <c r="X19" s="233">
        <f>IFERROR(_xlfn.XLOOKUP($A19,Input_Raw!$A:$A,Input_Raw!$AW:$AW),"")</f>
        <v>49548.7</v>
      </c>
      <c r="Y19" s="233">
        <f>IFERROR(_xlfn.XLOOKUP($A19,Input_Raw!$A:$A,Input_Raw!$BN:$BN),"")</f>
        <v>0</v>
      </c>
      <c r="Z19" s="233"/>
      <c r="AA19" s="233">
        <f>IFERROR(_xlfn.XLOOKUP($A19,Input_Raw!$A:$A,Input_Raw!$BO:$BO),"")</f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3.7225806451612904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0.60935317436258363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8"/>
        <v>69933.734044840705</v>
      </c>
    </row>
    <row r="20" spans="1:45">
      <c r="A20" s="232">
        <f t="shared" si="9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f>IFERROR(_xlfn.XLOOKUP($A20,Input_Raw!$A:$A,Input_Raw!$AN:$AN),"")</f>
        <v>5.3872456016666703</v>
      </c>
      <c r="H20" s="237"/>
      <c r="I20" s="237">
        <f>IFERROR(_xlfn.XLOOKUP($A20,Input_Raw!$A:$A,Input_Raw!$AM:$AM),"")</f>
        <v>5.2345442066666719</v>
      </c>
      <c r="J20" s="237"/>
      <c r="K20" s="237">
        <f>IFERROR(_xlfn.XLOOKUP($A20,Input_Raw!$A:$A,Input_Raw!AO:AO),"")</f>
        <v>28.444340026773784</v>
      </c>
      <c r="L20" s="237">
        <f>IFERROR(_xlfn.XLOOKUP($A20,Input_Raw!$A:$A,Input_Raw!AP:AP),"")</f>
        <v>38.274516733601089</v>
      </c>
      <c r="M20" s="237">
        <f>IFERROR(_xlfn.XLOOKUP($A20,Input_Raw!$A:$A,Input_Raw!AS:AS),"")</f>
        <v>3.3017269076305213</v>
      </c>
      <c r="N20" s="237">
        <f>IFERROR(_xlfn.XLOOKUP($A20,Input_Raw!$A:$A,Input_Raw!AT:AT),"")</f>
        <v>8.1999999999999993</v>
      </c>
      <c r="O20" s="238" t="str">
        <f>IFERROR(1-(SUMIF(Plant_BD!$B:$B,$A20,Plant_BD!$AL:$AL)/($AA20+SUMIF(Plant_BD!$B:$B,$A20,Plant_BD!$AL:$AL))),"")</f>
        <v/>
      </c>
      <c r="P20" s="238"/>
      <c r="Q20" s="239"/>
      <c r="R20" s="238" t="str">
        <f>IFERROR(1-(SUMIF(Grid_BD!$B:$B,$A20,Grid_BD!$V:$V)/($AA20+SUMIF(Grid_BD!$B:$B,$A20,Grid_BD!$V:$V))),"")</f>
        <v/>
      </c>
      <c r="S20" s="234"/>
      <c r="T20" s="239"/>
      <c r="U20" s="240">
        <f t="shared" si="6"/>
        <v>0</v>
      </c>
      <c r="V20" s="240" t="str">
        <f>IFERROR(_xlfn.XLOOKUP($A20,Input_Raw!$A:$A,Input_Raw!$BS:$BS),"")</f>
        <v/>
      </c>
      <c r="W20" s="241">
        <f t="shared" si="7"/>
        <v>0</v>
      </c>
      <c r="X20" s="233">
        <f>IFERROR(_xlfn.XLOOKUP($A20,Input_Raw!$A:$A,Input_Raw!$AW:$AW),"")</f>
        <v>128472.3</v>
      </c>
      <c r="Y20" s="233">
        <f>IFERROR(_xlfn.XLOOKUP($A20,Input_Raw!$A:$A,Input_Raw!$BN:$BN),"")</f>
        <v>0</v>
      </c>
      <c r="Z20" s="233"/>
      <c r="AA20" s="233">
        <f>IFERROR(_xlfn.XLOOKUP($A20,Input_Raw!$A:$A,Input_Raw!$BO:$BO),"")</f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3.7225806451612904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0.60935317436258363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8"/>
        <v>69933.734044840705</v>
      </c>
    </row>
    <row r="21" spans="1:45">
      <c r="A21" s="232">
        <f t="shared" si="9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f>IFERROR(_xlfn.XLOOKUP($A21,Input_Raw!$A:$A,Input_Raw!$AN:$AN),"")</f>
        <v>5.7351705349999991</v>
      </c>
      <c r="H21" s="237"/>
      <c r="I21" s="237">
        <f>IFERROR(_xlfn.XLOOKUP($A21,Input_Raw!$A:$A,Input_Raw!$AM:$AM),"")</f>
        <v>5.5881903016666659</v>
      </c>
      <c r="J21" s="237"/>
      <c r="K21" s="237">
        <f>IFERROR(_xlfn.XLOOKUP($A21,Input_Raw!$A:$A,Input_Raw!AO:AO),"")</f>
        <v>28.864790067114093</v>
      </c>
      <c r="L21" s="237">
        <f>IFERROR(_xlfn.XLOOKUP($A21,Input_Raw!$A:$A,Input_Raw!AP:AP),"")</f>
        <v>39.485311812080496</v>
      </c>
      <c r="M21" s="237">
        <f>IFERROR(_xlfn.XLOOKUP($A21,Input_Raw!$A:$A,Input_Raw!AS:AS),"")</f>
        <v>3.0543489932885901</v>
      </c>
      <c r="N21" s="237">
        <f>IFERROR(_xlfn.XLOOKUP($A21,Input_Raw!$A:$A,Input_Raw!AT:AT),"")</f>
        <v>6.88</v>
      </c>
      <c r="O21" s="238" t="str">
        <f>IFERROR(1-(SUMIF(Plant_BD!$B:$B,$A21,Plant_BD!$AL:$AL)/($AA21+SUMIF(Plant_BD!$B:$B,$A21,Plant_BD!$AL:$AL))),"")</f>
        <v/>
      </c>
      <c r="P21" s="238"/>
      <c r="Q21" s="239"/>
      <c r="R21" s="238" t="str">
        <f>IFERROR(1-(SUMIF(Grid_BD!$B:$B,$A21,Grid_BD!$V:$V)/($AA21+SUMIF(Grid_BD!$B:$B,$A21,Grid_BD!$V:$V))),"")</f>
        <v/>
      </c>
      <c r="S21" s="234"/>
      <c r="T21" s="239"/>
      <c r="U21" s="240">
        <f t="shared" si="6"/>
        <v>0</v>
      </c>
      <c r="V21" s="240" t="str">
        <f>IFERROR(_xlfn.XLOOKUP($A21,Input_Raw!$A:$A,Input_Raw!$BS:$BS),"")</f>
        <v/>
      </c>
      <c r="W21" s="241">
        <f t="shared" si="7"/>
        <v>0</v>
      </c>
      <c r="X21" s="233">
        <f>IFERROR(_xlfn.XLOOKUP($A21,Input_Raw!$A:$A,Input_Raw!$AW:$AW),"")</f>
        <v>145945.30000000002</v>
      </c>
      <c r="Y21" s="233">
        <f>IFERROR(_xlfn.XLOOKUP($A21,Input_Raw!$A:$A,Input_Raw!$BN:$BN),"")</f>
        <v>0</v>
      </c>
      <c r="Z21" s="233"/>
      <c r="AA21" s="233">
        <f>IFERROR(_xlfn.XLOOKUP($A21,Input_Raw!$A:$A,Input_Raw!$BO:$BO),"")</f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3.7225806451612904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0.60935317436258363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8"/>
        <v>69933.734044840705</v>
      </c>
    </row>
    <row r="22" spans="1:45">
      <c r="A22" s="232">
        <f t="shared" si="9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f>IFERROR(_xlfn.XLOOKUP($A22,Input_Raw!$A:$A,Input_Raw!$AN:$AN),"")</f>
        <v>4.7306642649999926</v>
      </c>
      <c r="H22" s="237"/>
      <c r="I22" s="237">
        <f>IFERROR(_xlfn.XLOOKUP($A22,Input_Raw!$A:$A,Input_Raw!$AM:$AM),"")</f>
        <v>4.7309150633333354</v>
      </c>
      <c r="J22" s="237"/>
      <c r="K22" s="237">
        <f>IFERROR(_xlfn.XLOOKUP($A22,Input_Raw!$A:$A,Input_Raw!AO:AO),"")</f>
        <v>28.846160262008759</v>
      </c>
      <c r="L22" s="237">
        <f>IFERROR(_xlfn.XLOOKUP($A22,Input_Raw!$A:$A,Input_Raw!AP:AP),"")</f>
        <v>38.499862736535675</v>
      </c>
      <c r="M22" s="237">
        <f>IFERROR(_xlfn.XLOOKUP($A22,Input_Raw!$A:$A,Input_Raw!AS:AS),"")</f>
        <v>3.3016739446870433</v>
      </c>
      <c r="N22" s="237">
        <f>IFERROR(_xlfn.XLOOKUP($A22,Input_Raw!$A:$A,Input_Raw!AT:AT),"")</f>
        <v>6.35</v>
      </c>
      <c r="O22" s="238" t="str">
        <f>IFERROR(1-(SUMIF(Plant_BD!$B:$B,$A22,Plant_BD!$AL:$AL)/($AA22+SUMIF(Plant_BD!$B:$B,$A22,Plant_BD!$AL:$AL))),"")</f>
        <v/>
      </c>
      <c r="P22" s="238"/>
      <c r="Q22" s="239"/>
      <c r="R22" s="238" t="str">
        <f>IFERROR(1-(SUMIF(Grid_BD!$B:$B,$A22,Grid_BD!$V:$V)/($AA22+SUMIF(Grid_BD!$B:$B,$A22,Grid_BD!$V:$V))),"")</f>
        <v/>
      </c>
      <c r="S22" s="234"/>
      <c r="T22" s="239"/>
      <c r="U22" s="240">
        <f t="shared" si="6"/>
        <v>0</v>
      </c>
      <c r="V22" s="240" t="str">
        <f>IFERROR(_xlfn.XLOOKUP($A22,Input_Raw!$A:$A,Input_Raw!$BS:$BS),"")</f>
        <v/>
      </c>
      <c r="W22" s="241">
        <f t="shared" si="7"/>
        <v>0</v>
      </c>
      <c r="X22" s="233">
        <f>IFERROR(_xlfn.XLOOKUP($A22,Input_Raw!$A:$A,Input_Raw!$AW:$AW),"")</f>
        <v>134477.6</v>
      </c>
      <c r="Y22" s="233">
        <f>IFERROR(_xlfn.XLOOKUP($A22,Input_Raw!$A:$A,Input_Raw!$BN:$BN),"")</f>
        <v>0</v>
      </c>
      <c r="Z22" s="233"/>
      <c r="AA22" s="233">
        <f>IFERROR(_xlfn.XLOOKUP($A22,Input_Raw!$A:$A,Input_Raw!$BO:$BO),"")</f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3.7225806451612904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0.60935317436258363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8"/>
        <v>69933.734044840705</v>
      </c>
    </row>
    <row r="23" spans="1:45">
      <c r="A23" s="232">
        <f t="shared" si="9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f>IFERROR(_xlfn.XLOOKUP($A23,Input_Raw!$A:$A,Input_Raw!$AN:$AN),"")</f>
        <v>3.9818129700000005</v>
      </c>
      <c r="H23" s="237"/>
      <c r="I23" s="237">
        <f>IFERROR(_xlfn.XLOOKUP($A23,Input_Raw!$A:$A,Input_Raw!$AM:$AM),"")</f>
        <v>3.9720947883333326</v>
      </c>
      <c r="J23" s="237"/>
      <c r="K23" s="237">
        <f>IFERROR(_xlfn.XLOOKUP($A23,Input_Raw!$A:$A,Input_Raw!AO:AO),"")</f>
        <v>26.248835539568351</v>
      </c>
      <c r="L23" s="237">
        <f>IFERROR(_xlfn.XLOOKUP($A23,Input_Raw!$A:$A,Input_Raw!AP:AP),"")</f>
        <v>34.688129352518004</v>
      </c>
      <c r="M23" s="237">
        <f>IFERROR(_xlfn.XLOOKUP($A23,Input_Raw!$A:$A,Input_Raw!AS:AS),"")</f>
        <v>3.3952086330935294</v>
      </c>
      <c r="N23" s="237">
        <f>IFERROR(_xlfn.XLOOKUP($A23,Input_Raw!$A:$A,Input_Raw!AT:AT),"")</f>
        <v>6.83</v>
      </c>
      <c r="O23" s="238" t="str">
        <f>IFERROR(1-(SUMIF(Plant_BD!$B:$B,$A23,Plant_BD!$AL:$AL)/($AA23+SUMIF(Plant_BD!$B:$B,$A23,Plant_BD!$AL:$AL))),"")</f>
        <v/>
      </c>
      <c r="P23" s="238"/>
      <c r="Q23" s="239"/>
      <c r="R23" s="238" t="str">
        <f>IFERROR(1-(SUMIF(Grid_BD!$B:$B,$A23,Grid_BD!$V:$V)/($AA23+SUMIF(Grid_BD!$B:$B,$A23,Grid_BD!$V:$V))),"")</f>
        <v/>
      </c>
      <c r="S23" s="234"/>
      <c r="T23" s="239"/>
      <c r="U23" s="240">
        <f t="shared" si="6"/>
        <v>0</v>
      </c>
      <c r="V23" s="240" t="str">
        <f>IFERROR(_xlfn.XLOOKUP($A23,Input_Raw!$A:$A,Input_Raw!$BS:$BS),"")</f>
        <v/>
      </c>
      <c r="W23" s="241">
        <f t="shared" si="7"/>
        <v>0</v>
      </c>
      <c r="X23" s="233">
        <f>IFERROR(_xlfn.XLOOKUP($A23,Input_Raw!$A:$A,Input_Raw!$AW:$AW),"")</f>
        <v>112113.7</v>
      </c>
      <c r="Y23" s="233">
        <f>IFERROR(_xlfn.XLOOKUP($A23,Input_Raw!$A:$A,Input_Raw!$BN:$BN),"")</f>
        <v>0</v>
      </c>
      <c r="Z23" s="233"/>
      <c r="AA23" s="233">
        <f>IFERROR(_xlfn.XLOOKUP($A23,Input_Raw!$A:$A,Input_Raw!$BO:$BO),"")</f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3.7225806451612904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0.60935317436258363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8"/>
        <v>69933.734044840705</v>
      </c>
    </row>
    <row r="24" spans="1:45">
      <c r="A24" s="232">
        <f t="shared" si="9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11.683333333333334</v>
      </c>
      <c r="G24" s="237">
        <f>IFERROR(_xlfn.XLOOKUP($A24,Input_Raw!$A:$A,Input_Raw!$AN:$AN),"")</f>
        <v>1.7860710483333346</v>
      </c>
      <c r="H24" s="237"/>
      <c r="I24" s="237">
        <f>IFERROR(_xlfn.XLOOKUP($A24,Input_Raw!$A:$A,Input_Raw!$AM:$AM),"")</f>
        <v>1.8685395516666676</v>
      </c>
      <c r="J24" s="237"/>
      <c r="K24" s="237">
        <f>IFERROR(_xlfn.XLOOKUP($A24,Input_Raw!$A:$A,Input_Raw!AO:AO),"")</f>
        <v>24.353908282208593</v>
      </c>
      <c r="L24" s="237">
        <f>IFERROR(_xlfn.XLOOKUP($A24,Input_Raw!$A:$A,Input_Raw!AP:AP),"")</f>
        <v>27.326814263803733</v>
      </c>
      <c r="M24" s="237">
        <f>IFERROR(_xlfn.XLOOKUP($A24,Input_Raw!$A:$A,Input_Raw!AS:AS),"")</f>
        <v>4.0177453987730072</v>
      </c>
      <c r="N24" s="237">
        <f>IFERROR(_xlfn.XLOOKUP($A24,Input_Raw!$A:$A,Input_Raw!AT:AT),"")</f>
        <v>8.6199999999999992</v>
      </c>
      <c r="O24" s="238" t="str">
        <f>IFERROR(1-(SUMIF(Plant_BD!$B:$B,$A24,Plant_BD!$AL:$AL)/($AA24+SUMIF(Plant_BD!$B:$B,$A24,Plant_BD!$AL:$AL))),"")</f>
        <v/>
      </c>
      <c r="P24" s="238"/>
      <c r="Q24" s="239"/>
      <c r="R24" s="238" t="str">
        <f>IFERROR(1-(SUMIF(Grid_BD!$B:$B,$A24,Grid_BD!$V:$V)/($AA24+SUMIF(Grid_BD!$B:$B,$A24,Grid_BD!$V:$V))),"")</f>
        <v/>
      </c>
      <c r="S24" s="234"/>
      <c r="T24" s="239"/>
      <c r="U24" s="240">
        <f t="shared" si="6"/>
        <v>0</v>
      </c>
      <c r="V24" s="240" t="str">
        <f>IFERROR(_xlfn.XLOOKUP($A24,Input_Raw!$A:$A,Input_Raw!$BS:$BS),"")</f>
        <v/>
      </c>
      <c r="W24" s="241">
        <f t="shared" si="7"/>
        <v>0</v>
      </c>
      <c r="X24" s="233">
        <f>IFERROR(_xlfn.XLOOKUP($A24,Input_Raw!$A:$A,Input_Raw!$AW:$AW),"")</f>
        <v>59127.599999999991</v>
      </c>
      <c r="Y24" s="233">
        <f>IFERROR(_xlfn.XLOOKUP($A24,Input_Raw!$A:$A,Input_Raw!$BN:$BN),"")</f>
        <v>0</v>
      </c>
      <c r="Z24" s="233"/>
      <c r="AA24" s="233">
        <f>IFERROR(_xlfn.XLOOKUP($A24,Input_Raw!$A:$A,Input_Raw!$BO:$BO),"")</f>
        <v>0</v>
      </c>
      <c r="AB24" s="233">
        <f>IFERROR(_xlfn.XLOOKUP($A24,Input_Raw!$A:$A,Input_Raw!$BP:$BP),"")</f>
        <v>30.83</v>
      </c>
      <c r="AC24" s="242">
        <f>IFERROR(_xlfn.XLOOKUP($D24,'Modelling New'!$D:$D,'Modelling New'!P:P),"")</f>
        <v>3.7225806451612904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0.60935317436258363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8"/>
        <v>69933.734044840705</v>
      </c>
    </row>
    <row r="25" spans="1:45">
      <c r="A25" s="232">
        <f t="shared" si="9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0</v>
      </c>
      <c r="G25" s="237">
        <f>IFERROR(_xlfn.XLOOKUP($A25,Input_Raw!$A:$A,Input_Raw!$AN:$AN),"")</f>
        <v>0</v>
      </c>
      <c r="H25" s="237"/>
      <c r="I25" s="237">
        <f>IFERROR(_xlfn.XLOOKUP($A25,Input_Raw!$A:$A,Input_Raw!$AM:$AM),"")</f>
        <v>0</v>
      </c>
      <c r="J25" s="237"/>
      <c r="K25" s="237">
        <f>IFERROR(_xlfn.XLOOKUP($A25,Input_Raw!$A:$A,Input_Raw!AO:AO),"")</f>
        <v>0</v>
      </c>
      <c r="L25" s="237">
        <f>IFERROR(_xlfn.XLOOKUP($A25,Input_Raw!$A:$A,Input_Raw!AP:AP),"")</f>
        <v>0</v>
      </c>
      <c r="M25" s="237">
        <f>IFERROR(_xlfn.XLOOKUP($A25,Input_Raw!$A:$A,Input_Raw!AS:AS),"")</f>
        <v>0</v>
      </c>
      <c r="N25" s="237">
        <f>IFERROR(_xlfn.XLOOKUP($A25,Input_Raw!$A:$A,Input_Raw!AT:AT),"")</f>
        <v>0</v>
      </c>
      <c r="O25" s="238" t="str">
        <f>IFERROR(1-(SUMIF(Plant_BD!$B:$B,$A25,Plant_BD!$AL:$AL)/($AA25+SUMIF(Plant_BD!$B:$B,$A25,Plant_BD!$AL:$AL))),"")</f>
        <v/>
      </c>
      <c r="P25" s="238"/>
      <c r="Q25" s="239"/>
      <c r="R25" s="238" t="str">
        <f>IFERROR(1-(SUMIF(Grid_BD!$B:$B,$A25,Grid_BD!$V:$V)/($AA25+SUMIF(Grid_BD!$B:$B,$A25,Grid_BD!$V:$V))),"")</f>
        <v/>
      </c>
      <c r="S25" s="234"/>
      <c r="T25" s="239"/>
      <c r="U25" s="240" t="str">
        <f t="shared" si="6"/>
        <v/>
      </c>
      <c r="V25" s="240" t="str">
        <f>IFERROR(_xlfn.XLOOKUP($A25,Input_Raw!$A:$A,Input_Raw!$BS:$BS),"")</f>
        <v/>
      </c>
      <c r="W25" s="241">
        <f t="shared" si="7"/>
        <v>0</v>
      </c>
      <c r="X25" s="233">
        <f>IFERROR(_xlfn.XLOOKUP($A25,Input_Raw!$A:$A,Input_Raw!$AW:$AW),"")</f>
        <v>0</v>
      </c>
      <c r="Y25" s="233">
        <f>IFERROR(_xlfn.XLOOKUP($A25,Input_Raw!$A:$A,Input_Raw!$BN:$BN),"")</f>
        <v>0</v>
      </c>
      <c r="Z25" s="233"/>
      <c r="AA25" s="233">
        <f>IFERROR(_xlfn.XLOOKUP($A25,Input_Raw!$A:$A,Input_Raw!$BO:$BO),"")</f>
        <v>0</v>
      </c>
      <c r="AB25" s="233">
        <f>IFERROR(_xlfn.XLOOKUP($A25,Input_Raw!$A:$A,Input_Raw!$BP:$BP),"")</f>
        <v>0</v>
      </c>
      <c r="AC25" s="242">
        <f>IFERROR(_xlfn.XLOOKUP($D25,'Modelling New'!$D:$D,'Modelling New'!P:P),"")</f>
        <v>3.7225806451612904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0.60935317436258363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8"/>
        <v>0</v>
      </c>
    </row>
    <row r="26" spans="1:45">
      <c r="A26" s="232">
        <f t="shared" si="9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0</v>
      </c>
      <c r="G26" s="237">
        <f>IFERROR(_xlfn.XLOOKUP($A26,Input_Raw!$A:$A,Input_Raw!$AN:$AN),"")</f>
        <v>0</v>
      </c>
      <c r="H26" s="237"/>
      <c r="I26" s="237">
        <f>IFERROR(_xlfn.XLOOKUP($A26,Input_Raw!$A:$A,Input_Raw!$AM:$AM),"")</f>
        <v>0</v>
      </c>
      <c r="J26" s="237"/>
      <c r="K26" s="237">
        <f>IFERROR(_xlfn.XLOOKUP($A26,Input_Raw!$A:$A,Input_Raw!AO:AO),"")</f>
        <v>0</v>
      </c>
      <c r="L26" s="237">
        <f>IFERROR(_xlfn.XLOOKUP($A26,Input_Raw!$A:$A,Input_Raw!AP:AP),"")</f>
        <v>0</v>
      </c>
      <c r="M26" s="237">
        <f>IFERROR(_xlfn.XLOOKUP($A26,Input_Raw!$A:$A,Input_Raw!AS:AS),"")</f>
        <v>0</v>
      </c>
      <c r="N26" s="237">
        <f>IFERROR(_xlfn.XLOOKUP($A26,Input_Raw!$A:$A,Input_Raw!AT:AT),"")</f>
        <v>0</v>
      </c>
      <c r="O26" s="238" t="str">
        <f>IFERROR(1-(SUMIF(Plant_BD!$B:$B,$A26,Plant_BD!$AL:$AL)/($AA26+SUMIF(Plant_BD!$B:$B,$A26,Plant_BD!$AL:$AL))),"")</f>
        <v/>
      </c>
      <c r="P26" s="238"/>
      <c r="Q26" s="239"/>
      <c r="R26" s="238" t="str">
        <f>IFERROR(1-(SUMIF(Grid_BD!$B:$B,$A26,Grid_BD!$V:$V)/($AA26+SUMIF(Grid_BD!$B:$B,$A26,Grid_BD!$V:$V))),"")</f>
        <v/>
      </c>
      <c r="S26" s="234"/>
      <c r="T26" s="239"/>
      <c r="U26" s="240" t="str">
        <f t="shared" si="6"/>
        <v/>
      </c>
      <c r="V26" s="240" t="str">
        <f>IFERROR(_xlfn.XLOOKUP($A26,Input_Raw!$A:$A,Input_Raw!$BS:$BS),"")</f>
        <v/>
      </c>
      <c r="W26" s="241">
        <f t="shared" si="7"/>
        <v>0</v>
      </c>
      <c r="X26" s="233">
        <f>IFERROR(_xlfn.XLOOKUP($A26,Input_Raw!$A:$A,Input_Raw!$AW:$AW),"")</f>
        <v>0</v>
      </c>
      <c r="Y26" s="233">
        <f>IFERROR(_xlfn.XLOOKUP($A26,Input_Raw!$A:$A,Input_Raw!$BN:$BN),"")</f>
        <v>0</v>
      </c>
      <c r="Z26" s="233"/>
      <c r="AA26" s="233">
        <f>IFERROR(_xlfn.XLOOKUP($A26,Input_Raw!$A:$A,Input_Raw!$BO:$BO),"")</f>
        <v>0</v>
      </c>
      <c r="AB26" s="233">
        <f>IFERROR(_xlfn.XLOOKUP($A26,Input_Raw!$A:$A,Input_Raw!$BP:$BP),"")</f>
        <v>0</v>
      </c>
      <c r="AC26" s="242">
        <f>IFERROR(_xlfn.XLOOKUP($D26,'Modelling New'!$D:$D,'Modelling New'!P:P),"")</f>
        <v>3.7225806451612904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0.60935317436258363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8"/>
        <v>0</v>
      </c>
    </row>
    <row r="27" spans="1:45">
      <c r="A27" s="232">
        <f t="shared" si="9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0</v>
      </c>
      <c r="G27" s="237">
        <f>IFERROR(_xlfn.XLOOKUP($A27,Input_Raw!$A:$A,Input_Raw!$AN:$AN),"")</f>
        <v>0</v>
      </c>
      <c r="H27" s="237"/>
      <c r="I27" s="237">
        <f>IFERROR(_xlfn.XLOOKUP($A27,Input_Raw!$A:$A,Input_Raw!$AM:$AM),"")</f>
        <v>0</v>
      </c>
      <c r="J27" s="237"/>
      <c r="K27" s="237">
        <f>IFERROR(_xlfn.XLOOKUP($A27,Input_Raw!$A:$A,Input_Raw!AO:AO),"")</f>
        <v>0</v>
      </c>
      <c r="L27" s="237">
        <f>IFERROR(_xlfn.XLOOKUP($A27,Input_Raw!$A:$A,Input_Raw!AP:AP),"")</f>
        <v>0</v>
      </c>
      <c r="M27" s="237">
        <f>IFERROR(_xlfn.XLOOKUP($A27,Input_Raw!$A:$A,Input_Raw!AS:AS),"")</f>
        <v>0</v>
      </c>
      <c r="N27" s="237">
        <f>IFERROR(_xlfn.XLOOKUP($A27,Input_Raw!$A:$A,Input_Raw!AT:AT),"")</f>
        <v>0</v>
      </c>
      <c r="O27" s="238" t="str">
        <f>IFERROR(1-(SUMIF(Plant_BD!$B:$B,$A27,Plant_BD!$AL:$AL)/($AA27+SUMIF(Plant_BD!$B:$B,$A27,Plant_BD!$AL:$AL))),"")</f>
        <v/>
      </c>
      <c r="P27" s="238"/>
      <c r="Q27" s="239"/>
      <c r="R27" s="238" t="str">
        <f>IFERROR(1-(SUMIF(Grid_BD!$B:$B,$A27,Grid_BD!$V:$V)/($AA27+SUMIF(Grid_BD!$B:$B,$A27,Grid_BD!$V:$V))),"")</f>
        <v/>
      </c>
      <c r="S27" s="234"/>
      <c r="T27" s="239"/>
      <c r="U27" s="240" t="str">
        <f t="shared" si="6"/>
        <v/>
      </c>
      <c r="V27" s="240" t="str">
        <f>IFERROR(_xlfn.XLOOKUP($A27,Input_Raw!$A:$A,Input_Raw!$BS:$BS),"")</f>
        <v/>
      </c>
      <c r="W27" s="241">
        <f t="shared" si="7"/>
        <v>0</v>
      </c>
      <c r="X27" s="233">
        <f>IFERROR(_xlfn.XLOOKUP($A27,Input_Raw!$A:$A,Input_Raw!$AW:$AW),"")</f>
        <v>0</v>
      </c>
      <c r="Y27" s="233">
        <f>IFERROR(_xlfn.XLOOKUP($A27,Input_Raw!$A:$A,Input_Raw!$BN:$BN),"")</f>
        <v>0</v>
      </c>
      <c r="Z27" s="233"/>
      <c r="AA27" s="233">
        <f>IFERROR(_xlfn.XLOOKUP($A27,Input_Raw!$A:$A,Input_Raw!$BO:$BO),"")</f>
        <v>0</v>
      </c>
      <c r="AB27" s="233">
        <f>IFERROR(_xlfn.XLOOKUP($A27,Input_Raw!$A:$A,Input_Raw!$BP:$BP),"")</f>
        <v>0</v>
      </c>
      <c r="AC27" s="242">
        <f>IFERROR(_xlfn.XLOOKUP($D27,'Modelling New'!$D:$D,'Modelling New'!P:P),"")</f>
        <v>3.7225806451612904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0.60935317436258363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8"/>
        <v>0</v>
      </c>
    </row>
    <row r="28" spans="1:45">
      <c r="A28" s="232">
        <f t="shared" si="9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0</v>
      </c>
      <c r="G28" s="237">
        <f>IFERROR(_xlfn.XLOOKUP($A28,Input_Raw!$A:$A,Input_Raw!$AN:$AN),"")</f>
        <v>0</v>
      </c>
      <c r="H28" s="237"/>
      <c r="I28" s="237">
        <f>IFERROR(_xlfn.XLOOKUP($A28,Input_Raw!$A:$A,Input_Raw!$AM:$AM),"")</f>
        <v>0</v>
      </c>
      <c r="J28" s="237"/>
      <c r="K28" s="237">
        <f>IFERROR(_xlfn.XLOOKUP($A28,Input_Raw!$A:$A,Input_Raw!AO:AO),"")</f>
        <v>0</v>
      </c>
      <c r="L28" s="237">
        <f>IFERROR(_xlfn.XLOOKUP($A28,Input_Raw!$A:$A,Input_Raw!AP:AP),"")</f>
        <v>0</v>
      </c>
      <c r="M28" s="237">
        <f>IFERROR(_xlfn.XLOOKUP($A28,Input_Raw!$A:$A,Input_Raw!AS:AS),"")</f>
        <v>0</v>
      </c>
      <c r="N28" s="237">
        <f>IFERROR(_xlfn.XLOOKUP($A28,Input_Raw!$A:$A,Input_Raw!AT:AT),"")</f>
        <v>0</v>
      </c>
      <c r="O28" s="238" t="str">
        <f>IFERROR(1-(SUMIF(Plant_BD!$B:$B,$A28,Plant_BD!$AL:$AL)/($AA28+SUMIF(Plant_BD!$B:$B,$A28,Plant_BD!$AL:$AL))),"")</f>
        <v/>
      </c>
      <c r="P28" s="238"/>
      <c r="Q28" s="239"/>
      <c r="R28" s="238" t="str">
        <f>IFERROR(1-(SUMIF(Grid_BD!$B:$B,$A28,Grid_BD!$V:$V)/($AA28+SUMIF(Grid_BD!$B:$B,$A28,Grid_BD!$V:$V))),"")</f>
        <v/>
      </c>
      <c r="S28" s="234"/>
      <c r="T28" s="239"/>
      <c r="U28" s="240" t="str">
        <f t="shared" si="6"/>
        <v/>
      </c>
      <c r="V28" s="240" t="str">
        <f>IFERROR(_xlfn.XLOOKUP($A28,Input_Raw!$A:$A,Input_Raw!$BS:$BS),"")</f>
        <v/>
      </c>
      <c r="W28" s="241">
        <f t="shared" si="7"/>
        <v>0</v>
      </c>
      <c r="X28" s="233">
        <f>IFERROR(_xlfn.XLOOKUP($A28,Input_Raw!$A:$A,Input_Raw!$AW:$AW),"")</f>
        <v>0</v>
      </c>
      <c r="Y28" s="233">
        <f>IFERROR(_xlfn.XLOOKUP($A28,Input_Raw!$A:$A,Input_Raw!$BN:$BN),"")</f>
        <v>0</v>
      </c>
      <c r="Z28" s="233"/>
      <c r="AA28" s="233">
        <f>IFERROR(_xlfn.XLOOKUP($A28,Input_Raw!$A:$A,Input_Raw!$BO:$BO),"")</f>
        <v>0</v>
      </c>
      <c r="AB28" s="233">
        <f>IFERROR(_xlfn.XLOOKUP($A28,Input_Raw!$A:$A,Input_Raw!$BP:$BP),"")</f>
        <v>0</v>
      </c>
      <c r="AC28" s="242">
        <f>IFERROR(_xlfn.XLOOKUP($D28,'Modelling New'!$D:$D,'Modelling New'!P:P),"")</f>
        <v>3.7225806451612904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0.60935317436258363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8"/>
        <v>0</v>
      </c>
    </row>
    <row r="29" spans="1:45">
      <c r="A29" s="232">
        <f t="shared" si="9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0</v>
      </c>
      <c r="G29" s="237">
        <f>IFERROR(_xlfn.XLOOKUP($A29,Input_Raw!$A:$A,Input_Raw!$AN:$AN),"")</f>
        <v>0</v>
      </c>
      <c r="H29" s="237"/>
      <c r="I29" s="237">
        <f>IFERROR(_xlfn.XLOOKUP($A29,Input_Raw!$A:$A,Input_Raw!$AM:$AM),"")</f>
        <v>0</v>
      </c>
      <c r="J29" s="237"/>
      <c r="K29" s="237">
        <f>IFERROR(_xlfn.XLOOKUP($A29,Input_Raw!$A:$A,Input_Raw!AO:AO),"")</f>
        <v>0</v>
      </c>
      <c r="L29" s="237">
        <f>IFERROR(_xlfn.XLOOKUP($A29,Input_Raw!$A:$A,Input_Raw!AP:AP),"")</f>
        <v>0</v>
      </c>
      <c r="M29" s="237">
        <f>IFERROR(_xlfn.XLOOKUP($A29,Input_Raw!$A:$A,Input_Raw!AS:AS),"")</f>
        <v>0</v>
      </c>
      <c r="N29" s="237">
        <f>IFERROR(_xlfn.XLOOKUP($A29,Input_Raw!$A:$A,Input_Raw!AT:AT),"")</f>
        <v>0</v>
      </c>
      <c r="O29" s="238" t="str">
        <f>IFERROR(1-(SUMIF(Plant_BD!$B:$B,$A29,Plant_BD!$AL:$AL)/($AA29+SUMIF(Plant_BD!$B:$B,$A29,Plant_BD!$AL:$AL))),"")</f>
        <v/>
      </c>
      <c r="P29" s="238"/>
      <c r="Q29" s="239"/>
      <c r="R29" s="238" t="str">
        <f>IFERROR(1-(SUMIF(Grid_BD!$B:$B,$A29,Grid_BD!$V:$V)/($AA29+SUMIF(Grid_BD!$B:$B,$A29,Grid_BD!$V:$V))),"")</f>
        <v/>
      </c>
      <c r="S29" s="234"/>
      <c r="T29" s="239"/>
      <c r="U29" s="240" t="str">
        <f t="shared" si="6"/>
        <v/>
      </c>
      <c r="V29" s="240" t="str">
        <f>IFERROR(_xlfn.XLOOKUP($A29,Input_Raw!$A:$A,Input_Raw!$BS:$BS),"")</f>
        <v/>
      </c>
      <c r="W29" s="241">
        <f t="shared" si="7"/>
        <v>0</v>
      </c>
      <c r="X29" s="233">
        <f>IFERROR(_xlfn.XLOOKUP($A29,Input_Raw!$A:$A,Input_Raw!$AW:$AW),"")</f>
        <v>0</v>
      </c>
      <c r="Y29" s="233">
        <f>IFERROR(_xlfn.XLOOKUP($A29,Input_Raw!$A:$A,Input_Raw!$BN:$BN),"")</f>
        <v>0</v>
      </c>
      <c r="Z29" s="233"/>
      <c r="AA29" s="233">
        <f>IFERROR(_xlfn.XLOOKUP($A29,Input_Raw!$A:$A,Input_Raw!$BO:$BO),"")</f>
        <v>0</v>
      </c>
      <c r="AB29" s="233">
        <f>IFERROR(_xlfn.XLOOKUP($A29,Input_Raw!$A:$A,Input_Raw!$BP:$BP),"")</f>
        <v>0</v>
      </c>
      <c r="AC29" s="242">
        <f>IFERROR(_xlfn.XLOOKUP($D29,'Modelling New'!$D:$D,'Modelling New'!P:P),"")</f>
        <v>3.7225806451612904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0.60935317436258363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8"/>
        <v>0</v>
      </c>
    </row>
    <row r="30" spans="1:45">
      <c r="A30" s="232">
        <f t="shared" si="9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0</v>
      </c>
      <c r="G30" s="237">
        <f>IFERROR(_xlfn.XLOOKUP($A30,Input_Raw!$A:$A,Input_Raw!$AN:$AN),"")</f>
        <v>0</v>
      </c>
      <c r="H30" s="237"/>
      <c r="I30" s="237">
        <f>IFERROR(_xlfn.XLOOKUP($A30,Input_Raw!$A:$A,Input_Raw!$AM:$AM),"")</f>
        <v>0</v>
      </c>
      <c r="J30" s="237"/>
      <c r="K30" s="237">
        <f>IFERROR(_xlfn.XLOOKUP($A30,Input_Raw!$A:$A,Input_Raw!AO:AO),"")</f>
        <v>0</v>
      </c>
      <c r="L30" s="237">
        <f>IFERROR(_xlfn.XLOOKUP($A30,Input_Raw!$A:$A,Input_Raw!AP:AP),"")</f>
        <v>0</v>
      </c>
      <c r="M30" s="237">
        <f>IFERROR(_xlfn.XLOOKUP($A30,Input_Raw!$A:$A,Input_Raw!AS:AS),"")</f>
        <v>0</v>
      </c>
      <c r="N30" s="237">
        <f>IFERROR(_xlfn.XLOOKUP($A30,Input_Raw!$A:$A,Input_Raw!AT:AT),"")</f>
        <v>0</v>
      </c>
      <c r="O30" s="238" t="str">
        <f>IFERROR(1-(SUMIF(Plant_BD!$B:$B,$A30,Plant_BD!$AL:$AL)/($AA30+SUMIF(Plant_BD!$B:$B,$A30,Plant_BD!$AL:$AL))),"")</f>
        <v/>
      </c>
      <c r="P30" s="238"/>
      <c r="Q30" s="239"/>
      <c r="R30" s="238" t="str">
        <f>IFERROR(1-(SUMIF(Grid_BD!$B:$B,$A30,Grid_BD!$V:$V)/($AA30+SUMIF(Grid_BD!$B:$B,$A30,Grid_BD!$V:$V))),"")</f>
        <v/>
      </c>
      <c r="S30" s="234"/>
      <c r="T30" s="239"/>
      <c r="U30" s="240" t="str">
        <f t="shared" si="6"/>
        <v/>
      </c>
      <c r="V30" s="240" t="str">
        <f>IFERROR(_xlfn.XLOOKUP($A30,Input_Raw!$A:$A,Input_Raw!$BS:$BS),"")</f>
        <v/>
      </c>
      <c r="W30" s="241">
        <f t="shared" si="7"/>
        <v>0</v>
      </c>
      <c r="X30" s="233">
        <f>IFERROR(_xlfn.XLOOKUP($A30,Input_Raw!$A:$A,Input_Raw!$AW:$AW),"")</f>
        <v>0</v>
      </c>
      <c r="Y30" s="233">
        <f>IFERROR(_xlfn.XLOOKUP($A30,Input_Raw!$A:$A,Input_Raw!$BN:$BN),"")</f>
        <v>0</v>
      </c>
      <c r="Z30" s="233"/>
      <c r="AA30" s="233">
        <f>IFERROR(_xlfn.XLOOKUP($A30,Input_Raw!$A:$A,Input_Raw!$BO:$BO),"")</f>
        <v>0</v>
      </c>
      <c r="AB30" s="233">
        <f>IFERROR(_xlfn.XLOOKUP($A30,Input_Raw!$A:$A,Input_Raw!$BP:$BP),"")</f>
        <v>0</v>
      </c>
      <c r="AC30" s="242">
        <f>IFERROR(_xlfn.XLOOKUP($D30,'Modelling New'!$D:$D,'Modelling New'!P:P),"")</f>
        <v>3.7225806451612904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0.60935317436258363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8"/>
        <v>0</v>
      </c>
    </row>
    <row r="31" spans="1:45">
      <c r="A31" s="232">
        <f t="shared" si="9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0</v>
      </c>
      <c r="G31" s="237">
        <f>IFERROR(_xlfn.XLOOKUP($A31,Input_Raw!$A:$A,Input_Raw!$AN:$AN),"")</f>
        <v>0</v>
      </c>
      <c r="H31" s="237"/>
      <c r="I31" s="237">
        <f>IFERROR(_xlfn.XLOOKUP($A31,Input_Raw!$A:$A,Input_Raw!$AM:$AM),"")</f>
        <v>0</v>
      </c>
      <c r="J31" s="237"/>
      <c r="K31" s="237">
        <f>IFERROR(_xlfn.XLOOKUP($A31,Input_Raw!$A:$A,Input_Raw!AO:AO),"")</f>
        <v>0</v>
      </c>
      <c r="L31" s="237">
        <f>IFERROR(_xlfn.XLOOKUP($A31,Input_Raw!$A:$A,Input_Raw!AP:AP),"")</f>
        <v>0</v>
      </c>
      <c r="M31" s="237">
        <f>IFERROR(_xlfn.XLOOKUP($A31,Input_Raw!$A:$A,Input_Raw!AS:AS),"")</f>
        <v>0</v>
      </c>
      <c r="N31" s="237">
        <f>IFERROR(_xlfn.XLOOKUP($A31,Input_Raw!$A:$A,Input_Raw!AT:AT),"")</f>
        <v>0</v>
      </c>
      <c r="O31" s="238" t="str">
        <f>IFERROR(1-(SUMIF(Plant_BD!$B:$B,$A31,Plant_BD!$AL:$AL)/($AA31+SUMIF(Plant_BD!$B:$B,$A31,Plant_BD!$AL:$AL))),"")</f>
        <v/>
      </c>
      <c r="P31" s="238"/>
      <c r="Q31" s="239"/>
      <c r="R31" s="238" t="str">
        <f>IFERROR(1-(SUMIF(Grid_BD!$B:$B,$A31,Grid_BD!$V:$V)/($AA31+SUMIF(Grid_BD!$B:$B,$A31,Grid_BD!$V:$V))),"")</f>
        <v/>
      </c>
      <c r="S31" s="234"/>
      <c r="T31" s="239"/>
      <c r="U31" s="240" t="str">
        <f t="shared" si="6"/>
        <v/>
      </c>
      <c r="V31" s="240" t="str">
        <f>IFERROR(_xlfn.XLOOKUP($A31,Input_Raw!$A:$A,Input_Raw!$BS:$BS),"")</f>
        <v/>
      </c>
      <c r="W31" s="241">
        <f t="shared" si="7"/>
        <v>0</v>
      </c>
      <c r="X31" s="233">
        <f>IFERROR(_xlfn.XLOOKUP($A31,Input_Raw!$A:$A,Input_Raw!$AW:$AW),"")</f>
        <v>0</v>
      </c>
      <c r="Y31" s="233">
        <f>IFERROR(_xlfn.XLOOKUP($A31,Input_Raw!$A:$A,Input_Raw!$BN:$BN),"")</f>
        <v>0</v>
      </c>
      <c r="Z31" s="233"/>
      <c r="AA31" s="233">
        <f>IFERROR(_xlfn.XLOOKUP($A31,Input_Raw!$A:$A,Input_Raw!$BO:$BO),"")</f>
        <v>0</v>
      </c>
      <c r="AB31" s="233">
        <f>IFERROR(_xlfn.XLOOKUP($A31,Input_Raw!$A:$A,Input_Raw!$BP:$BP),"")</f>
        <v>0</v>
      </c>
      <c r="AC31" s="242">
        <f>IFERROR(_xlfn.XLOOKUP($D31,'Modelling New'!$D:$D,'Modelling New'!P:P),"")</f>
        <v>3.7225806451612904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0.60935317436258363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8"/>
        <v>0</v>
      </c>
    </row>
    <row r="32" spans="1:45">
      <c r="A32" s="232">
        <f t="shared" si="9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0</v>
      </c>
      <c r="G32" s="237">
        <f>IFERROR(_xlfn.XLOOKUP($A32,Input_Raw!$A:$A,Input_Raw!$AN:$AN),"")</f>
        <v>0</v>
      </c>
      <c r="H32" s="237"/>
      <c r="I32" s="237">
        <f>IFERROR(_xlfn.XLOOKUP($A32,Input_Raw!$A:$A,Input_Raw!$AM:$AM),"")</f>
        <v>0</v>
      </c>
      <c r="J32" s="237"/>
      <c r="K32" s="237">
        <f>IFERROR(_xlfn.XLOOKUP($A32,Input_Raw!$A:$A,Input_Raw!AO:AO),"")</f>
        <v>0</v>
      </c>
      <c r="L32" s="237">
        <f>IFERROR(_xlfn.XLOOKUP($A32,Input_Raw!$A:$A,Input_Raw!AP:AP),"")</f>
        <v>0</v>
      </c>
      <c r="M32" s="237">
        <f>IFERROR(_xlfn.XLOOKUP($A32,Input_Raw!$A:$A,Input_Raw!AS:AS),"")</f>
        <v>0</v>
      </c>
      <c r="N32" s="237">
        <f>IFERROR(_xlfn.XLOOKUP($A32,Input_Raw!$A:$A,Input_Raw!AT:AT),"")</f>
        <v>0</v>
      </c>
      <c r="O32" s="238" t="str">
        <f>IFERROR(1-(SUMIF(Plant_BD!$B:$B,$A32,Plant_BD!$AL:$AL)/($AA32+SUMIF(Plant_BD!$B:$B,$A32,Plant_BD!$AL:$AL))),"")</f>
        <v/>
      </c>
      <c r="P32" s="238"/>
      <c r="Q32" s="239"/>
      <c r="R32" s="238" t="str">
        <f>IFERROR(1-(SUMIF(Grid_BD!$B:$B,$A32,Grid_BD!$V:$V)/($AA32+SUMIF(Grid_BD!$B:$B,$A32,Grid_BD!$V:$V))),"")</f>
        <v/>
      </c>
      <c r="S32" s="234"/>
      <c r="T32" s="239"/>
      <c r="U32" s="240" t="str">
        <f t="shared" si="6"/>
        <v/>
      </c>
      <c r="V32" s="240" t="str">
        <f>IFERROR(_xlfn.XLOOKUP($A32,Input_Raw!$A:$A,Input_Raw!$BS:$BS),"")</f>
        <v/>
      </c>
      <c r="W32" s="241">
        <f t="shared" si="7"/>
        <v>0</v>
      </c>
      <c r="X32" s="233">
        <f>IFERROR(_xlfn.XLOOKUP($A32,Input_Raw!$A:$A,Input_Raw!$AW:$AW),"")</f>
        <v>0</v>
      </c>
      <c r="Y32" s="233">
        <f>IFERROR(_xlfn.XLOOKUP($A32,Input_Raw!$A:$A,Input_Raw!$BN:$BN),"")</f>
        <v>0</v>
      </c>
      <c r="Z32" s="233"/>
      <c r="AA32" s="233">
        <f>IFERROR(_xlfn.XLOOKUP($A32,Input_Raw!$A:$A,Input_Raw!$BO:$BO),"")</f>
        <v>0</v>
      </c>
      <c r="AB32" s="233">
        <f>IFERROR(_xlfn.XLOOKUP($A32,Input_Raw!$A:$A,Input_Raw!$BP:$BP),"")</f>
        <v>0</v>
      </c>
      <c r="AC32" s="242">
        <f>IFERROR(_xlfn.XLOOKUP($D32,'Modelling New'!$D:$D,'Modelling New'!P:P),"")</f>
        <v>3.7225806451612904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0.60935317436258363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8"/>
        <v>0</v>
      </c>
    </row>
    <row r="33" spans="1:45">
      <c r="A33" s="232">
        <f t="shared" si="9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0</v>
      </c>
      <c r="G33" s="237">
        <f>IFERROR(_xlfn.XLOOKUP($A33,Input_Raw!$A:$A,Input_Raw!$AN:$AN),"")</f>
        <v>0</v>
      </c>
      <c r="H33" s="237"/>
      <c r="I33" s="237">
        <f>IFERROR(_xlfn.XLOOKUP($A33,Input_Raw!$A:$A,Input_Raw!$AM:$AM),"")</f>
        <v>0</v>
      </c>
      <c r="J33" s="237"/>
      <c r="K33" s="237">
        <f>IFERROR(_xlfn.XLOOKUP($A33,Input_Raw!$A:$A,Input_Raw!AO:AO),"")</f>
        <v>0</v>
      </c>
      <c r="L33" s="237">
        <f>IFERROR(_xlfn.XLOOKUP($A33,Input_Raw!$A:$A,Input_Raw!AP:AP),"")</f>
        <v>0</v>
      </c>
      <c r="M33" s="237">
        <f>IFERROR(_xlfn.XLOOKUP($A33,Input_Raw!$A:$A,Input_Raw!AS:AS),"")</f>
        <v>0</v>
      </c>
      <c r="N33" s="237">
        <f>IFERROR(_xlfn.XLOOKUP($A33,Input_Raw!$A:$A,Input_Raw!AT:AT),"")</f>
        <v>0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 t="str">
        <f t="shared" si="6"/>
        <v/>
      </c>
      <c r="V33" s="240" t="str">
        <f>IFERROR(_xlfn.XLOOKUP($A33,Input_Raw!$A:$A,Input_Raw!$BS:$BS),"")</f>
        <v/>
      </c>
      <c r="W33" s="241">
        <f t="shared" si="7"/>
        <v>0</v>
      </c>
      <c r="X33" s="233">
        <f>IFERROR(_xlfn.XLOOKUP($A33,Input_Raw!$A:$A,Input_Raw!$AW:$AW),"")</f>
        <v>0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0</v>
      </c>
      <c r="AC33" s="242">
        <f>IFERROR(_xlfn.XLOOKUP($D33,'Modelling New'!$D:$D,'Modelling New'!P:P),"")</f>
        <v>3.9193548387096775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0.83852845216097582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8"/>
        <v>0</v>
      </c>
    </row>
    <row r="34" spans="1:45">
      <c r="A34" s="232">
        <f t="shared" si="9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0</v>
      </c>
      <c r="G34" s="237">
        <f>IFERROR(_xlfn.XLOOKUP($A34,Input_Raw!$A:$A,Input_Raw!$AN:$AN),"")</f>
        <v>0</v>
      </c>
      <c r="H34" s="237"/>
      <c r="I34" s="237">
        <f>IFERROR(_xlfn.XLOOKUP($A34,Input_Raw!$A:$A,Input_Raw!$AM:$AM),"")</f>
        <v>0</v>
      </c>
      <c r="J34" s="237"/>
      <c r="K34" s="237">
        <f>IFERROR(_xlfn.XLOOKUP($A34,Input_Raw!$A:$A,Input_Raw!AO:AO),"")</f>
        <v>0</v>
      </c>
      <c r="L34" s="237">
        <f>IFERROR(_xlfn.XLOOKUP($A34,Input_Raw!$A:$A,Input_Raw!AP:AP),"")</f>
        <v>0</v>
      </c>
      <c r="M34" s="237">
        <f>IFERROR(_xlfn.XLOOKUP($A34,Input_Raw!$A:$A,Input_Raw!AS:AS),"")</f>
        <v>0</v>
      </c>
      <c r="N34" s="237">
        <f>IFERROR(_xlfn.XLOOKUP($A34,Input_Raw!$A:$A,Input_Raw!AT:AT),"")</f>
        <v>0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 t="str">
        <f t="shared" si="6"/>
        <v/>
      </c>
      <c r="V34" s="240" t="str">
        <f>IFERROR(_xlfn.XLOOKUP($A34,Input_Raw!$A:$A,Input_Raw!$BS:$BS),"")</f>
        <v/>
      </c>
      <c r="W34" s="241">
        <f t="shared" si="7"/>
        <v>0</v>
      </c>
      <c r="X34" s="233">
        <f>IFERROR(_xlfn.XLOOKUP($A34,Input_Raw!$A:$A,Input_Raw!$AW:$AW),"")</f>
        <v>0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0</v>
      </c>
      <c r="AC34" s="242">
        <f>IFERROR(_xlfn.XLOOKUP($D34,'Modelling New'!$D:$D,'Modelling New'!P:P),"")</f>
        <v>3.9193548387096775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0.83852845216097582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8"/>
        <v>0</v>
      </c>
    </row>
    <row r="35" spans="1:45">
      <c r="A35" s="232">
        <f t="shared" si="9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6"/>
        <v/>
      </c>
      <c r="V35" s="240" t="str">
        <f>IFERROR(_xlfn.XLOOKUP($A35,Input_Raw!$A:$A,Input_Raw!$BS:$BS),"")</f>
        <v/>
      </c>
      <c r="W35" s="241">
        <f t="shared" si="7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3.9193548387096775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0.83852845216097582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8"/>
        <v>0</v>
      </c>
    </row>
    <row r="36" spans="1:45">
      <c r="A36" s="232">
        <f t="shared" si="9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6"/>
        <v/>
      </c>
      <c r="V36" s="240" t="str">
        <f>IFERROR(_xlfn.XLOOKUP($A36,Input_Raw!$A:$A,Input_Raw!$BS:$BS),"")</f>
        <v/>
      </c>
      <c r="W36" s="241">
        <f t="shared" si="7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3.9193548387096775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0.83852845216097582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8"/>
        <v>0</v>
      </c>
    </row>
    <row r="37" spans="1:45">
      <c r="A37" s="232">
        <f t="shared" si="9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6"/>
        <v/>
      </c>
      <c r="V37" s="240" t="str">
        <f>IFERROR(_xlfn.XLOOKUP($A37,Input_Raw!$A:$A,Input_Raw!$BS:$BS),"")</f>
        <v/>
      </c>
      <c r="W37" s="241">
        <f t="shared" si="7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3.9193548387096775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0.83852845216097582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8"/>
        <v>0</v>
      </c>
    </row>
    <row r="38" spans="1:45">
      <c r="A38" s="232">
        <f t="shared" si="9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6"/>
        <v/>
      </c>
      <c r="V38" s="240" t="str">
        <f>IFERROR(_xlfn.XLOOKUP($A38,Input_Raw!$A:$A,Input_Raw!$BS:$BS),"")</f>
        <v/>
      </c>
      <c r="W38" s="241">
        <f t="shared" si="7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3.9193548387096775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0.83852845216097582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8"/>
        <v>0</v>
      </c>
    </row>
    <row r="39" spans="1:45">
      <c r="A39" s="232">
        <f t="shared" si="9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6"/>
        <v/>
      </c>
      <c r="V39" s="240" t="str">
        <f>IFERROR(_xlfn.XLOOKUP($A39,Input_Raw!$A:$A,Input_Raw!$BS:$BS),"")</f>
        <v/>
      </c>
      <c r="W39" s="241">
        <f t="shared" si="7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3.9193548387096775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0.83852845216097582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8"/>
        <v>0</v>
      </c>
    </row>
    <row r="40" spans="1:45">
      <c r="A40" s="232">
        <f t="shared" si="9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6"/>
        <v/>
      </c>
      <c r="V40" s="240" t="str">
        <f>IFERROR(_xlfn.XLOOKUP($A40,Input_Raw!$A:$A,Input_Raw!$BS:$BS),"")</f>
        <v/>
      </c>
      <c r="W40" s="241">
        <f t="shared" si="7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3.9193548387096775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0.83852845216097582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8"/>
        <v>0</v>
      </c>
    </row>
    <row r="41" spans="1:45">
      <c r="A41" s="232">
        <f t="shared" si="9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6"/>
        <v/>
      </c>
      <c r="V41" s="240" t="str">
        <f>IFERROR(_xlfn.XLOOKUP($A41,Input_Raw!$A:$A,Input_Raw!$BS:$BS),"")</f>
        <v/>
      </c>
      <c r="W41" s="241">
        <f t="shared" si="7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3.9193548387096775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0.83852845216097582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8"/>
        <v>0</v>
      </c>
    </row>
    <row r="42" spans="1:45">
      <c r="A42" s="232">
        <f t="shared" si="9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6"/>
        <v/>
      </c>
      <c r="V42" s="240" t="str">
        <f>IFERROR(_xlfn.XLOOKUP($A42,Input_Raw!$A:$A,Input_Raw!$BS:$BS),"")</f>
        <v/>
      </c>
      <c r="W42" s="241">
        <f t="shared" si="7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3.9193548387096775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0.83852845216097582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8"/>
        <v>0</v>
      </c>
    </row>
    <row r="43" spans="1:45">
      <c r="A43" s="232">
        <f t="shared" si="9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6"/>
        <v/>
      </c>
      <c r="V43" s="240" t="str">
        <f>IFERROR(_xlfn.XLOOKUP($A43,Input_Raw!$A:$A,Input_Raw!$BS:$BS),"")</f>
        <v/>
      </c>
      <c r="W43" s="241">
        <f t="shared" si="7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3.9193548387096775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0.83852845216097582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8"/>
        <v>0</v>
      </c>
    </row>
    <row r="44" spans="1:45">
      <c r="A44" s="232">
        <f t="shared" si="9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6"/>
        <v/>
      </c>
      <c r="V44" s="240" t="str">
        <f>IFERROR(_xlfn.XLOOKUP($A44,Input_Raw!$A:$A,Input_Raw!$BS:$BS),"")</f>
        <v/>
      </c>
      <c r="W44" s="241">
        <f t="shared" si="7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3.9193548387096775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0.83852845216097582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8"/>
        <v>0</v>
      </c>
    </row>
    <row r="45" spans="1:45">
      <c r="A45" s="232">
        <f t="shared" si="9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6"/>
        <v/>
      </c>
      <c r="V45" s="240" t="str">
        <f>IFERROR(_xlfn.XLOOKUP($A45,Input_Raw!$A:$A,Input_Raw!$BS:$BS),"")</f>
        <v/>
      </c>
      <c r="W45" s="241">
        <f t="shared" si="7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3.9193548387096775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0.83852845216097582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8"/>
        <v>0</v>
      </c>
    </row>
    <row r="46" spans="1:45">
      <c r="A46" s="232">
        <f t="shared" si="9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6"/>
        <v/>
      </c>
      <c r="V46" s="240" t="str">
        <f>IFERROR(_xlfn.XLOOKUP($A46,Input_Raw!$A:$A,Input_Raw!$BS:$BS),"")</f>
        <v/>
      </c>
      <c r="W46" s="241">
        <f t="shared" si="7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3.9193548387096775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0.83852845216097582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8"/>
        <v>0</v>
      </c>
    </row>
    <row r="47" spans="1:45">
      <c r="A47" s="232">
        <f t="shared" si="9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6"/>
        <v/>
      </c>
      <c r="V47" s="240" t="str">
        <f>IFERROR(_xlfn.XLOOKUP($A47,Input_Raw!$A:$A,Input_Raw!$BS:$BS),"")</f>
        <v/>
      </c>
      <c r="W47" s="241">
        <f t="shared" si="7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3.9193548387096775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0.83852845216097582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8"/>
        <v>0</v>
      </c>
    </row>
    <row r="48" spans="1:45">
      <c r="A48" s="232">
        <f t="shared" si="9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6"/>
        <v/>
      </c>
      <c r="V48" s="240" t="str">
        <f>IFERROR(_xlfn.XLOOKUP($A48,Input_Raw!$A:$A,Input_Raw!$BS:$BS),"")</f>
        <v/>
      </c>
      <c r="W48" s="241">
        <f t="shared" si="7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3.9193548387096775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0.83852845216097582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8"/>
        <v>0</v>
      </c>
    </row>
    <row r="49" spans="1:45">
      <c r="A49" s="232">
        <f t="shared" si="9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6"/>
        <v/>
      </c>
      <c r="V49" s="240" t="str">
        <f>IFERROR(_xlfn.XLOOKUP($A49,Input_Raw!$A:$A,Input_Raw!$BS:$BS),"")</f>
        <v/>
      </c>
      <c r="W49" s="241">
        <f t="shared" si="7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3.9193548387096775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0.83852845216097582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8"/>
        <v>0</v>
      </c>
    </row>
    <row r="50" spans="1:45">
      <c r="A50" s="232">
        <f t="shared" si="9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6"/>
        <v/>
      </c>
      <c r="V50" s="240" t="str">
        <f>IFERROR(_xlfn.XLOOKUP($A50,Input_Raw!$A:$A,Input_Raw!$BS:$BS),"")</f>
        <v/>
      </c>
      <c r="W50" s="241">
        <f t="shared" si="7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3.9193548387096775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0.83852845216097582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8"/>
        <v>0</v>
      </c>
    </row>
    <row r="51" spans="1:45">
      <c r="A51" s="232">
        <f t="shared" si="9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6"/>
        <v/>
      </c>
      <c r="V51" s="240" t="str">
        <f>IFERROR(_xlfn.XLOOKUP($A51,Input_Raw!$A:$A,Input_Raw!$BS:$BS),"")</f>
        <v/>
      </c>
      <c r="W51" s="241">
        <f t="shared" si="7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3.9193548387096775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0.83852845216097582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8"/>
        <v>0</v>
      </c>
    </row>
    <row r="52" spans="1:45">
      <c r="A52" s="232">
        <f t="shared" si="9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6"/>
        <v/>
      </c>
      <c r="V52" s="240" t="str">
        <f>IFERROR(_xlfn.XLOOKUP($A52,Input_Raw!$A:$A,Input_Raw!$BS:$BS),"")</f>
        <v/>
      </c>
      <c r="W52" s="241">
        <f t="shared" si="7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3.9193548387096775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0.83852845216097582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8"/>
        <v>0</v>
      </c>
    </row>
    <row r="53" spans="1:45">
      <c r="A53" s="232">
        <f t="shared" si="9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6"/>
        <v/>
      </c>
      <c r="V53" s="240" t="str">
        <f>IFERROR(_xlfn.XLOOKUP($A53,Input_Raw!$A:$A,Input_Raw!$BS:$BS),"")</f>
        <v/>
      </c>
      <c r="W53" s="241">
        <f t="shared" si="7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3.9193548387096775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0.83852845216097582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8"/>
        <v>0</v>
      </c>
    </row>
    <row r="54" spans="1:45">
      <c r="A54" s="232">
        <f t="shared" si="9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6"/>
        <v/>
      </c>
      <c r="V54" s="240" t="str">
        <f>IFERROR(_xlfn.XLOOKUP($A54,Input_Raw!$A:$A,Input_Raw!$BS:$BS),"")</f>
        <v/>
      </c>
      <c r="W54" s="241">
        <f t="shared" si="7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3.9193548387096775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0.83852845216097582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8"/>
        <v>0</v>
      </c>
    </row>
    <row r="55" spans="1:45">
      <c r="A55" s="232">
        <f t="shared" si="9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6"/>
        <v/>
      </c>
      <c r="V55" s="240" t="str">
        <f>IFERROR(_xlfn.XLOOKUP($A55,Input_Raw!$A:$A,Input_Raw!$BS:$BS),"")</f>
        <v/>
      </c>
      <c r="W55" s="241">
        <f t="shared" si="7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3.9193548387096775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0.83852845216097582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8"/>
        <v>0</v>
      </c>
    </row>
    <row r="56" spans="1:45">
      <c r="A56" s="232">
        <f t="shared" si="9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6"/>
        <v/>
      </c>
      <c r="V56" s="240" t="str">
        <f>IFERROR(_xlfn.XLOOKUP($A56,Input_Raw!$A:$A,Input_Raw!$BS:$BS),"")</f>
        <v/>
      </c>
      <c r="W56" s="241">
        <f t="shared" si="7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3.9193548387096775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0.83852845216097582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8"/>
        <v>0</v>
      </c>
    </row>
    <row r="57" spans="1:45">
      <c r="A57" s="232">
        <f t="shared" si="9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6"/>
        <v/>
      </c>
      <c r="V57" s="240" t="str">
        <f>IFERROR(_xlfn.XLOOKUP($A57,Input_Raw!$A:$A,Input_Raw!$BS:$BS),"")</f>
        <v/>
      </c>
      <c r="W57" s="241">
        <f t="shared" si="7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3.9193548387096775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0.83852845216097582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8"/>
        <v>0</v>
      </c>
    </row>
    <row r="58" spans="1:45">
      <c r="A58" s="232">
        <f t="shared" si="9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6"/>
        <v/>
      </c>
      <c r="V58" s="240" t="str">
        <f>IFERROR(_xlfn.XLOOKUP($A58,Input_Raw!$A:$A,Input_Raw!$BS:$BS),"")</f>
        <v/>
      </c>
      <c r="W58" s="241">
        <f t="shared" si="7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3.9193548387096775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0.83852845216097582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8"/>
        <v>0</v>
      </c>
    </row>
    <row r="59" spans="1:45">
      <c r="A59" s="232">
        <f t="shared" si="9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6"/>
        <v/>
      </c>
      <c r="V59" s="240" t="str">
        <f>IFERROR(_xlfn.XLOOKUP($A59,Input_Raw!$A:$A,Input_Raw!$BS:$BS),"")</f>
        <v/>
      </c>
      <c r="W59" s="241">
        <f t="shared" si="7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3.9193548387096775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0.83852845216097582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8"/>
        <v>0</v>
      </c>
    </row>
    <row r="60" spans="1:45">
      <c r="A60" s="232">
        <f t="shared" si="9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6"/>
        <v/>
      </c>
      <c r="V60" s="240" t="str">
        <f>IFERROR(_xlfn.XLOOKUP($A60,Input_Raw!$A:$A,Input_Raw!$BS:$BS),"")</f>
        <v/>
      </c>
      <c r="W60" s="241">
        <f t="shared" si="7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3.9193548387096775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0.83852845216097582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8"/>
        <v>0</v>
      </c>
    </row>
    <row r="61" spans="1:45">
      <c r="A61" s="232">
        <f t="shared" si="9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6"/>
        <v/>
      </c>
      <c r="V61" s="240" t="str">
        <f>IFERROR(_xlfn.XLOOKUP($A61,Input_Raw!$A:$A,Input_Raw!$BS:$BS),"")</f>
        <v/>
      </c>
      <c r="W61" s="241">
        <f t="shared" si="7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3.9193548387096775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0.83852845216097582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8"/>
        <v>0</v>
      </c>
    </row>
    <row r="62" spans="1:45">
      <c r="A62" s="232">
        <f t="shared" si="9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6"/>
        <v/>
      </c>
      <c r="V62" s="240" t="str">
        <f>IFERROR(_xlfn.XLOOKUP($A62,Input_Raw!$A:$A,Input_Raw!$BS:$BS),"")</f>
        <v/>
      </c>
      <c r="W62" s="241">
        <f t="shared" si="7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3.9193548387096775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0.83852845216097582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8"/>
        <v>0</v>
      </c>
    </row>
    <row r="63" spans="1:45">
      <c r="A63" s="232">
        <f t="shared" si="9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6"/>
        <v/>
      </c>
      <c r="V63" s="240" t="str">
        <f>IFERROR(_xlfn.XLOOKUP($A63,Input_Raw!$A:$A,Input_Raw!$BS:$BS),"")</f>
        <v/>
      </c>
      <c r="W63" s="241">
        <f t="shared" si="7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3.9193548387096775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0.83852845216097582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8"/>
        <v>0</v>
      </c>
    </row>
    <row r="64" spans="1:45">
      <c r="A64" s="232">
        <f t="shared" si="9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6"/>
        <v/>
      </c>
      <c r="V64" s="240" t="str">
        <f>IFERROR(_xlfn.XLOOKUP($A64,Input_Raw!$A:$A,Input_Raw!$BS:$BS),"")</f>
        <v/>
      </c>
      <c r="W64" s="241">
        <f t="shared" si="7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0.83879714228537272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8"/>
        <v>0</v>
      </c>
    </row>
    <row r="65" spans="1:45">
      <c r="A65" s="232">
        <f t="shared" si="9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6"/>
        <v/>
      </c>
      <c r="V65" s="240" t="str">
        <f>IFERROR(_xlfn.XLOOKUP($A65,Input_Raw!$A:$A,Input_Raw!$BS:$BS),"")</f>
        <v/>
      </c>
      <c r="W65" s="241">
        <f t="shared" si="7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0.83879714228537272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8"/>
        <v>0</v>
      </c>
    </row>
    <row r="66" spans="1:45">
      <c r="A66" s="232">
        <f t="shared" si="9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6"/>
        <v/>
      </c>
      <c r="V66" s="240" t="str">
        <f>IFERROR(_xlfn.XLOOKUP($A66,Input_Raw!$A:$A,Input_Raw!$BS:$BS),"")</f>
        <v/>
      </c>
      <c r="W66" s="241">
        <f t="shared" si="7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0.83879714228537272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8"/>
        <v>0</v>
      </c>
    </row>
    <row r="67" spans="1:45">
      <c r="A67" s="232">
        <f t="shared" si="9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6"/>
        <v/>
      </c>
      <c r="V67" s="240" t="str">
        <f>IFERROR(_xlfn.XLOOKUP($A67,Input_Raw!$A:$A,Input_Raw!$BS:$BS),"")</f>
        <v/>
      </c>
      <c r="W67" s="241">
        <f t="shared" si="7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0.83879714228537272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8"/>
        <v>0</v>
      </c>
    </row>
    <row r="68" spans="1:45">
      <c r="A68" s="232">
        <f t="shared" si="9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6"/>
        <v/>
      </c>
      <c r="V68" s="240" t="str">
        <f>IFERROR(_xlfn.XLOOKUP($A68,Input_Raw!$A:$A,Input_Raw!$BS:$BS),"")</f>
        <v/>
      </c>
      <c r="W68" s="241">
        <f t="shared" si="7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0.83879714228537272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8"/>
        <v>0</v>
      </c>
    </row>
    <row r="69" spans="1:45">
      <c r="A69" s="232">
        <f t="shared" si="9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6"/>
        <v/>
      </c>
      <c r="V69" s="240" t="str">
        <f>IFERROR(_xlfn.XLOOKUP($A69,Input_Raw!$A:$A,Input_Raw!$BS:$BS),"")</f>
        <v/>
      </c>
      <c r="W69" s="241">
        <f t="shared" si="7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0.83879714228537272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8"/>
        <v>0</v>
      </c>
    </row>
    <row r="70" spans="1:45">
      <c r="A70" s="232">
        <f t="shared" si="9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6"/>
        <v/>
      </c>
      <c r="V70" s="240" t="str">
        <f>IFERROR(_xlfn.XLOOKUP($A70,Input_Raw!$A:$A,Input_Raw!$BS:$BS),"")</f>
        <v/>
      </c>
      <c r="W70" s="241">
        <f t="shared" si="7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0.83879714228537272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8"/>
        <v>0</v>
      </c>
    </row>
    <row r="71" spans="1:45">
      <c r="A71" s="232">
        <f t="shared" si="9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6"/>
        <v/>
      </c>
      <c r="V71" s="240" t="str">
        <f>IFERROR(_xlfn.XLOOKUP($A71,Input_Raw!$A:$A,Input_Raw!$BS:$BS),"")</f>
        <v/>
      </c>
      <c r="W71" s="241">
        <f t="shared" si="7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0.83879714228537272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8"/>
        <v>0</v>
      </c>
    </row>
    <row r="72" spans="1:45">
      <c r="A72" s="232">
        <f t="shared" si="9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6"/>
        <v/>
      </c>
      <c r="V72" s="240" t="str">
        <f>IFERROR(_xlfn.XLOOKUP($A72,Input_Raw!$A:$A,Input_Raw!$BS:$BS),"")</f>
        <v/>
      </c>
      <c r="W72" s="241">
        <f t="shared" si="7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0.83879714228537272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8"/>
        <v>0</v>
      </c>
    </row>
    <row r="73" spans="1:45">
      <c r="A73" s="232">
        <f t="shared" si="9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6"/>
        <v/>
      </c>
      <c r="V73" s="240" t="str">
        <f>IFERROR(_xlfn.XLOOKUP($A73,Input_Raw!$A:$A,Input_Raw!$BS:$BS),"")</f>
        <v/>
      </c>
      <c r="W73" s="241">
        <f t="shared" si="7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0.83879714228537272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8"/>
        <v>0</v>
      </c>
    </row>
    <row r="74" spans="1:45">
      <c r="A74" s="232">
        <f t="shared" si="9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0.83879714228537272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9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0.83879714228537272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0.83879714228537272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0.83879714228537272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0.83879714228537272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0.83879714228537272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0.83879714228537272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0.83879714228537272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0.83879714228537272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0.83879714228537272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0.83879714228537272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0.83879714228537272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0.83879714228537272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0.83879714228537272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0.83879714228537272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0.83879714228537272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0.83879714228537272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0.83879714228537272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0.83879714228537272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0.83879714228537272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5.4903225806451612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0.85116926356747413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5.4903225806451612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0.85116926356747413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5.4903225806451612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0.85116926356747413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5.4903225806451612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0.85116926356747413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5.4903225806451612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0.85116926356747413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5.4903225806451612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0.85116926356747413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5.4903225806451612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0.85116926356747413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5.4903225806451612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0.85116926356747413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5.4903225806451612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0.85116926356747413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5.4903225806451612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0.85116926356747413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5.4903225806451612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0.85116926356747413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5.4903225806451612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0.85116926356747413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5.4903225806451612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0.85116926356747413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5.4903225806451612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0.85116926356747413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5.4903225806451612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0.85116926356747413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5.4903225806451612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0.85116926356747413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5.4903225806451612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0.85116926356747413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5.4903225806451612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0.85116926356747413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5.4903225806451612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0.85116926356747413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5.4903225806451612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0.85116926356747413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5.4903225806451612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0.85116926356747413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5.4903225806451612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0.85116926356747413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5.4903225806451612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0.85116926356747413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5.4903225806451612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0.85116926356747413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5.4903225806451612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0.85116926356747413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5.4903225806451612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0.85116926356747413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5.4903225806451612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0.85116926356747413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5.4903225806451612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0.85116926356747413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5.4903225806451612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0.85116926356747413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5.4903225806451612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0.85116926356747413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5.4903225806451612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0.85116926356747413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5.58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0.84991556470989227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5.58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0.84991556470989227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5.58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0.84991556470989227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5.58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0.84991556470989227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5.58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0.84991556470989227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5.58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0.84991556470989227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5.58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0.84991556470989227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5.58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0.84991556470989227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5.58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0.84991556470989227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5.58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0.84991556470989227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5.58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0.84991556470989227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5.58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0.84991556470989227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5.58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0.84991556470989227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5.58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0.84991556470989227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5.58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0.84991556470989227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5.58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0.84991556470989227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5.58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0.84991556470989227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5.58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0.84991556470989227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5.58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0.84991556470989227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5.58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0.84991556470989227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5.58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0.84991556470989227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5.58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0.84991556470989227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5.58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0.84991556470989227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5.58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0.84991556470989227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5.58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0.84991556470989227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5.58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0.84991556470989227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5.58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0.84991556470989227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5.58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0.84991556470989227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5.58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0.84991556470989227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5.58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0.84991556470989227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5.5677419354838706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0.85077361625866543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5.5677419354838706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0.85077361625866543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5.5677419354838706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0.85077361625866543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5.5677419354838706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0.85077361625866543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5.5677419354838706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0.85077361625866543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5.5677419354838706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0.85077361625866543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5.5677419354838706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0.85077361625866543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5.5677419354838706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0.85077361625866543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5.5677419354838706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0.85077361625866543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5.5677419354838706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0.85077361625866543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5.5677419354838706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0.85077361625866543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5.5677419354838706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0.85077361625866543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5.5677419354838706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0.85077361625866543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5.5677419354838706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0.85077361625866543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5.5677419354838706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0.85077361625866543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5.5677419354838706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0.85077361625866543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5.5677419354838706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0.85077361625866543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5.5677419354838706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0.85077361625866543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5.5677419354838706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0.85077361625866543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5.5677419354838706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0.85077361625866543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5.5677419354838706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0.85077361625866543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5.5677419354838706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0.85077361625866543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5.5677419354838706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0.85077361625866543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5.5677419354838706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0.85077361625866543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5.5677419354838706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0.85077361625866543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5.5677419354838706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0.85077361625866543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5.5677419354838706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0.85077361625866543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5.5677419354838706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0.85077361625866543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5.5677419354838706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0.85077361625866543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5.5677419354838706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0.85077361625866543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5.5677419354838706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0.85077361625866543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5.8000000000000007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0.85195721512136013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5.8000000000000007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0.85195721512136013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5.8000000000000007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0.85195721512136013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5.8000000000000007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0.85195721512136013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5.8000000000000007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0.85195721512136013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5.8000000000000007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0.85195721512136013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5.8000000000000007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0.85195721512136013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5.8000000000000007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0.85195721512136013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5.8000000000000007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0.85195721512136013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5.8000000000000007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0.85195721512136013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5.8000000000000007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0.85195721512136013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5.8000000000000007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0.85195721512136013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5.8000000000000007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0.85195721512136013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5.8000000000000007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0.85195721512136013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5.8000000000000007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0.85195721512136013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5.8000000000000007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0.85195721512136013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5.8000000000000007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0.85195721512136013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5.8000000000000007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0.85195721512136013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5.8000000000000007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0.85195721512136013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5.8000000000000007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0.85195721512136013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5.8000000000000007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0.85195721512136013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5.8000000000000007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0.85195721512136013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5.8000000000000007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0.85195721512136013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5.8000000000000007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0.85195721512136013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5.8000000000000007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0.85195721512136013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5.8000000000000007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0.85195721512136013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5.8000000000000007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0.85195721512136013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5.8000000000000007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0.85195721512136013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5.8000000000000007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0.85195721512136013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5.8000000000000007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0.85195721512136013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5.8000000000000007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0.85195721512136013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6.5321428571428575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0.83656439316254438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6.5321428571428575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0.83656439316254438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6.5321428571428575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0.83656439316254438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6.5321428571428575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0.83656439316254438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6.5321428571428575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0.83656439316254438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6.5321428571428575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0.83656439316254438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6.5321428571428575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0.83656439316254438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6.5321428571428575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0.83656439316254438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6.5321428571428575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0.83656439316254438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6.5321428571428575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0.83656439316254438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6.5321428571428575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0.83656439316254438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6.5321428571428575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0.83656439316254438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6.5321428571428575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0.83656439316254438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6.5321428571428575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0.83656439316254438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6.5321428571428575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0.83656439316254438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6.5321428571428575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0.83656439316254438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6.5321428571428575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0.83656439316254438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6.5321428571428575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0.83656439316254438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6.5321428571428575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0.83656439316254438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6.5321428571428575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0.83656439316254438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6.5321428571428575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0.83656439316254438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6.5321428571428575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0.83656439316254438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6.5321428571428575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0.83656439316254438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6.5321428571428575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0.83656439316254438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6.5321428571428575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0.83656439316254438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6.5321428571428575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0.83656439316254438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6.5321428571428575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0.83656439316254438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6.5321428571428575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0.83656439316254438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6.8774193548387093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0.82533039162869648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6.8774193548387093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0.82533039162869648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6.8774193548387093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0.82533039162869648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6.8774193548387093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0.82533039162869648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6.8774193548387093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0.82533039162869648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6.8774193548387093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0.82533039162869648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6.8774193548387093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0.82533039162869648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6.8774193548387093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0.82533039162869648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6.8774193548387093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0.82533039162869648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6.8774193548387093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0.82533039162869648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6.8774193548387093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0.82533039162869648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6.8774193548387093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0.82533039162869648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6.8774193548387093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0.82533039162869648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6.8774193548387093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0.82533039162869648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6.8774193548387093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0.82533039162869648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6.8774193548387093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0.82533039162869648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6.8774193548387093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0.82533039162869648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6.8774193548387093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0.82533039162869648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6.8774193548387093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0.82533039162869648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6.8774193548387093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0.82533039162869648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6.8774193548387093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0.82533039162869648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6.8774193548387093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0.82533039162869648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6.8774193548387093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0.82533039162869648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6.8774193548387093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0.82533039162869648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6.8774193548387093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0.82533039162869648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6.8774193548387093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0.82533039162869648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6.8774193548387093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0.82533039162869648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6.8774193548387093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0.82533039162869648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6.8774193548387093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0.82533039162869648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6.8774193548387093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0.82533039162869648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6.8774193548387093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0.82533039162869648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zoomScale="85" zoomScaleNormal="85" workbookViewId="0">
      <pane xSplit="5" ySplit="4" topLeftCell="F14" activePane="bottomRight" state="frozen"/>
      <selection pane="topRight" activeCell="F1" sqref="F1"/>
      <selection pane="bottomLeft" activeCell="A5" sqref="A5"/>
      <selection pane="bottomRight" activeCell="A27" sqref="A27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576</v>
      </c>
      <c r="AF4" s="14" t="s">
        <v>577</v>
      </c>
      <c r="AG4" s="14" t="s">
        <v>578</v>
      </c>
      <c r="AH4" s="14" t="s">
        <v>579</v>
      </c>
      <c r="AI4" s="14" t="s">
        <v>580</v>
      </c>
      <c r="AJ4" s="14" t="s">
        <v>581</v>
      </c>
      <c r="AK4" s="14" t="s">
        <v>582</v>
      </c>
      <c r="AL4" s="14" t="s">
        <v>583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569</v>
      </c>
      <c r="AW4" s="57" t="s">
        <v>130</v>
      </c>
      <c r="AX4" s="56" t="s">
        <v>570</v>
      </c>
      <c r="AY4" s="56" t="s">
        <v>571</v>
      </c>
      <c r="AZ4" s="56" t="s">
        <v>572</v>
      </c>
      <c r="BA4" s="56" t="s">
        <v>573</v>
      </c>
      <c r="BB4" s="56" t="s">
        <v>574</v>
      </c>
      <c r="BC4" s="56" t="s">
        <v>575</v>
      </c>
      <c r="BD4" s="56" t="s">
        <v>584</v>
      </c>
      <c r="BE4" s="56" t="s">
        <v>585</v>
      </c>
      <c r="BF4" s="56" t="s">
        <v>586</v>
      </c>
      <c r="BG4" s="56" t="s">
        <v>588</v>
      </c>
      <c r="BH4" s="56" t="s">
        <v>589</v>
      </c>
      <c r="BI4" s="56" t="s">
        <v>590</v>
      </c>
      <c r="BJ4" s="56" t="s">
        <v>587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Row],[O2RE9]:[O2RE192]])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Row],[O2RE9]:[O2RE192]])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Row],[O2RE9]:[O2RE192]])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Row],[O2RE9]:[O2RE192]])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Row],[O2RE9]:[O2RE192]])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Row],[O2RE9]:[O2RE192]])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Row],[O2RE9]:[O2RE192]])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Row],[O2RE9]:[O2RE192]])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Row],[O2RE9]:[O2RE192]])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Row],[O2RE9]:[O2RE192]])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Row],[O2RE9]:[O2RE192]])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Row],[O2RE9]:[O2RE192]])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Row],[O2RE9]:[O2RE192]])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Row],[O2RE9]:[O2RE192]])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Row],[O2RE9]:[O2RE192]])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Row],[O2RE9]:[O2RE192]])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Row],[O2RE9]:[O2RE192]])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Row],[O2RE9]:[O2RE192]])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Row],[O2RE9]:[O2RE192]])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Row],[O2RE9]:[O2RE192]])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Row],[O2RE9]:[O2RE192]])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Row],[O2RE9]:[O2RE192]])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>
        <v>0.28055555555555556</v>
      </c>
      <c r="G27" s="121">
        <v>0.76736111111111116</v>
      </c>
      <c r="H27" s="137">
        <v>2734.7</v>
      </c>
      <c r="I27" s="137">
        <v>2277.5</v>
      </c>
      <c r="J27" s="137">
        <v>2500.8000000000002</v>
      </c>
      <c r="K27" s="137">
        <v>2572.6999999999998</v>
      </c>
      <c r="L27" s="137">
        <v>2620.3000000000002</v>
      </c>
      <c r="M27" s="137">
        <v>2575.5</v>
      </c>
      <c r="N27" s="137">
        <v>2811.5</v>
      </c>
      <c r="O27" s="137">
        <v>2678.4</v>
      </c>
      <c r="P27" s="137">
        <v>2891.5</v>
      </c>
      <c r="Q27" s="137">
        <v>2878.8</v>
      </c>
      <c r="R27" s="137">
        <v>2896.2</v>
      </c>
      <c r="S27" s="137">
        <v>2819.7</v>
      </c>
      <c r="T27" s="137">
        <v>2783.9</v>
      </c>
      <c r="U27" s="137">
        <v>2814.6</v>
      </c>
      <c r="V27" s="137">
        <v>2740.7</v>
      </c>
      <c r="W27" s="137">
        <v>2779.2</v>
      </c>
      <c r="X27" s="137">
        <v>2585.5</v>
      </c>
      <c r="Y27" s="137">
        <v>2662.2</v>
      </c>
      <c r="Z27" s="137">
        <v>2710.6</v>
      </c>
      <c r="AA27" s="137">
        <v>2228.6</v>
      </c>
      <c r="AB27" s="137">
        <v>2627.7</v>
      </c>
      <c r="AC27" s="137">
        <v>1419.7</v>
      </c>
      <c r="AD27" s="137">
        <v>1517.3</v>
      </c>
      <c r="AE27" s="166"/>
      <c r="AF27" s="166"/>
      <c r="AG27" s="166"/>
      <c r="AH27" s="166"/>
      <c r="AI27" s="166"/>
      <c r="AJ27" s="166"/>
      <c r="AK27" s="166"/>
      <c r="AL27" s="166"/>
      <c r="AM27" s="58">
        <v>1.8685395516666676</v>
      </c>
      <c r="AN27" s="58">
        <v>1.7860710483333346</v>
      </c>
      <c r="AO27" s="58">
        <v>24.353908282208593</v>
      </c>
      <c r="AP27" s="58">
        <v>27.326814263803733</v>
      </c>
      <c r="AQ27" s="58">
        <v>88.979874233128712</v>
      </c>
      <c r="AR27" s="58">
        <v>0</v>
      </c>
      <c r="AS27" s="58">
        <v>4.0177453987730072</v>
      </c>
      <c r="AT27" s="58">
        <v>8.6199999999999992</v>
      </c>
      <c r="AU27" s="60">
        <f>SUM(RD[[#This Row],[IS2Inv1M1]:[IS4Inv1M3]])</f>
        <v>45961.499999999993</v>
      </c>
      <c r="AV27" s="60">
        <f>SUM(RD[[#This Row],[IS5Inv1M1]:[IS5Inv2M3]])</f>
        <v>13166.099999999999</v>
      </c>
      <c r="AW27" s="60">
        <f>SUM(RD[[#This Row],[O2RE9]:[O2RE192]])</f>
        <v>59127.599999999991</v>
      </c>
      <c r="AX27" s="152">
        <v>2870</v>
      </c>
      <c r="AY27" s="152"/>
      <c r="AZ27" s="152">
        <v>46</v>
      </c>
      <c r="BA27" s="152">
        <v>2624</v>
      </c>
      <c r="BB27" s="152"/>
      <c r="BC27" s="152">
        <v>51</v>
      </c>
      <c r="BD27" s="153">
        <f>IF((RD[[#This Row],[33 kV_F1_Ex (O2RE9)]]-AX26)*300&lt;=0,"",(RD[[#This Row],[33 kV_F1_Ex (O2RE9)]]-AX26)*300)</f>
        <v>46200</v>
      </c>
      <c r="BE27" s="153">
        <f>IF((RD[[#This Row],[33kV_OG1_Ex (O2RE9)]]-AY26)*1000&lt;=0,0,(RD[[#This Row],[33kV_OG1_Ex (O2RE9)]]-AY26)*1000)</f>
        <v>0</v>
      </c>
      <c r="BF27" s="153"/>
      <c r="BG27" s="153">
        <f>IF((RD[[#This Row],[33 kV_F2_Ex (O2RE19)]]-BA26)*90&lt;=0,"",(RD[[#This Row],[33 kV_F2_Ex (O2RE19)]]-BA26)*90)</f>
        <v>13410</v>
      </c>
      <c r="BH27" s="153">
        <f>IF((RD[[#This Row],[33kV_OG2_Ex (O2RE19)]]-BB26)*1000&lt;=0,0,(RD[[#This Row],[33kV_OG2_Ex (O2RE19)]]-BB26)*1000)</f>
        <v>0</v>
      </c>
      <c r="BI27" s="153">
        <f>IF((RD[[#This Row],[33kV_Aux2_Im (O2RE19)]]-BC26)*90&lt;0,"",(RD[[#This Row],[33kV_Aux2_Im (O2RE19)]]-BC26)*90)</f>
        <v>180</v>
      </c>
      <c r="BJ27" s="153">
        <f>IF((RD[[#This Row],[33kV_Aux1_Im (O2RE9)]]-AZ26)*90&lt;0,"",(RD[[#This Row],[33kV_Aux1_Im (O2RE9)]]-AZ26)*90)</f>
        <v>180</v>
      </c>
      <c r="BK27" s="153">
        <f>SUM(RD[[#This Row],[33kV_OG1_O2RE9_Energy (KWh)]],RD[[#This Row],[33kV_OG2_O2RE19_Energy (KWh)]])</f>
        <v>0</v>
      </c>
      <c r="BL27" s="62">
        <f>IFERROR(RD[[#This Row],[33 kV Total Export (KWH)]]/RD[[#This Row],[Inv Total Gneration (MWh)]]-1,"")</f>
        <v>-1</v>
      </c>
      <c r="BM27" s="63">
        <f>IFERROR((RD[[#This Row],[Sunset Time (POA&lt;20 W/m2)]]-RD[[#This Row],[Sunrise Time (POA&gt;20 W/m2)]])*24,0)</f>
        <v>11.683333333333334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>
        <v>30.83</v>
      </c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/>
      <c r="G28" s="121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66"/>
      <c r="AF28" s="166"/>
      <c r="AG28" s="166"/>
      <c r="AH28" s="166"/>
      <c r="AI28" s="166"/>
      <c r="AJ28" s="166"/>
      <c r="AK28" s="166"/>
      <c r="AL28" s="166"/>
      <c r="AM28" s="58"/>
      <c r="AN28" s="58"/>
      <c r="AO28" s="58"/>
      <c r="AP28" s="58"/>
      <c r="AQ28" s="58"/>
      <c r="AR28" s="58"/>
      <c r="AS28" s="58"/>
      <c r="AT28" s="58"/>
      <c r="AU28" s="60">
        <f>SUM(RD[[#This Row],[IS2Inv1M1]:[IS4Inv1M3]])</f>
        <v>0</v>
      </c>
      <c r="AV28" s="60">
        <f>SUM(RD[[#This Row],[IS5Inv1M1]:[IS5Inv2M3]])</f>
        <v>0</v>
      </c>
      <c r="AW28" s="60">
        <f>SUM(RD[[#This Row],[O2RE9]:[O2RE192]])</f>
        <v>0</v>
      </c>
      <c r="AX28" s="152"/>
      <c r="AY28" s="152"/>
      <c r="AZ28" s="152"/>
      <c r="BA28" s="152"/>
      <c r="BB28" s="152"/>
      <c r="BC28" s="152"/>
      <c r="BD28" s="153" t="str">
        <f>IF((RD[[#This Row],[33 kV_F1_Ex (O2RE9)]]-AX27)*300&lt;=0,"",(RD[[#This Row],[33 kV_F1_Ex (O2RE9)]]-AX27)*300)</f>
        <v/>
      </c>
      <c r="BE28" s="153">
        <f>IF((RD[[#This Row],[33kV_OG1_Ex (O2RE9)]]-AY27)*1000&lt;=0,0,(RD[[#This Row],[33kV_OG1_Ex (O2RE9)]]-AY27)*1000)</f>
        <v>0</v>
      </c>
      <c r="BF28" s="153"/>
      <c r="BG28" s="153" t="str">
        <f>IF((RD[[#This Row],[33 kV_F2_Ex (O2RE19)]]-BA27)*90&lt;=0,"",(RD[[#This Row],[33 kV_F2_Ex (O2RE19)]]-BA27)*90)</f>
        <v/>
      </c>
      <c r="BH28" s="153">
        <f>IF((RD[[#This Row],[33kV_OG2_Ex (O2RE19)]]-BB27)*1000&lt;=0,0,(RD[[#This Row],[33kV_OG2_Ex (O2RE19)]]-BB27)*1000)</f>
        <v>0</v>
      </c>
      <c r="BI28" s="153" t="str">
        <f>IF((RD[[#This Row],[33kV_Aux2_Im (O2RE19)]]-BC27)*90&lt;0,"",(RD[[#This Row],[33kV_Aux2_Im (O2RE19)]]-BC27)*90)</f>
        <v/>
      </c>
      <c r="BJ28" s="153" t="str">
        <f>IF((RD[[#This Row],[33kV_Aux1_Im (O2RE9)]]-AZ27)*90&lt;0,"",(RD[[#This Row],[33kV_Aux1_Im (O2RE9)]]-AZ27)*90)</f>
        <v/>
      </c>
      <c r="BK28" s="153">
        <f>SUM(RD[[#This Row],[33kV_OG1_O2RE9_Energy (KWh)]],RD[[#This Row],[33kV_OG2_O2RE19_Energy (KWh)]])</f>
        <v>0</v>
      </c>
      <c r="BL28" s="62" t="str">
        <f>IFERROR(RD[[#This Row],[33 kV Total Export (KWH)]]/RD[[#This Row],[Inv Total Gneration (MWh)]]-1,"")</f>
        <v/>
      </c>
      <c r="BM28" s="63">
        <f>IFERROR((RD[[#This Row],[Sunset Time (POA&lt;20 W/m2)]]-RD[[#This Row],[Sunrise Time (POA&gt;20 W/m2)]])*24,0)</f>
        <v>0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/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/>
      <c r="G29" s="121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66"/>
      <c r="AF29" s="166"/>
      <c r="AG29" s="166"/>
      <c r="AH29" s="166"/>
      <c r="AI29" s="166"/>
      <c r="AJ29" s="166"/>
      <c r="AK29" s="166"/>
      <c r="AL29" s="166"/>
      <c r="AM29" s="58"/>
      <c r="AN29" s="58"/>
      <c r="AO29" s="58"/>
      <c r="AP29" s="58"/>
      <c r="AQ29" s="58"/>
      <c r="AR29" s="58"/>
      <c r="AS29" s="58"/>
      <c r="AT29" s="58"/>
      <c r="AU29" s="60">
        <f>SUM(RD[[#This Row],[IS2Inv1M1]:[IS4Inv1M3]])</f>
        <v>0</v>
      </c>
      <c r="AV29" s="60">
        <f>SUM(RD[[#This Row],[IS5Inv1M1]:[IS5Inv2M3]])</f>
        <v>0</v>
      </c>
      <c r="AW29" s="60">
        <f>SUM(RD[[#This Row],[O2RE9]:[O2RE192]])</f>
        <v>0</v>
      </c>
      <c r="AX29" s="152"/>
      <c r="AY29" s="152"/>
      <c r="AZ29" s="152"/>
      <c r="BA29" s="152"/>
      <c r="BB29" s="152"/>
      <c r="BC29" s="152"/>
      <c r="BD29" s="153" t="str">
        <f>IF((RD[[#This Row],[33 kV_F1_Ex (O2RE9)]]-AX28)*300&lt;=0,"",(RD[[#This Row],[33 kV_F1_Ex (O2RE9)]]-AX28)*300)</f>
        <v/>
      </c>
      <c r="BE29" s="153">
        <f>IF((RD[[#This Row],[33kV_OG1_Ex (O2RE9)]]-AY28)*1000&lt;=0,0,(RD[[#This Row],[33kV_OG1_Ex (O2RE9)]]-AY28)*1000)</f>
        <v>0</v>
      </c>
      <c r="BF29" s="153"/>
      <c r="BG29" s="153" t="str">
        <f>IF((RD[[#This Row],[33 kV_F2_Ex (O2RE19)]]-BA28)*90&lt;=0,"",(RD[[#This Row],[33 kV_F2_Ex (O2RE19)]]-BA28)*90)</f>
        <v/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0</v>
      </c>
      <c r="BJ29" s="153">
        <f>IF((RD[[#This Row],[33kV_Aux1_Im (O2RE9)]]-AZ28)*90&lt;0,"",(RD[[#This Row],[33kV_Aux1_Im (O2RE9)]]-AZ28)*90)</f>
        <v>0</v>
      </c>
      <c r="BK29" s="153">
        <f>SUM(RD[[#This Row],[33kV_OG1_O2RE9_Energy (KWh)]],RD[[#This Row],[33kV_OG2_O2RE19_Energy (KWh)]])</f>
        <v>0</v>
      </c>
      <c r="BL29" s="62" t="str">
        <f>IFERROR(RD[[#This Row],[33 kV Total Export (KWH)]]/RD[[#This Row],[Inv Total Gneration (MWh)]]-1,"")</f>
        <v/>
      </c>
      <c r="BM29" s="63">
        <f>IFERROR((RD[[#This Row],[Sunset Time (POA&lt;20 W/m2)]]-RD[[#This Row],[Sunrise Time (POA&gt;20 W/m2)]])*24,0)</f>
        <v>0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/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/>
      <c r="G30" s="121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66"/>
      <c r="AF30" s="166"/>
      <c r="AG30" s="166"/>
      <c r="AH30" s="166"/>
      <c r="AI30" s="166"/>
      <c r="AJ30" s="166"/>
      <c r="AK30" s="166"/>
      <c r="AL30" s="166"/>
      <c r="AM30" s="58"/>
      <c r="AN30" s="58"/>
      <c r="AO30" s="58"/>
      <c r="AP30" s="58"/>
      <c r="AQ30" s="58"/>
      <c r="AR30" s="58"/>
      <c r="AS30" s="58"/>
      <c r="AT30" s="58"/>
      <c r="AU30" s="60">
        <f>SUM(RD[[#This Row],[IS2Inv1M1]:[IS4Inv1M3]])</f>
        <v>0</v>
      </c>
      <c r="AV30" s="60">
        <f>SUM(RD[[#This Row],[IS5Inv1M1]:[IS5Inv2M3]])</f>
        <v>0</v>
      </c>
      <c r="AW30" s="60">
        <f>SUM(RD[[#This Row],[O2RE9]:[O2RE192]])</f>
        <v>0</v>
      </c>
      <c r="AX30" s="152"/>
      <c r="AY30" s="152"/>
      <c r="AZ30" s="152"/>
      <c r="BA30" s="152"/>
      <c r="BB30" s="152"/>
      <c r="BC30" s="152"/>
      <c r="BD30" s="153" t="str">
        <f>IF((RD[[#This Row],[33 kV_F1_Ex (O2RE9)]]-AX29)*300&lt;=0,"",(RD[[#This Row],[33 kV_F1_Ex (O2RE9)]]-AX29)*300)</f>
        <v/>
      </c>
      <c r="BE30" s="153">
        <f>IF((RD[[#This Row],[33kV_OG1_Ex (O2RE9)]]-AY29)*1000&lt;=0,0,(RD[[#This Row],[33kV_OG1_Ex (O2RE9)]]-AY29)*1000)</f>
        <v>0</v>
      </c>
      <c r="BF30" s="153"/>
      <c r="BG30" s="153" t="str">
        <f>IF((RD[[#This Row],[33 kV_F2_Ex (O2RE19)]]-BA29)*90&lt;=0,"",(RD[[#This Row],[33 kV_F2_Ex (O2RE19)]]-BA29)*90)</f>
        <v/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0</v>
      </c>
      <c r="BJ30" s="153">
        <f>IF((RD[[#This Row],[33kV_Aux1_Im (O2RE9)]]-AZ29)*90&lt;0,"",(RD[[#This Row],[33kV_Aux1_Im (O2RE9)]]-AZ29)*90)</f>
        <v>0</v>
      </c>
      <c r="BK30" s="153">
        <f>SUM(RD[[#This Row],[33kV_OG1_O2RE9_Energy (KWh)]],RD[[#This Row],[33kV_OG2_O2RE19_Energy (KWh)]])</f>
        <v>0</v>
      </c>
      <c r="BL30" s="62" t="str">
        <f>IFERROR(RD[[#This Row],[33 kV Total Export (KWH)]]/RD[[#This Row],[Inv Total Gneration (MWh)]]-1,"")</f>
        <v/>
      </c>
      <c r="BM30" s="63">
        <f>IFERROR((RD[[#This Row],[Sunset Time (POA&lt;20 W/m2)]]-RD[[#This Row],[Sunrise Time (POA&gt;20 W/m2)]])*24,0)</f>
        <v>0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/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/>
      <c r="G31" s="121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66"/>
      <c r="AF31" s="166"/>
      <c r="AG31" s="166"/>
      <c r="AH31" s="166"/>
      <c r="AI31" s="166"/>
      <c r="AJ31" s="166"/>
      <c r="AK31" s="166"/>
      <c r="AL31" s="166"/>
      <c r="AM31" s="58"/>
      <c r="AN31" s="58"/>
      <c r="AO31" s="58"/>
      <c r="AP31" s="58"/>
      <c r="AQ31" s="58"/>
      <c r="AR31" s="58"/>
      <c r="AS31" s="58"/>
      <c r="AT31" s="58"/>
      <c r="AU31" s="60">
        <f>SUM(RD[[#This Row],[IS2Inv1M1]:[IS4Inv1M3]])</f>
        <v>0</v>
      </c>
      <c r="AV31" s="60">
        <f>SUM(RD[[#This Row],[IS5Inv1M1]:[IS5Inv2M3]])</f>
        <v>0</v>
      </c>
      <c r="AW31" s="60">
        <f>SUM(RD[[#This Row],[O2RE9]:[O2RE192]])</f>
        <v>0</v>
      </c>
      <c r="AX31" s="152"/>
      <c r="AY31" s="152"/>
      <c r="AZ31" s="152"/>
      <c r="BA31" s="152"/>
      <c r="BB31" s="152"/>
      <c r="BC31" s="152"/>
      <c r="BD31" s="153" t="str">
        <f>IF((RD[[#This Row],[33 kV_F1_Ex (O2RE9)]]-AX30)*300&lt;=0,"",(RD[[#This Row],[33 kV_F1_Ex (O2RE9)]]-AX30)*300)</f>
        <v/>
      </c>
      <c r="BE31" s="153">
        <f>IF((RD[[#This Row],[33kV_OG1_Ex (O2RE9)]]-AY30)*1000&lt;=0,0,(RD[[#This Row],[33kV_OG1_Ex (O2RE9)]]-AY30)*1000)</f>
        <v>0</v>
      </c>
      <c r="BF31" s="153"/>
      <c r="BG31" s="153" t="str">
        <f>IF((RD[[#This Row],[33 kV_F2_Ex (O2RE19)]]-BA30)*90&lt;=0,"",(RD[[#This Row],[33 kV_F2_Ex (O2RE19)]]-BA30)*90)</f>
        <v/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0</v>
      </c>
      <c r="BJ31" s="153">
        <f>IF((RD[[#This Row],[33kV_Aux1_Im (O2RE9)]]-AZ30)*90&lt;0,"",(RD[[#This Row],[33kV_Aux1_Im (O2RE9)]]-AZ30)*90)</f>
        <v>0</v>
      </c>
      <c r="BK31" s="153">
        <f>SUM(RD[[#This Row],[33kV_OG1_O2RE9_Energy (KWh)]],RD[[#This Row],[33kV_OG2_O2RE19_Energy (KWh)]])</f>
        <v>0</v>
      </c>
      <c r="BL31" s="62" t="str">
        <f>IFERROR(RD[[#This Row],[33 kV Total Export (KWH)]]/RD[[#This Row],[Inv Total Gneration (MWh)]]-1,"")</f>
        <v/>
      </c>
      <c r="BM31" s="63">
        <f>IFERROR((RD[[#This Row],[Sunset Time (POA&lt;20 W/m2)]]-RD[[#This Row],[Sunrise Time (POA&gt;20 W/m2)]])*24,0)</f>
        <v>0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/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/>
      <c r="G32" s="121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66"/>
      <c r="AF32" s="166"/>
      <c r="AG32" s="166"/>
      <c r="AH32" s="166"/>
      <c r="AI32" s="166"/>
      <c r="AJ32" s="166"/>
      <c r="AK32" s="166"/>
      <c r="AL32" s="166"/>
      <c r="AM32" s="58"/>
      <c r="AN32" s="58"/>
      <c r="AO32" s="58"/>
      <c r="AP32" s="58"/>
      <c r="AQ32" s="58"/>
      <c r="AR32" s="58"/>
      <c r="AS32" s="58"/>
      <c r="AT32" s="58"/>
      <c r="AU32" s="60">
        <f>SUM(RD[[#This Row],[IS2Inv1M1]:[IS4Inv1M3]])</f>
        <v>0</v>
      </c>
      <c r="AV32" s="60">
        <f>SUM(RD[[#This Row],[IS5Inv1M1]:[IS5Inv2M3]])</f>
        <v>0</v>
      </c>
      <c r="AW32" s="60">
        <f>SUM(RD[[#This Row],[O2RE9]:[O2RE192]])</f>
        <v>0</v>
      </c>
      <c r="AX32" s="152"/>
      <c r="AY32" s="152"/>
      <c r="AZ32" s="152"/>
      <c r="BA32" s="152"/>
      <c r="BB32" s="152"/>
      <c r="BC32" s="152"/>
      <c r="BD32" s="153" t="str">
        <f>IF((RD[[#This Row],[33 kV_F1_Ex (O2RE9)]]-AX31)*300&lt;=0,"",(RD[[#This Row],[33 kV_F1_Ex (O2RE9)]]-AX31)*300)</f>
        <v/>
      </c>
      <c r="BE32" s="153">
        <f>IF((RD[[#This Row],[33kV_OG1_Ex (O2RE9)]]-AY31)*1000&lt;=0,0,(RD[[#This Row],[33kV_OG1_Ex (O2RE9)]]-AY31)*1000)</f>
        <v>0</v>
      </c>
      <c r="BF32" s="153"/>
      <c r="BG32" s="153" t="str">
        <f>IF((RD[[#This Row],[33 kV_F2_Ex (O2RE19)]]-BA31)*90&lt;=0,"",(RD[[#This Row],[33 kV_F2_Ex (O2RE19)]]-BA31)*90)</f>
        <v/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0</v>
      </c>
      <c r="BJ32" s="153">
        <f>IF((RD[[#This Row],[33kV_Aux1_Im (O2RE9)]]-AZ31)*90&lt;0,"",(RD[[#This Row],[33kV_Aux1_Im (O2RE9)]]-AZ31)*90)</f>
        <v>0</v>
      </c>
      <c r="BK32" s="153">
        <f>SUM(RD[[#This Row],[33kV_OG1_O2RE9_Energy (KWh)]],RD[[#This Row],[33kV_OG2_O2RE19_Energy (KWh)]])</f>
        <v>0</v>
      </c>
      <c r="BL32" s="62" t="str">
        <f>IFERROR(RD[[#This Row],[33 kV Total Export (KWH)]]/RD[[#This Row],[Inv Total Gneration (MWh)]]-1,"")</f>
        <v/>
      </c>
      <c r="BM32" s="63">
        <f>IFERROR((RD[[#This Row],[Sunset Time (POA&lt;20 W/m2)]]-RD[[#This Row],[Sunrise Time (POA&gt;20 W/m2)]])*24,0)</f>
        <v>0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/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/>
      <c r="G33" s="121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66"/>
      <c r="AF33" s="166"/>
      <c r="AG33" s="166"/>
      <c r="AH33" s="166"/>
      <c r="AI33" s="166"/>
      <c r="AJ33" s="166"/>
      <c r="AK33" s="166"/>
      <c r="AL33" s="166"/>
      <c r="AM33" s="58"/>
      <c r="AN33" s="58"/>
      <c r="AO33" s="58"/>
      <c r="AP33" s="58"/>
      <c r="AQ33" s="58"/>
      <c r="AR33" s="58"/>
      <c r="AS33" s="58"/>
      <c r="AT33" s="58"/>
      <c r="AU33" s="60">
        <f>SUM(RD[[#This Row],[IS2Inv1M1]:[IS4Inv1M3]])</f>
        <v>0</v>
      </c>
      <c r="AV33" s="60">
        <f>SUM(RD[[#This Row],[IS5Inv1M1]:[IS5Inv2M3]])</f>
        <v>0</v>
      </c>
      <c r="AW33" s="60">
        <f>SUM(RD[[#This Row],[O2RE9]:[O2RE192]])</f>
        <v>0</v>
      </c>
      <c r="AX33" s="152"/>
      <c r="AY33" s="152"/>
      <c r="AZ33" s="152"/>
      <c r="BA33" s="152"/>
      <c r="BB33" s="152"/>
      <c r="BC33" s="152"/>
      <c r="BD33" s="153" t="str">
        <f>IF((RD[[#This Row],[33 kV_F1_Ex (O2RE9)]]-AX32)*300&lt;=0,"",(RD[[#This Row],[33 kV_F1_Ex (O2RE9)]]-AX32)*300)</f>
        <v/>
      </c>
      <c r="BE33" s="153">
        <f>IF((RD[[#This Row],[33kV_OG1_Ex (O2RE9)]]-AY32)*1000&lt;=0,0,(RD[[#This Row],[33kV_OG1_Ex (O2RE9)]]-AY32)*1000)</f>
        <v>0</v>
      </c>
      <c r="BF33" s="153"/>
      <c r="BG33" s="153" t="str">
        <f>IF((RD[[#This Row],[33 kV_F2_Ex (O2RE19)]]-BA32)*90&lt;=0,"",(RD[[#This Row],[33 kV_F2_Ex (O2RE19)]]-BA32)*90)</f>
        <v/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 t="str">
        <f>IFERROR(RD[[#This Row],[33 kV Total Export (KWH)]]/RD[[#This Row],[Inv Total Gneration (MWh)]]-1,"")</f>
        <v/>
      </c>
      <c r="BM33" s="63">
        <f>IFERROR((RD[[#This Row],[Sunset Time (POA&lt;20 W/m2)]]-RD[[#This Row],[Sunrise Time (POA&gt;20 W/m2)]])*24,0)</f>
        <v>0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/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/>
      <c r="G34" s="121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66"/>
      <c r="AF34" s="166"/>
      <c r="AG34" s="166"/>
      <c r="AH34" s="166"/>
      <c r="AI34" s="166"/>
      <c r="AJ34" s="166"/>
      <c r="AK34" s="166"/>
      <c r="AL34" s="166"/>
      <c r="AM34" s="58"/>
      <c r="AN34" s="58"/>
      <c r="AO34" s="58"/>
      <c r="AP34" s="58"/>
      <c r="AQ34" s="58"/>
      <c r="AR34" s="58"/>
      <c r="AS34" s="58"/>
      <c r="AT34" s="58"/>
      <c r="AU34" s="60">
        <f>SUM(RD[[#This Row],[IS2Inv1M1]:[IS4Inv1M3]])</f>
        <v>0</v>
      </c>
      <c r="AV34" s="60">
        <f>SUM(RD[[#This Row],[IS5Inv1M1]:[IS5Inv2M3]])</f>
        <v>0</v>
      </c>
      <c r="AW34" s="60">
        <f>SUM(RD[[#This Row],[O2RE9]:[O2RE192]])</f>
        <v>0</v>
      </c>
      <c r="AX34" s="152"/>
      <c r="AY34" s="152"/>
      <c r="AZ34" s="152"/>
      <c r="BA34" s="152"/>
      <c r="BB34" s="152"/>
      <c r="BC34" s="152"/>
      <c r="BD34" s="153" t="str">
        <f>IF((RD[[#This Row],[33 kV_F1_Ex (O2RE9)]]-AX33)*300&lt;=0,"",(RD[[#This Row],[33 kV_F1_Ex (O2RE9)]]-AX33)*300)</f>
        <v/>
      </c>
      <c r="BE34" s="153">
        <f>IF((RD[[#This Row],[33kV_OG1_Ex (O2RE9)]]-AY33)*1000&lt;=0,0,(RD[[#This Row],[33kV_OG1_Ex (O2RE9)]]-AY33)*1000)</f>
        <v>0</v>
      </c>
      <c r="BF34" s="153"/>
      <c r="BG34" s="153" t="str">
        <f>IF((RD[[#This Row],[33 kV_F2_Ex (O2RE19)]]-BA33)*90&lt;=0,"",(RD[[#This Row],[33 kV_F2_Ex (O2RE19)]]-BA33)*90)</f>
        <v/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0</v>
      </c>
      <c r="BJ34" s="153">
        <f>IF((RD[[#This Row],[33kV_Aux1_Im (O2RE9)]]-AZ33)*90&lt;0,"",(RD[[#This Row],[33kV_Aux1_Im (O2RE9)]]-AZ33)*90)</f>
        <v>0</v>
      </c>
      <c r="BK34" s="153">
        <f>SUM(RD[[#This Row],[33kV_OG1_O2RE9_Energy (KWh)]],RD[[#This Row],[33kV_OG2_O2RE19_Energy (KWh)]])</f>
        <v>0</v>
      </c>
      <c r="BL34" s="62" t="str">
        <f>IFERROR(RD[[#This Row],[33 kV Total Export (KWH)]]/RD[[#This Row],[Inv Total Gneration (MWh)]]-1,"")</f>
        <v/>
      </c>
      <c r="BM34" s="63">
        <f>IFERROR((RD[[#This Row],[Sunset Time (POA&lt;20 W/m2)]]-RD[[#This Row],[Sunrise Time (POA&gt;20 W/m2)]])*24,0)</f>
        <v>0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/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/>
      <c r="G35" s="121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66"/>
      <c r="AF35" s="166"/>
      <c r="AG35" s="166"/>
      <c r="AH35" s="166"/>
      <c r="AI35" s="166"/>
      <c r="AJ35" s="166"/>
      <c r="AK35" s="166"/>
      <c r="AL35" s="166"/>
      <c r="AM35" s="58"/>
      <c r="AN35" s="58"/>
      <c r="AO35" s="58"/>
      <c r="AP35" s="58"/>
      <c r="AQ35" s="58"/>
      <c r="AR35" s="58"/>
      <c r="AS35" s="58"/>
      <c r="AT35" s="58"/>
      <c r="AU35" s="60">
        <f>SUM(RD[[#This Row],[IS2Inv1M1]:[IS4Inv1M3]])</f>
        <v>0</v>
      </c>
      <c r="AV35" s="60">
        <f>SUM(RD[[#This Row],[IS5Inv1M1]:[IS5Inv2M3]])</f>
        <v>0</v>
      </c>
      <c r="AW35" s="60">
        <f>SUM(RD[[#This Row],[O2RE9]:[O2RE192]])</f>
        <v>0</v>
      </c>
      <c r="AX35" s="152"/>
      <c r="AY35" s="152"/>
      <c r="AZ35" s="152"/>
      <c r="BA35" s="152"/>
      <c r="BB35" s="152"/>
      <c r="BC35" s="152"/>
      <c r="BD35" s="153" t="str">
        <f>IF((RD[[#This Row],[33 kV_F1_Ex (O2RE9)]]-AX34)*300&lt;=0,"",(RD[[#This Row],[33 kV_F1_Ex (O2RE9)]]-AX34)*300)</f>
        <v/>
      </c>
      <c r="BE35" s="153">
        <f>IF((RD[[#This Row],[33kV_OG1_Ex (O2RE9)]]-AY34)*1000&lt;=0,0,(RD[[#This Row],[33kV_OG1_Ex (O2RE9)]]-AY34)*1000)</f>
        <v>0</v>
      </c>
      <c r="BF35" s="153"/>
      <c r="BG35" s="153" t="str">
        <f>IF((RD[[#This Row],[33 kV_F2_Ex (O2RE19)]]-BA34)*90&lt;=0,"",(RD[[#This Row],[33 kV_F2_Ex (O2RE19)]]-BA34)*90)</f>
        <v/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0</v>
      </c>
      <c r="BJ35" s="153">
        <f>IF((RD[[#This Row],[33kV_Aux1_Im (O2RE9)]]-AZ34)*90&lt;0,"",(RD[[#This Row],[33kV_Aux1_Im (O2RE9)]]-AZ34)*90)</f>
        <v>0</v>
      </c>
      <c r="BK35" s="153">
        <f>SUM(RD[[#This Row],[33kV_OG1_O2RE9_Energy (KWh)]],RD[[#This Row],[33kV_OG2_O2RE19_Energy (KWh)]])</f>
        <v>0</v>
      </c>
      <c r="BL35" s="62" t="str">
        <f>IFERROR(RD[[#This Row],[33 kV Total Export (KWH)]]/RD[[#This Row],[Inv Total Gneration (MWh)]]-1,"")</f>
        <v/>
      </c>
      <c r="BM35" s="63">
        <f>IFERROR((RD[[#This Row],[Sunset Time (POA&lt;20 W/m2)]]-RD[[#This Row],[Sunrise Time (POA&gt;20 W/m2)]])*24,0)</f>
        <v>0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/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/>
      <c r="G36" s="121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66"/>
      <c r="AF36" s="166"/>
      <c r="AG36" s="166"/>
      <c r="AH36" s="166"/>
      <c r="AI36" s="166"/>
      <c r="AJ36" s="166"/>
      <c r="AK36" s="166"/>
      <c r="AL36" s="166"/>
      <c r="AM36" s="58"/>
      <c r="AN36" s="58"/>
      <c r="AO36" s="58"/>
      <c r="AP36" s="58"/>
      <c r="AQ36" s="58"/>
      <c r="AR36" s="58"/>
      <c r="AS36" s="58"/>
      <c r="AT36" s="58"/>
      <c r="AU36" s="60">
        <f>SUM(RD[[#This Row],[IS2Inv1M1]:[IS4Inv1M3]])</f>
        <v>0</v>
      </c>
      <c r="AV36" s="60">
        <f>SUM(RD[[#This Row],[IS5Inv1M1]:[IS5Inv2M3]])</f>
        <v>0</v>
      </c>
      <c r="AW36" s="60">
        <f>SUM(RD[[#This Row],[O2RE9]:[O2RE192]])</f>
        <v>0</v>
      </c>
      <c r="AX36" s="152"/>
      <c r="AY36" s="152"/>
      <c r="AZ36" s="152"/>
      <c r="BA36" s="152"/>
      <c r="BB36" s="152"/>
      <c r="BC36" s="152"/>
      <c r="BD36" s="153" t="str">
        <f>IF((RD[[#This Row],[33 kV_F1_Ex (O2RE9)]]-AX35)*300&lt;=0,"",(RD[[#This Row],[33 kV_F1_Ex (O2RE9)]]-AX35)*300)</f>
        <v/>
      </c>
      <c r="BE36" s="153">
        <f>IF((RD[[#This Row],[33kV_OG1_Ex (O2RE9)]]-AY35)*1000&lt;=0,0,(RD[[#This Row],[33kV_OG1_Ex (O2RE9)]]-AY35)*1000)</f>
        <v>0</v>
      </c>
      <c r="BF36" s="153"/>
      <c r="BG36" s="153" t="str">
        <f>IF((RD[[#This Row],[33 kV_F2_Ex (O2RE19)]]-BA35)*90&lt;=0,"",(RD[[#This Row],[33 kV_F2_Ex (O2RE19)]]-BA35)*90)</f>
        <v/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0</v>
      </c>
      <c r="BJ36" s="153">
        <f>IF((RD[[#This Row],[33kV_Aux1_Im (O2RE9)]]-AZ35)*90&lt;0,"",(RD[[#This Row],[33kV_Aux1_Im (O2RE9)]]-AZ35)*90)</f>
        <v>0</v>
      </c>
      <c r="BK36" s="153">
        <f>SUM(RD[[#This Row],[33kV_OG1_O2RE9_Energy (KWh)]],RD[[#This Row],[33kV_OG2_O2RE19_Energy (KWh)]])</f>
        <v>0</v>
      </c>
      <c r="BL36" s="62" t="str">
        <f>IFERROR(RD[[#This Row],[33 kV Total Export (KWH)]]/RD[[#This Row],[Inv Total Gneration (MWh)]]-1,"")</f>
        <v/>
      </c>
      <c r="BM36" s="63">
        <f>IFERROR((RD[[#This Row],[Sunset Time (POA&lt;20 W/m2)]]-RD[[#This Row],[Sunrise Time (POA&gt;20 W/m2)]])*24,0)</f>
        <v>0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/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/>
      <c r="G37" s="121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66"/>
      <c r="AF37" s="166"/>
      <c r="AG37" s="166"/>
      <c r="AH37" s="166"/>
      <c r="AI37" s="166"/>
      <c r="AJ37" s="166"/>
      <c r="AK37" s="166"/>
      <c r="AL37" s="166"/>
      <c r="AM37" s="58"/>
      <c r="AN37" s="58"/>
      <c r="AO37" s="58"/>
      <c r="AP37" s="58"/>
      <c r="AQ37" s="58"/>
      <c r="AR37" s="58"/>
      <c r="AS37" s="58"/>
      <c r="AT37" s="58"/>
      <c r="AU37" s="60">
        <f>SUM(RD[[#This Row],[IS2Inv1M1]:[IS4Inv1M3]])</f>
        <v>0</v>
      </c>
      <c r="AV37" s="60">
        <f>SUM(RD[[#This Row],[IS5Inv1M1]:[IS5Inv2M3]])</f>
        <v>0</v>
      </c>
      <c r="AW37" s="60">
        <f>SUM(RD[[#This Row],[O2RE9]:[O2RE192]])</f>
        <v>0</v>
      </c>
      <c r="AX37" s="152"/>
      <c r="AY37" s="152"/>
      <c r="AZ37" s="152"/>
      <c r="BA37" s="152"/>
      <c r="BB37" s="152"/>
      <c r="BC37" s="152"/>
      <c r="BD37" s="153" t="str">
        <f>IF((RD[[#This Row],[33 kV_F1_Ex (O2RE9)]]-AX36)*300&lt;=0,"",(RD[[#This Row],[33 kV_F1_Ex (O2RE9)]]-AX36)*300)</f>
        <v/>
      </c>
      <c r="BE37" s="153">
        <f>IF((RD[[#This Row],[33kV_OG1_Ex (O2RE9)]]-AY36)*1000&lt;=0,0,(RD[[#This Row],[33kV_OG1_Ex (O2RE9)]]-AY36)*1000)</f>
        <v>0</v>
      </c>
      <c r="BF37" s="153"/>
      <c r="BG37" s="153" t="str">
        <f>IF((RD[[#This Row],[33 kV_F2_Ex (O2RE19)]]-BA36)*90&lt;=0,"",(RD[[#This Row],[33 kV_F2_Ex (O2RE19)]]-BA36)*90)</f>
        <v/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0</v>
      </c>
      <c r="BJ37" s="153">
        <f>IF((RD[[#This Row],[33kV_Aux1_Im (O2RE9)]]-AZ36)*90&lt;0,"",(RD[[#This Row],[33kV_Aux1_Im (O2RE9)]]-AZ36)*90)</f>
        <v>0</v>
      </c>
      <c r="BK37" s="153">
        <f>SUM(RD[[#This Row],[33kV_OG1_O2RE9_Energy (KWh)]],RD[[#This Row],[33kV_OG2_O2RE19_Energy (KWh)]])</f>
        <v>0</v>
      </c>
      <c r="BL37" s="62" t="str">
        <f>IFERROR(RD[[#This Row],[33 kV Total Export (KWH)]]/RD[[#This Row],[Inv Total Gneration (MWh)]]-1,"")</f>
        <v/>
      </c>
      <c r="BM37" s="63">
        <f>IFERROR((RD[[#This Row],[Sunset Time (POA&lt;20 W/m2)]]-RD[[#This Row],[Sunrise Time (POA&gt;20 W/m2)]])*24,0)</f>
        <v>0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/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Row],[O2RE9]:[O2RE192]])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0</v>
      </c>
      <c r="BJ38" s="153">
        <f>IF((RD[[#This Row],[33kV_Aux1_Im (O2RE9)]]-AZ37)*90&lt;0,"",(RD[[#This Row],[33kV_Aux1_Im (O2RE9)]]-AZ37)*90)</f>
        <v>0</v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Row],[O2RE9]:[O2RE192]])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Row],[O2RE9]:[O2RE192]])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Row],[O2RE9]:[O2RE192]])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Row],[O2RE9]:[O2RE192]])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Row],[O2RE9]:[O2RE192]])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Row],[O2RE9]:[O2RE192]])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Row],[O2RE9]:[O2RE192]])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Row],[O2RE9]:[O2RE192]])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Row],[O2RE9]:[O2RE192]])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Row],[O2RE9]:[O2RE192]])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Row],[O2RE9]:[O2RE192]])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Row],[O2RE9]:[O2RE192]])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Row],[O2RE9]:[O2RE192]])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Row],[O2RE9]:[O2RE192]])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Row],[O2RE9]:[O2RE192]])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Row],[O2RE9]:[O2RE192]])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Row],[O2RE9]:[O2RE192]])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Row],[O2RE9]:[O2RE192]])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Row],[O2RE9]:[O2RE192]])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Row],[O2RE9]:[O2RE192]])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Row],[O2RE9]:[O2RE192]])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Row],[O2RE9]:[O2RE192]])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Row],[O2RE9]:[O2RE192]])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Row],[O2RE9]:[O2RE192]])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Row],[O2RE9]:[O2RE192]])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Row],[O2RE9]:[O2RE192]])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Row],[O2RE9]:[O2RE192]])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Row],[O2RE9]:[O2RE192]])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Row],[O2RE9]:[O2RE192]])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Row],[O2RE9]:[O2RE192]])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Row],[O2RE9]:[O2RE192]])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Row],[O2RE9]:[O2RE192]])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Row],[O2RE9]:[O2RE192]])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Row],[O2RE9]:[O2RE192]])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Row],[O2RE9]:[O2RE192]])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Row],[O2RE9]:[O2RE192]])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Row],[O2RE9]:[O2RE192]])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Row],[O2RE9]:[O2RE192]])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Row],[O2RE9]:[O2RE192]])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Row],[O2RE9]:[O2RE192]])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Row],[O2RE9]:[O2RE192]])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Row],[O2RE9]:[O2RE192]])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Row],[O2RE9]:[O2RE192]])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Row],[O2RE9]:[O2RE192]])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Row],[O2RE9]:[O2RE192]])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Row],[O2RE9]:[O2RE192]])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Row],[O2RE9]:[O2RE192]])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Row],[O2RE9]:[O2RE192]])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Row],[O2RE9]:[O2RE192]])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Row],[O2RE9]:[O2RE192]])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Row],[O2RE9]:[O2RE192]])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Row],[O2RE9]:[O2RE192]])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Row],[O2RE9]:[O2RE192]])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Row],[O2RE9]:[O2RE192]])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Row],[O2RE9]:[O2RE192]])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Row],[O2RE9]:[O2RE192]])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Row],[O2RE9]:[O2RE192]])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Row],[O2RE9]:[O2RE192]])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Row],[O2RE9]:[O2RE192]])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Row],[O2RE9]:[O2RE192]])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Row],[O2RE9]:[O2RE192]])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Row],[O2RE9]:[O2RE192]])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Row],[O2RE9]:[O2RE192]])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Row],[O2RE9]:[O2RE192]])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Row],[O2RE9]:[O2RE192]])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Row],[O2RE9]:[O2RE192]])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Row],[O2RE9]:[O2RE192]])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Row],[O2RE9]:[O2RE192]])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Row],[O2RE9]:[O2RE192]])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Row],[O2RE9]:[O2RE192]])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Row],[O2RE9]:[O2RE192]])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Row],[O2RE9]:[O2RE192]])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Row],[O2RE9]:[O2RE192]])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Row],[O2RE9]:[O2RE192]])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Row],[O2RE9]:[O2RE192]])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Row],[O2RE9]:[O2RE192]])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Row],[O2RE9]:[O2RE192]])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Row],[O2RE9]:[O2RE192]])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Row],[O2RE9]:[O2RE192]])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Row],[O2RE9]:[O2RE192]])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Row],[O2RE9]:[O2RE192]])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Row],[O2RE9]:[O2RE192]])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Row],[O2RE9]:[O2RE192]])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Row],[O2RE9]:[O2RE192]])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Row],[O2RE9]:[O2RE192]])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Row],[O2RE9]:[O2RE192]])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Row],[O2RE9]:[O2RE192]])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Row],[O2RE9]:[O2RE192]])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Row],[O2RE9]:[O2RE192]])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Row],[O2RE9]:[O2RE192]])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Row],[O2RE9]:[O2RE192]])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Row],[O2RE9]:[O2RE192]])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Row],[O2RE9]:[O2RE192]])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Row],[O2RE9]:[O2RE192]])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Row],[O2RE9]:[O2RE192]])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Row],[O2RE9]:[O2RE192]])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Row],[O2RE9]:[O2RE192]])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Row],[O2RE9]:[O2RE192]])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Row],[O2RE9]:[O2RE192]])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Row],[O2RE9]:[O2RE192]])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Row],[O2RE9]:[O2RE192]])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Row],[O2RE9]:[O2RE192]])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Row],[O2RE9]:[O2RE192]])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Row],[O2RE9]:[O2RE192]])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Row],[O2RE9]:[O2RE192]])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Row],[O2RE9]:[O2RE192]])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Row],[O2RE9]:[O2RE192]])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Row],[O2RE9]:[O2RE192]])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Row],[O2RE9]:[O2RE192]])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Row],[O2RE9]:[O2RE192]])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Row],[O2RE9]:[O2RE192]])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Row],[O2RE9]:[O2RE192]])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Row],[O2RE9]:[O2RE192]])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Row],[O2RE9]:[O2RE192]])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Row],[O2RE9]:[O2RE192]])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Row],[O2RE9]:[O2RE192]])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Row],[O2RE9]:[O2RE192]])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Row],[O2RE9]:[O2RE192]])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Row],[O2RE9]:[O2RE192]])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Row],[O2RE9]:[O2RE192]])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Row],[O2RE9]:[O2RE192]])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Row],[O2RE9]:[O2RE192]])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Row],[O2RE9]:[O2RE192]])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Row],[O2RE9]:[O2RE192]])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Row],[O2RE9]:[O2RE192]])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Row],[O2RE9]:[O2RE192]])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Row],[O2RE9]:[O2RE192]])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Row],[O2RE9]:[O2RE192]])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Row],[O2RE9]:[O2RE192]])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Row],[O2RE9]:[O2RE192]])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Row],[O2RE9]:[O2RE192]])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Row],[O2RE9]:[O2RE192]])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Row],[O2RE9]:[O2RE192]])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Row],[O2RE9]:[O2RE192]])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Row],[O2RE9]:[O2RE192]])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Row],[O2RE9]:[O2RE192]])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Row],[O2RE9]:[O2RE192]])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Row],[O2RE9]:[O2RE192]])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Row],[O2RE9]:[O2RE192]])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Row],[O2RE9]:[O2RE192]])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Row],[O2RE9]:[O2RE192]])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Row],[O2RE9]:[O2RE192]])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Row],[O2RE9]:[O2RE192]])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Row],[O2RE9]:[O2RE192]])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Row],[O2RE9]:[O2RE192]])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Row],[O2RE9]:[O2RE192]])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Row],[O2RE9]:[O2RE192]])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Row],[O2RE9]:[O2RE192]])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Row],[O2RE9]:[O2RE192]])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Row],[O2RE9]:[O2RE192]])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Row],[O2RE9]:[O2RE192]])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Row],[O2RE9]:[O2RE192]])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Row],[O2RE9]:[O2RE192]])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Row],[O2RE9]:[O2RE192]])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Row],[O2RE9]:[O2RE192]])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Row],[O2RE9]:[O2RE192]])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Row],[O2RE9]:[O2RE192]])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Row],[O2RE9]:[O2RE192]])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Row],[O2RE9]:[O2RE192]])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Row],[O2RE9]:[O2RE192]])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Row],[O2RE9]:[O2RE192]])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Row],[O2RE9]:[O2RE192]])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Row],[O2RE9]:[O2RE192]])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Row],[O2RE9]:[O2RE192]])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Row],[O2RE9]:[O2RE192]])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Row],[O2RE9]:[O2RE192]])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Row],[O2RE9]:[O2RE192]])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Row],[O2RE9]:[O2RE192]])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Row],[O2RE9]:[O2RE192]])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Row],[O2RE9]:[O2RE192]])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Row],[O2RE9]:[O2RE192]])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Row],[O2RE9]:[O2RE192]])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Row],[O2RE9]:[O2RE192]])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Row],[O2RE9]:[O2RE192]])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Row],[O2RE9]:[O2RE192]])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Row],[O2RE9]:[O2RE192]])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Row],[O2RE9]:[O2RE192]])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Row],[O2RE9]:[O2RE192]])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Row],[O2RE9]:[O2RE192]])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Row],[O2RE9]:[O2RE192]])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Row],[O2RE9]:[O2RE192]])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Row],[O2RE9]:[O2RE192]])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Row],[O2RE9]:[O2RE192]])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Row],[O2RE9]:[O2RE192]])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Row],[O2RE9]:[O2RE192]])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Row],[O2RE9]:[O2RE192]])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Row],[O2RE9]:[O2RE192]])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Row],[O2RE9]:[O2RE192]])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Row],[O2RE9]:[O2RE192]])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Row],[O2RE9]:[O2RE192]])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Row],[O2RE9]:[O2RE192]])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Row],[O2RE9]:[O2RE192]])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Row],[O2RE9]:[O2RE192]])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Row],[O2RE9]:[O2RE192]])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Row],[O2RE9]:[O2RE192]])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Row],[O2RE9]:[O2RE192]])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Row],[O2RE9]:[O2RE192]])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Row],[O2RE9]:[O2RE192]])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Row],[O2RE9]:[O2RE192]])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Row],[O2RE9]:[O2RE192]])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Row],[O2RE9]:[O2RE192]])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Row],[O2RE9]:[O2RE192]])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Row],[O2RE9]:[O2RE192]])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Row],[O2RE9]:[O2RE192]])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Row],[O2RE9]:[O2RE192]])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Row],[O2RE9]:[O2RE192]])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Row],[O2RE9]:[O2RE192]])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Row],[O2RE9]:[O2RE192]])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Row],[O2RE9]:[O2RE192]])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Row],[O2RE9]:[O2RE192]])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Row],[O2RE9]:[O2RE192]])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Row],[O2RE9]:[O2RE192]])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Row],[O2RE9]:[O2RE192]])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Row],[O2RE9]:[O2RE192]])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Row],[O2RE9]:[O2RE192]])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Row],[O2RE9]:[O2RE192]])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Row],[O2RE9]:[O2RE192]])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Row],[O2RE9]:[O2RE192]])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Row],[O2RE9]:[O2RE192]])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Row],[O2RE9]:[O2RE192]])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Row],[O2RE9]:[O2RE192]])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Row],[O2RE9]:[O2RE192]])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Row],[O2RE9]:[O2RE192]])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Row],[O2RE9]:[O2RE192]])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Row],[O2RE9]:[O2RE192]])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Row],[O2RE9]:[O2RE192]])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Row],[O2RE9]:[O2RE192]])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Row],[O2RE9]:[O2RE192]])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Row],[O2RE9]:[O2RE192]])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Row],[O2RE9]:[O2RE192]])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Row],[O2RE9]:[O2RE192]])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Row],[O2RE9]:[O2RE192]])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Row],[O2RE9]:[O2RE192]])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Row],[O2RE9]:[O2RE192]])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Row],[O2RE9]:[O2RE192]])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Row],[O2RE9]:[O2RE192]])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Row],[O2RE9]:[O2RE192]])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Row],[O2RE9]:[O2RE192]])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Row],[O2RE9]:[O2RE192]])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Row],[O2RE9]:[O2RE192]])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Row],[O2RE9]:[O2RE192]])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Row],[O2RE9]:[O2RE192]])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Row],[O2RE9]:[O2RE192]])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Row],[O2RE9]:[O2RE192]])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AF2" activePane="bottomRight" state="frozen"/>
      <selection pane="topRight" activeCell="E1" sqref="E1"/>
      <selection pane="bottomLeft" activeCell="A2" sqref="A2"/>
      <selection pane="bottomRight" activeCell="AQ7" sqref="AQ7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201.2</v>
      </c>
      <c r="I2" s="254">
        <v>201.9</v>
      </c>
      <c r="J2" s="255"/>
      <c r="K2" s="254">
        <v>31.3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6.73</v>
      </c>
      <c r="Q2" s="253">
        <f>COUNTIFS('Daily KPI'!$D:$D,D2,'Daily KPI'!$K:$K,"&gt;0")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206.2</v>
      </c>
      <c r="I3" s="258">
        <v>199.3</v>
      </c>
      <c r="J3" s="262"/>
      <c r="K3" s="258">
        <v>32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6.4290322580645167</v>
      </c>
      <c r="Q3" s="261">
        <f>COUNTIFS('Daily KPI'!$D:$D,D3,'Daily KPI'!$K:$K,"&gt;0")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148.19999999999999</v>
      </c>
      <c r="I4" s="258">
        <v>141.4</v>
      </c>
      <c r="J4" s="255"/>
      <c r="K4" s="258">
        <v>27.5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4.7133333333333338</v>
      </c>
      <c r="Q4" s="253">
        <f>COUNTIFS('Daily KPI'!$D:$D,D4,'Daily KPI'!$K:$K,"&gt;0")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119.3</v>
      </c>
      <c r="I5" s="258">
        <v>115.4</v>
      </c>
      <c r="J5" s="262"/>
      <c r="K5" s="258">
        <v>25.2</v>
      </c>
      <c r="L5" s="261"/>
      <c r="M5" s="263">
        <v>6174.0394850226212</v>
      </c>
      <c r="N5" s="256">
        <v>87.8</v>
      </c>
      <c r="O5" s="264">
        <f>IFERROR(M5/I5/N5,"")</f>
        <v>0.60935317436258363</v>
      </c>
      <c r="P5" s="262">
        <f>IFERROR(I5/G5,"")</f>
        <v>3.7225806451612904</v>
      </c>
      <c r="Q5" s="261">
        <f>COUNTIFS('Daily KPI'!$D:$D,D5,'Daily KPI'!$K:$K,"&gt;0")</f>
        <v>9</v>
      </c>
      <c r="R5" s="263">
        <f>I5/G5*Q5</f>
        <v>33.50322580645161</v>
      </c>
      <c r="S5" s="256">
        <f>SUMIF($F$2:F5,F5,$R$2:R5)</f>
        <v>33.50322580645161</v>
      </c>
      <c r="T5" s="262">
        <f>M5/G5</f>
        <v>199.16256403298777</v>
      </c>
      <c r="U5" s="263">
        <f>M5/G5*Q5</f>
        <v>1792.46307629689</v>
      </c>
      <c r="V5" s="256">
        <f>SUMIF($F$2:F5,F5,$U$2:U5)</f>
        <v>1792.46307629689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12.92870967741935</v>
      </c>
      <c r="AA5" s="258">
        <f>IFERROR(AVERAGEIF($F$2:F5,F5,$Z$2:Z5),"")</f>
        <v>12.92870967741935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909138.5425829289</v>
      </c>
      <c r="AN5" s="259">
        <f>SUMIF($F$2:F5,F5,$AM$2:AM5)</f>
        <v>909138.5425829289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123.6</v>
      </c>
      <c r="I6" s="258">
        <v>121.5</v>
      </c>
      <c r="J6" s="255"/>
      <c r="K6" s="258">
        <v>24.7</v>
      </c>
      <c r="L6" s="253"/>
      <c r="M6" s="256">
        <v>8945.1699691176418</v>
      </c>
      <c r="N6" s="256">
        <v>87.8</v>
      </c>
      <c r="O6" s="257">
        <f t="shared" ref="O6:O13" si="13">IFERROR(M6/I6/N6,"")</f>
        <v>0.83852845216097582</v>
      </c>
      <c r="P6" s="255">
        <f t="shared" ref="P6:P13" si="14">IFERROR(I6/G6,"")</f>
        <v>3.9193548387096775</v>
      </c>
      <c r="Q6" s="253">
        <f>COUNTIFS('Daily KPI'!$D:$D,D6,'Daily KPI'!$K:$K,"&gt;0")</f>
        <v>0</v>
      </c>
      <c r="R6" s="256">
        <f t="shared" ref="R6:R13" si="15">I6/G6*Q6</f>
        <v>0</v>
      </c>
      <c r="S6" s="256">
        <f>SUMIF($F$2:F6,F6,$R$2:R6)</f>
        <v>33.50322580645161</v>
      </c>
      <c r="T6" s="255">
        <f t="shared" ref="T6:T13" si="16">M6/G6</f>
        <v>288.55386997153681</v>
      </c>
      <c r="U6" s="256">
        <f t="shared" ref="U6:U13" si="17">M6/G6*Q6</f>
        <v>0</v>
      </c>
      <c r="V6" s="256">
        <f>SUMIF($F$2:F6,F6,$U$2:U6)</f>
        <v>1792.46307629689</v>
      </c>
      <c r="W6" s="257">
        <f t="shared" ref="W6:W13" si="18">IFERROR(T6/(24*N6),"")</f>
        <v>0.13693710609886903</v>
      </c>
      <c r="X6" s="257" t="str">
        <f t="shared" si="8"/>
        <v/>
      </c>
      <c r="Y6" s="257">
        <f t="shared" si="9"/>
        <v>9.4515263872906125E-2</v>
      </c>
      <c r="Z6" s="255">
        <f>IFERROR(AVERAGEIF('Daily KPI'!D:D,Mod[[#This Row],[Month]],'Daily KPI'!AB:AB),"")</f>
        <v>0</v>
      </c>
      <c r="AA6" s="258">
        <f>IFERROR(AVERAGEIF($F$2:F6,F6,$Z$2:Z6),"")</f>
        <v>6.4643548387096752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0</v>
      </c>
      <c r="AN6" s="259">
        <f>SUMIF($F$2:F6,F6,$AM$2:AM6)</f>
        <v>909138.5425829289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139.1</v>
      </c>
      <c r="I7" s="258">
        <v>141</v>
      </c>
      <c r="J7" s="255"/>
      <c r="K7" s="258">
        <v>24.8</v>
      </c>
      <c r="L7" s="253"/>
      <c r="M7" s="256">
        <v>10384.140862064458</v>
      </c>
      <c r="N7" s="256">
        <v>87.8</v>
      </c>
      <c r="O7" s="257">
        <f t="shared" si="13"/>
        <v>0.83879714228537272</v>
      </c>
      <c r="P7" s="255">
        <f t="shared" si="14"/>
        <v>4.7</v>
      </c>
      <c r="Q7" s="253">
        <f>COUNTIFS('Daily KPI'!$D:$D,D7,'Daily KPI'!$K:$K,"&gt;0")</f>
        <v>0</v>
      </c>
      <c r="R7" s="256">
        <f t="shared" si="15"/>
        <v>0</v>
      </c>
      <c r="S7" s="256">
        <f>SUMIF($F$2:F7,F7,$R$2:R7)</f>
        <v>33.50322580645161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1792.46307629689</v>
      </c>
      <c r="W7" s="257">
        <f t="shared" si="18"/>
        <v>0.16426444036421886</v>
      </c>
      <c r="X7" s="257" t="str">
        <f t="shared" si="8"/>
        <v/>
      </c>
      <c r="Y7" s="257">
        <f t="shared" si="9"/>
        <v>9.4515263872906125E-2</v>
      </c>
      <c r="Z7" s="255">
        <f>IFERROR(AVERAGEIF('Daily KPI'!D:D,Mod[[#This Row],[Month]],'Daily KPI'!AB:AB),"")</f>
        <v>0</v>
      </c>
      <c r="AA7" s="258">
        <f>IFERROR(AVERAGEIF($F$2:F7,F7,$Z$2:Z7),"")</f>
        <v>4.3095698924731165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909138.5425829289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</v>
      </c>
      <c r="I8" s="258">
        <v>170.2</v>
      </c>
      <c r="J8" s="262"/>
      <c r="K8" s="254">
        <v>24.7</v>
      </c>
      <c r="L8" s="261"/>
      <c r="M8" s="263">
        <v>12719.498960276364</v>
      </c>
      <c r="N8" s="263">
        <v>87.8</v>
      </c>
      <c r="O8" s="264">
        <f t="shared" si="13"/>
        <v>0.85116926356747413</v>
      </c>
      <c r="P8" s="262">
        <f t="shared" si="14"/>
        <v>5.4903225806451612</v>
      </c>
      <c r="Q8" s="261">
        <f>COUNTIFS('Daily KPI'!$D:$D,D8,'Daily KPI'!$K:$K,"&gt;0")</f>
        <v>0</v>
      </c>
      <c r="R8" s="263">
        <f t="shared" si="15"/>
        <v>0</v>
      </c>
      <c r="S8" s="256">
        <f>SUMIF($F$2:F8,F8,$R$2:R8)</f>
        <v>33.50322580645161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1792.46307629689</v>
      </c>
      <c r="W8" s="264">
        <f t="shared" si="18"/>
        <v>0.19471640948815067</v>
      </c>
      <c r="X8" s="264" t="str">
        <f t="shared" si="8"/>
        <v/>
      </c>
      <c r="Y8" s="264">
        <f t="shared" si="9"/>
        <v>9.4515263872906125E-2</v>
      </c>
      <c r="Z8" s="262">
        <f>IFERROR(AVERAGEIF('Daily KPI'!D:D,Mod[[#This Row],[Month]],'Daily KPI'!AB:AB),"")</f>
        <v>0</v>
      </c>
      <c r="AA8" s="258">
        <f>IFERROR(AVERAGEIF($F$2:F8,F8,$Z$2:Z8),"")</f>
        <v>3.2321774193548376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909138.5425829289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147.69999999999999</v>
      </c>
      <c r="I9" s="258">
        <v>167.4</v>
      </c>
      <c r="J9" s="255"/>
      <c r="K9" s="258">
        <v>23</v>
      </c>
      <c r="L9" s="253"/>
      <c r="M9" s="256">
        <v>12491.820993747877</v>
      </c>
      <c r="N9" s="256">
        <v>87.8</v>
      </c>
      <c r="O9" s="257">
        <f t="shared" si="13"/>
        <v>0.84991556470989227</v>
      </c>
      <c r="P9" s="255">
        <f t="shared" si="14"/>
        <v>5.58</v>
      </c>
      <c r="Q9" s="253">
        <f>COUNTIFS('Daily KPI'!$D:$D,D9,'Daily KPI'!$K:$K,"&gt;0")</f>
        <v>0</v>
      </c>
      <c r="R9" s="256">
        <f t="shared" si="15"/>
        <v>0</v>
      </c>
      <c r="S9" s="256">
        <f>SUMIF($F$2:F9,F9,$R$2:R9)</f>
        <v>33.50322580645161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1792.46307629689</v>
      </c>
      <c r="W9" s="257">
        <f t="shared" si="18"/>
        <v>0.19760536879504997</v>
      </c>
      <c r="X9" s="257" t="str">
        <f t="shared" si="8"/>
        <v/>
      </c>
      <c r="Y9" s="257">
        <f t="shared" si="9"/>
        <v>9.4515263872906125E-2</v>
      </c>
      <c r="Z9" s="255">
        <f>IFERROR(AVERAGEIF('Daily KPI'!D:D,Mod[[#This Row],[Month]],'Daily KPI'!AB:AB),"")</f>
        <v>0</v>
      </c>
      <c r="AA9" s="258">
        <f>IFERROR(AVERAGEIF($F$2:F9,F9,$Z$2:Z9),"")</f>
        <v>2.58574193548387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909138.5425829289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148.4</v>
      </c>
      <c r="I10" s="258">
        <v>172.6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0.85077361625866543</v>
      </c>
      <c r="P10" s="262">
        <f t="shared" si="14"/>
        <v>5.5677419354838706</v>
      </c>
      <c r="Q10" s="261">
        <f>COUNTIFS('Daily KPI'!$D:$D,D10,'Daily KPI'!$K:$K,"&gt;0")</f>
        <v>0</v>
      </c>
      <c r="R10" s="263">
        <f t="shared" si="15"/>
        <v>0</v>
      </c>
      <c r="S10" s="256">
        <f>SUMIF($F$2:F10,F10,$R$2:R10)</f>
        <v>33.50322580645161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1792.46307629689</v>
      </c>
      <c r="W10" s="264">
        <f t="shared" si="18"/>
        <v>0.19737033086860975</v>
      </c>
      <c r="X10" s="264" t="str">
        <f t="shared" si="8"/>
        <v/>
      </c>
      <c r="Y10" s="264">
        <f t="shared" si="9"/>
        <v>9.4515263872906125E-2</v>
      </c>
      <c r="Z10" s="262">
        <f>IFERROR(AVERAGEIF('Daily KPI'!D:D,Mod[[#This Row],[Month]],'Daily KPI'!AB:AB),"")</f>
        <v>0</v>
      </c>
      <c r="AA10" s="258">
        <f>IFERROR(AVERAGEIF($F$2:F10,F10,$Z$2:Z10),"")</f>
        <v>2.1547849462365583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909138.5425829289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156.5</v>
      </c>
      <c r="I11" s="258">
        <v>179.8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0.85195721512136013</v>
      </c>
      <c r="P11" s="255">
        <f t="shared" si="14"/>
        <v>5.8000000000000007</v>
      </c>
      <c r="Q11" s="253">
        <f>COUNTIFS('Daily KPI'!$D:$D,D11,'Daily KPI'!$K:$K,"&gt;0")</f>
        <v>0</v>
      </c>
      <c r="R11" s="256">
        <f t="shared" si="15"/>
        <v>0</v>
      </c>
      <c r="S11" s="256">
        <f>SUMIF($F$2:F11,F11,$R$2:R11)</f>
        <v>33.50322580645161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1792.46307629689</v>
      </c>
      <c r="W11" s="257">
        <f t="shared" si="18"/>
        <v>0.2058896603209954</v>
      </c>
      <c r="X11" s="257" t="str">
        <f t="shared" si="8"/>
        <v/>
      </c>
      <c r="Y11" s="257">
        <f t="shared" si="9"/>
        <v>9.4515263872906125E-2</v>
      </c>
      <c r="Z11" s="255">
        <f>IFERROR(AVERAGEIF('Daily KPI'!D:D,Mod[[#This Row],[Month]],'Daily KPI'!AB:AB),"")</f>
        <v>0</v>
      </c>
      <c r="AA11" s="258">
        <f>IFERROR(AVERAGEIF($F$2:F11,F11,$Z$2:Z11),"")</f>
        <v>1.8469585253456215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909138.5425829289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164.6</v>
      </c>
      <c r="I12" s="258">
        <v>182.9</v>
      </c>
      <c r="J12" s="262"/>
      <c r="K12" s="254">
        <v>24.5</v>
      </c>
      <c r="L12" s="261"/>
      <c r="M12" s="263">
        <v>13434.0696953279</v>
      </c>
      <c r="N12" s="263">
        <v>87.8</v>
      </c>
      <c r="O12" s="264">
        <f t="shared" si="13"/>
        <v>0.83656439316254438</v>
      </c>
      <c r="P12" s="262">
        <f t="shared" si="14"/>
        <v>6.5321428571428575</v>
      </c>
      <c r="Q12" s="261">
        <f>COUNTIFS('Daily KPI'!$D:$D,D12,'Daily KPI'!$K:$K,"&gt;0")</f>
        <v>0</v>
      </c>
      <c r="R12" s="263">
        <f>I12/G12*Q12</f>
        <v>0</v>
      </c>
      <c r="S12" s="256">
        <f>SUMIF($F$2:F12,F12,$R$2:R12)</f>
        <v>33.50322580645161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1792.46307629689</v>
      </c>
      <c r="W12" s="264">
        <f t="shared" si="18"/>
        <v>0.22768992188903184</v>
      </c>
      <c r="X12" s="264" t="str">
        <f t="shared" si="8"/>
        <v/>
      </c>
      <c r="Y12" s="264">
        <f t="shared" si="9"/>
        <v>9.4515263872906125E-2</v>
      </c>
      <c r="Z12" s="262">
        <f>IFERROR(AVERAGEIF('Daily KPI'!D:D,Mod[[#This Row],[Month]],'Daily KPI'!AB:AB),"")</f>
        <v>0</v>
      </c>
      <c r="AA12" s="258">
        <f>IFERROR(AVERAGEIF($F$2:F12,F12,$Z$2:Z12),"")</f>
        <v>1.6160887096774188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909138.5425829289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202.2</v>
      </c>
      <c r="I13" s="258">
        <v>213.2</v>
      </c>
      <c r="J13" s="255"/>
      <c r="K13" s="258">
        <v>28.2</v>
      </c>
      <c r="L13" s="253"/>
      <c r="M13" s="256">
        <v>15449.326587681902</v>
      </c>
      <c r="N13" s="263">
        <v>87.8</v>
      </c>
      <c r="O13" s="257">
        <f t="shared" si="13"/>
        <v>0.82533039162869648</v>
      </c>
      <c r="P13" s="255">
        <f t="shared" si="14"/>
        <v>6.8774193548387093</v>
      </c>
      <c r="Q13" s="253">
        <f>COUNTIFS('Daily KPI'!$D:$D,D13,'Daily KPI'!$K:$K,"&gt;0")</f>
        <v>0</v>
      </c>
      <c r="R13" s="256">
        <f t="shared" si="15"/>
        <v>0</v>
      </c>
      <c r="S13" s="256">
        <f>SUMIF($F$2:F13,F13,$R$2:R13)</f>
        <v>33.50322580645161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1792.46307629689</v>
      </c>
      <c r="W13" s="257">
        <f t="shared" si="18"/>
        <v>0.23650596706349206</v>
      </c>
      <c r="X13" s="257" t="str">
        <f t="shared" si="8"/>
        <v/>
      </c>
      <c r="Y13" s="257">
        <f t="shared" si="9"/>
        <v>9.4515263872906125E-2</v>
      </c>
      <c r="Z13" s="255">
        <f>IFERROR(AVERAGEIF('Daily KPI'!D:D,Mod[[#This Row],[Month]],'Daily KPI'!AB:AB),"")</f>
        <v>0</v>
      </c>
      <c r="AA13" s="258">
        <f>IFERROR(AVERAGEIF($F$2:F13,F13,$Z$2:Z13),"")</f>
        <v>1.4365232974910389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909138.5425829289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2" activePane="bottomRight" state="frozen"/>
      <selection pane="topRight" activeCell="C1" sqref="C1"/>
      <selection pane="bottomLeft" activeCell="A4" sqref="A4"/>
      <selection pane="bottomRight" activeCell="E11" sqref="E11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653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654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653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655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656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655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657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655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656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655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658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658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659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659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657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663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662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663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/>
      <c r="C11" s="32">
        <f>YEAR(PA[[#This Row],[Date]])+IF(MONTH(PA[[#This Row],[Date]])&gt;=4,1,0)</f>
        <v>1900</v>
      </c>
      <c r="D11" s="32">
        <f>YEAR(PA[[#This Row],[Date]])</f>
        <v>1900</v>
      </c>
      <c r="E11" s="33" t="s">
        <v>155</v>
      </c>
      <c r="F11" s="33" t="s">
        <v>155</v>
      </c>
      <c r="G11" s="194">
        <f>PA[[#This Row],[Date]]-DAY(PA[[#This Row],[Date]])+1</f>
        <v>1</v>
      </c>
      <c r="H11" s="32">
        <f>DAY(EOMONTH(PA[[#This Row],[Month Year]],0))</f>
        <v>31</v>
      </c>
      <c r="I11" s="121"/>
      <c r="J11" s="121"/>
      <c r="K11" s="35">
        <f>IFERROR((PA[[#This Row],[Sunset Time (POA&lt;20 W/m2)]]-PA[[#This Row],[Sunrise Time (POA&gt;20 W/m2)]])*24,"")</f>
        <v>0</v>
      </c>
      <c r="L11" s="33"/>
      <c r="M11" s="33"/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/>
      <c r="X11" s="40"/>
      <c r="Y11" s="40"/>
      <c r="Z11" s="46"/>
      <c r="AA11" s="46"/>
      <c r="AB11" s="46"/>
      <c r="AC11" s="46"/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</v>
      </c>
      <c r="AG11" s="44">
        <f>IFERROR((PA[[#This Row],[Work Completion time on fault]]-PA[[#This Row],[Fault Time]])*24,"")</f>
        <v>0</v>
      </c>
      <c r="AH11" s="36"/>
      <c r="AI11" s="33"/>
      <c r="AJ11" s="35" t="str">
        <f>IFERROR(PA[[#This Row],[Breakdown Time]]*PA[[#This Row],[Plant Equivalent Weightage]],"")</f>
        <v/>
      </c>
      <c r="AK11" s="36"/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/>
      <c r="C12" s="32">
        <f>YEAR(PA[[#This Row],[Date]])+IF(MONTH(PA[[#This Row],[Date]])&gt;=4,1,0)</f>
        <v>1900</v>
      </c>
      <c r="D12" s="32">
        <f>YEAR(PA[[#This Row],[Date]])</f>
        <v>1900</v>
      </c>
      <c r="E12" s="33" t="s">
        <v>155</v>
      </c>
      <c r="F12" s="33" t="s">
        <v>155</v>
      </c>
      <c r="G12" s="194">
        <f>PA[[#This Row],[Date]]-DAY(PA[[#This Row],[Date]])+1</f>
        <v>1</v>
      </c>
      <c r="H12" s="32">
        <f>DAY(EOMONTH(PA[[#This Row],[Month Year]],0))</f>
        <v>31</v>
      </c>
      <c r="I12" s="121"/>
      <c r="J12" s="121"/>
      <c r="K12" s="35">
        <f>IFERROR((PA[[#This Row],[Sunset Time (POA&lt;20 W/m2)]]-PA[[#This Row],[Sunrise Time (POA&gt;20 W/m2)]])*24,"")</f>
        <v>0</v>
      </c>
      <c r="L12" s="33"/>
      <c r="M12" s="33"/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/>
      <c r="X12" s="40"/>
      <c r="Y12" s="40"/>
      <c r="Z12" s="46"/>
      <c r="AA12" s="46"/>
      <c r="AB12" s="46"/>
      <c r="AC12" s="46"/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</v>
      </c>
      <c r="AG12" s="44">
        <f>IFERROR((PA[[#This Row],[Work Completion time on fault]]-PA[[#This Row],[Fault Time]])*24,"")</f>
        <v>0</v>
      </c>
      <c r="AH12" s="36"/>
      <c r="AI12" s="33"/>
      <c r="AJ12" s="35" t="str">
        <f>IFERROR(PA[[#This Row],[Breakdown Time]]*PA[[#This Row],[Plant Equivalent Weightage]],"")</f>
        <v/>
      </c>
      <c r="AK12" s="36"/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/>
      <c r="C13" s="32">
        <f>YEAR(PA[[#This Row],[Date]])+IF(MONTH(PA[[#This Row],[Date]])&gt;=4,1,0)</f>
        <v>1900</v>
      </c>
      <c r="D13" s="32">
        <f>YEAR(PA[[#This Row],[Date]])</f>
        <v>1900</v>
      </c>
      <c r="E13" s="33" t="s">
        <v>155</v>
      </c>
      <c r="F13" s="33" t="s">
        <v>155</v>
      </c>
      <c r="G13" s="194">
        <f>PA[[#This Row],[Date]]-DAY(PA[[#This Row],[Date]])+1</f>
        <v>1</v>
      </c>
      <c r="H13" s="32">
        <f>DAY(EOMONTH(PA[[#This Row],[Month Year]],0))</f>
        <v>31</v>
      </c>
      <c r="I13" s="121"/>
      <c r="J13" s="121"/>
      <c r="K13" s="35">
        <f>IFERROR((PA[[#This Row],[Sunset Time (POA&lt;20 W/m2)]]-PA[[#This Row],[Sunrise Time (POA&gt;20 W/m2)]])*24,"")</f>
        <v>0</v>
      </c>
      <c r="L13" s="33"/>
      <c r="M13" s="33"/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/>
      <c r="X13" s="40"/>
      <c r="Y13" s="40"/>
      <c r="Z13" s="46"/>
      <c r="AA13" s="46"/>
      <c r="AB13" s="46"/>
      <c r="AC13" s="46"/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0</v>
      </c>
      <c r="AG13" s="44">
        <f>IFERROR((PA[[#This Row],[Work Completion time on fault]]-PA[[#This Row],[Fault Time]])*24,"")</f>
        <v>0</v>
      </c>
      <c r="AH13" s="36"/>
      <c r="AI13" s="33"/>
      <c r="AJ13" s="35" t="str">
        <f>IFERROR(PA[[#This Row],[Breakdown Time]]*PA[[#This Row],[Plant Equivalent Weightage]],"")</f>
        <v/>
      </c>
      <c r="AK13" s="36"/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/>
      <c r="C14" s="32">
        <f>YEAR(PA[[#This Row],[Date]])+IF(MONTH(PA[[#This Row],[Date]])&gt;=4,1,0)</f>
        <v>1900</v>
      </c>
      <c r="D14" s="32">
        <f>YEAR(PA[[#This Row],[Date]])</f>
        <v>1900</v>
      </c>
      <c r="E14" s="33" t="s">
        <v>155</v>
      </c>
      <c r="F14" s="33" t="s">
        <v>155</v>
      </c>
      <c r="G14" s="194">
        <f>PA[[#This Row],[Date]]-DAY(PA[[#This Row],[Date]])+1</f>
        <v>1</v>
      </c>
      <c r="H14" s="32">
        <f>DAY(EOMONTH(PA[[#This Row],[Month Year]],0))</f>
        <v>31</v>
      </c>
      <c r="I14" s="121"/>
      <c r="J14" s="121"/>
      <c r="K14" s="35">
        <f>IFERROR((PA[[#This Row],[Sunset Time (POA&lt;20 W/m2)]]-PA[[#This Row],[Sunrise Time (POA&gt;20 W/m2)]])*24,"")</f>
        <v>0</v>
      </c>
      <c r="L14" s="33"/>
      <c r="M14" s="33"/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/>
      <c r="X14" s="40"/>
      <c r="Y14" s="40"/>
      <c r="Z14" s="46"/>
      <c r="AA14" s="46"/>
      <c r="AB14" s="46"/>
      <c r="AC14" s="46"/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</v>
      </c>
      <c r="AG14" s="44">
        <f>IFERROR((PA[[#This Row],[Work Completion time on fault]]-PA[[#This Row],[Fault Time]])*24,"")</f>
        <v>0</v>
      </c>
      <c r="AH14" s="36"/>
      <c r="AI14" s="33"/>
      <c r="AJ14" s="35" t="str">
        <f>IFERROR(PA[[#This Row],[Breakdown Time]]*PA[[#This Row],[Plant Equivalent Weightage]],"")</f>
        <v/>
      </c>
      <c r="AK14" s="36"/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/>
      <c r="C15" s="32">
        <f>YEAR(PA[[#This Row],[Date]])+IF(MONTH(PA[[#This Row],[Date]])&gt;=4,1,0)</f>
        <v>1900</v>
      </c>
      <c r="D15" s="32">
        <f>YEAR(PA[[#This Row],[Date]])</f>
        <v>1900</v>
      </c>
      <c r="E15" s="33" t="s">
        <v>155</v>
      </c>
      <c r="F15" s="33" t="s">
        <v>155</v>
      </c>
      <c r="G15" s="194">
        <f>PA[[#This Row],[Date]]-DAY(PA[[#This Row],[Date]])+1</f>
        <v>1</v>
      </c>
      <c r="H15" s="32">
        <f>DAY(EOMONTH(PA[[#This Row],[Month Year]],0))</f>
        <v>31</v>
      </c>
      <c r="I15" s="121"/>
      <c r="J15" s="121"/>
      <c r="K15" s="35">
        <f>IFERROR((PA[[#This Row],[Sunset Time (POA&lt;20 W/m2)]]-PA[[#This Row],[Sunrise Time (POA&gt;20 W/m2)]])*24,"")</f>
        <v>0</v>
      </c>
      <c r="L15" s="33"/>
      <c r="M15" s="33"/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/>
      <c r="X15" s="40"/>
      <c r="Y15" s="40"/>
      <c r="Z15" s="46"/>
      <c r="AA15" s="46"/>
      <c r="AB15" s="46"/>
      <c r="AC15" s="46"/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</v>
      </c>
      <c r="AG15" s="44">
        <f>IFERROR((PA[[#This Row],[Work Completion time on fault]]-PA[[#This Row],[Fault Time]])*24,"")</f>
        <v>0</v>
      </c>
      <c r="AH15" s="36"/>
      <c r="AI15" s="33"/>
      <c r="AJ15" s="35" t="str">
        <f>IFERROR(PA[[#This Row],[Breakdown Time]]*PA[[#This Row],[Plant Equivalent Weightage]],"")</f>
        <v/>
      </c>
      <c r="AK15" s="36"/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/>
      <c r="C16" s="32">
        <f>YEAR(PA[[#This Row],[Date]])+IF(MONTH(PA[[#This Row],[Date]])&gt;=4,1,0)</f>
        <v>1900</v>
      </c>
      <c r="D16" s="32">
        <f>YEAR(PA[[#This Row],[Date]])</f>
        <v>1900</v>
      </c>
      <c r="E16" s="33" t="s">
        <v>155</v>
      </c>
      <c r="F16" s="33" t="s">
        <v>155</v>
      </c>
      <c r="G16" s="194">
        <f>PA[[#This Row],[Date]]-DAY(PA[[#This Row],[Date]])+1</f>
        <v>1</v>
      </c>
      <c r="H16" s="32">
        <f>DAY(EOMONTH(PA[[#This Row],[Month Year]],0))</f>
        <v>31</v>
      </c>
      <c r="I16" s="121"/>
      <c r="J16" s="121"/>
      <c r="K16" s="35">
        <f>IFERROR((PA[[#This Row],[Sunset Time (POA&lt;20 W/m2)]]-PA[[#This Row],[Sunrise Time (POA&gt;20 W/m2)]])*24,"")</f>
        <v>0</v>
      </c>
      <c r="L16" s="33"/>
      <c r="M16" s="33"/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/>
      <c r="X16" s="40"/>
      <c r="Y16" s="40"/>
      <c r="Z16" s="46"/>
      <c r="AA16" s="46"/>
      <c r="AB16" s="46"/>
      <c r="AC16" s="46"/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</v>
      </c>
      <c r="AG16" s="44">
        <f>IFERROR((PA[[#This Row],[Work Completion time on fault]]-PA[[#This Row],[Fault Time]])*24,"")</f>
        <v>0</v>
      </c>
      <c r="AH16" s="36"/>
      <c r="AI16" s="33"/>
      <c r="AJ16" s="35" t="str">
        <f>IFERROR(PA[[#This Row],[Breakdown Time]]*PA[[#This Row],[Plant Equivalent Weightage]],"")</f>
        <v/>
      </c>
      <c r="AK16" s="36"/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/>
      <c r="C17" s="32">
        <f>YEAR(PA[[#This Row],[Date]])+IF(MONTH(PA[[#This Row],[Date]])&gt;=4,1,0)</f>
        <v>1900</v>
      </c>
      <c r="D17" s="32">
        <f>YEAR(PA[[#This Row],[Date]])</f>
        <v>1900</v>
      </c>
      <c r="E17" s="33" t="s">
        <v>155</v>
      </c>
      <c r="F17" s="33" t="s">
        <v>155</v>
      </c>
      <c r="G17" s="194">
        <f>PA[[#This Row],[Date]]-DAY(PA[[#This Row],[Date]])+1</f>
        <v>1</v>
      </c>
      <c r="H17" s="32">
        <f>DAY(EOMONTH(PA[[#This Row],[Month Year]],0))</f>
        <v>31</v>
      </c>
      <c r="I17" s="121"/>
      <c r="J17" s="121"/>
      <c r="K17" s="35">
        <f>IFERROR((PA[[#This Row],[Sunset Time (POA&lt;20 W/m2)]]-PA[[#This Row],[Sunrise Time (POA&gt;20 W/m2)]])*24,"")</f>
        <v>0</v>
      </c>
      <c r="L17" s="33"/>
      <c r="M17" s="33"/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/>
      <c r="X17" s="40"/>
      <c r="Y17" s="40"/>
      <c r="Z17" s="46"/>
      <c r="AA17" s="46"/>
      <c r="AB17" s="46"/>
      <c r="AC17" s="46"/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</v>
      </c>
      <c r="AG17" s="44">
        <f>IFERROR((PA[[#This Row],[Work Completion time on fault]]-PA[[#This Row],[Fault Time]])*24,"")</f>
        <v>0</v>
      </c>
      <c r="AH17" s="36"/>
      <c r="AI17" s="33"/>
      <c r="AJ17" s="35" t="str">
        <f>IFERROR(PA[[#This Row],[Breakdown Time]]*PA[[#This Row],[Plant Equivalent Weightage]],"")</f>
        <v/>
      </c>
      <c r="AK17" s="36"/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/>
      <c r="C18" s="32">
        <f>YEAR(PA[[#This Row],[Date]])+IF(MONTH(PA[[#This Row],[Date]])&gt;=4,1,0)</f>
        <v>1900</v>
      </c>
      <c r="D18" s="32">
        <f>YEAR(PA[[#This Row],[Date]])</f>
        <v>1900</v>
      </c>
      <c r="E18" s="33" t="s">
        <v>155</v>
      </c>
      <c r="F18" s="33" t="s">
        <v>155</v>
      </c>
      <c r="G18" s="194">
        <f>PA[[#This Row],[Date]]-DAY(PA[[#This Row],[Date]])+1</f>
        <v>1</v>
      </c>
      <c r="H18" s="32">
        <f>DAY(EOMONTH(PA[[#This Row],[Month Year]],0))</f>
        <v>31</v>
      </c>
      <c r="I18" s="121"/>
      <c r="J18" s="121"/>
      <c r="K18" s="35">
        <f>IFERROR((PA[[#This Row],[Sunset Time (POA&lt;20 W/m2)]]-PA[[#This Row],[Sunrise Time (POA&gt;20 W/m2)]])*24,"")</f>
        <v>0</v>
      </c>
      <c r="L18" s="33"/>
      <c r="M18" s="33"/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/>
      <c r="X18" s="40"/>
      <c r="Y18" s="40"/>
      <c r="Z18" s="46"/>
      <c r="AA18" s="46"/>
      <c r="AB18" s="46"/>
      <c r="AC18" s="46"/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</v>
      </c>
      <c r="AG18" s="44">
        <f>IFERROR((PA[[#This Row],[Work Completion time on fault]]-PA[[#This Row],[Fault Time]])*24,"")</f>
        <v>0</v>
      </c>
      <c r="AH18" s="36"/>
      <c r="AI18" s="33"/>
      <c r="AJ18" s="35" t="str">
        <f>IFERROR(PA[[#This Row],[Breakdown Time]]*PA[[#This Row],[Plant Equivalent Weightage]],"")</f>
        <v/>
      </c>
      <c r="AK18" s="36"/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/>
      <c r="C19" s="32">
        <f>YEAR(PA[[#This Row],[Date]])+IF(MONTH(PA[[#This Row],[Date]])&gt;=4,1,0)</f>
        <v>1900</v>
      </c>
      <c r="D19" s="32">
        <f>YEAR(PA[[#This Row],[Date]])</f>
        <v>1900</v>
      </c>
      <c r="E19" s="33" t="s">
        <v>155</v>
      </c>
      <c r="F19" s="33" t="s">
        <v>155</v>
      </c>
      <c r="G19" s="194">
        <f>PA[[#This Row],[Date]]-DAY(PA[[#This Row],[Date]])+1</f>
        <v>1</v>
      </c>
      <c r="H19" s="32">
        <f>DAY(EOMONTH(PA[[#This Row],[Month Year]],0))</f>
        <v>31</v>
      </c>
      <c r="I19" s="121"/>
      <c r="J19" s="121"/>
      <c r="K19" s="35">
        <f>IFERROR((PA[[#This Row],[Sunset Time (POA&lt;20 W/m2)]]-PA[[#This Row],[Sunrise Time (POA&gt;20 W/m2)]])*24,"")</f>
        <v>0</v>
      </c>
      <c r="L19" s="33"/>
      <c r="M19" s="33"/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/>
      <c r="X19" s="40"/>
      <c r="Y19" s="40"/>
      <c r="Z19" s="46"/>
      <c r="AA19" s="46"/>
      <c r="AB19" s="46"/>
      <c r="AC19" s="46"/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</v>
      </c>
      <c r="AG19" s="44">
        <f>IFERROR((PA[[#This Row],[Work Completion time on fault]]-PA[[#This Row],[Fault Time]])*24,"")</f>
        <v>0</v>
      </c>
      <c r="AH19" s="36"/>
      <c r="AI19" s="33"/>
      <c r="AJ19" s="35" t="str">
        <f>IFERROR(PA[[#This Row],[Breakdown Time]]*PA[[#This Row],[Plant Equivalent Weightage]],"")</f>
        <v/>
      </c>
      <c r="AK19" s="36"/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/>
      <c r="C20" s="32">
        <f>YEAR(PA[[#This Row],[Date]])+IF(MONTH(PA[[#This Row],[Date]])&gt;=4,1,0)</f>
        <v>1900</v>
      </c>
      <c r="D20" s="32">
        <f>YEAR(PA[[#This Row],[Date]])</f>
        <v>1900</v>
      </c>
      <c r="E20" s="33" t="s">
        <v>155</v>
      </c>
      <c r="F20" s="33" t="s">
        <v>155</v>
      </c>
      <c r="G20" s="194">
        <f>PA[[#This Row],[Date]]-DAY(PA[[#This Row],[Date]])+1</f>
        <v>1</v>
      </c>
      <c r="H20" s="32">
        <f>DAY(EOMONTH(PA[[#This Row],[Month Year]],0))</f>
        <v>31</v>
      </c>
      <c r="I20" s="121"/>
      <c r="J20" s="121"/>
      <c r="K20" s="35">
        <f>IFERROR((PA[[#This Row],[Sunset Time (POA&lt;20 W/m2)]]-PA[[#This Row],[Sunrise Time (POA&gt;20 W/m2)]])*24,"")</f>
        <v>0</v>
      </c>
      <c r="L20" s="33"/>
      <c r="M20" s="33"/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/>
      <c r="X20" s="40"/>
      <c r="Y20" s="40"/>
      <c r="Z20" s="46"/>
      <c r="AA20" s="46"/>
      <c r="AB20" s="46"/>
      <c r="AC20" s="46"/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</v>
      </c>
      <c r="AG20" s="44">
        <f>IFERROR((PA[[#This Row],[Work Completion time on fault]]-PA[[#This Row],[Fault Time]])*24,"")</f>
        <v>0</v>
      </c>
      <c r="AH20" s="36"/>
      <c r="AI20" s="33"/>
      <c r="AJ20" s="35" t="str">
        <f>IFERROR(PA[[#This Row],[Breakdown Time]]*PA[[#This Row],[Plant Equivalent Weightage]],"")</f>
        <v/>
      </c>
      <c r="AK20" s="36"/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36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660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661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478.1128204044806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/>
      <c r="C3" s="26">
        <f>YEAR(Grid_BD[[#This Row],[Date]])+IF(MONTH(Grid_BD[[#This Row],[Date]])&gt;=4,1,0)</f>
        <v>1900</v>
      </c>
      <c r="D3" s="8">
        <f>YEAR(Grid_BD[[#This Row],[Date]])</f>
        <v>1900</v>
      </c>
      <c r="E3" s="8" t="s">
        <v>154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 t="s">
        <v>247</v>
      </c>
      <c r="U4" s="24">
        <v>3.8859804999999996</v>
      </c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" sqref="A2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0.60935317436258363</v>
      </c>
      <c r="R2" s="299" t="str">
        <f>IFERROR(Table7[[#This Row],[Loss of Capacity in KWp]]*Table7[[#This Row],[Lost POA]]*Table7[[#This Row],[Estimated PR % (Pvsyst)]],"")</f>
        <v/>
      </c>
      <c r="S2" s="1"/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1</v>
      </c>
      <c r="C3" s="296"/>
      <c r="D3" s="1"/>
      <c r="E3" s="1"/>
      <c r="F3" s="1"/>
      <c r="G3" s="1"/>
      <c r="H3" s="297"/>
      <c r="I3" s="297"/>
      <c r="J3" s="297">
        <f>I3-H3</f>
        <v>0</v>
      </c>
      <c r="K3" s="297">
        <f>(J3/0.041677)</f>
        <v>0</v>
      </c>
      <c r="L3" s="1"/>
      <c r="M3" s="1"/>
      <c r="N3" s="298"/>
      <c r="O3" s="298">
        <f t="shared" si="0"/>
        <v>0</v>
      </c>
      <c r="P3" s="298"/>
      <c r="Q3" s="1" t="str">
        <f>IFERROR(_xlfn.XLOOKUP(Table7[[#This Row],[Month]],'Modelling New'!$D:$D,'Modelling New'!$O:$O),"")</f>
        <v/>
      </c>
      <c r="R3" s="299" t="str">
        <f>IFERROR(Table7[[#This Row],[Loss of Capacity in KWp]]*Table7[[#This Row],[Lost POA]]*Table7[[#This Row],[Estimated PR % (Pvsyst)]],"")</f>
        <v/>
      </c>
      <c r="S3" s="1"/>
      <c r="T3" s="1"/>
      <c r="U3" s="300"/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45801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45802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45803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45804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45805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45806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45807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45808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45809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45810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45811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45812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45813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45814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45815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45816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45817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45818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45819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45820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45821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45822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45823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45824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45825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45826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45827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45828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45829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45830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45831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45832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45833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45834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45835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45836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45837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45838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45839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45840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45841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45842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45843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45844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45845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45846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45847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45848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45849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45850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45851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45852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45853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45854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45855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45856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45857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45858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45859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45860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45861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45801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45802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45803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45804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45805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45806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45807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45808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45809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45810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45811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45812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45813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45814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45815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45816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45817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45818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45819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45820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45821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45822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45823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45824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45825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45826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45827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45828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45829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45830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45831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45832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45833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45834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45835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45836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45837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45838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45839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45840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45841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45842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45843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45844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45845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45846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45847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45848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45849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45850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45851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45852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45853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45854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45855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45856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45857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45858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45859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45860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45861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45801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45802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45803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45804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45805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45806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45807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45808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45809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45810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45811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45812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45813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45814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45815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45816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45817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45818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45819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45820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45821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45822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45823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45824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45825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45826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45827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45828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45829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45830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45831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45832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45833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45834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45835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45836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45837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45838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45839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45840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45841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45842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45843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45844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45845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45846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45847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45848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45849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45850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45851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45852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45853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45854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45855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45856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45857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45858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45859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45860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45861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7.5872202400259478E-2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7.5359552384041517E-2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7.5872202400259478E-2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30830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591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7.5359552384041517E-2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5.2802951670450855E-2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5.2802951670450855E-2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5.2802951670450855E-2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5.2802951670450855E-2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5.2802951670450855E-2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5.2290301654232887E-2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5.2802951670450855E-2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5.2802951670450855E-2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5.2802951670450855E-2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5.2802951670450855E-2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5.3315601686668823E-2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5.2802951670450848E-2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4.1388258190074606E-2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4.1388258190074606E-2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4.1388258190074606E-2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4.1388258190074606E-2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4.1388258190074606E-2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4.1388258190074606E-2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4.1388258190074606E-2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8.2024002594875117E-3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8.2024002594875117E-3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8.2024002594875117E-3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8.6350956860201111E-3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8.6350956860201111E-3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8.6350956860201111E-3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8.6350956860201111E-3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8.6350956860201111E-3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8.7150502757054812E-3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8.2024002594875117E-3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8.2024002594875117E-3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8.7150502757054812E-3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8.2024002594875117E-3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8.2024002594875117E-3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8.2024002594875117E-3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8.2024002594875117E-3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8.2024002594875117E-3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8.2024002594875117E-3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8.7150502757054812E-3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8.2024002594875117E-3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8.2024002594875117E-3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8.2024002594875117E-3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8.2024002594875117E-3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8.2024002594875117E-3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8.7150502757054812E-3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8.7150502757054812E-3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8.7150502757054812E-3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8.2024002594875117E-3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8.2024002594875117E-3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8.2024002594875117E-3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8.2024002594875117E-3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8.2024002594875117E-3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8.2024002594875117E-3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8.7150502757054812E-3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8.7150502757054812E-3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8.7150502757054812E-3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8.7950048653908531E-3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8.7950048653908531E-3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8.7950048653908531E-3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8.7950048653908531E-3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9.3123580927667871E-3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8.7950048653908531E-3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8.7950048653908531E-3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8.7950048653908531E-3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8.7950048653908531E-3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8.7950048653908531E-3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9.3123580927667871E-3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8.7950048653908531E-3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8.7950048653908531E-3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8.7950048653908531E-3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8.7950048653908531E-3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8.7950048653908531E-3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8.7950048653908531E-3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9.3123580927667871E-3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8.7950048653908531E-3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8.7950048653908531E-3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9.3123580927667871E-3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8.7950048653908531E-3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8.7950048653908531E-3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8.2776516380149209E-3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592</v>
      </c>
      <c r="O85" s="9" t="s">
        <v>559</v>
      </c>
      <c r="Q85" s="1">
        <v>271.14999999999998</v>
      </c>
      <c r="R85" s="10">
        <f t="shared" ca="1" si="3"/>
        <v>8.7950048653908531E-3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593</v>
      </c>
      <c r="O86" s="9" t="s">
        <v>559</v>
      </c>
      <c r="Q86" s="1">
        <v>271.14999999999998</v>
      </c>
      <c r="R86" s="10">
        <f t="shared" ca="1" si="3"/>
        <v>8.7950048653908531E-3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594</v>
      </c>
      <c r="O87" s="9" t="s">
        <v>559</v>
      </c>
      <c r="Q87" s="1">
        <v>271.14999999999998</v>
      </c>
      <c r="R87" s="10">
        <f t="shared" ca="1" si="3"/>
        <v>8.7950048653908531E-3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595</v>
      </c>
      <c r="O88" s="9" t="s">
        <v>559</v>
      </c>
      <c r="Q88" s="1">
        <v>287.10000000000002</v>
      </c>
      <c r="R88" s="10">
        <f t="shared" ca="1" si="3"/>
        <v>9.3123580927667871E-3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596</v>
      </c>
      <c r="O89" s="9" t="s">
        <v>559</v>
      </c>
      <c r="Q89" s="1">
        <v>271.14999999999998</v>
      </c>
      <c r="R89" s="10">
        <f t="shared" ca="1" si="3"/>
        <v>8.7950048653908531E-3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597</v>
      </c>
      <c r="O90" s="9" t="s">
        <v>559</v>
      </c>
      <c r="Q90" s="1">
        <v>271.14999999999998</v>
      </c>
      <c r="R90" s="10">
        <f t="shared" ca="1" si="3"/>
        <v>8.7950048653908531E-3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598</v>
      </c>
      <c r="O91" s="9" t="s">
        <v>559</v>
      </c>
      <c r="Q91" s="1">
        <v>271.14999999999998</v>
      </c>
      <c r="R91" s="10">
        <f t="shared" ca="1" si="3"/>
        <v>8.7950048653908531E-3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599</v>
      </c>
      <c r="O92" s="9" t="s">
        <v>559</v>
      </c>
      <c r="Q92" s="1">
        <v>287.10000000000002</v>
      </c>
      <c r="R92" s="10">
        <f t="shared" ca="1" si="3"/>
        <v>9.3123580927667871E-3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600</v>
      </c>
      <c r="O93" s="9" t="s">
        <v>559</v>
      </c>
      <c r="Q93" s="1">
        <v>271.14999999999998</v>
      </c>
      <c r="R93" s="10">
        <f t="shared" ca="1" si="3"/>
        <v>8.7950048653908531E-3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601</v>
      </c>
      <c r="O94" s="9" t="s">
        <v>559</v>
      </c>
      <c r="Q94" s="1">
        <v>271.14999999999998</v>
      </c>
      <c r="R94" s="10">
        <f t="shared" ca="1" si="3"/>
        <v>8.7950048653908531E-3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602</v>
      </c>
      <c r="O95" s="9" t="s">
        <v>559</v>
      </c>
      <c r="Q95" s="1">
        <v>271.14999999999998</v>
      </c>
      <c r="R95" s="10">
        <f t="shared" ca="1" si="3"/>
        <v>8.7950048653908531E-3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603</v>
      </c>
      <c r="O96" s="9" t="s">
        <v>559</v>
      </c>
      <c r="Q96" s="1">
        <v>271.14999999999998</v>
      </c>
      <c r="R96" s="10">
        <f t="shared" ca="1" si="3"/>
        <v>8.7950048653908531E-3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604</v>
      </c>
      <c r="O97" s="9" t="s">
        <v>559</v>
      </c>
      <c r="Q97" s="1">
        <v>271.14999999999998</v>
      </c>
      <c r="R97" s="10">
        <f t="shared" ca="1" si="3"/>
        <v>8.7950048653908531E-3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605</v>
      </c>
      <c r="O98" s="9" t="s">
        <v>559</v>
      </c>
      <c r="Q98" s="1">
        <v>271.14999999999998</v>
      </c>
      <c r="R98" s="10">
        <f t="shared" ca="1" si="3"/>
        <v>8.7950048653908531E-3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606</v>
      </c>
      <c r="O99" s="9" t="s">
        <v>559</v>
      </c>
      <c r="Q99" s="1">
        <v>271.14999999999998</v>
      </c>
      <c r="R99" s="10">
        <f t="shared" ca="1" si="3"/>
        <v>8.7950048653908531E-3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607</v>
      </c>
      <c r="O100" s="9" t="s">
        <v>559</v>
      </c>
      <c r="Q100" s="1">
        <v>287.10000000000002</v>
      </c>
      <c r="R100" s="10">
        <f t="shared" ca="1" si="3"/>
        <v>9.3123580927667871E-3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608</v>
      </c>
      <c r="O101" s="9" t="s">
        <v>559</v>
      </c>
      <c r="Q101" s="1">
        <v>271.14999999999998</v>
      </c>
      <c r="R101" s="10">
        <f t="shared" ca="1" si="3"/>
        <v>8.7950048653908531E-3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609</v>
      </c>
      <c r="O102" s="9" t="s">
        <v>559</v>
      </c>
      <c r="Q102" s="1">
        <v>271.14999999999998</v>
      </c>
      <c r="R102" s="10">
        <f t="shared" ca="1" si="3"/>
        <v>8.7950048653908531E-3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610</v>
      </c>
      <c r="O103" s="9" t="s">
        <v>559</v>
      </c>
      <c r="Q103" s="1">
        <v>271.14999999999998</v>
      </c>
      <c r="R103" s="10">
        <f t="shared" ca="1" si="3"/>
        <v>8.7950048653908531E-3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611</v>
      </c>
      <c r="O104" s="9" t="s">
        <v>559</v>
      </c>
      <c r="Q104" s="1">
        <v>271.14999999999998</v>
      </c>
      <c r="R104" s="10">
        <f t="shared" ca="1" si="3"/>
        <v>8.7950048653908531E-3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612</v>
      </c>
      <c r="O105" s="9" t="s">
        <v>559</v>
      </c>
      <c r="Q105" s="1">
        <v>255.2</v>
      </c>
      <c r="R105" s="10">
        <f t="shared" ca="1" si="3"/>
        <v>8.2776516380149209E-3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613</v>
      </c>
      <c r="O106" s="9" t="s">
        <v>559</v>
      </c>
      <c r="Q106" s="1">
        <v>271.14999999999998</v>
      </c>
      <c r="R106" s="10">
        <f t="shared" ca="1" si="3"/>
        <v>8.7950048653908531E-3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614</v>
      </c>
      <c r="O107" s="9" t="s">
        <v>559</v>
      </c>
      <c r="Q107" s="1">
        <v>287.10000000000002</v>
      </c>
      <c r="R107" s="10">
        <f t="shared" ca="1" si="3"/>
        <v>9.3123580927667871E-3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615</v>
      </c>
      <c r="O108" s="9" t="s">
        <v>559</v>
      </c>
      <c r="Q108" s="1">
        <v>287.10000000000002</v>
      </c>
      <c r="R108" s="10">
        <f t="shared" ca="1" si="3"/>
        <v>9.3123580927667871E-3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8.7950048653908531E-3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9.3123580927667871E-3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9.3123580927667871E-3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9.3123580927667871E-3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9.3123580927667871E-3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7.7602984106389878E-3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7.2429451832630555E-3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8.2776516380149209E-3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8.7950048653908531E-3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8.7950048653908531E-3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9.3123580927667871E-3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9.3123580927667871E-3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9.3123580927667871E-3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9.3123580927667871E-3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9.3123580927667871E-3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8.7950048653908531E-3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8.7950048653908531E-3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8.7950048653908531E-3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616</v>
      </c>
      <c r="O127" s="9" t="s">
        <v>560</v>
      </c>
      <c r="Q127" s="1">
        <v>287.10000000000002</v>
      </c>
      <c r="R127" s="10">
        <f t="shared" ca="1" si="5"/>
        <v>9.3123580927667871E-3</v>
      </c>
      <c r="S127" s="5">
        <f t="shared" si="4"/>
        <v>0</v>
      </c>
      <c r="T127" s="1" t="s">
        <v>652</v>
      </c>
      <c r="U127" s="5" t="s">
        <v>394</v>
      </c>
      <c r="V127" s="1" t="s">
        <v>395</v>
      </c>
    </row>
    <row r="128" spans="14:22">
      <c r="N128" s="2" t="s">
        <v>617</v>
      </c>
      <c r="O128" s="9" t="s">
        <v>560</v>
      </c>
      <c r="Q128" s="1">
        <v>271.14999999999998</v>
      </c>
      <c r="R128" s="10">
        <f t="shared" ca="1" si="5"/>
        <v>8.7950048653908531E-3</v>
      </c>
      <c r="S128" s="5">
        <f t="shared" si="4"/>
        <v>0</v>
      </c>
      <c r="T128" s="1" t="s">
        <v>652</v>
      </c>
      <c r="U128" s="5" t="s">
        <v>394</v>
      </c>
      <c r="V128" s="1" t="s">
        <v>395</v>
      </c>
    </row>
    <row r="129" spans="14:22">
      <c r="N129" s="2" t="s">
        <v>618</v>
      </c>
      <c r="O129" s="9" t="s">
        <v>560</v>
      </c>
      <c r="Q129" s="1">
        <v>271.14999999999998</v>
      </c>
      <c r="R129" s="10">
        <f t="shared" ca="1" si="5"/>
        <v>8.7950048653908531E-3</v>
      </c>
      <c r="S129" s="5">
        <f t="shared" si="4"/>
        <v>0</v>
      </c>
      <c r="T129" s="1" t="s">
        <v>652</v>
      </c>
      <c r="U129" s="5" t="s">
        <v>394</v>
      </c>
      <c r="V129" s="1" t="s">
        <v>395</v>
      </c>
    </row>
    <row r="130" spans="14:22">
      <c r="N130" s="2" t="s">
        <v>619</v>
      </c>
      <c r="O130" s="9" t="s">
        <v>560</v>
      </c>
      <c r="Q130" s="1">
        <v>271.14999999999998</v>
      </c>
      <c r="R130" s="10">
        <f t="shared" ca="1" si="5"/>
        <v>8.7950048653908531E-3</v>
      </c>
      <c r="S130" s="5">
        <f t="shared" ref="S130:S193" si="6">_xlfn.XLOOKUP(O130,AE:AE,AG:AG)</f>
        <v>0</v>
      </c>
      <c r="T130" s="1" t="s">
        <v>652</v>
      </c>
      <c r="U130" s="5" t="s">
        <v>394</v>
      </c>
      <c r="V130" s="1" t="s">
        <v>395</v>
      </c>
    </row>
    <row r="131" spans="14:22">
      <c r="N131" s="2" t="s">
        <v>620</v>
      </c>
      <c r="O131" s="9" t="s">
        <v>560</v>
      </c>
      <c r="Q131" s="1">
        <v>271.14999999999998</v>
      </c>
      <c r="R131" s="10">
        <f t="shared" ca="1" si="5"/>
        <v>8.7950048653908531E-3</v>
      </c>
      <c r="S131" s="5">
        <f t="shared" si="6"/>
        <v>0</v>
      </c>
      <c r="T131" s="1" t="s">
        <v>652</v>
      </c>
      <c r="U131" s="5" t="s">
        <v>394</v>
      </c>
      <c r="V131" s="1" t="s">
        <v>395</v>
      </c>
    </row>
    <row r="132" spans="14:22">
      <c r="N132" s="2" t="s">
        <v>621</v>
      </c>
      <c r="O132" s="9" t="s">
        <v>560</v>
      </c>
      <c r="Q132" s="1">
        <v>271.14999999999998</v>
      </c>
      <c r="R132" s="10">
        <f t="shared" ca="1" si="5"/>
        <v>8.7950048653908531E-3</v>
      </c>
      <c r="S132" s="5">
        <f t="shared" si="6"/>
        <v>0</v>
      </c>
      <c r="T132" s="1" t="s">
        <v>652</v>
      </c>
      <c r="U132" s="5" t="s">
        <v>394</v>
      </c>
      <c r="V132" s="1" t="s">
        <v>395</v>
      </c>
    </row>
    <row r="133" spans="14:22">
      <c r="N133" s="2" t="s">
        <v>622</v>
      </c>
      <c r="O133" s="9" t="s">
        <v>560</v>
      </c>
      <c r="Q133" s="1">
        <v>191.4</v>
      </c>
      <c r="R133" s="10">
        <f t="shared" ca="1" si="5"/>
        <v>6.2082387285111902E-3</v>
      </c>
      <c r="S133" s="5">
        <f t="shared" si="6"/>
        <v>0</v>
      </c>
      <c r="T133" s="1" t="s">
        <v>652</v>
      </c>
      <c r="U133" s="5" t="s">
        <v>394</v>
      </c>
      <c r="V133" s="1" t="s">
        <v>395</v>
      </c>
    </row>
    <row r="134" spans="14:22">
      <c r="N134" s="2" t="s">
        <v>623</v>
      </c>
      <c r="O134" s="9" t="s">
        <v>560</v>
      </c>
      <c r="Q134" s="1">
        <v>191.4</v>
      </c>
      <c r="R134" s="10">
        <f t="shared" ca="1" si="5"/>
        <v>6.2082387285111902E-3</v>
      </c>
      <c r="S134" s="5">
        <f t="shared" si="6"/>
        <v>0</v>
      </c>
      <c r="T134" s="1" t="s">
        <v>652</v>
      </c>
      <c r="U134" s="5" t="s">
        <v>394</v>
      </c>
      <c r="V134" s="1" t="s">
        <v>395</v>
      </c>
    </row>
    <row r="135" spans="14:22">
      <c r="N135" s="2" t="s">
        <v>624</v>
      </c>
      <c r="O135" s="9" t="s">
        <v>560</v>
      </c>
      <c r="Q135" s="1">
        <v>223.3</v>
      </c>
      <c r="R135" s="10">
        <f t="shared" ca="1" si="5"/>
        <v>7.2429451832630555E-3</v>
      </c>
      <c r="S135" s="5">
        <f t="shared" si="6"/>
        <v>0</v>
      </c>
      <c r="T135" s="1" t="s">
        <v>652</v>
      </c>
      <c r="U135" s="5" t="s">
        <v>394</v>
      </c>
      <c r="V135" s="1" t="s">
        <v>395</v>
      </c>
    </row>
    <row r="136" spans="14:22">
      <c r="N136" s="2" t="s">
        <v>625</v>
      </c>
      <c r="O136" s="9" t="s">
        <v>560</v>
      </c>
      <c r="Q136" s="1">
        <v>221.27</v>
      </c>
      <c r="R136" s="10">
        <f t="shared" ca="1" si="5"/>
        <v>7.1771002270515733E-3</v>
      </c>
      <c r="S136" s="5">
        <f t="shared" si="6"/>
        <v>0</v>
      </c>
      <c r="T136" s="1" t="s">
        <v>652</v>
      </c>
      <c r="U136" s="5" t="s">
        <v>394</v>
      </c>
      <c r="V136" s="1" t="s">
        <v>395</v>
      </c>
    </row>
    <row r="137" spans="14:22">
      <c r="N137" s="2" t="s">
        <v>626</v>
      </c>
      <c r="O137" s="9" t="s">
        <v>560</v>
      </c>
      <c r="Q137" s="1">
        <v>221.27</v>
      </c>
      <c r="R137" s="10">
        <f t="shared" ca="1" si="5"/>
        <v>7.1771002270515733E-3</v>
      </c>
      <c r="S137" s="5">
        <f t="shared" si="6"/>
        <v>0</v>
      </c>
      <c r="T137" s="1" t="s">
        <v>652</v>
      </c>
      <c r="U137" s="5" t="s">
        <v>394</v>
      </c>
      <c r="V137" s="1" t="s">
        <v>395</v>
      </c>
    </row>
    <row r="138" spans="14:22">
      <c r="N138" s="2" t="s">
        <v>627</v>
      </c>
      <c r="O138" s="9" t="s">
        <v>560</v>
      </c>
      <c r="Q138" s="1">
        <v>221.27</v>
      </c>
      <c r="R138" s="10">
        <f t="shared" ca="1" si="5"/>
        <v>7.1771002270515733E-3</v>
      </c>
      <c r="S138" s="5">
        <f t="shared" si="6"/>
        <v>0</v>
      </c>
      <c r="T138" s="1" t="s">
        <v>652</v>
      </c>
      <c r="U138" s="5" t="s">
        <v>394</v>
      </c>
      <c r="V138" s="1" t="s">
        <v>395</v>
      </c>
    </row>
    <row r="139" spans="14:22">
      <c r="N139" s="2" t="s">
        <v>628</v>
      </c>
      <c r="O139" s="9" t="s">
        <v>560</v>
      </c>
      <c r="Q139" s="1">
        <v>191.4</v>
      </c>
      <c r="R139" s="10">
        <f t="shared" ca="1" si="5"/>
        <v>6.2082387285111902E-3</v>
      </c>
      <c r="S139" s="5">
        <f t="shared" si="6"/>
        <v>0</v>
      </c>
      <c r="T139" s="1" t="s">
        <v>652</v>
      </c>
      <c r="U139" s="5" t="s">
        <v>394</v>
      </c>
      <c r="V139" s="1" t="s">
        <v>395</v>
      </c>
    </row>
    <row r="140" spans="14:22">
      <c r="N140" s="2" t="s">
        <v>629</v>
      </c>
      <c r="O140" s="9" t="s">
        <v>560</v>
      </c>
      <c r="Q140" s="1">
        <v>223.3</v>
      </c>
      <c r="R140" s="10">
        <f t="shared" ca="1" si="5"/>
        <v>7.2429451832630555E-3</v>
      </c>
      <c r="S140" s="5">
        <f t="shared" si="6"/>
        <v>0</v>
      </c>
      <c r="T140" s="1" t="s">
        <v>652</v>
      </c>
      <c r="U140" s="5" t="s">
        <v>394</v>
      </c>
      <c r="V140" s="1" t="s">
        <v>395</v>
      </c>
    </row>
    <row r="141" spans="14:22">
      <c r="N141" s="2" t="s">
        <v>630</v>
      </c>
      <c r="O141" s="9" t="s">
        <v>560</v>
      </c>
      <c r="Q141" s="1">
        <v>223.3</v>
      </c>
      <c r="R141" s="10">
        <f t="shared" ca="1" si="5"/>
        <v>7.2429451832630555E-3</v>
      </c>
      <c r="S141" s="5">
        <f t="shared" si="6"/>
        <v>0</v>
      </c>
      <c r="T141" s="1" t="s">
        <v>652</v>
      </c>
      <c r="U141" s="5" t="s">
        <v>394</v>
      </c>
      <c r="V141" s="1" t="s">
        <v>395</v>
      </c>
    </row>
    <row r="142" spans="14:22">
      <c r="N142" s="2" t="s">
        <v>631</v>
      </c>
      <c r="O142" s="9" t="s">
        <v>560</v>
      </c>
      <c r="Q142" s="1">
        <v>223.3</v>
      </c>
      <c r="R142" s="10">
        <f t="shared" ca="1" si="5"/>
        <v>7.2429451832630555E-3</v>
      </c>
      <c r="S142" s="5">
        <f t="shared" si="6"/>
        <v>0</v>
      </c>
      <c r="T142" s="1" t="s">
        <v>652</v>
      </c>
      <c r="U142" s="5" t="s">
        <v>394</v>
      </c>
      <c r="V142" s="1" t="s">
        <v>395</v>
      </c>
    </row>
    <row r="143" spans="14:22">
      <c r="N143" s="2" t="s">
        <v>632</v>
      </c>
      <c r="O143" s="9" t="s">
        <v>560</v>
      </c>
      <c r="Q143" s="1">
        <v>191.4</v>
      </c>
      <c r="R143" s="10">
        <f t="shared" ca="1" si="5"/>
        <v>6.2082387285111902E-3</v>
      </c>
      <c r="S143" s="5">
        <f t="shared" si="6"/>
        <v>0</v>
      </c>
      <c r="T143" s="1" t="s">
        <v>652</v>
      </c>
      <c r="U143" s="5" t="s">
        <v>394</v>
      </c>
      <c r="V143" s="1" t="s">
        <v>395</v>
      </c>
    </row>
    <row r="144" spans="14:22">
      <c r="N144" s="2" t="s">
        <v>633</v>
      </c>
      <c r="O144" s="9" t="s">
        <v>560</v>
      </c>
      <c r="Q144" s="1">
        <v>223.3</v>
      </c>
      <c r="R144" s="10">
        <f t="shared" ca="1" si="5"/>
        <v>7.2429451832630555E-3</v>
      </c>
      <c r="S144" s="5">
        <f t="shared" si="6"/>
        <v>0</v>
      </c>
      <c r="T144" s="1" t="s">
        <v>652</v>
      </c>
      <c r="U144" s="5" t="s">
        <v>394</v>
      </c>
      <c r="V144" s="1" t="s">
        <v>395</v>
      </c>
    </row>
    <row r="145" spans="14:22">
      <c r="N145" s="2" t="s">
        <v>634</v>
      </c>
      <c r="O145" s="9" t="s">
        <v>560</v>
      </c>
      <c r="Q145" s="1">
        <v>223.3</v>
      </c>
      <c r="R145" s="10">
        <f t="shared" ca="1" si="5"/>
        <v>7.2429451832630555E-3</v>
      </c>
      <c r="S145" s="5">
        <f t="shared" si="6"/>
        <v>0</v>
      </c>
      <c r="T145" s="1" t="s">
        <v>652</v>
      </c>
      <c r="U145" s="5" t="s">
        <v>394</v>
      </c>
      <c r="V145" s="1" t="s">
        <v>395</v>
      </c>
    </row>
    <row r="146" spans="14:22">
      <c r="N146" s="2" t="s">
        <v>635</v>
      </c>
      <c r="O146" s="9" t="s">
        <v>560</v>
      </c>
      <c r="Q146" s="1">
        <v>223.3</v>
      </c>
      <c r="R146" s="10">
        <f t="shared" ca="1" si="5"/>
        <v>7.2429451832630555E-3</v>
      </c>
      <c r="S146" s="5">
        <f t="shared" si="6"/>
        <v>0</v>
      </c>
      <c r="T146" s="1" t="s">
        <v>652</v>
      </c>
      <c r="U146" s="5" t="s">
        <v>394</v>
      </c>
      <c r="V146" s="1" t="s">
        <v>395</v>
      </c>
    </row>
    <row r="147" spans="14:22">
      <c r="N147" s="2" t="s">
        <v>636</v>
      </c>
      <c r="O147" s="9" t="s">
        <v>560</v>
      </c>
      <c r="Q147" s="1">
        <v>191.4</v>
      </c>
      <c r="R147" s="10">
        <f t="shared" ca="1" si="5"/>
        <v>6.2082387285111902E-3</v>
      </c>
      <c r="S147" s="5">
        <f t="shared" si="6"/>
        <v>0</v>
      </c>
      <c r="T147" s="1" t="s">
        <v>652</v>
      </c>
      <c r="U147" s="5" t="s">
        <v>394</v>
      </c>
      <c r="V147" s="1" t="s">
        <v>395</v>
      </c>
    </row>
    <row r="148" spans="14:22">
      <c r="N148" s="2" t="s">
        <v>637</v>
      </c>
      <c r="O148" s="9" t="s">
        <v>560</v>
      </c>
      <c r="Q148" s="1">
        <v>223.3</v>
      </c>
      <c r="R148" s="10">
        <f t="shared" ca="1" si="5"/>
        <v>7.2429451832630555E-3</v>
      </c>
      <c r="S148" s="5">
        <f t="shared" si="6"/>
        <v>0</v>
      </c>
      <c r="T148" s="1" t="s">
        <v>652</v>
      </c>
      <c r="U148" s="5" t="s">
        <v>394</v>
      </c>
      <c r="V148" s="1" t="s">
        <v>395</v>
      </c>
    </row>
    <row r="149" spans="14:22">
      <c r="N149" s="2" t="s">
        <v>638</v>
      </c>
      <c r="O149" s="9" t="s">
        <v>560</v>
      </c>
      <c r="Q149" s="1">
        <v>191.4</v>
      </c>
      <c r="R149" s="10">
        <f t="shared" ca="1" si="5"/>
        <v>6.2082387285111902E-3</v>
      </c>
      <c r="S149" s="5">
        <f t="shared" si="6"/>
        <v>0</v>
      </c>
      <c r="T149" s="1" t="s">
        <v>652</v>
      </c>
      <c r="U149" s="5" t="s">
        <v>394</v>
      </c>
      <c r="V149" s="1" t="s">
        <v>395</v>
      </c>
    </row>
    <row r="150" spans="14:22">
      <c r="N150" s="2" t="s">
        <v>639</v>
      </c>
      <c r="O150" s="9" t="s">
        <v>560</v>
      </c>
      <c r="Q150" s="1">
        <v>223.3</v>
      </c>
      <c r="R150" s="10">
        <f t="shared" ca="1" si="5"/>
        <v>7.2429451832630555E-3</v>
      </c>
      <c r="S150" s="5">
        <f t="shared" si="6"/>
        <v>0</v>
      </c>
      <c r="T150" s="1" t="s">
        <v>652</v>
      </c>
      <c r="U150" s="5" t="s">
        <v>394</v>
      </c>
      <c r="V150" s="1" t="s">
        <v>395</v>
      </c>
    </row>
    <row r="151" spans="14:22">
      <c r="N151" s="2" t="s">
        <v>634</v>
      </c>
      <c r="O151" s="9" t="s">
        <v>560</v>
      </c>
      <c r="Q151" s="1">
        <v>223.3</v>
      </c>
      <c r="R151" s="10">
        <f t="shared" ca="1" si="5"/>
        <v>7.2429451832630555E-3</v>
      </c>
      <c r="S151" s="5">
        <f t="shared" si="6"/>
        <v>0</v>
      </c>
      <c r="T151" s="1" t="s">
        <v>652</v>
      </c>
      <c r="U151" s="5" t="s">
        <v>394</v>
      </c>
      <c r="V151" s="1" t="s">
        <v>395</v>
      </c>
    </row>
    <row r="152" spans="14:22">
      <c r="N152" s="2" t="s">
        <v>635</v>
      </c>
      <c r="O152" s="9" t="s">
        <v>560</v>
      </c>
      <c r="Q152" s="1">
        <v>191.4</v>
      </c>
      <c r="R152" s="10">
        <f t="shared" ca="1" si="5"/>
        <v>6.2082387285111902E-3</v>
      </c>
      <c r="S152" s="5">
        <f t="shared" si="6"/>
        <v>0</v>
      </c>
      <c r="T152" s="1" t="s">
        <v>652</v>
      </c>
      <c r="U152" s="5" t="s">
        <v>394</v>
      </c>
      <c r="V152" s="1" t="s">
        <v>395</v>
      </c>
    </row>
    <row r="153" spans="14:22">
      <c r="N153" s="2" t="s">
        <v>636</v>
      </c>
      <c r="O153" s="9" t="s">
        <v>560</v>
      </c>
      <c r="Q153" s="1">
        <v>191.4</v>
      </c>
      <c r="R153" s="10">
        <f t="shared" ca="1" si="5"/>
        <v>6.2082387285111902E-3</v>
      </c>
      <c r="S153" s="5">
        <f t="shared" si="6"/>
        <v>0</v>
      </c>
      <c r="T153" s="1" t="s">
        <v>652</v>
      </c>
      <c r="U153" s="5" t="s">
        <v>394</v>
      </c>
      <c r="V153" s="1" t="s">
        <v>395</v>
      </c>
    </row>
    <row r="154" spans="14:22">
      <c r="N154" s="2" t="s">
        <v>637</v>
      </c>
      <c r="O154" s="9" t="s">
        <v>560</v>
      </c>
      <c r="Q154" s="1">
        <v>239.25</v>
      </c>
      <c r="R154" s="10">
        <f t="shared" ca="1" si="5"/>
        <v>7.7602984106389878E-3</v>
      </c>
      <c r="S154" s="5">
        <f t="shared" si="6"/>
        <v>0</v>
      </c>
      <c r="T154" s="1" t="s">
        <v>652</v>
      </c>
      <c r="U154" s="5" t="s">
        <v>394</v>
      </c>
      <c r="V154" s="1" t="s">
        <v>395</v>
      </c>
    </row>
    <row r="155" spans="14:22">
      <c r="N155" s="2" t="s">
        <v>638</v>
      </c>
      <c r="O155" s="9" t="s">
        <v>560</v>
      </c>
      <c r="Q155" s="1">
        <v>207.35</v>
      </c>
      <c r="R155" s="10">
        <f t="shared" ca="1" si="5"/>
        <v>6.7255919558871224E-3</v>
      </c>
      <c r="S155" s="5">
        <f t="shared" si="6"/>
        <v>0</v>
      </c>
      <c r="T155" s="1" t="s">
        <v>652</v>
      </c>
      <c r="U155" s="5" t="s">
        <v>394</v>
      </c>
      <c r="V155" s="1" t="s">
        <v>395</v>
      </c>
    </row>
    <row r="156" spans="14:22">
      <c r="N156" s="2" t="s">
        <v>639</v>
      </c>
      <c r="O156" s="9" t="s">
        <v>560</v>
      </c>
      <c r="Q156" s="1">
        <v>223.3</v>
      </c>
      <c r="R156" s="10">
        <f t="shared" ca="1" si="5"/>
        <v>7.2429451832630555E-3</v>
      </c>
      <c r="S156" s="5">
        <f t="shared" si="6"/>
        <v>0</v>
      </c>
      <c r="T156" s="1" t="s">
        <v>652</v>
      </c>
      <c r="U156" s="5" t="s">
        <v>394</v>
      </c>
      <c r="V156" s="1" t="s">
        <v>395</v>
      </c>
    </row>
    <row r="157" spans="14:22">
      <c r="N157" s="2" t="s">
        <v>640</v>
      </c>
      <c r="O157" s="9" t="s">
        <v>560</v>
      </c>
      <c r="Q157" s="1">
        <v>191.4</v>
      </c>
      <c r="R157" s="10">
        <f t="shared" ca="1" si="5"/>
        <v>6.2082387285111902E-3</v>
      </c>
      <c r="S157" s="5">
        <f t="shared" si="6"/>
        <v>0</v>
      </c>
      <c r="T157" s="1" t="s">
        <v>652</v>
      </c>
      <c r="U157" s="5" t="s">
        <v>394</v>
      </c>
      <c r="V157" s="1" t="s">
        <v>395</v>
      </c>
    </row>
    <row r="158" spans="14:22">
      <c r="N158" s="2" t="s">
        <v>641</v>
      </c>
      <c r="O158" s="9" t="s">
        <v>560</v>
      </c>
      <c r="Q158" s="1">
        <v>223.3</v>
      </c>
      <c r="R158" s="10">
        <f t="shared" ca="1" si="5"/>
        <v>7.2429451832630555E-3</v>
      </c>
      <c r="S158" s="5">
        <f t="shared" si="6"/>
        <v>0</v>
      </c>
      <c r="T158" s="1" t="s">
        <v>652</v>
      </c>
      <c r="U158" s="5" t="s">
        <v>394</v>
      </c>
      <c r="V158" s="1" t="s">
        <v>395</v>
      </c>
    </row>
    <row r="159" spans="14:22">
      <c r="N159" s="2" t="s">
        <v>642</v>
      </c>
      <c r="O159" s="9" t="s">
        <v>560</v>
      </c>
      <c r="Q159" s="1">
        <v>223.3</v>
      </c>
      <c r="R159" s="10">
        <f t="shared" ca="1" si="5"/>
        <v>7.2429451832630555E-3</v>
      </c>
      <c r="S159" s="5">
        <f t="shared" si="6"/>
        <v>0</v>
      </c>
      <c r="T159" s="1" t="s">
        <v>652</v>
      </c>
      <c r="U159" s="5" t="s">
        <v>394</v>
      </c>
      <c r="V159" s="1" t="s">
        <v>395</v>
      </c>
    </row>
    <row r="160" spans="14:22">
      <c r="N160" s="2" t="s">
        <v>643</v>
      </c>
      <c r="O160" s="9" t="s">
        <v>560</v>
      </c>
      <c r="Q160" s="1">
        <v>223.3</v>
      </c>
      <c r="R160" s="10">
        <f t="shared" ca="1" si="5"/>
        <v>7.2429451832630555E-3</v>
      </c>
      <c r="S160" s="5">
        <f t="shared" si="6"/>
        <v>0</v>
      </c>
      <c r="T160" s="1" t="s">
        <v>652</v>
      </c>
      <c r="U160" s="5" t="s">
        <v>394</v>
      </c>
      <c r="V160" s="1" t="s">
        <v>395</v>
      </c>
    </row>
    <row r="161" spans="14:22">
      <c r="N161" s="2" t="s">
        <v>644</v>
      </c>
      <c r="O161" s="9" t="s">
        <v>560</v>
      </c>
      <c r="Q161" s="1">
        <v>223.3</v>
      </c>
      <c r="R161" s="10">
        <f t="shared" ca="1" si="5"/>
        <v>7.2429451832630555E-3</v>
      </c>
      <c r="S161" s="5">
        <f t="shared" si="6"/>
        <v>0</v>
      </c>
      <c r="T161" s="1" t="s">
        <v>652</v>
      </c>
      <c r="U161" s="5" t="s">
        <v>394</v>
      </c>
      <c r="V161" s="1" t="s">
        <v>395</v>
      </c>
    </row>
    <row r="162" spans="14:22">
      <c r="N162" s="2" t="s">
        <v>645</v>
      </c>
      <c r="O162" s="9" t="s">
        <v>560</v>
      </c>
      <c r="Q162" s="1">
        <v>191.4</v>
      </c>
      <c r="R162" s="10">
        <f t="shared" ca="1" si="5"/>
        <v>6.2082387285111902E-3</v>
      </c>
      <c r="S162" s="5">
        <f t="shared" si="6"/>
        <v>0</v>
      </c>
      <c r="T162" s="1" t="s">
        <v>652</v>
      </c>
      <c r="U162" s="5" t="s">
        <v>394</v>
      </c>
      <c r="V162" s="1" t="s">
        <v>395</v>
      </c>
    </row>
    <row r="163" spans="14:22">
      <c r="N163" s="2" t="s">
        <v>646</v>
      </c>
      <c r="O163" s="9" t="s">
        <v>560</v>
      </c>
      <c r="Q163" s="1">
        <v>191.4</v>
      </c>
      <c r="R163" s="10">
        <f t="shared" ca="1" si="5"/>
        <v>6.2082387285111902E-3</v>
      </c>
      <c r="S163" s="5">
        <f t="shared" si="6"/>
        <v>0</v>
      </c>
      <c r="T163" s="1" t="s">
        <v>652</v>
      </c>
      <c r="U163" s="5" t="s">
        <v>394</v>
      </c>
      <c r="V163" s="1" t="s">
        <v>395</v>
      </c>
    </row>
    <row r="164" spans="14:22">
      <c r="N164" s="2" t="s">
        <v>647</v>
      </c>
      <c r="O164" s="9" t="s">
        <v>560</v>
      </c>
      <c r="Q164" s="1">
        <v>223.3</v>
      </c>
      <c r="R164" s="10">
        <f t="shared" ca="1" si="5"/>
        <v>7.2429451832630555E-3</v>
      </c>
      <c r="S164" s="5">
        <f t="shared" si="6"/>
        <v>0</v>
      </c>
      <c r="T164" s="1" t="s">
        <v>652</v>
      </c>
      <c r="U164" s="5" t="s">
        <v>394</v>
      </c>
      <c r="V164" s="1" t="s">
        <v>395</v>
      </c>
    </row>
    <row r="165" spans="14:22">
      <c r="N165" s="2" t="s">
        <v>648</v>
      </c>
      <c r="O165" s="9" t="s">
        <v>560</v>
      </c>
      <c r="Q165" s="1">
        <v>223.3</v>
      </c>
      <c r="R165" s="10">
        <f t="shared" ca="1" si="5"/>
        <v>7.2429451832630555E-3</v>
      </c>
      <c r="S165" s="5">
        <f t="shared" si="6"/>
        <v>0</v>
      </c>
      <c r="T165" s="1" t="s">
        <v>652</v>
      </c>
      <c r="U165" s="5" t="s">
        <v>394</v>
      </c>
      <c r="V165" s="1" t="s">
        <v>395</v>
      </c>
    </row>
    <row r="166" spans="14:22">
      <c r="N166" s="2" t="s">
        <v>649</v>
      </c>
      <c r="O166" s="9" t="s">
        <v>560</v>
      </c>
      <c r="Q166" s="1">
        <v>191.4</v>
      </c>
      <c r="R166" s="10">
        <f t="shared" ca="1" si="5"/>
        <v>6.2082387285111902E-3</v>
      </c>
      <c r="S166" s="5">
        <f t="shared" si="6"/>
        <v>0</v>
      </c>
      <c r="T166" s="1" t="s">
        <v>652</v>
      </c>
      <c r="U166" s="5" t="s">
        <v>394</v>
      </c>
      <c r="V166" s="1" t="s">
        <v>395</v>
      </c>
    </row>
    <row r="167" spans="14:22">
      <c r="N167" s="2" t="s">
        <v>650</v>
      </c>
      <c r="O167" s="9" t="s">
        <v>560</v>
      </c>
      <c r="Q167" s="1">
        <v>223.3</v>
      </c>
      <c r="R167" s="10">
        <f t="shared" ca="1" si="5"/>
        <v>7.2429451832630555E-3</v>
      </c>
      <c r="S167" s="5">
        <f t="shared" si="6"/>
        <v>0</v>
      </c>
      <c r="T167" s="1" t="s">
        <v>652</v>
      </c>
      <c r="U167" s="5" t="s">
        <v>394</v>
      </c>
      <c r="V167" s="1" t="s">
        <v>395</v>
      </c>
    </row>
    <row r="168" spans="14:22">
      <c r="N168" s="2" t="s">
        <v>651</v>
      </c>
      <c r="O168" s="9" t="s">
        <v>560</v>
      </c>
      <c r="Q168" s="1">
        <v>223.3</v>
      </c>
      <c r="R168" s="10">
        <f t="shared" ca="1" si="5"/>
        <v>7.2429451832630555E-3</v>
      </c>
      <c r="S168" s="5">
        <f t="shared" si="6"/>
        <v>0</v>
      </c>
      <c r="T168" s="1" t="s">
        <v>652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5.1265001621796948E-4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5.1735322737593255E-4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1.025300032435939E-3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1.0347064547518651E-3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2025-07-23T17:51:16Z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